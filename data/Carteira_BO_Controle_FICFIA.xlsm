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N:\Operacional\"/>
    </mc:Choice>
  </mc:AlternateContent>
  <xr:revisionPtr revIDLastSave="0" documentId="13_ncr:1_{85B202A6-3781-487C-9154-38678E2923BD}" xr6:coauthVersionLast="47" xr6:coauthVersionMax="47" xr10:uidLastSave="{00000000-0000-0000-0000-000000000000}"/>
  <bookViews>
    <workbookView xWindow="28680" yWindow="-120" windowWidth="29040" windowHeight="15720" activeTab="1" xr2:uid="{C4D06D79-60D8-4D71-9983-8B16DEBB720F}"/>
  </bookViews>
  <sheets>
    <sheet name="Caminhos_VBA" sheetId="9" r:id="rId1"/>
    <sheet name="Controle" sheetId="1" r:id="rId2"/>
    <sheet name="Resumo_Master" sheetId="3" r:id="rId3"/>
    <sheet name="Fluxo de Caixa" sheetId="7" r:id="rId4"/>
    <sheet name="Performance" sheetId="11" r:id="rId5"/>
    <sheet name="CarteiraBTG" sheetId="2" r:id="rId6"/>
    <sheet name="Feriados" sheetId="8" r:id="rId7"/>
  </sheets>
  <externalReferences>
    <externalReference r:id="rId8"/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71" i="7" l="1"/>
  <c r="C571" i="7"/>
  <c r="B571" i="7"/>
  <c r="P567" i="3"/>
  <c r="N567" i="3"/>
  <c r="K567" i="3"/>
  <c r="J567" i="3"/>
  <c r="I567" i="3"/>
  <c r="G567" i="3" s="1"/>
  <c r="F567" i="3"/>
  <c r="C568" i="3"/>
  <c r="B570" i="7"/>
  <c r="R570" i="7" s="1"/>
  <c r="P566" i="3"/>
  <c r="N566" i="3"/>
  <c r="K570" i="7" s="1"/>
  <c r="K566" i="3"/>
  <c r="J566" i="3"/>
  <c r="I566" i="3"/>
  <c r="G566" i="3" s="1"/>
  <c r="F566" i="3"/>
  <c r="C567" i="3"/>
  <c r="B569" i="7"/>
  <c r="R569" i="7" s="1"/>
  <c r="P565" i="3"/>
  <c r="N565" i="3"/>
  <c r="K569" i="7" s="1"/>
  <c r="K565" i="3"/>
  <c r="J565" i="3"/>
  <c r="I565" i="3"/>
  <c r="G565" i="3" s="1"/>
  <c r="F565" i="3"/>
  <c r="C566" i="3"/>
  <c r="R571" i="7" l="1"/>
  <c r="U571" i="7" s="1"/>
  <c r="M567" i="3" s="1"/>
  <c r="B568" i="7"/>
  <c r="P564" i="3"/>
  <c r="N564" i="3"/>
  <c r="K568" i="7" s="1"/>
  <c r="K564" i="3"/>
  <c r="J564" i="3"/>
  <c r="I564" i="3"/>
  <c r="G564" i="3" s="1"/>
  <c r="F564" i="3"/>
  <c r="C565" i="3"/>
  <c r="B567" i="7"/>
  <c r="P563" i="3"/>
  <c r="N563" i="3"/>
  <c r="K567" i="7" s="1"/>
  <c r="K563" i="3"/>
  <c r="J563" i="3"/>
  <c r="I563" i="3"/>
  <c r="G563" i="3" s="1"/>
  <c r="F563" i="3"/>
  <c r="C564" i="3"/>
  <c r="B566" i="7"/>
  <c r="R566" i="7" s="1"/>
  <c r="P562" i="3"/>
  <c r="N562" i="3"/>
  <c r="K566" i="7" s="1"/>
  <c r="K562" i="3"/>
  <c r="J562" i="3"/>
  <c r="I562" i="3"/>
  <c r="G562" i="3" s="1"/>
  <c r="F562" i="3"/>
  <c r="C563" i="3"/>
  <c r="B565" i="7"/>
  <c r="R565" i="7" s="1"/>
  <c r="P561" i="3"/>
  <c r="N561" i="3"/>
  <c r="K565" i="7" s="1"/>
  <c r="K561" i="3"/>
  <c r="J561" i="3"/>
  <c r="I561" i="3"/>
  <c r="G561" i="3" s="1"/>
  <c r="F561" i="3"/>
  <c r="R568" i="7" l="1"/>
  <c r="R567" i="7"/>
  <c r="C562" i="3"/>
  <c r="B564" i="7"/>
  <c r="R564" i="7" s="1"/>
  <c r="P560" i="3"/>
  <c r="N560" i="3"/>
  <c r="K564" i="7" s="1"/>
  <c r="K560" i="3"/>
  <c r="J560" i="3"/>
  <c r="I560" i="3"/>
  <c r="G560" i="3" s="1"/>
  <c r="F560" i="3"/>
  <c r="C561" i="3"/>
  <c r="J559" i="3"/>
  <c r="B563" i="7"/>
  <c r="P559" i="3"/>
  <c r="N559" i="3"/>
  <c r="K563" i="7" s="1"/>
  <c r="K559" i="3"/>
  <c r="I559" i="3"/>
  <c r="G559" i="3" s="1"/>
  <c r="F559" i="3"/>
  <c r="C560" i="3"/>
  <c r="B562" i="7"/>
  <c r="P558" i="3"/>
  <c r="N558" i="3"/>
  <c r="K562" i="7" s="1"/>
  <c r="K558" i="3"/>
  <c r="J558" i="3"/>
  <c r="I558" i="3"/>
  <c r="G558" i="3" s="1"/>
  <c r="F558" i="3"/>
  <c r="C559" i="3"/>
  <c r="B561" i="7"/>
  <c r="R561" i="7" s="1"/>
  <c r="P557" i="3"/>
  <c r="N557" i="3"/>
  <c r="K561" i="7" s="1"/>
  <c r="K557" i="3"/>
  <c r="J557" i="3"/>
  <c r="I557" i="3"/>
  <c r="G557" i="3" s="1"/>
  <c r="F557" i="3"/>
  <c r="C558" i="3"/>
  <c r="B560" i="7"/>
  <c r="P556" i="3"/>
  <c r="N556" i="3"/>
  <c r="K560" i="7" s="1"/>
  <c r="K556" i="3"/>
  <c r="J556" i="3"/>
  <c r="I556" i="3"/>
  <c r="G556" i="3" s="1"/>
  <c r="F556" i="3"/>
  <c r="C557" i="3"/>
  <c r="B559" i="7"/>
  <c r="P555" i="3"/>
  <c r="N555" i="3"/>
  <c r="K559" i="7" s="1"/>
  <c r="K555" i="3"/>
  <c r="J555" i="3"/>
  <c r="I555" i="3"/>
  <c r="G555" i="3" s="1"/>
  <c r="F555" i="3"/>
  <c r="C556" i="3"/>
  <c r="B558" i="7"/>
  <c r="R558" i="7" s="1"/>
  <c r="P554" i="3"/>
  <c r="N554" i="3"/>
  <c r="K558" i="7" s="1"/>
  <c r="K554" i="3"/>
  <c r="J554" i="3"/>
  <c r="I554" i="3"/>
  <c r="G554" i="3" s="1"/>
  <c r="F554" i="3"/>
  <c r="C555" i="3"/>
  <c r="B557" i="7"/>
  <c r="P553" i="3"/>
  <c r="N553" i="3"/>
  <c r="K557" i="7" s="1"/>
  <c r="K553" i="3"/>
  <c r="J553" i="3"/>
  <c r="I553" i="3"/>
  <c r="G553" i="3" s="1"/>
  <c r="F553" i="3"/>
  <c r="C554" i="3"/>
  <c r="B556" i="7"/>
  <c r="P552" i="3"/>
  <c r="N552" i="3"/>
  <c r="K556" i="7" s="1"/>
  <c r="K552" i="3"/>
  <c r="J552" i="3"/>
  <c r="I552" i="3"/>
  <c r="G552" i="3" s="1"/>
  <c r="F552" i="3"/>
  <c r="C553" i="3"/>
  <c r="J551" i="3"/>
  <c r="F551" i="3"/>
  <c r="R563" i="7" l="1"/>
  <c r="R562" i="7"/>
  <c r="R560" i="7"/>
  <c r="R559" i="7"/>
  <c r="R557" i="7"/>
  <c r="R556" i="7"/>
  <c r="J550" i="3"/>
  <c r="F550" i="3"/>
  <c r="Q553" i="7"/>
  <c r="J549" i="3"/>
  <c r="F549" i="3"/>
  <c r="J548" i="3"/>
  <c r="F548" i="3"/>
  <c r="J547" i="3"/>
  <c r="F547" i="3"/>
  <c r="J546" i="3"/>
  <c r="F546" i="3"/>
  <c r="J545" i="3"/>
  <c r="F545" i="3"/>
  <c r="J544" i="3"/>
  <c r="F544" i="3"/>
  <c r="J543" i="3"/>
  <c r="F543" i="3"/>
  <c r="F542" i="3" l="1"/>
  <c r="J542" i="3"/>
  <c r="J541" i="3"/>
  <c r="F541" i="3"/>
  <c r="J540" i="3"/>
  <c r="F540" i="3"/>
  <c r="J539" i="3"/>
  <c r="F539" i="3"/>
  <c r="J538" i="3"/>
  <c r="F538" i="3"/>
  <c r="J537" i="3"/>
  <c r="F537" i="3"/>
  <c r="J536" i="3"/>
  <c r="F536" i="3"/>
  <c r="J535" i="3"/>
  <c r="F535" i="3"/>
  <c r="J534" i="3"/>
  <c r="F534" i="3"/>
  <c r="J533" i="3" l="1"/>
  <c r="F533" i="3"/>
  <c r="J532" i="3"/>
  <c r="F532" i="3"/>
  <c r="J531" i="3"/>
  <c r="F531" i="3"/>
  <c r="J530" i="3"/>
  <c r="F530" i="3"/>
  <c r="J529" i="3"/>
  <c r="F529" i="3"/>
  <c r="J528" i="3"/>
  <c r="F528" i="3"/>
  <c r="J527" i="3"/>
  <c r="F527" i="3"/>
  <c r="J526" i="3"/>
  <c r="F526" i="3"/>
  <c r="J525" i="3"/>
  <c r="F525" i="3"/>
  <c r="J524" i="3"/>
  <c r="F524" i="3"/>
  <c r="J523" i="3"/>
  <c r="F523" i="3"/>
  <c r="J522" i="3"/>
  <c r="F522" i="3"/>
  <c r="J521" i="3"/>
  <c r="F521" i="3"/>
  <c r="J520" i="3"/>
  <c r="F520" i="3"/>
  <c r="J519" i="3" l="1"/>
  <c r="F519" i="3"/>
  <c r="J518" i="3"/>
  <c r="F518" i="3"/>
  <c r="J517" i="3"/>
  <c r="F517" i="3"/>
  <c r="J516" i="3"/>
  <c r="F516" i="3"/>
  <c r="J515" i="3"/>
  <c r="F515" i="3"/>
  <c r="J514" i="3"/>
  <c r="F514" i="3"/>
  <c r="J513" i="3" l="1"/>
  <c r="F513" i="3"/>
  <c r="J512" i="3"/>
  <c r="F512" i="3"/>
  <c r="J511" i="3"/>
  <c r="F511" i="3"/>
  <c r="J510" i="3"/>
  <c r="F510" i="3"/>
  <c r="J509" i="3"/>
  <c r="F509" i="3"/>
  <c r="J508" i="3"/>
  <c r="F508" i="3"/>
  <c r="J507" i="3"/>
  <c r="F507" i="3"/>
  <c r="J506" i="3"/>
  <c r="F506" i="3"/>
  <c r="J505" i="3" l="1"/>
  <c r="F505" i="3"/>
  <c r="J504" i="3"/>
  <c r="F504" i="3"/>
  <c r="J503" i="3"/>
  <c r="F503" i="3"/>
  <c r="J502" i="3"/>
  <c r="F502" i="3"/>
  <c r="J501" i="3"/>
  <c r="F501" i="3"/>
  <c r="J500" i="3"/>
  <c r="F500" i="3"/>
  <c r="J499" i="3"/>
  <c r="F499" i="3"/>
  <c r="J498" i="3"/>
  <c r="F498" i="3"/>
  <c r="J497" i="3"/>
  <c r="F497" i="3"/>
  <c r="J496" i="3"/>
  <c r="F496" i="3"/>
  <c r="J495" i="3"/>
  <c r="F495" i="3"/>
  <c r="J494" i="3"/>
  <c r="F494" i="3"/>
  <c r="J493" i="3"/>
  <c r="F493" i="3"/>
  <c r="J492" i="3" l="1"/>
  <c r="F492" i="3"/>
  <c r="J491" i="3"/>
  <c r="F491" i="3"/>
  <c r="J490" i="3" l="1"/>
  <c r="F490" i="3"/>
  <c r="J489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58" i="3"/>
  <c r="F459" i="3"/>
  <c r="F460" i="3"/>
  <c r="F461" i="3"/>
  <c r="F462" i="3"/>
  <c r="F463" i="3"/>
  <c r="F464" i="3"/>
  <c r="F465" i="3"/>
  <c r="F466" i="3"/>
  <c r="F467" i="3"/>
  <c r="J488" i="3" l="1"/>
  <c r="J487" i="3"/>
  <c r="J486" i="3"/>
  <c r="J485" i="3"/>
  <c r="J484" i="3"/>
  <c r="J483" i="3"/>
  <c r="J482" i="3"/>
  <c r="J481" i="3"/>
  <c r="J480" i="3"/>
  <c r="J479" i="3"/>
  <c r="J478" i="3"/>
  <c r="J477" i="3" l="1"/>
  <c r="J476" i="3"/>
  <c r="J475" i="3"/>
  <c r="J474" i="3"/>
  <c r="J473" i="3" l="1"/>
  <c r="C473" i="3"/>
  <c r="C474" i="3" s="1"/>
  <c r="P472" i="3"/>
  <c r="N472" i="3"/>
  <c r="K476" i="7" s="1"/>
  <c r="K472" i="3"/>
  <c r="J472" i="3"/>
  <c r="I472" i="3"/>
  <c r="G472" i="3" s="1"/>
  <c r="P471" i="3"/>
  <c r="N471" i="3"/>
  <c r="K475" i="7" s="1"/>
  <c r="K471" i="3"/>
  <c r="J471" i="3"/>
  <c r="I471" i="3"/>
  <c r="G471" i="3" s="1"/>
  <c r="N473" i="3" l="1"/>
  <c r="K477" i="7" s="1"/>
  <c r="C475" i="3"/>
  <c r="P474" i="3"/>
  <c r="I474" i="3"/>
  <c r="G474" i="3" s="1"/>
  <c r="N474" i="3"/>
  <c r="K478" i="7" s="1"/>
  <c r="K474" i="3"/>
  <c r="I473" i="3"/>
  <c r="G473" i="3" s="1"/>
  <c r="K473" i="3"/>
  <c r="P473" i="3"/>
  <c r="J470" i="3"/>
  <c r="J469" i="3"/>
  <c r="J468" i="3"/>
  <c r="P475" i="3" l="1"/>
  <c r="N475" i="3"/>
  <c r="K479" i="7" s="1"/>
  <c r="C476" i="3"/>
  <c r="K475" i="3"/>
  <c r="I475" i="3"/>
  <c r="G475" i="3" s="1"/>
  <c r="J467" i="3"/>
  <c r="C477" i="3" l="1"/>
  <c r="P476" i="3"/>
  <c r="N476" i="3"/>
  <c r="K480" i="7" s="1"/>
  <c r="K476" i="3"/>
  <c r="I476" i="3"/>
  <c r="G476" i="3" s="1"/>
  <c r="K10" i="1"/>
  <c r="C478" i="3" l="1"/>
  <c r="C479" i="3" s="1"/>
  <c r="C480" i="3" s="1"/>
  <c r="C481" i="3" s="1"/>
  <c r="P477" i="3"/>
  <c r="N477" i="3"/>
  <c r="K481" i="7" s="1"/>
  <c r="K477" i="3"/>
  <c r="I477" i="3"/>
  <c r="G477" i="3" s="1"/>
  <c r="J466" i="3"/>
  <c r="J465" i="3"/>
  <c r="J464" i="3"/>
  <c r="J463" i="3"/>
  <c r="J462" i="3"/>
  <c r="J461" i="3"/>
  <c r="N481" i="3" l="1"/>
  <c r="K485" i="7" s="1"/>
  <c r="P481" i="3"/>
  <c r="C482" i="3"/>
  <c r="K481" i="3"/>
  <c r="I481" i="3"/>
  <c r="G481" i="3" s="1"/>
  <c r="N478" i="3"/>
  <c r="K482" i="7" s="1"/>
  <c r="K478" i="3"/>
  <c r="P478" i="3"/>
  <c r="I478" i="3"/>
  <c r="G478" i="3" s="1"/>
  <c r="B463" i="7"/>
  <c r="C483" i="3" l="1"/>
  <c r="I482" i="3"/>
  <c r="G482" i="3" s="1"/>
  <c r="P482" i="3"/>
  <c r="N482" i="3"/>
  <c r="K486" i="7" s="1"/>
  <c r="K482" i="3"/>
  <c r="R463" i="7"/>
  <c r="B464" i="7"/>
  <c r="N479" i="3"/>
  <c r="K483" i="7" s="1"/>
  <c r="K479" i="3"/>
  <c r="I479" i="3"/>
  <c r="G479" i="3" s="1"/>
  <c r="P479" i="3"/>
  <c r="F457" i="3"/>
  <c r="P483" i="3" l="1"/>
  <c r="N483" i="3"/>
  <c r="K487" i="7" s="1"/>
  <c r="K483" i="3"/>
  <c r="I483" i="3"/>
  <c r="G483" i="3" s="1"/>
  <c r="C484" i="3"/>
  <c r="P480" i="3"/>
  <c r="N480" i="3"/>
  <c r="K484" i="7" s="1"/>
  <c r="I480" i="3"/>
  <c r="G480" i="3" s="1"/>
  <c r="K480" i="3"/>
  <c r="R464" i="7"/>
  <c r="B465" i="7"/>
  <c r="F456" i="3"/>
  <c r="F455" i="3"/>
  <c r="C485" i="3" l="1"/>
  <c r="P484" i="3"/>
  <c r="N484" i="3"/>
  <c r="K488" i="7" s="1"/>
  <c r="K484" i="3"/>
  <c r="I484" i="3"/>
  <c r="G484" i="3" s="1"/>
  <c r="R465" i="7"/>
  <c r="B466" i="7"/>
  <c r="F454" i="3"/>
  <c r="F453" i="3"/>
  <c r="I485" i="3" l="1"/>
  <c r="G485" i="3" s="1"/>
  <c r="C486" i="3"/>
  <c r="P485" i="3"/>
  <c r="N485" i="3"/>
  <c r="K489" i="7" s="1"/>
  <c r="K485" i="3"/>
  <c r="R466" i="7"/>
  <c r="B467" i="7"/>
  <c r="F452" i="3"/>
  <c r="K486" i="3" l="1"/>
  <c r="I486" i="3"/>
  <c r="G486" i="3" s="1"/>
  <c r="C487" i="3"/>
  <c r="N486" i="3"/>
  <c r="K490" i="7" s="1"/>
  <c r="P486" i="3"/>
  <c r="R467" i="7"/>
  <c r="B468" i="7"/>
  <c r="J451" i="3"/>
  <c r="J452" i="3" s="1"/>
  <c r="J453" i="3" s="1"/>
  <c r="J454" i="3" s="1"/>
  <c r="J455" i="3" s="1"/>
  <c r="J456" i="3" s="1"/>
  <c r="J457" i="3" s="1"/>
  <c r="J458" i="3" s="1"/>
  <c r="J459" i="3" s="1"/>
  <c r="J460" i="3" s="1"/>
  <c r="F451" i="3"/>
  <c r="F450" i="3"/>
  <c r="F449" i="3"/>
  <c r="F448" i="3"/>
  <c r="N487" i="3" l="1"/>
  <c r="K491" i="7" s="1"/>
  <c r="K487" i="3"/>
  <c r="I487" i="3"/>
  <c r="G487" i="3" s="1"/>
  <c r="C488" i="3"/>
  <c r="P487" i="3"/>
  <c r="R468" i="7"/>
  <c r="B469" i="7"/>
  <c r="F447" i="3"/>
  <c r="P488" i="3" l="1"/>
  <c r="N488" i="3"/>
  <c r="K492" i="7" s="1"/>
  <c r="K488" i="3"/>
  <c r="I488" i="3"/>
  <c r="G488" i="3" s="1"/>
  <c r="C489" i="3"/>
  <c r="R469" i="7"/>
  <c r="B470" i="7"/>
  <c r="F446" i="3"/>
  <c r="P489" i="3" l="1"/>
  <c r="I489" i="3"/>
  <c r="G489" i="3" s="1"/>
  <c r="C490" i="3"/>
  <c r="N489" i="3"/>
  <c r="K493" i="7" s="1"/>
  <c r="K489" i="3"/>
  <c r="B471" i="7"/>
  <c r="R470" i="7"/>
  <c r="F445" i="3"/>
  <c r="F444" i="3"/>
  <c r="F443" i="3"/>
  <c r="F442" i="3"/>
  <c r="F441" i="3"/>
  <c r="F440" i="3"/>
  <c r="F439" i="3"/>
  <c r="F438" i="3"/>
  <c r="K490" i="3" l="1"/>
  <c r="C491" i="3"/>
  <c r="P490" i="3"/>
  <c r="N490" i="3"/>
  <c r="K494" i="7" s="1"/>
  <c r="I490" i="3"/>
  <c r="G490" i="3" s="1"/>
  <c r="R471" i="7"/>
  <c r="B472" i="7"/>
  <c r="F437" i="3"/>
  <c r="F436" i="3"/>
  <c r="F435" i="3"/>
  <c r="F434" i="3"/>
  <c r="F433" i="3"/>
  <c r="P491" i="3" l="1"/>
  <c r="K491" i="3"/>
  <c r="I491" i="3"/>
  <c r="G491" i="3" s="1"/>
  <c r="C492" i="3"/>
  <c r="N491" i="3"/>
  <c r="K495" i="7" s="1"/>
  <c r="R472" i="7"/>
  <c r="B473" i="7"/>
  <c r="F432" i="3"/>
  <c r="K8" i="1"/>
  <c r="J431" i="3"/>
  <c r="J432" i="3" s="1"/>
  <c r="J433" i="3" s="1"/>
  <c r="J434" i="3" s="1"/>
  <c r="J435" i="3" s="1"/>
  <c r="J436" i="3" s="1"/>
  <c r="J437" i="3" s="1"/>
  <c r="J438" i="3" s="1"/>
  <c r="J439" i="3" s="1"/>
  <c r="J440" i="3" s="1"/>
  <c r="J441" i="3" s="1"/>
  <c r="J442" i="3" s="1"/>
  <c r="J443" i="3" s="1"/>
  <c r="J444" i="3" s="1"/>
  <c r="J445" i="3" s="1"/>
  <c r="J446" i="3" s="1"/>
  <c r="J447" i="3" s="1"/>
  <c r="J448" i="3" s="1"/>
  <c r="J449" i="3" s="1"/>
  <c r="J450" i="3" s="1"/>
  <c r="F431" i="3"/>
  <c r="K16" i="1"/>
  <c r="K15" i="1"/>
  <c r="K14" i="1"/>
  <c r="K13" i="1"/>
  <c r="P492" i="3" l="1"/>
  <c r="K492" i="3"/>
  <c r="N492" i="3"/>
  <c r="K496" i="7" s="1"/>
  <c r="I492" i="3"/>
  <c r="G492" i="3" s="1"/>
  <c r="C493" i="3"/>
  <c r="R473" i="7"/>
  <c r="B474" i="7"/>
  <c r="P430" i="3"/>
  <c r="N430" i="3"/>
  <c r="K430" i="3"/>
  <c r="I430" i="3"/>
  <c r="G430" i="3" s="1"/>
  <c r="F430" i="3"/>
  <c r="C431" i="3"/>
  <c r="K12" i="1"/>
  <c r="N493" i="3" l="1"/>
  <c r="K497" i="7" s="1"/>
  <c r="I493" i="3"/>
  <c r="G493" i="3" s="1"/>
  <c r="C494" i="3"/>
  <c r="P493" i="3"/>
  <c r="K493" i="3"/>
  <c r="B475" i="7"/>
  <c r="R474" i="7"/>
  <c r="I431" i="3"/>
  <c r="G431" i="3" s="1"/>
  <c r="C432" i="3"/>
  <c r="P431" i="3"/>
  <c r="N431" i="3"/>
  <c r="P429" i="3"/>
  <c r="N429" i="3"/>
  <c r="K429" i="3"/>
  <c r="I429" i="3"/>
  <c r="G429" i="3" s="1"/>
  <c r="F429" i="3"/>
  <c r="K494" i="3" l="1"/>
  <c r="P494" i="3"/>
  <c r="N494" i="3"/>
  <c r="K498" i="7" s="1"/>
  <c r="I494" i="3"/>
  <c r="G494" i="3" s="1"/>
  <c r="C495" i="3"/>
  <c r="R475" i="7"/>
  <c r="B476" i="7"/>
  <c r="C433" i="3"/>
  <c r="P432" i="3"/>
  <c r="N432" i="3"/>
  <c r="I432" i="3"/>
  <c r="G432" i="3" s="1"/>
  <c r="F428" i="3"/>
  <c r="F427" i="3"/>
  <c r="F426" i="3"/>
  <c r="F425" i="3"/>
  <c r="F424" i="3"/>
  <c r="F423" i="3"/>
  <c r="F422" i="3"/>
  <c r="F421" i="3"/>
  <c r="P420" i="3"/>
  <c r="N420" i="3"/>
  <c r="K420" i="3"/>
  <c r="I420" i="3"/>
  <c r="G420" i="3" s="1"/>
  <c r="F420" i="3"/>
  <c r="C421" i="3"/>
  <c r="P421" i="3" s="1"/>
  <c r="I419" i="3"/>
  <c r="G419" i="3" s="1"/>
  <c r="P419" i="3"/>
  <c r="N419" i="3"/>
  <c r="K419" i="3"/>
  <c r="F419" i="3"/>
  <c r="F418" i="3"/>
  <c r="F417" i="3"/>
  <c r="F416" i="3"/>
  <c r="F415" i="3"/>
  <c r="F414" i="3"/>
  <c r="F413" i="3"/>
  <c r="P369" i="3"/>
  <c r="P368" i="3"/>
  <c r="P367" i="3"/>
  <c r="P366" i="3"/>
  <c r="P365" i="3"/>
  <c r="P364" i="3"/>
  <c r="P363" i="3"/>
  <c r="P362" i="3"/>
  <c r="P361" i="3"/>
  <c r="P360" i="3"/>
  <c r="P359" i="3"/>
  <c r="P358" i="3"/>
  <c r="P357" i="3"/>
  <c r="P356" i="3"/>
  <c r="P355" i="3"/>
  <c r="P354" i="3"/>
  <c r="P353" i="3"/>
  <c r="P352" i="3"/>
  <c r="P351" i="3"/>
  <c r="P350" i="3"/>
  <c r="P349" i="3"/>
  <c r="P348" i="3"/>
  <c r="P347" i="3"/>
  <c r="P346" i="3"/>
  <c r="P345" i="3"/>
  <c r="P344" i="3"/>
  <c r="P343" i="3"/>
  <c r="P342" i="3"/>
  <c r="P341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P322" i="3"/>
  <c r="P321" i="3"/>
  <c r="P320" i="3"/>
  <c r="P319" i="3"/>
  <c r="P318" i="3"/>
  <c r="P317" i="3"/>
  <c r="P316" i="3"/>
  <c r="P315" i="3"/>
  <c r="P314" i="3"/>
  <c r="P313" i="3"/>
  <c r="P312" i="3"/>
  <c r="P311" i="3"/>
  <c r="P310" i="3"/>
  <c r="P309" i="3"/>
  <c r="P308" i="3"/>
  <c r="P307" i="3"/>
  <c r="P306" i="3"/>
  <c r="P305" i="3"/>
  <c r="P304" i="3"/>
  <c r="P303" i="3"/>
  <c r="P302" i="3"/>
  <c r="P301" i="3"/>
  <c r="P300" i="3"/>
  <c r="P299" i="3"/>
  <c r="P298" i="3"/>
  <c r="P297" i="3"/>
  <c r="P296" i="3"/>
  <c r="P295" i="3"/>
  <c r="P294" i="3"/>
  <c r="P293" i="3"/>
  <c r="P292" i="3"/>
  <c r="P291" i="3"/>
  <c r="P290" i="3"/>
  <c r="P289" i="3"/>
  <c r="P288" i="3"/>
  <c r="P287" i="3"/>
  <c r="P286" i="3"/>
  <c r="P285" i="3"/>
  <c r="P284" i="3"/>
  <c r="P283" i="3"/>
  <c r="P282" i="3"/>
  <c r="P281" i="3"/>
  <c r="P280" i="3"/>
  <c r="P279" i="3"/>
  <c r="P278" i="3"/>
  <c r="P277" i="3"/>
  <c r="P276" i="3"/>
  <c r="P275" i="3"/>
  <c r="P274" i="3"/>
  <c r="P273" i="3"/>
  <c r="P272" i="3"/>
  <c r="P271" i="3"/>
  <c r="P270" i="3"/>
  <c r="P269" i="3"/>
  <c r="P268" i="3"/>
  <c r="P267" i="3"/>
  <c r="P266" i="3"/>
  <c r="P265" i="3"/>
  <c r="P264" i="3"/>
  <c r="P263" i="3"/>
  <c r="P262" i="3"/>
  <c r="P261" i="3"/>
  <c r="P260" i="3"/>
  <c r="P259" i="3"/>
  <c r="P258" i="3"/>
  <c r="P257" i="3"/>
  <c r="P256" i="3"/>
  <c r="P255" i="3"/>
  <c r="P254" i="3"/>
  <c r="P253" i="3"/>
  <c r="P252" i="3"/>
  <c r="P249" i="3"/>
  <c r="P248" i="3"/>
  <c r="P247" i="3"/>
  <c r="P246" i="3"/>
  <c r="P245" i="3"/>
  <c r="P244" i="3"/>
  <c r="P243" i="3"/>
  <c r="P239" i="3"/>
  <c r="P238" i="3"/>
  <c r="P237" i="3"/>
  <c r="P236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F412" i="3"/>
  <c r="F411" i="3"/>
  <c r="I495" i="3" l="1"/>
  <c r="G495" i="3" s="1"/>
  <c r="C496" i="3"/>
  <c r="P495" i="3"/>
  <c r="N495" i="3"/>
  <c r="K499" i="7" s="1"/>
  <c r="K495" i="3"/>
  <c r="I421" i="3"/>
  <c r="G421" i="3" s="1"/>
  <c r="R476" i="7"/>
  <c r="B477" i="7"/>
  <c r="B478" i="7" s="1"/>
  <c r="R478" i="7" s="1"/>
  <c r="C422" i="3"/>
  <c r="N422" i="3" s="1"/>
  <c r="K421" i="3"/>
  <c r="N421" i="3"/>
  <c r="C434" i="3"/>
  <c r="I433" i="3"/>
  <c r="G433" i="3" s="1"/>
  <c r="P433" i="3"/>
  <c r="N433" i="3"/>
  <c r="J410" i="3"/>
  <c r="J411" i="3" s="1"/>
  <c r="J412" i="3" s="1"/>
  <c r="J413" i="3" s="1"/>
  <c r="J414" i="3" s="1"/>
  <c r="J415" i="3" s="1"/>
  <c r="J416" i="3" s="1"/>
  <c r="J417" i="3" s="1"/>
  <c r="J418" i="3" s="1"/>
  <c r="J419" i="3" s="1"/>
  <c r="J420" i="3" s="1"/>
  <c r="J421" i="3" s="1"/>
  <c r="J422" i="3" s="1"/>
  <c r="J423" i="3" s="1"/>
  <c r="J424" i="3" s="1"/>
  <c r="J425" i="3" s="1"/>
  <c r="J426" i="3" s="1"/>
  <c r="J427" i="3" s="1"/>
  <c r="J428" i="3" s="1"/>
  <c r="J429" i="3" s="1"/>
  <c r="J430" i="3" s="1"/>
  <c r="K431" i="3" s="1"/>
  <c r="K432" i="3" s="1"/>
  <c r="K433" i="3" s="1"/>
  <c r="F410" i="3"/>
  <c r="F409" i="3"/>
  <c r="F408" i="3"/>
  <c r="P422" i="3" l="1"/>
  <c r="P496" i="3"/>
  <c r="N496" i="3"/>
  <c r="K500" i="7" s="1"/>
  <c r="K496" i="3"/>
  <c r="I496" i="3"/>
  <c r="G496" i="3" s="1"/>
  <c r="C497" i="3"/>
  <c r="B479" i="7"/>
  <c r="R479" i="7" s="1"/>
  <c r="K422" i="3"/>
  <c r="I422" i="3"/>
  <c r="G422" i="3" s="1"/>
  <c r="C423" i="3"/>
  <c r="P423" i="3" s="1"/>
  <c r="C435" i="3"/>
  <c r="P434" i="3"/>
  <c r="N434" i="3"/>
  <c r="K434" i="3"/>
  <c r="I434" i="3"/>
  <c r="G434" i="3" s="1"/>
  <c r="K423" i="3"/>
  <c r="F407" i="3"/>
  <c r="F406" i="3"/>
  <c r="F405" i="3"/>
  <c r="F404" i="3"/>
  <c r="F403" i="3"/>
  <c r="C498" i="3" l="1"/>
  <c r="K497" i="3"/>
  <c r="P497" i="3"/>
  <c r="N497" i="3"/>
  <c r="K501" i="7" s="1"/>
  <c r="I497" i="3"/>
  <c r="G497" i="3" s="1"/>
  <c r="I423" i="3"/>
  <c r="G423" i="3" s="1"/>
  <c r="C424" i="3"/>
  <c r="P424" i="3" s="1"/>
  <c r="N423" i="3"/>
  <c r="B480" i="7"/>
  <c r="R480" i="7" s="1"/>
  <c r="P435" i="3"/>
  <c r="N435" i="3"/>
  <c r="I435" i="3"/>
  <c r="G435" i="3" s="1"/>
  <c r="C436" i="3"/>
  <c r="K435" i="3"/>
  <c r="F402" i="3"/>
  <c r="F401" i="3"/>
  <c r="F400" i="3"/>
  <c r="F399" i="3"/>
  <c r="F398" i="3"/>
  <c r="F397" i="3"/>
  <c r="F396" i="3"/>
  <c r="F395" i="3"/>
  <c r="F394" i="3"/>
  <c r="F393" i="3"/>
  <c r="N498" i="3" l="1"/>
  <c r="K502" i="7" s="1"/>
  <c r="K498" i="3"/>
  <c r="I498" i="3"/>
  <c r="G498" i="3" s="1"/>
  <c r="C499" i="3"/>
  <c r="P498" i="3"/>
  <c r="I424" i="3"/>
  <c r="G424" i="3" s="1"/>
  <c r="B481" i="7"/>
  <c r="R481" i="7" s="1"/>
  <c r="C425" i="3"/>
  <c r="K425" i="3" s="1"/>
  <c r="N424" i="3"/>
  <c r="K424" i="3"/>
  <c r="I436" i="3"/>
  <c r="G436" i="3" s="1"/>
  <c r="N436" i="3"/>
  <c r="K436" i="3"/>
  <c r="C437" i="3"/>
  <c r="P436" i="3"/>
  <c r="F392" i="3"/>
  <c r="F391" i="3"/>
  <c r="J390" i="3"/>
  <c r="J391" i="3" s="1"/>
  <c r="J392" i="3" s="1"/>
  <c r="J393" i="3" s="1"/>
  <c r="J394" i="3" s="1"/>
  <c r="J395" i="3" s="1"/>
  <c r="J396" i="3" s="1"/>
  <c r="J397" i="3" s="1"/>
  <c r="J398" i="3" s="1"/>
  <c r="J399" i="3" s="1"/>
  <c r="J400" i="3" s="1"/>
  <c r="J401" i="3" s="1"/>
  <c r="J402" i="3" s="1"/>
  <c r="J403" i="3" s="1"/>
  <c r="J404" i="3" s="1"/>
  <c r="J405" i="3" s="1"/>
  <c r="J406" i="3" s="1"/>
  <c r="J407" i="3" s="1"/>
  <c r="J408" i="3" s="1"/>
  <c r="J409" i="3" s="1"/>
  <c r="F390" i="3"/>
  <c r="J389" i="3"/>
  <c r="F389" i="3"/>
  <c r="J388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C370" i="3"/>
  <c r="P370" i="3" s="1"/>
  <c r="N369" i="3"/>
  <c r="I369" i="3"/>
  <c r="G369" i="3" s="1"/>
  <c r="J369" i="3"/>
  <c r="J370" i="3" s="1"/>
  <c r="J371" i="3" s="1"/>
  <c r="J372" i="3" s="1"/>
  <c r="J373" i="3" s="1"/>
  <c r="J374" i="3" s="1"/>
  <c r="J375" i="3" s="1"/>
  <c r="J376" i="3" s="1"/>
  <c r="J377" i="3" s="1"/>
  <c r="J378" i="3" s="1"/>
  <c r="J379" i="3" s="1"/>
  <c r="J380" i="3" s="1"/>
  <c r="J381" i="3" s="1"/>
  <c r="J382" i="3" s="1"/>
  <c r="J383" i="3" s="1"/>
  <c r="J384" i="3" s="1"/>
  <c r="J385" i="3" s="1"/>
  <c r="J386" i="3" s="1"/>
  <c r="J387" i="3" s="1"/>
  <c r="F369" i="3"/>
  <c r="J368" i="3"/>
  <c r="N368" i="3"/>
  <c r="I368" i="3"/>
  <c r="G368" i="3" s="1"/>
  <c r="F368" i="3"/>
  <c r="N367" i="3"/>
  <c r="K367" i="3"/>
  <c r="I367" i="3"/>
  <c r="G367" i="3" s="1"/>
  <c r="F367" i="3"/>
  <c r="N366" i="3"/>
  <c r="K366" i="3"/>
  <c r="I366" i="3"/>
  <c r="G366" i="3" s="1"/>
  <c r="F366" i="3"/>
  <c r="N365" i="3"/>
  <c r="K365" i="3"/>
  <c r="I365" i="3"/>
  <c r="G365" i="3" s="1"/>
  <c r="F365" i="3"/>
  <c r="N364" i="3"/>
  <c r="K364" i="3"/>
  <c r="I364" i="3"/>
  <c r="G364" i="3" s="1"/>
  <c r="F364" i="3"/>
  <c r="N363" i="3"/>
  <c r="K363" i="3"/>
  <c r="I363" i="3"/>
  <c r="G363" i="3" s="1"/>
  <c r="F363" i="3"/>
  <c r="N362" i="3"/>
  <c r="K362" i="3"/>
  <c r="I362" i="3"/>
  <c r="G362" i="3" s="1"/>
  <c r="F362" i="3"/>
  <c r="N361" i="3"/>
  <c r="K361" i="3"/>
  <c r="I361" i="3"/>
  <c r="G361" i="3" s="1"/>
  <c r="F361" i="3"/>
  <c r="N360" i="3"/>
  <c r="K360" i="3"/>
  <c r="I360" i="3"/>
  <c r="G360" i="3" s="1"/>
  <c r="F360" i="3"/>
  <c r="N359" i="3"/>
  <c r="K359" i="3"/>
  <c r="I359" i="3"/>
  <c r="G359" i="3" s="1"/>
  <c r="F359" i="3"/>
  <c r="N358" i="3"/>
  <c r="K358" i="3"/>
  <c r="I358" i="3"/>
  <c r="G358" i="3" s="1"/>
  <c r="F358" i="3"/>
  <c r="N357" i="3"/>
  <c r="K357" i="3"/>
  <c r="I357" i="3"/>
  <c r="G357" i="3" s="1"/>
  <c r="F357" i="3"/>
  <c r="N356" i="3"/>
  <c r="K356" i="3"/>
  <c r="I356" i="3"/>
  <c r="G356" i="3" s="1"/>
  <c r="F356" i="3"/>
  <c r="P499" i="3" l="1"/>
  <c r="N499" i="3"/>
  <c r="K503" i="7" s="1"/>
  <c r="K499" i="3"/>
  <c r="I499" i="3"/>
  <c r="G499" i="3" s="1"/>
  <c r="C500" i="3"/>
  <c r="P425" i="3"/>
  <c r="N425" i="3"/>
  <c r="C426" i="3"/>
  <c r="C427" i="3" s="1"/>
  <c r="I425" i="3"/>
  <c r="G425" i="3" s="1"/>
  <c r="B482" i="7"/>
  <c r="R482" i="7" s="1"/>
  <c r="C371" i="3"/>
  <c r="P437" i="3"/>
  <c r="I437" i="3"/>
  <c r="G437" i="3" s="1"/>
  <c r="N437" i="3"/>
  <c r="K437" i="3"/>
  <c r="C438" i="3"/>
  <c r="N370" i="3"/>
  <c r="N355" i="3"/>
  <c r="K355" i="3"/>
  <c r="I355" i="3"/>
  <c r="G355" i="3" s="1"/>
  <c r="F355" i="3"/>
  <c r="N354" i="3"/>
  <c r="K354" i="3"/>
  <c r="I354" i="3"/>
  <c r="G354" i="3" s="1"/>
  <c r="F354" i="3"/>
  <c r="B1" i="11"/>
  <c r="N353" i="3"/>
  <c r="K353" i="3"/>
  <c r="I353" i="3"/>
  <c r="G353" i="3" s="1"/>
  <c r="F353" i="3"/>
  <c r="N352" i="3"/>
  <c r="I352" i="3"/>
  <c r="G352" i="3" s="1"/>
  <c r="F352" i="3"/>
  <c r="N351" i="3"/>
  <c r="I351" i="3"/>
  <c r="G351" i="3" s="1"/>
  <c r="F351" i="3"/>
  <c r="N500" i="3" l="1"/>
  <c r="K504" i="7" s="1"/>
  <c r="K500" i="3"/>
  <c r="I500" i="3"/>
  <c r="G500" i="3" s="1"/>
  <c r="C501" i="3"/>
  <c r="P500" i="3"/>
  <c r="I426" i="3"/>
  <c r="G426" i="3" s="1"/>
  <c r="N426" i="3"/>
  <c r="P426" i="3"/>
  <c r="K426" i="3"/>
  <c r="B483" i="7"/>
  <c r="I438" i="3"/>
  <c r="G438" i="3" s="1"/>
  <c r="K438" i="3"/>
  <c r="P438" i="3"/>
  <c r="N438" i="3"/>
  <c r="C439" i="3"/>
  <c r="P371" i="3"/>
  <c r="C372" i="3"/>
  <c r="N371" i="3"/>
  <c r="I371" i="3"/>
  <c r="G371" i="3" s="1"/>
  <c r="P427" i="3"/>
  <c r="N427" i="3"/>
  <c r="K427" i="3"/>
  <c r="I427" i="3"/>
  <c r="G427" i="3" s="1"/>
  <c r="C428" i="3"/>
  <c r="N350" i="3"/>
  <c r="I350" i="3"/>
  <c r="G350" i="3" s="1"/>
  <c r="F350" i="3"/>
  <c r="P501" i="3" l="1"/>
  <c r="N501" i="3"/>
  <c r="K505" i="7" s="1"/>
  <c r="K501" i="3"/>
  <c r="I501" i="3"/>
  <c r="G501" i="3" s="1"/>
  <c r="C502" i="3"/>
  <c r="B484" i="7"/>
  <c r="R483" i="7"/>
  <c r="P372" i="3"/>
  <c r="N372" i="3"/>
  <c r="K372" i="3"/>
  <c r="I372" i="3"/>
  <c r="G372" i="3" s="1"/>
  <c r="C373" i="3"/>
  <c r="P439" i="3"/>
  <c r="K439" i="3"/>
  <c r="N439" i="3"/>
  <c r="I439" i="3"/>
  <c r="G439" i="3" s="1"/>
  <c r="C440" i="3"/>
  <c r="I428" i="3"/>
  <c r="G428" i="3" s="1"/>
  <c r="P428" i="3"/>
  <c r="K428" i="3"/>
  <c r="N428" i="3"/>
  <c r="J349" i="3"/>
  <c r="J350" i="3" s="1"/>
  <c r="J351" i="3" s="1"/>
  <c r="J352" i="3" s="1"/>
  <c r="J353" i="3" s="1"/>
  <c r="J354" i="3" s="1"/>
  <c r="J355" i="3" s="1"/>
  <c r="J356" i="3" s="1"/>
  <c r="J357" i="3" s="1"/>
  <c r="J358" i="3" s="1"/>
  <c r="J359" i="3" s="1"/>
  <c r="J360" i="3" s="1"/>
  <c r="J361" i="3" s="1"/>
  <c r="J362" i="3" s="1"/>
  <c r="J363" i="3" s="1"/>
  <c r="J364" i="3" s="1"/>
  <c r="J365" i="3" s="1"/>
  <c r="J366" i="3" s="1"/>
  <c r="J367" i="3" s="1"/>
  <c r="K368" i="3" s="1"/>
  <c r="K369" i="3" s="1"/>
  <c r="K370" i="3" s="1"/>
  <c r="K371" i="3" s="1"/>
  <c r="N349" i="3"/>
  <c r="I349" i="3"/>
  <c r="G349" i="3" s="1"/>
  <c r="F349" i="3"/>
  <c r="N502" i="3" l="1"/>
  <c r="K506" i="7" s="1"/>
  <c r="K502" i="3"/>
  <c r="C503" i="3"/>
  <c r="P502" i="3"/>
  <c r="I502" i="3"/>
  <c r="G502" i="3" s="1"/>
  <c r="R484" i="7"/>
  <c r="B485" i="7"/>
  <c r="K440" i="3"/>
  <c r="C441" i="3"/>
  <c r="P440" i="3"/>
  <c r="N440" i="3"/>
  <c r="I440" i="3"/>
  <c r="G440" i="3" s="1"/>
  <c r="P373" i="3"/>
  <c r="C374" i="3"/>
  <c r="K373" i="3"/>
  <c r="N373" i="3"/>
  <c r="I373" i="3"/>
  <c r="G373" i="3" s="1"/>
  <c r="N348" i="3"/>
  <c r="K348" i="3"/>
  <c r="F348" i="3"/>
  <c r="B486" i="7" l="1"/>
  <c r="R485" i="7"/>
  <c r="I503" i="3"/>
  <c r="G503" i="3" s="1"/>
  <c r="C504" i="3"/>
  <c r="P503" i="3"/>
  <c r="N503" i="3"/>
  <c r="K507" i="7" s="1"/>
  <c r="K503" i="3"/>
  <c r="P374" i="3"/>
  <c r="N374" i="3"/>
  <c r="K374" i="3"/>
  <c r="I374" i="3"/>
  <c r="G374" i="3" s="1"/>
  <c r="C375" i="3"/>
  <c r="C442" i="3"/>
  <c r="N441" i="3"/>
  <c r="I441" i="3"/>
  <c r="G441" i="3" s="1"/>
  <c r="P441" i="3"/>
  <c r="K441" i="3"/>
  <c r="K20" i="1" a="1"/>
  <c r="K20" i="1" s="1"/>
  <c r="K504" i="3" l="1"/>
  <c r="I504" i="3"/>
  <c r="G504" i="3" s="1"/>
  <c r="P504" i="3"/>
  <c r="N504" i="3"/>
  <c r="K508" i="7" s="1"/>
  <c r="C505" i="3"/>
  <c r="B487" i="7"/>
  <c r="R486" i="7"/>
  <c r="P442" i="3"/>
  <c r="K442" i="3"/>
  <c r="I442" i="3"/>
  <c r="G442" i="3" s="1"/>
  <c r="N442" i="3"/>
  <c r="C443" i="3"/>
  <c r="P375" i="3"/>
  <c r="C376" i="3"/>
  <c r="K375" i="3"/>
  <c r="N375" i="3"/>
  <c r="I375" i="3"/>
  <c r="G375" i="3" s="1"/>
  <c r="N347" i="3"/>
  <c r="K347" i="3"/>
  <c r="I347" i="3"/>
  <c r="G347" i="3" s="1"/>
  <c r="F347" i="3"/>
  <c r="N346" i="3"/>
  <c r="K346" i="3"/>
  <c r="I346" i="3"/>
  <c r="G346" i="3" s="1"/>
  <c r="F346" i="3"/>
  <c r="N345" i="3"/>
  <c r="K345" i="3"/>
  <c r="I345" i="3"/>
  <c r="G345" i="3" s="1"/>
  <c r="F345" i="3"/>
  <c r="N505" i="3" l="1"/>
  <c r="K509" i="7" s="1"/>
  <c r="C506" i="3"/>
  <c r="P505" i="3"/>
  <c r="K505" i="3"/>
  <c r="I505" i="3"/>
  <c r="G505" i="3" s="1"/>
  <c r="B488" i="7"/>
  <c r="R487" i="7"/>
  <c r="P376" i="3"/>
  <c r="N376" i="3"/>
  <c r="K376" i="3"/>
  <c r="I376" i="3"/>
  <c r="G376" i="3" s="1"/>
  <c r="C377" i="3"/>
  <c r="N443" i="3"/>
  <c r="K443" i="3"/>
  <c r="I443" i="3"/>
  <c r="G443" i="3" s="1"/>
  <c r="P443" i="3"/>
  <c r="C444" i="3"/>
  <c r="N344" i="3"/>
  <c r="K344" i="3"/>
  <c r="I344" i="3"/>
  <c r="G344" i="3" s="1"/>
  <c r="F344" i="3"/>
  <c r="N343" i="3"/>
  <c r="K343" i="3"/>
  <c r="I343" i="3"/>
  <c r="G343" i="3" s="1"/>
  <c r="F343" i="3"/>
  <c r="R488" i="7" l="1"/>
  <c r="B489" i="7"/>
  <c r="P506" i="3"/>
  <c r="K506" i="3"/>
  <c r="I506" i="3"/>
  <c r="G506" i="3" s="1"/>
  <c r="C507" i="3"/>
  <c r="N506" i="3"/>
  <c r="K510" i="7" s="1"/>
  <c r="I444" i="3"/>
  <c r="G444" i="3" s="1"/>
  <c r="C445" i="3"/>
  <c r="P444" i="3"/>
  <c r="K444" i="3"/>
  <c r="N444" i="3"/>
  <c r="P377" i="3"/>
  <c r="C378" i="3"/>
  <c r="N377" i="3"/>
  <c r="K377" i="3"/>
  <c r="I377" i="3"/>
  <c r="G377" i="3" s="1"/>
  <c r="N342" i="3"/>
  <c r="K342" i="3"/>
  <c r="I342" i="3"/>
  <c r="G342" i="3" s="1"/>
  <c r="F342" i="3"/>
  <c r="N341" i="3"/>
  <c r="K341" i="3"/>
  <c r="I341" i="3"/>
  <c r="G341" i="3" s="1"/>
  <c r="F341" i="3"/>
  <c r="P507" i="3" l="1"/>
  <c r="C508" i="3"/>
  <c r="N507" i="3"/>
  <c r="K511" i="7" s="1"/>
  <c r="K507" i="3"/>
  <c r="I507" i="3"/>
  <c r="G507" i="3" s="1"/>
  <c r="R489" i="7"/>
  <c r="B490" i="7"/>
  <c r="P378" i="3"/>
  <c r="N378" i="3"/>
  <c r="K378" i="3"/>
  <c r="I378" i="3"/>
  <c r="G378" i="3" s="1"/>
  <c r="C379" i="3"/>
  <c r="C446" i="3"/>
  <c r="P445" i="3"/>
  <c r="I445" i="3"/>
  <c r="G445" i="3" s="1"/>
  <c r="N445" i="3"/>
  <c r="K445" i="3"/>
  <c r="N340" i="3"/>
  <c r="K340" i="3"/>
  <c r="I340" i="3"/>
  <c r="G340" i="3" s="1"/>
  <c r="F340" i="3"/>
  <c r="N339" i="3"/>
  <c r="K339" i="3"/>
  <c r="I339" i="3"/>
  <c r="G339" i="3" s="1"/>
  <c r="F339" i="3"/>
  <c r="N338" i="3"/>
  <c r="K338" i="3"/>
  <c r="I338" i="3"/>
  <c r="G338" i="3" s="1"/>
  <c r="F338" i="3"/>
  <c r="N337" i="3"/>
  <c r="K337" i="3"/>
  <c r="I337" i="3"/>
  <c r="G337" i="3" s="1"/>
  <c r="F337" i="3"/>
  <c r="P508" i="3" l="1"/>
  <c r="K508" i="3"/>
  <c r="I508" i="3"/>
  <c r="G508" i="3" s="1"/>
  <c r="N508" i="3"/>
  <c r="K512" i="7" s="1"/>
  <c r="C509" i="3"/>
  <c r="R490" i="7"/>
  <c r="B491" i="7"/>
  <c r="P446" i="3"/>
  <c r="N446" i="3"/>
  <c r="K446" i="3"/>
  <c r="I446" i="3"/>
  <c r="G446" i="3" s="1"/>
  <c r="C447" i="3"/>
  <c r="P379" i="3"/>
  <c r="C380" i="3"/>
  <c r="K379" i="3"/>
  <c r="N379" i="3"/>
  <c r="I379" i="3"/>
  <c r="G379" i="3" s="1"/>
  <c r="N336" i="3"/>
  <c r="K336" i="3"/>
  <c r="I336" i="3"/>
  <c r="G336" i="3" s="1"/>
  <c r="F336" i="3"/>
  <c r="N335" i="3"/>
  <c r="K335" i="3"/>
  <c r="I335" i="3"/>
  <c r="G335" i="3" s="1"/>
  <c r="F335" i="3"/>
  <c r="N334" i="3"/>
  <c r="K334" i="3"/>
  <c r="I334" i="3"/>
  <c r="G334" i="3" s="1"/>
  <c r="F334" i="3"/>
  <c r="N333" i="3"/>
  <c r="K333" i="3"/>
  <c r="I333" i="3"/>
  <c r="G333" i="3" s="1"/>
  <c r="F333" i="3"/>
  <c r="M20" i="3"/>
  <c r="M21" i="3"/>
  <c r="N332" i="3"/>
  <c r="K332" i="3"/>
  <c r="I332" i="3"/>
  <c r="G332" i="3" s="1"/>
  <c r="F332" i="3"/>
  <c r="N331" i="3"/>
  <c r="K331" i="3"/>
  <c r="F331" i="3"/>
  <c r="N330" i="3"/>
  <c r="I330" i="3"/>
  <c r="G330" i="3" s="1"/>
  <c r="F330" i="3"/>
  <c r="P509" i="3" l="1"/>
  <c r="N509" i="3"/>
  <c r="K513" i="7" s="1"/>
  <c r="K509" i="3"/>
  <c r="I509" i="3"/>
  <c r="G509" i="3" s="1"/>
  <c r="C510" i="3"/>
  <c r="R491" i="7"/>
  <c r="B492" i="7"/>
  <c r="C448" i="3"/>
  <c r="P447" i="3"/>
  <c r="N447" i="3"/>
  <c r="K447" i="3"/>
  <c r="I447" i="3"/>
  <c r="G447" i="3" s="1"/>
  <c r="P380" i="3"/>
  <c r="N380" i="3"/>
  <c r="K380" i="3"/>
  <c r="I380" i="3"/>
  <c r="G380" i="3" s="1"/>
  <c r="C381" i="3"/>
  <c r="N329" i="3"/>
  <c r="I329" i="3"/>
  <c r="G329" i="3" s="1"/>
  <c r="F329" i="3"/>
  <c r="P510" i="3" l="1"/>
  <c r="K510" i="3"/>
  <c r="I510" i="3"/>
  <c r="G510" i="3" s="1"/>
  <c r="N510" i="3"/>
  <c r="K514" i="7" s="1"/>
  <c r="C511" i="3"/>
  <c r="R492" i="7"/>
  <c r="B493" i="7"/>
  <c r="P381" i="3"/>
  <c r="C382" i="3"/>
  <c r="K381" i="3"/>
  <c r="N381" i="3"/>
  <c r="I381" i="3"/>
  <c r="G381" i="3" s="1"/>
  <c r="N448" i="3"/>
  <c r="P448" i="3"/>
  <c r="K448" i="3"/>
  <c r="I448" i="3"/>
  <c r="G448" i="3" s="1"/>
  <c r="C449" i="3"/>
  <c r="N328" i="3"/>
  <c r="I328" i="3"/>
  <c r="G328" i="3" s="1"/>
  <c r="F328" i="3"/>
  <c r="S327" i="3"/>
  <c r="J327" i="3"/>
  <c r="J328" i="3" s="1"/>
  <c r="J329" i="3" s="1"/>
  <c r="J330" i="3" s="1"/>
  <c r="J331" i="3" s="1"/>
  <c r="J332" i="3" s="1"/>
  <c r="J333" i="3" s="1"/>
  <c r="J334" i="3" s="1"/>
  <c r="J335" i="3" s="1"/>
  <c r="J336" i="3" s="1"/>
  <c r="J337" i="3" s="1"/>
  <c r="J338" i="3" s="1"/>
  <c r="J339" i="3" s="1"/>
  <c r="J340" i="3" s="1"/>
  <c r="J341" i="3" s="1"/>
  <c r="J342" i="3" s="1"/>
  <c r="J343" i="3" s="1"/>
  <c r="J344" i="3" s="1"/>
  <c r="J345" i="3" s="1"/>
  <c r="J346" i="3" s="1"/>
  <c r="J347" i="3" s="1"/>
  <c r="J348" i="3" s="1"/>
  <c r="K349" i="3" s="1"/>
  <c r="K350" i="3" s="1"/>
  <c r="K351" i="3" s="1"/>
  <c r="K352" i="3" s="1"/>
  <c r="P511" i="3" l="1"/>
  <c r="C512" i="3"/>
  <c r="N511" i="3"/>
  <c r="K515" i="7" s="1"/>
  <c r="K511" i="3"/>
  <c r="I511" i="3"/>
  <c r="G511" i="3" s="1"/>
  <c r="R493" i="7"/>
  <c r="B494" i="7"/>
  <c r="C450" i="3"/>
  <c r="N449" i="3"/>
  <c r="I449" i="3"/>
  <c r="G449" i="3" s="1"/>
  <c r="P449" i="3"/>
  <c r="K449" i="3"/>
  <c r="P382" i="3"/>
  <c r="C383" i="3"/>
  <c r="N382" i="3"/>
  <c r="K382" i="3"/>
  <c r="I382" i="3"/>
  <c r="G382" i="3" s="1"/>
  <c r="N327" i="3"/>
  <c r="I327" i="3"/>
  <c r="G327" i="3" s="1"/>
  <c r="F327" i="3"/>
  <c r="N326" i="3"/>
  <c r="K326" i="3"/>
  <c r="I326" i="3"/>
  <c r="G326" i="3" s="1"/>
  <c r="F326" i="3"/>
  <c r="N325" i="3"/>
  <c r="K325" i="3"/>
  <c r="I325" i="3"/>
  <c r="G325" i="3" s="1"/>
  <c r="F325" i="3"/>
  <c r="N324" i="3"/>
  <c r="K324" i="3"/>
  <c r="I324" i="3"/>
  <c r="G324" i="3" s="1"/>
  <c r="F324" i="3"/>
  <c r="N323" i="3"/>
  <c r="K323" i="3"/>
  <c r="I323" i="3"/>
  <c r="G323" i="3" s="1"/>
  <c r="F323" i="3"/>
  <c r="N322" i="3"/>
  <c r="K322" i="3"/>
  <c r="I322" i="3"/>
  <c r="G322" i="3" s="1"/>
  <c r="I321" i="3"/>
  <c r="G321" i="3" s="1"/>
  <c r="F322" i="3"/>
  <c r="N321" i="3"/>
  <c r="K321" i="3"/>
  <c r="F321" i="3"/>
  <c r="N320" i="3"/>
  <c r="K320" i="3"/>
  <c r="I320" i="3"/>
  <c r="G320" i="3" s="1"/>
  <c r="F320" i="3"/>
  <c r="N319" i="3"/>
  <c r="K319" i="3"/>
  <c r="I319" i="3"/>
  <c r="G319" i="3" s="1"/>
  <c r="F319" i="3"/>
  <c r="N318" i="3"/>
  <c r="K318" i="3"/>
  <c r="I318" i="3"/>
  <c r="G318" i="3" s="1"/>
  <c r="F318" i="3"/>
  <c r="N317" i="3"/>
  <c r="K317" i="3"/>
  <c r="I317" i="3"/>
  <c r="G317" i="3" s="1"/>
  <c r="F317" i="3"/>
  <c r="N316" i="3"/>
  <c r="K316" i="3"/>
  <c r="I316" i="3"/>
  <c r="G316" i="3" s="1"/>
  <c r="F316" i="3"/>
  <c r="N315" i="3"/>
  <c r="K315" i="3"/>
  <c r="I315" i="3"/>
  <c r="G315" i="3" s="1"/>
  <c r="F315" i="3"/>
  <c r="N314" i="3"/>
  <c r="K314" i="3"/>
  <c r="I314" i="3"/>
  <c r="G314" i="3" s="1"/>
  <c r="F314" i="3"/>
  <c r="N313" i="3"/>
  <c r="K313" i="3"/>
  <c r="I313" i="3"/>
  <c r="G313" i="3" s="1"/>
  <c r="F313" i="3"/>
  <c r="N312" i="3"/>
  <c r="K312" i="3"/>
  <c r="I312" i="3"/>
  <c r="G312" i="3" s="1"/>
  <c r="F312" i="3"/>
  <c r="B495" i="7" l="1"/>
  <c r="R494" i="7"/>
  <c r="P512" i="3"/>
  <c r="K512" i="3"/>
  <c r="I512" i="3"/>
  <c r="G512" i="3" s="1"/>
  <c r="C513" i="3"/>
  <c r="N512" i="3"/>
  <c r="K516" i="7" s="1"/>
  <c r="P383" i="3"/>
  <c r="C384" i="3"/>
  <c r="K383" i="3"/>
  <c r="N383" i="3"/>
  <c r="I383" i="3"/>
  <c r="G383" i="3" s="1"/>
  <c r="I450" i="3"/>
  <c r="G450" i="3" s="1"/>
  <c r="K450" i="3"/>
  <c r="C451" i="3"/>
  <c r="P450" i="3"/>
  <c r="N450" i="3"/>
  <c r="F311" i="3"/>
  <c r="P513" i="3" l="1"/>
  <c r="N513" i="3"/>
  <c r="K517" i="7" s="1"/>
  <c r="K513" i="3"/>
  <c r="I513" i="3"/>
  <c r="G513" i="3" s="1"/>
  <c r="C514" i="3"/>
  <c r="B496" i="7"/>
  <c r="R495" i="7"/>
  <c r="P451" i="3"/>
  <c r="C452" i="3"/>
  <c r="N451" i="3"/>
  <c r="I451" i="3"/>
  <c r="G451" i="3" s="1"/>
  <c r="K451" i="3"/>
  <c r="P384" i="3"/>
  <c r="N384" i="3"/>
  <c r="K384" i="3"/>
  <c r="I384" i="3"/>
  <c r="G384" i="3" s="1"/>
  <c r="C385" i="3"/>
  <c r="N311" i="3"/>
  <c r="K311" i="3"/>
  <c r="I311" i="3"/>
  <c r="G311" i="3" s="1"/>
  <c r="N310" i="3"/>
  <c r="I310" i="3"/>
  <c r="G310" i="3" s="1"/>
  <c r="F310" i="3"/>
  <c r="N14" i="3"/>
  <c r="N309" i="3"/>
  <c r="I309" i="3"/>
  <c r="G309" i="3" s="1"/>
  <c r="F309" i="3"/>
  <c r="B497" i="7" l="1"/>
  <c r="R496" i="7"/>
  <c r="K514" i="3"/>
  <c r="I514" i="3"/>
  <c r="G514" i="3" s="1"/>
  <c r="P514" i="3"/>
  <c r="N514" i="3"/>
  <c r="K518" i="7" s="1"/>
  <c r="C515" i="3"/>
  <c r="P385" i="3"/>
  <c r="N385" i="3"/>
  <c r="C386" i="3"/>
  <c r="K385" i="3"/>
  <c r="I385" i="3"/>
  <c r="G385" i="3" s="1"/>
  <c r="P452" i="3"/>
  <c r="N452" i="3"/>
  <c r="K452" i="3"/>
  <c r="I452" i="3"/>
  <c r="G452" i="3" s="1"/>
  <c r="C453" i="3"/>
  <c r="N308" i="3"/>
  <c r="I308" i="3"/>
  <c r="G308" i="3" s="1"/>
  <c r="F308" i="3"/>
  <c r="J307" i="3"/>
  <c r="J308" i="3" s="1"/>
  <c r="J309" i="3" s="1"/>
  <c r="J310" i="3" s="1"/>
  <c r="J311" i="3" s="1"/>
  <c r="J312" i="3" s="1"/>
  <c r="J313" i="3" s="1"/>
  <c r="J314" i="3" s="1"/>
  <c r="J315" i="3" s="1"/>
  <c r="J316" i="3" s="1"/>
  <c r="J317" i="3" s="1"/>
  <c r="J318" i="3" s="1"/>
  <c r="J319" i="3" s="1"/>
  <c r="J320" i="3" s="1"/>
  <c r="J321" i="3" s="1"/>
  <c r="J322" i="3" s="1"/>
  <c r="J323" i="3" s="1"/>
  <c r="J324" i="3" s="1"/>
  <c r="J325" i="3" s="1"/>
  <c r="J326" i="3" s="1"/>
  <c r="K327" i="3" s="1"/>
  <c r="K328" i="3" s="1"/>
  <c r="K329" i="3" s="1"/>
  <c r="K330" i="3" s="1"/>
  <c r="N515" i="3" l="1"/>
  <c r="K519" i="7" s="1"/>
  <c r="C516" i="3"/>
  <c r="P515" i="3"/>
  <c r="K515" i="3"/>
  <c r="I515" i="3"/>
  <c r="G515" i="3" s="1"/>
  <c r="R497" i="7"/>
  <c r="B498" i="7"/>
  <c r="K453" i="3"/>
  <c r="I453" i="3"/>
  <c r="G453" i="3" s="1"/>
  <c r="P453" i="3"/>
  <c r="N453" i="3"/>
  <c r="C454" i="3"/>
  <c r="C387" i="3"/>
  <c r="P386" i="3"/>
  <c r="N386" i="3"/>
  <c r="K386" i="3"/>
  <c r="I386" i="3"/>
  <c r="G386" i="3" s="1"/>
  <c r="N307" i="3"/>
  <c r="I307" i="3"/>
  <c r="G307" i="3" s="1"/>
  <c r="F307" i="3"/>
  <c r="N306" i="3"/>
  <c r="K306" i="3"/>
  <c r="I306" i="3"/>
  <c r="G306" i="3" s="1"/>
  <c r="F306" i="3"/>
  <c r="N305" i="3"/>
  <c r="K305" i="3"/>
  <c r="I305" i="3"/>
  <c r="G305" i="3" s="1"/>
  <c r="F305" i="3"/>
  <c r="N304" i="3"/>
  <c r="K304" i="3"/>
  <c r="I304" i="3"/>
  <c r="G304" i="3" s="1"/>
  <c r="F304" i="3"/>
  <c r="N303" i="3"/>
  <c r="K303" i="3"/>
  <c r="I303" i="3"/>
  <c r="G303" i="3" s="1"/>
  <c r="F303" i="3"/>
  <c r="N302" i="3"/>
  <c r="K302" i="3"/>
  <c r="I302" i="3"/>
  <c r="G302" i="3" s="1"/>
  <c r="F302" i="3"/>
  <c r="N301" i="3"/>
  <c r="K301" i="3"/>
  <c r="I301" i="3"/>
  <c r="G301" i="3" s="1"/>
  <c r="F301" i="3"/>
  <c r="N300" i="3"/>
  <c r="K300" i="3"/>
  <c r="I300" i="3"/>
  <c r="G300" i="3" s="1"/>
  <c r="F300" i="3"/>
  <c r="R498" i="7" l="1"/>
  <c r="B499" i="7"/>
  <c r="I516" i="3"/>
  <c r="G516" i="3" s="1"/>
  <c r="P516" i="3"/>
  <c r="N516" i="3"/>
  <c r="K520" i="7" s="1"/>
  <c r="K516" i="3"/>
  <c r="C517" i="3"/>
  <c r="P387" i="3"/>
  <c r="I387" i="3"/>
  <c r="G387" i="3" s="1"/>
  <c r="N387" i="3"/>
  <c r="K387" i="3"/>
  <c r="C388" i="3"/>
  <c r="I454" i="3"/>
  <c r="G454" i="3" s="1"/>
  <c r="P454" i="3"/>
  <c r="N454" i="3"/>
  <c r="K454" i="3"/>
  <c r="C455" i="3"/>
  <c r="N299" i="3"/>
  <c r="K299" i="3"/>
  <c r="I299" i="3"/>
  <c r="G299" i="3" s="1"/>
  <c r="F299" i="3"/>
  <c r="N298" i="3"/>
  <c r="K298" i="3"/>
  <c r="I298" i="3"/>
  <c r="G298" i="3" s="1"/>
  <c r="F298" i="3"/>
  <c r="N297" i="3"/>
  <c r="K297" i="3"/>
  <c r="I297" i="3"/>
  <c r="G297" i="3" s="1"/>
  <c r="F297" i="3"/>
  <c r="N296" i="3"/>
  <c r="K296" i="3"/>
  <c r="I296" i="3"/>
  <c r="G296" i="3" s="1"/>
  <c r="F296" i="3"/>
  <c r="N295" i="3"/>
  <c r="K295" i="3"/>
  <c r="I295" i="3"/>
  <c r="G295" i="3" s="1"/>
  <c r="F295" i="3"/>
  <c r="N294" i="3"/>
  <c r="K294" i="3"/>
  <c r="I294" i="3"/>
  <c r="G294" i="3" s="1"/>
  <c r="F294" i="3"/>
  <c r="N293" i="3"/>
  <c r="K293" i="3"/>
  <c r="I293" i="3"/>
  <c r="G293" i="3" s="1"/>
  <c r="F293" i="3"/>
  <c r="N292" i="3"/>
  <c r="K292" i="3"/>
  <c r="I292" i="3"/>
  <c r="G292" i="3" s="1"/>
  <c r="F292" i="3"/>
  <c r="N291" i="3"/>
  <c r="K291" i="3"/>
  <c r="I291" i="3"/>
  <c r="G291" i="3" s="1"/>
  <c r="F291" i="3"/>
  <c r="N290" i="3"/>
  <c r="I290" i="3"/>
  <c r="G290" i="3" s="1"/>
  <c r="F290" i="3"/>
  <c r="N289" i="3"/>
  <c r="I289" i="3"/>
  <c r="G289" i="3" s="1"/>
  <c r="F289" i="3"/>
  <c r="N288" i="3"/>
  <c r="I288" i="3"/>
  <c r="G288" i="3" s="1"/>
  <c r="F288" i="3"/>
  <c r="J287" i="3"/>
  <c r="J288" i="3" s="1"/>
  <c r="J289" i="3" s="1"/>
  <c r="J290" i="3" s="1"/>
  <c r="J291" i="3" s="1"/>
  <c r="J292" i="3" s="1"/>
  <c r="J293" i="3" s="1"/>
  <c r="J294" i="3" s="1"/>
  <c r="J295" i="3" s="1"/>
  <c r="J296" i="3" s="1"/>
  <c r="J297" i="3" s="1"/>
  <c r="J298" i="3" s="1"/>
  <c r="J299" i="3" s="1"/>
  <c r="J300" i="3" s="1"/>
  <c r="J301" i="3" s="1"/>
  <c r="J302" i="3" s="1"/>
  <c r="J303" i="3" s="1"/>
  <c r="J304" i="3" s="1"/>
  <c r="J305" i="3" s="1"/>
  <c r="J306" i="3" s="1"/>
  <c r="K307" i="3" s="1"/>
  <c r="K308" i="3" s="1"/>
  <c r="K309" i="3" s="1"/>
  <c r="K310" i="3" s="1"/>
  <c r="N287" i="3"/>
  <c r="I287" i="3"/>
  <c r="G287" i="3" s="1"/>
  <c r="F287" i="3"/>
  <c r="N286" i="3"/>
  <c r="K286" i="3"/>
  <c r="I286" i="3"/>
  <c r="G286" i="3" s="1"/>
  <c r="F286" i="3"/>
  <c r="N285" i="3"/>
  <c r="K285" i="3"/>
  <c r="I285" i="3"/>
  <c r="G285" i="3" s="1"/>
  <c r="F285" i="3"/>
  <c r="N284" i="3"/>
  <c r="F284" i="3"/>
  <c r="K284" i="3"/>
  <c r="I284" i="3"/>
  <c r="G284" i="3" s="1"/>
  <c r="P517" i="3" l="1"/>
  <c r="N517" i="3"/>
  <c r="K521" i="7" s="1"/>
  <c r="K517" i="3"/>
  <c r="C518" i="3"/>
  <c r="I517" i="3"/>
  <c r="G517" i="3" s="1"/>
  <c r="R499" i="7"/>
  <c r="B500" i="7"/>
  <c r="K455" i="3"/>
  <c r="I455" i="3"/>
  <c r="G455" i="3" s="1"/>
  <c r="N455" i="3"/>
  <c r="P455" i="3"/>
  <c r="C456" i="3"/>
  <c r="P388" i="3"/>
  <c r="I388" i="3"/>
  <c r="G388" i="3" s="1"/>
  <c r="K388" i="3"/>
  <c r="N388" i="3"/>
  <c r="C389" i="3"/>
  <c r="N283" i="3"/>
  <c r="K283" i="3"/>
  <c r="I283" i="3"/>
  <c r="G283" i="3" s="1"/>
  <c r="F283" i="3"/>
  <c r="N282" i="3"/>
  <c r="K282" i="3"/>
  <c r="I282" i="3"/>
  <c r="G282" i="3" s="1"/>
  <c r="F282" i="3"/>
  <c r="N281" i="3"/>
  <c r="K281" i="3"/>
  <c r="I281" i="3"/>
  <c r="G281" i="3" s="1"/>
  <c r="F281" i="3"/>
  <c r="I518" i="3" l="1"/>
  <c r="G518" i="3" s="1"/>
  <c r="C519" i="3"/>
  <c r="P518" i="3"/>
  <c r="N518" i="3"/>
  <c r="K522" i="7" s="1"/>
  <c r="K518" i="3"/>
  <c r="R500" i="7"/>
  <c r="B501" i="7"/>
  <c r="P389" i="3"/>
  <c r="N389" i="3"/>
  <c r="K389" i="3"/>
  <c r="I389" i="3"/>
  <c r="G389" i="3" s="1"/>
  <c r="C390" i="3"/>
  <c r="K456" i="3"/>
  <c r="I456" i="3"/>
  <c r="G456" i="3" s="1"/>
  <c r="P456" i="3"/>
  <c r="N456" i="3"/>
  <c r="C457" i="3"/>
  <c r="N280" i="3"/>
  <c r="K280" i="3"/>
  <c r="I280" i="3"/>
  <c r="G280" i="3" s="1"/>
  <c r="F280" i="3"/>
  <c r="N279" i="3"/>
  <c r="K279" i="3"/>
  <c r="I279" i="3"/>
  <c r="G279" i="3" s="1"/>
  <c r="F279" i="3"/>
  <c r="R501" i="7" l="1"/>
  <c r="B502" i="7"/>
  <c r="N519" i="3"/>
  <c r="K523" i="7" s="1"/>
  <c r="P519" i="3"/>
  <c r="K519" i="3"/>
  <c r="I519" i="3"/>
  <c r="G519" i="3" s="1"/>
  <c r="C520" i="3"/>
  <c r="P457" i="3"/>
  <c r="N457" i="3"/>
  <c r="I457" i="3"/>
  <c r="G457" i="3" s="1"/>
  <c r="K457" i="3"/>
  <c r="C458" i="3"/>
  <c r="P390" i="3"/>
  <c r="I390" i="3"/>
  <c r="G390" i="3" s="1"/>
  <c r="N390" i="3"/>
  <c r="C391" i="3"/>
  <c r="K390" i="3"/>
  <c r="N278" i="3"/>
  <c r="K278" i="3"/>
  <c r="I278" i="3"/>
  <c r="G278" i="3" s="1"/>
  <c r="F278" i="3"/>
  <c r="N277" i="3"/>
  <c r="K277" i="3"/>
  <c r="I277" i="3"/>
  <c r="G277" i="3" s="1"/>
  <c r="F277" i="3"/>
  <c r="N276" i="3"/>
  <c r="K276" i="3"/>
  <c r="I276" i="3"/>
  <c r="G276" i="3" s="1"/>
  <c r="F276" i="3"/>
  <c r="N275" i="3"/>
  <c r="K275" i="3"/>
  <c r="I275" i="3"/>
  <c r="G275" i="3" s="1"/>
  <c r="F275" i="3"/>
  <c r="N274" i="3"/>
  <c r="K274" i="3"/>
  <c r="I274" i="3"/>
  <c r="G274" i="3" s="1"/>
  <c r="F274" i="3"/>
  <c r="N273" i="3"/>
  <c r="K273" i="3"/>
  <c r="I273" i="3"/>
  <c r="G273" i="3" s="1"/>
  <c r="F273" i="3"/>
  <c r="N272" i="3"/>
  <c r="K272" i="3"/>
  <c r="I272" i="3"/>
  <c r="G272" i="3" s="1"/>
  <c r="F272" i="3"/>
  <c r="N271" i="3"/>
  <c r="K271" i="3"/>
  <c r="I271" i="3"/>
  <c r="G271" i="3" s="1"/>
  <c r="F271" i="3"/>
  <c r="R502" i="7" l="1"/>
  <c r="B503" i="7"/>
  <c r="N520" i="3"/>
  <c r="K524" i="7" s="1"/>
  <c r="K520" i="3"/>
  <c r="I520" i="3"/>
  <c r="G520" i="3" s="1"/>
  <c r="C521" i="3"/>
  <c r="P520" i="3"/>
  <c r="C392" i="3"/>
  <c r="P391" i="3"/>
  <c r="I391" i="3"/>
  <c r="G391" i="3" s="1"/>
  <c r="N391" i="3"/>
  <c r="K391" i="3"/>
  <c r="P458" i="3"/>
  <c r="N458" i="3"/>
  <c r="K458" i="3"/>
  <c r="I458" i="3"/>
  <c r="G458" i="3" s="1"/>
  <c r="C459" i="3"/>
  <c r="N270" i="3"/>
  <c r="K270" i="3"/>
  <c r="I270" i="3"/>
  <c r="G270" i="3" s="1"/>
  <c r="F270" i="3"/>
  <c r="N269" i="3"/>
  <c r="I269" i="3"/>
  <c r="G269" i="3" s="1"/>
  <c r="F269" i="3"/>
  <c r="N268" i="3"/>
  <c r="I268" i="3"/>
  <c r="G268" i="3" s="1"/>
  <c r="F268" i="3"/>
  <c r="C522" i="3" l="1"/>
  <c r="P521" i="3"/>
  <c r="K521" i="3"/>
  <c r="N521" i="3"/>
  <c r="K525" i="7" s="1"/>
  <c r="I521" i="3"/>
  <c r="G521" i="3" s="1"/>
  <c r="B504" i="7"/>
  <c r="R503" i="7"/>
  <c r="P459" i="3"/>
  <c r="I459" i="3"/>
  <c r="G459" i="3" s="1"/>
  <c r="C460" i="3"/>
  <c r="N459" i="3"/>
  <c r="K463" i="7" s="1"/>
  <c r="K459" i="3"/>
  <c r="C393" i="3"/>
  <c r="P392" i="3"/>
  <c r="N392" i="3"/>
  <c r="K392" i="3"/>
  <c r="I392" i="3"/>
  <c r="G392" i="3" s="1"/>
  <c r="N267" i="3"/>
  <c r="I267" i="3"/>
  <c r="G267" i="3" s="1"/>
  <c r="F267" i="3"/>
  <c r="J266" i="3"/>
  <c r="J267" i="3" s="1"/>
  <c r="J268" i="3" s="1"/>
  <c r="J269" i="3" s="1"/>
  <c r="J270" i="3" s="1"/>
  <c r="J271" i="3" s="1"/>
  <c r="J272" i="3" s="1"/>
  <c r="J273" i="3" s="1"/>
  <c r="J274" i="3" s="1"/>
  <c r="J275" i="3" s="1"/>
  <c r="J276" i="3" s="1"/>
  <c r="J277" i="3" s="1"/>
  <c r="J278" i="3" s="1"/>
  <c r="J279" i="3" s="1"/>
  <c r="J280" i="3" s="1"/>
  <c r="J281" i="3" s="1"/>
  <c r="J282" i="3" s="1"/>
  <c r="J283" i="3" s="1"/>
  <c r="J284" i="3" s="1"/>
  <c r="J285" i="3" s="1"/>
  <c r="J286" i="3" s="1"/>
  <c r="K287" i="3" s="1"/>
  <c r="K288" i="3" s="1"/>
  <c r="K289" i="3" s="1"/>
  <c r="K290" i="3" s="1"/>
  <c r="N266" i="3"/>
  <c r="I266" i="3"/>
  <c r="G266" i="3" s="1"/>
  <c r="F266" i="3"/>
  <c r="N265" i="3"/>
  <c r="K265" i="3"/>
  <c r="I265" i="3"/>
  <c r="G265" i="3" s="1"/>
  <c r="F265" i="3"/>
  <c r="N264" i="3"/>
  <c r="K264" i="3"/>
  <c r="I264" i="3"/>
  <c r="G264" i="3" s="1"/>
  <c r="F264" i="3"/>
  <c r="N263" i="3"/>
  <c r="K263" i="3"/>
  <c r="I263" i="3"/>
  <c r="G263" i="3" s="1"/>
  <c r="F263" i="3"/>
  <c r="N262" i="3"/>
  <c r="K262" i="3"/>
  <c r="I262" i="3"/>
  <c r="G262" i="3" s="1"/>
  <c r="F262" i="3"/>
  <c r="N261" i="3"/>
  <c r="K261" i="3"/>
  <c r="I261" i="3"/>
  <c r="G261" i="3" s="1"/>
  <c r="F261" i="3"/>
  <c r="N260" i="3"/>
  <c r="K260" i="3"/>
  <c r="I260" i="3"/>
  <c r="G260" i="3" s="1"/>
  <c r="F260" i="3"/>
  <c r="N259" i="3"/>
  <c r="K259" i="3"/>
  <c r="I259" i="3"/>
  <c r="G259" i="3" s="1"/>
  <c r="F259" i="3"/>
  <c r="N258" i="3"/>
  <c r="K258" i="3"/>
  <c r="I258" i="3"/>
  <c r="G258" i="3" s="1"/>
  <c r="F258" i="3"/>
  <c r="N257" i="3"/>
  <c r="K257" i="3"/>
  <c r="I257" i="3"/>
  <c r="G257" i="3" s="1"/>
  <c r="F257" i="3"/>
  <c r="N256" i="3"/>
  <c r="K256" i="3"/>
  <c r="I256" i="3"/>
  <c r="G256" i="3" s="1"/>
  <c r="F256" i="3"/>
  <c r="N255" i="3"/>
  <c r="K255" i="3"/>
  <c r="I255" i="3"/>
  <c r="G255" i="3" s="1"/>
  <c r="F255" i="3"/>
  <c r="N254" i="3"/>
  <c r="K254" i="3"/>
  <c r="I254" i="3"/>
  <c r="G254" i="3" s="1"/>
  <c r="F254" i="3"/>
  <c r="N253" i="3"/>
  <c r="K253" i="3"/>
  <c r="I253" i="3"/>
  <c r="G253" i="3" s="1"/>
  <c r="F253" i="3"/>
  <c r="N252" i="3"/>
  <c r="K252" i="3"/>
  <c r="I252" i="3"/>
  <c r="G252" i="3" s="1"/>
  <c r="F252" i="3"/>
  <c r="F251" i="3"/>
  <c r="K5" i="1"/>
  <c r="B505" i="7" l="1"/>
  <c r="R504" i="7"/>
  <c r="N522" i="3"/>
  <c r="K526" i="7" s="1"/>
  <c r="I522" i="3"/>
  <c r="G522" i="3" s="1"/>
  <c r="C523" i="3"/>
  <c r="P522" i="3"/>
  <c r="K522" i="3"/>
  <c r="P393" i="3"/>
  <c r="C394" i="3"/>
  <c r="N393" i="3"/>
  <c r="I393" i="3"/>
  <c r="G393" i="3" s="1"/>
  <c r="K393" i="3"/>
  <c r="N460" i="3"/>
  <c r="K464" i="7" s="1"/>
  <c r="P460" i="3"/>
  <c r="K460" i="3"/>
  <c r="C461" i="3"/>
  <c r="I460" i="3"/>
  <c r="G460" i="3" s="1"/>
  <c r="F250" i="3"/>
  <c r="N249" i="3"/>
  <c r="I249" i="3"/>
  <c r="G249" i="3" s="1"/>
  <c r="F249" i="3"/>
  <c r="C250" i="3"/>
  <c r="P250" i="3" s="1"/>
  <c r="N248" i="3"/>
  <c r="I248" i="3"/>
  <c r="G248" i="3" s="1"/>
  <c r="F248" i="3"/>
  <c r="C524" i="3" l="1"/>
  <c r="P523" i="3"/>
  <c r="K523" i="3"/>
  <c r="N523" i="3"/>
  <c r="K527" i="7" s="1"/>
  <c r="I523" i="3"/>
  <c r="G523" i="3" s="1"/>
  <c r="B506" i="7"/>
  <c r="R505" i="7"/>
  <c r="C462" i="3"/>
  <c r="P461" i="3"/>
  <c r="I461" i="3"/>
  <c r="G461" i="3" s="1"/>
  <c r="K461" i="3"/>
  <c r="N461" i="3"/>
  <c r="K465" i="7" s="1"/>
  <c r="P394" i="3"/>
  <c r="C395" i="3"/>
  <c r="N394" i="3"/>
  <c r="K394" i="3"/>
  <c r="I394" i="3"/>
  <c r="G394" i="3" s="1"/>
  <c r="K250" i="3"/>
  <c r="I250" i="3"/>
  <c r="G250" i="3" s="1"/>
  <c r="C251" i="3"/>
  <c r="P251" i="3" s="1"/>
  <c r="N250" i="3"/>
  <c r="N247" i="3"/>
  <c r="I247" i="3"/>
  <c r="G247" i="3" s="1"/>
  <c r="F247" i="3"/>
  <c r="J246" i="3"/>
  <c r="J247" i="3" s="1"/>
  <c r="J248" i="3" s="1"/>
  <c r="J249" i="3" s="1"/>
  <c r="J250" i="3" s="1"/>
  <c r="J251" i="3" s="1"/>
  <c r="J252" i="3" s="1"/>
  <c r="J253" i="3" s="1"/>
  <c r="J254" i="3" s="1"/>
  <c r="J255" i="3" s="1"/>
  <c r="J256" i="3" s="1"/>
  <c r="J257" i="3" s="1"/>
  <c r="J258" i="3" s="1"/>
  <c r="J259" i="3" s="1"/>
  <c r="J260" i="3" s="1"/>
  <c r="J261" i="3" s="1"/>
  <c r="J262" i="3" s="1"/>
  <c r="J263" i="3" s="1"/>
  <c r="J264" i="3" s="1"/>
  <c r="J265" i="3" s="1"/>
  <c r="K266" i="3" s="1"/>
  <c r="K267" i="3" s="1"/>
  <c r="K268" i="3" s="1"/>
  <c r="K269" i="3" s="1"/>
  <c r="B507" i="7" l="1"/>
  <c r="R506" i="7"/>
  <c r="N524" i="3"/>
  <c r="K528" i="7" s="1"/>
  <c r="I524" i="3"/>
  <c r="G524" i="3" s="1"/>
  <c r="C525" i="3"/>
  <c r="P524" i="3"/>
  <c r="K524" i="3"/>
  <c r="C463" i="3"/>
  <c r="P462" i="3"/>
  <c r="N462" i="3"/>
  <c r="K466" i="7" s="1"/>
  <c r="I462" i="3"/>
  <c r="G462" i="3" s="1"/>
  <c r="K462" i="3"/>
  <c r="N395" i="3"/>
  <c r="P395" i="3"/>
  <c r="C396" i="3"/>
  <c r="I395" i="3"/>
  <c r="G395" i="3" s="1"/>
  <c r="K395" i="3"/>
  <c r="I251" i="3"/>
  <c r="G251" i="3" s="1"/>
  <c r="N251" i="3"/>
  <c r="K251" i="3"/>
  <c r="N246" i="3"/>
  <c r="I246" i="3"/>
  <c r="G246" i="3" s="1"/>
  <c r="F246" i="3"/>
  <c r="N245" i="3"/>
  <c r="K245" i="3"/>
  <c r="I245" i="3"/>
  <c r="G245" i="3" s="1"/>
  <c r="F245" i="3"/>
  <c r="N244" i="3"/>
  <c r="K244" i="3"/>
  <c r="I244" i="3"/>
  <c r="G244" i="3" s="1"/>
  <c r="F244" i="3"/>
  <c r="N243" i="3"/>
  <c r="K243" i="3"/>
  <c r="I243" i="3"/>
  <c r="G243" i="3" s="1"/>
  <c r="F243" i="3"/>
  <c r="F242" i="3"/>
  <c r="F240" i="3"/>
  <c r="N239" i="3"/>
  <c r="C526" i="3" l="1"/>
  <c r="P525" i="3"/>
  <c r="K525" i="3"/>
  <c r="N525" i="3"/>
  <c r="K529" i="7" s="1"/>
  <c r="I525" i="3"/>
  <c r="G525" i="3" s="1"/>
  <c r="B508" i="7"/>
  <c r="R507" i="7"/>
  <c r="P463" i="3"/>
  <c r="N463" i="3"/>
  <c r="K467" i="7" s="1"/>
  <c r="K463" i="3"/>
  <c r="I463" i="3"/>
  <c r="G463" i="3" s="1"/>
  <c r="C464" i="3"/>
  <c r="P396" i="3"/>
  <c r="N396" i="3"/>
  <c r="K396" i="3"/>
  <c r="I396" i="3"/>
  <c r="G396" i="3" s="1"/>
  <c r="C397" i="3"/>
  <c r="K239" i="3"/>
  <c r="I239" i="3"/>
  <c r="G239" i="3" s="1"/>
  <c r="F241" i="3"/>
  <c r="C240" i="3"/>
  <c r="F239" i="3"/>
  <c r="N238" i="3"/>
  <c r="K238" i="3"/>
  <c r="I238" i="3"/>
  <c r="G238" i="3" s="1"/>
  <c r="F238" i="3"/>
  <c r="N237" i="3"/>
  <c r="K237" i="3"/>
  <c r="I237" i="3"/>
  <c r="G237" i="3" s="1"/>
  <c r="F237" i="3"/>
  <c r="B509" i="7" l="1"/>
  <c r="R508" i="7"/>
  <c r="C527" i="3"/>
  <c r="N526" i="3"/>
  <c r="K530" i="7" s="1"/>
  <c r="P526" i="3"/>
  <c r="K526" i="3"/>
  <c r="I526" i="3"/>
  <c r="G526" i="3" s="1"/>
  <c r="N464" i="3"/>
  <c r="K468" i="7" s="1"/>
  <c r="P464" i="3"/>
  <c r="K464" i="3"/>
  <c r="C465" i="3"/>
  <c r="I464" i="3"/>
  <c r="G464" i="3" s="1"/>
  <c r="C241" i="3"/>
  <c r="P241" i="3" s="1"/>
  <c r="P240" i="3"/>
  <c r="P397" i="3"/>
  <c r="N397" i="3"/>
  <c r="K397" i="3"/>
  <c r="I397" i="3"/>
  <c r="G397" i="3" s="1"/>
  <c r="C398" i="3"/>
  <c r="N240" i="3"/>
  <c r="I240" i="3"/>
  <c r="G240" i="3" s="1"/>
  <c r="K240" i="3"/>
  <c r="N236" i="3"/>
  <c r="K236" i="3"/>
  <c r="I236" i="3"/>
  <c r="G236" i="3" s="1"/>
  <c r="F236" i="3"/>
  <c r="F235" i="3"/>
  <c r="F234" i="3"/>
  <c r="F233" i="3"/>
  <c r="F232" i="3"/>
  <c r="P527" i="3" l="1"/>
  <c r="K527" i="3"/>
  <c r="I527" i="3"/>
  <c r="G527" i="3" s="1"/>
  <c r="C528" i="3"/>
  <c r="N527" i="3"/>
  <c r="K531" i="7" s="1"/>
  <c r="B510" i="7"/>
  <c r="R509" i="7"/>
  <c r="N465" i="3"/>
  <c r="K469" i="7" s="1"/>
  <c r="K465" i="3"/>
  <c r="I465" i="3"/>
  <c r="G465" i="3" s="1"/>
  <c r="P465" i="3"/>
  <c r="C466" i="3"/>
  <c r="K241" i="3"/>
  <c r="C242" i="3"/>
  <c r="P242" i="3" s="1"/>
  <c r="N241" i="3"/>
  <c r="P398" i="3"/>
  <c r="I398" i="3"/>
  <c r="G398" i="3" s="1"/>
  <c r="C399" i="3"/>
  <c r="N398" i="3"/>
  <c r="K398" i="3"/>
  <c r="I241" i="3"/>
  <c r="G241" i="3" s="1"/>
  <c r="F231" i="3"/>
  <c r="F230" i="3"/>
  <c r="F229" i="3"/>
  <c r="L17" i="1"/>
  <c r="M17" i="1" s="1"/>
  <c r="F228" i="3"/>
  <c r="N528" i="3" l="1"/>
  <c r="K532" i="7" s="1"/>
  <c r="C529" i="3"/>
  <c r="P528" i="3"/>
  <c r="K528" i="3"/>
  <c r="I528" i="3"/>
  <c r="G528" i="3" s="1"/>
  <c r="B511" i="7"/>
  <c r="R510" i="7"/>
  <c r="C467" i="3"/>
  <c r="N466" i="3"/>
  <c r="K470" i="7" s="1"/>
  <c r="K466" i="3"/>
  <c r="I466" i="3"/>
  <c r="G466" i="3" s="1"/>
  <c r="P466" i="3"/>
  <c r="I242" i="3"/>
  <c r="G242" i="3" s="1"/>
  <c r="N242" i="3"/>
  <c r="K399" i="3"/>
  <c r="P399" i="3"/>
  <c r="C400" i="3"/>
  <c r="I399" i="3"/>
  <c r="G399" i="3" s="1"/>
  <c r="N399" i="3"/>
  <c r="K242" i="3"/>
  <c r="F227" i="3"/>
  <c r="F226" i="3"/>
  <c r="F225" i="3"/>
  <c r="J224" i="3"/>
  <c r="J225" i="3" s="1"/>
  <c r="J226" i="3" s="1"/>
  <c r="J227" i="3" s="1"/>
  <c r="J228" i="3" s="1"/>
  <c r="J229" i="3" s="1"/>
  <c r="J230" i="3" s="1"/>
  <c r="J231" i="3" s="1"/>
  <c r="J232" i="3" s="1"/>
  <c r="J233" i="3" s="1"/>
  <c r="J234" i="3" s="1"/>
  <c r="J235" i="3" s="1"/>
  <c r="J236" i="3" s="1"/>
  <c r="J237" i="3" s="1"/>
  <c r="J238" i="3" s="1"/>
  <c r="J239" i="3" s="1"/>
  <c r="F224" i="3"/>
  <c r="J223" i="3"/>
  <c r="F223" i="3"/>
  <c r="P529" i="3" l="1"/>
  <c r="I529" i="3"/>
  <c r="G529" i="3" s="1"/>
  <c r="C530" i="3"/>
  <c r="N529" i="3"/>
  <c r="K533" i="7" s="1"/>
  <c r="K529" i="3"/>
  <c r="R511" i="7"/>
  <c r="B512" i="7"/>
  <c r="K467" i="3"/>
  <c r="I467" i="3"/>
  <c r="G467" i="3" s="1"/>
  <c r="C468" i="3"/>
  <c r="P467" i="3"/>
  <c r="N467" i="3"/>
  <c r="K471" i="7" s="1"/>
  <c r="C401" i="3"/>
  <c r="P400" i="3"/>
  <c r="I400" i="3"/>
  <c r="G400" i="3" s="1"/>
  <c r="K400" i="3"/>
  <c r="N400" i="3"/>
  <c r="J240" i="3"/>
  <c r="J241" i="3" s="1"/>
  <c r="J242" i="3" s="1"/>
  <c r="J243" i="3" s="1"/>
  <c r="J244" i="3" s="1"/>
  <c r="J245" i="3" s="1"/>
  <c r="K246" i="3" s="1"/>
  <c r="K247" i="3" s="1"/>
  <c r="K248" i="3" s="1"/>
  <c r="K249" i="3" s="1"/>
  <c r="F222" i="3"/>
  <c r="F221" i="3"/>
  <c r="F220" i="3"/>
  <c r="F219" i="3"/>
  <c r="F218" i="3"/>
  <c r="C217" i="3"/>
  <c r="F217" i="3"/>
  <c r="N530" i="3" l="1"/>
  <c r="K534" i="7" s="1"/>
  <c r="C531" i="3"/>
  <c r="P530" i="3"/>
  <c r="K530" i="3"/>
  <c r="I530" i="3"/>
  <c r="G530" i="3" s="1"/>
  <c r="B513" i="7"/>
  <c r="R512" i="7"/>
  <c r="I468" i="3"/>
  <c r="G468" i="3" s="1"/>
  <c r="C469" i="3"/>
  <c r="P468" i="3"/>
  <c r="N468" i="3"/>
  <c r="K472" i="7" s="1"/>
  <c r="K468" i="3"/>
  <c r="P217" i="3"/>
  <c r="P401" i="3"/>
  <c r="N401" i="3"/>
  <c r="K401" i="3"/>
  <c r="I401" i="3"/>
  <c r="G401" i="3" s="1"/>
  <c r="C402" i="3"/>
  <c r="C218" i="3"/>
  <c r="P218" i="3" s="1"/>
  <c r="I217" i="3"/>
  <c r="G217" i="3" s="1"/>
  <c r="K217" i="3"/>
  <c r="N217" i="3"/>
  <c r="P531" i="3" l="1"/>
  <c r="K531" i="3"/>
  <c r="I531" i="3"/>
  <c r="G531" i="3" s="1"/>
  <c r="C532" i="3"/>
  <c r="N531" i="3"/>
  <c r="K535" i="7" s="1"/>
  <c r="B514" i="7"/>
  <c r="R513" i="7"/>
  <c r="P469" i="3"/>
  <c r="C470" i="3"/>
  <c r="K469" i="3"/>
  <c r="N469" i="3"/>
  <c r="K473" i="7" s="1"/>
  <c r="I469" i="3"/>
  <c r="G469" i="3" s="1"/>
  <c r="P402" i="3"/>
  <c r="K402" i="3"/>
  <c r="N402" i="3"/>
  <c r="I402" i="3"/>
  <c r="G402" i="3" s="1"/>
  <c r="C403" i="3"/>
  <c r="K218" i="3"/>
  <c r="I218" i="3"/>
  <c r="G218" i="3" s="1"/>
  <c r="N218" i="3"/>
  <c r="C219" i="3"/>
  <c r="K219" i="3"/>
  <c r="I216" i="3"/>
  <c r="G216" i="3" s="1"/>
  <c r="N216" i="3"/>
  <c r="K216" i="3"/>
  <c r="F216" i="3"/>
  <c r="N215" i="3"/>
  <c r="K215" i="3"/>
  <c r="I215" i="3"/>
  <c r="G215" i="3" s="1"/>
  <c r="F215" i="3"/>
  <c r="N214" i="3"/>
  <c r="K214" i="3"/>
  <c r="I214" i="3"/>
  <c r="G214" i="3" s="1"/>
  <c r="F214" i="3"/>
  <c r="N213" i="3"/>
  <c r="K213" i="3"/>
  <c r="I213" i="3"/>
  <c r="G213" i="3" s="1"/>
  <c r="F213" i="3"/>
  <c r="N212" i="3"/>
  <c r="K212" i="3"/>
  <c r="I212" i="3"/>
  <c r="G212" i="3" s="1"/>
  <c r="F212" i="3"/>
  <c r="N211" i="3"/>
  <c r="K211" i="3"/>
  <c r="I211" i="3"/>
  <c r="G211" i="3" s="1"/>
  <c r="F211" i="3"/>
  <c r="N210" i="3"/>
  <c r="K210" i="3"/>
  <c r="I210" i="3"/>
  <c r="G210" i="3" s="1"/>
  <c r="F210" i="3"/>
  <c r="N209" i="3"/>
  <c r="K209" i="3"/>
  <c r="I209" i="3"/>
  <c r="G209" i="3" s="1"/>
  <c r="F209" i="3"/>
  <c r="N208" i="3"/>
  <c r="K208" i="3"/>
  <c r="I208" i="3"/>
  <c r="G208" i="3" s="1"/>
  <c r="F208" i="3"/>
  <c r="N207" i="3"/>
  <c r="K207" i="3"/>
  <c r="I207" i="3"/>
  <c r="G207" i="3" s="1"/>
  <c r="F207" i="3"/>
  <c r="N206" i="3"/>
  <c r="K206" i="3"/>
  <c r="I206" i="3"/>
  <c r="G206" i="3" s="1"/>
  <c r="F206" i="3"/>
  <c r="N205" i="3"/>
  <c r="I205" i="3"/>
  <c r="G205" i="3" s="1"/>
  <c r="F205" i="3"/>
  <c r="N204" i="3"/>
  <c r="I204" i="3"/>
  <c r="G204" i="3" s="1"/>
  <c r="F204" i="3"/>
  <c r="N203" i="3"/>
  <c r="I203" i="3"/>
  <c r="G203" i="3" s="1"/>
  <c r="F203" i="3"/>
  <c r="J202" i="3"/>
  <c r="J203" i="3" s="1"/>
  <c r="J204" i="3" s="1"/>
  <c r="J205" i="3" s="1"/>
  <c r="J206" i="3" s="1"/>
  <c r="J207" i="3" s="1"/>
  <c r="J208" i="3" s="1"/>
  <c r="J209" i="3" s="1"/>
  <c r="J210" i="3" s="1"/>
  <c r="J211" i="3" s="1"/>
  <c r="J212" i="3" s="1"/>
  <c r="J213" i="3" s="1"/>
  <c r="J214" i="3" s="1"/>
  <c r="J215" i="3" s="1"/>
  <c r="J216" i="3" s="1"/>
  <c r="J217" i="3" s="1"/>
  <c r="J218" i="3" s="1"/>
  <c r="J219" i="3" s="1"/>
  <c r="J220" i="3" s="1"/>
  <c r="J221" i="3" s="1"/>
  <c r="J222" i="3" s="1"/>
  <c r="N202" i="3"/>
  <c r="F202" i="3"/>
  <c r="N201" i="3"/>
  <c r="K201" i="3"/>
  <c r="F201" i="3"/>
  <c r="N200" i="3"/>
  <c r="K200" i="3"/>
  <c r="F200" i="3"/>
  <c r="N199" i="3"/>
  <c r="K199" i="3"/>
  <c r="F199" i="3"/>
  <c r="N198" i="3"/>
  <c r="K198" i="3"/>
  <c r="F198" i="3"/>
  <c r="N197" i="3"/>
  <c r="K197" i="3"/>
  <c r="F197" i="3"/>
  <c r="N196" i="3"/>
  <c r="K196" i="3"/>
  <c r="F196" i="3"/>
  <c r="N195" i="3"/>
  <c r="K195" i="3"/>
  <c r="F195" i="3"/>
  <c r="N194" i="3"/>
  <c r="K194" i="3"/>
  <c r="F194" i="3"/>
  <c r="N193" i="3"/>
  <c r="K193" i="3"/>
  <c r="F193" i="3"/>
  <c r="N192" i="3"/>
  <c r="K192" i="3"/>
  <c r="F192" i="3"/>
  <c r="N191" i="3"/>
  <c r="K191" i="3"/>
  <c r="F191" i="3"/>
  <c r="N190" i="3"/>
  <c r="K190" i="3"/>
  <c r="F190" i="3"/>
  <c r="N189" i="3"/>
  <c r="K189" i="3"/>
  <c r="F189" i="3"/>
  <c r="N188" i="3"/>
  <c r="K188" i="3"/>
  <c r="F188" i="3"/>
  <c r="N187" i="3"/>
  <c r="K187" i="3"/>
  <c r="F187" i="3"/>
  <c r="N186" i="3"/>
  <c r="K186" i="3"/>
  <c r="F186" i="3"/>
  <c r="N185" i="3"/>
  <c r="K185" i="3"/>
  <c r="F185" i="3"/>
  <c r="N532" i="3" l="1"/>
  <c r="K536" i="7" s="1"/>
  <c r="I532" i="3"/>
  <c r="G532" i="3" s="1"/>
  <c r="C533" i="3"/>
  <c r="P532" i="3"/>
  <c r="K532" i="3"/>
  <c r="B515" i="7"/>
  <c r="R514" i="7"/>
  <c r="I470" i="3"/>
  <c r="G470" i="3" s="1"/>
  <c r="P470" i="3"/>
  <c r="N470" i="3"/>
  <c r="K474" i="7" s="1"/>
  <c r="K470" i="3"/>
  <c r="N219" i="3"/>
  <c r="P219" i="3"/>
  <c r="P403" i="3"/>
  <c r="N403" i="3"/>
  <c r="K403" i="3"/>
  <c r="I403" i="3"/>
  <c r="G403" i="3" s="1"/>
  <c r="C404" i="3"/>
  <c r="C220" i="3"/>
  <c r="I219" i="3"/>
  <c r="G219" i="3" s="1"/>
  <c r="N184" i="3"/>
  <c r="F184" i="3"/>
  <c r="N183" i="3"/>
  <c r="F183" i="3"/>
  <c r="R515" i="7" l="1"/>
  <c r="B516" i="7"/>
  <c r="C534" i="3"/>
  <c r="P533" i="3"/>
  <c r="N533" i="3"/>
  <c r="K537" i="7" s="1"/>
  <c r="K533" i="3"/>
  <c r="I533" i="3"/>
  <c r="G533" i="3" s="1"/>
  <c r="P404" i="3"/>
  <c r="N404" i="3"/>
  <c r="K404" i="3"/>
  <c r="I404" i="3"/>
  <c r="G404" i="3" s="1"/>
  <c r="C405" i="3"/>
  <c r="P220" i="3"/>
  <c r="N220" i="3"/>
  <c r="K220" i="3"/>
  <c r="C221" i="3"/>
  <c r="I220" i="3"/>
  <c r="G220" i="3" s="1"/>
  <c r="K534" i="3" l="1"/>
  <c r="I534" i="3"/>
  <c r="G534" i="3" s="1"/>
  <c r="P534" i="3"/>
  <c r="N534" i="3"/>
  <c r="K538" i="7" s="1"/>
  <c r="C535" i="3"/>
  <c r="R516" i="7"/>
  <c r="B517" i="7"/>
  <c r="C222" i="3"/>
  <c r="P222" i="3" s="1"/>
  <c r="P221" i="3"/>
  <c r="C406" i="3"/>
  <c r="P405" i="3"/>
  <c r="I405" i="3"/>
  <c r="G405" i="3" s="1"/>
  <c r="K405" i="3"/>
  <c r="N405" i="3"/>
  <c r="K221" i="3"/>
  <c r="I221" i="3"/>
  <c r="G221" i="3" s="1"/>
  <c r="N221" i="3"/>
  <c r="N182" i="3"/>
  <c r="F182" i="3"/>
  <c r="K535" i="3" l="1"/>
  <c r="C536" i="3"/>
  <c r="N535" i="3"/>
  <c r="K539" i="7" s="1"/>
  <c r="I535" i="3"/>
  <c r="G535" i="3" s="1"/>
  <c r="P535" i="3"/>
  <c r="R517" i="7"/>
  <c r="B518" i="7"/>
  <c r="N222" i="3"/>
  <c r="P406" i="3"/>
  <c r="N406" i="3"/>
  <c r="K406" i="3"/>
  <c r="I406" i="3"/>
  <c r="G406" i="3" s="1"/>
  <c r="C407" i="3"/>
  <c r="K222" i="3"/>
  <c r="I222" i="3"/>
  <c r="G222" i="3" s="1"/>
  <c r="C223" i="3"/>
  <c r="J181" i="3"/>
  <c r="J182" i="3" s="1"/>
  <c r="J183" i="3" s="1"/>
  <c r="J184" i="3" s="1"/>
  <c r="J185" i="3" s="1"/>
  <c r="J186" i="3" s="1"/>
  <c r="J187" i="3" s="1"/>
  <c r="J188" i="3" s="1"/>
  <c r="J189" i="3" s="1"/>
  <c r="J190" i="3" s="1"/>
  <c r="J191" i="3" s="1"/>
  <c r="J192" i="3" s="1"/>
  <c r="J193" i="3" s="1"/>
  <c r="J194" i="3" s="1"/>
  <c r="J195" i="3" s="1"/>
  <c r="J196" i="3" s="1"/>
  <c r="J197" i="3" s="1"/>
  <c r="J198" i="3" s="1"/>
  <c r="J199" i="3" s="1"/>
  <c r="J200" i="3" s="1"/>
  <c r="J201" i="3" s="1"/>
  <c r="K202" i="3" s="1"/>
  <c r="K203" i="3" s="1"/>
  <c r="K204" i="3" s="1"/>
  <c r="K205" i="3" s="1"/>
  <c r="B519" i="7" l="1"/>
  <c r="R518" i="7"/>
  <c r="K536" i="3"/>
  <c r="I536" i="3"/>
  <c r="G536" i="3" s="1"/>
  <c r="P536" i="3"/>
  <c r="C537" i="3"/>
  <c r="N536" i="3"/>
  <c r="K540" i="7" s="1"/>
  <c r="P223" i="3"/>
  <c r="P407" i="3"/>
  <c r="I407" i="3"/>
  <c r="G407" i="3" s="1"/>
  <c r="C408" i="3"/>
  <c r="N407" i="3"/>
  <c r="K407" i="3"/>
  <c r="K223" i="3"/>
  <c r="C224" i="3"/>
  <c r="P224" i="3" s="1"/>
  <c r="I223" i="3"/>
  <c r="G223" i="3" s="1"/>
  <c r="N223" i="3"/>
  <c r="N181" i="3"/>
  <c r="I181" i="3"/>
  <c r="G181" i="3" s="1"/>
  <c r="F181" i="3"/>
  <c r="N180" i="3"/>
  <c r="K180" i="3"/>
  <c r="I180" i="3"/>
  <c r="G180" i="3" s="1"/>
  <c r="F180" i="3"/>
  <c r="N179" i="3"/>
  <c r="K179" i="3"/>
  <c r="I179" i="3"/>
  <c r="G179" i="3" s="1"/>
  <c r="F179" i="3"/>
  <c r="N178" i="3"/>
  <c r="K178" i="3"/>
  <c r="I178" i="3"/>
  <c r="G178" i="3" s="1"/>
  <c r="F178" i="3"/>
  <c r="N177" i="3"/>
  <c r="K177" i="3"/>
  <c r="I177" i="3"/>
  <c r="G177" i="3" s="1"/>
  <c r="F177" i="3"/>
  <c r="N176" i="3"/>
  <c r="K176" i="3"/>
  <c r="I176" i="3"/>
  <c r="G176" i="3" s="1"/>
  <c r="F176" i="3"/>
  <c r="N175" i="3"/>
  <c r="K175" i="3"/>
  <c r="I175" i="3"/>
  <c r="G175" i="3" s="1"/>
  <c r="F175" i="3"/>
  <c r="N174" i="3"/>
  <c r="K174" i="3"/>
  <c r="I174" i="3"/>
  <c r="G174" i="3" s="1"/>
  <c r="F174" i="3"/>
  <c r="N173" i="3"/>
  <c r="K173" i="3"/>
  <c r="I173" i="3"/>
  <c r="G173" i="3" s="1"/>
  <c r="F173" i="3"/>
  <c r="N172" i="3"/>
  <c r="K172" i="3"/>
  <c r="I172" i="3"/>
  <c r="G172" i="3" s="1"/>
  <c r="F172" i="3"/>
  <c r="N171" i="3"/>
  <c r="K171" i="3"/>
  <c r="I171" i="3"/>
  <c r="G171" i="3" s="1"/>
  <c r="F171" i="3"/>
  <c r="N170" i="3"/>
  <c r="K170" i="3"/>
  <c r="I170" i="3"/>
  <c r="G170" i="3" s="1"/>
  <c r="F170" i="3"/>
  <c r="N169" i="3"/>
  <c r="K169" i="3"/>
  <c r="I169" i="3"/>
  <c r="G169" i="3" s="1"/>
  <c r="F169" i="3"/>
  <c r="N168" i="3"/>
  <c r="K168" i="3"/>
  <c r="I168" i="3"/>
  <c r="G168" i="3" s="1"/>
  <c r="F168" i="3"/>
  <c r="N167" i="3"/>
  <c r="K167" i="3"/>
  <c r="I167" i="3"/>
  <c r="G167" i="3" s="1"/>
  <c r="F167" i="3"/>
  <c r="N166" i="3"/>
  <c r="K166" i="3"/>
  <c r="I166" i="3"/>
  <c r="G166" i="3" s="1"/>
  <c r="F166" i="3"/>
  <c r="K537" i="3" l="1"/>
  <c r="N537" i="3"/>
  <c r="K541" i="7" s="1"/>
  <c r="I537" i="3"/>
  <c r="G537" i="3" s="1"/>
  <c r="C538" i="3"/>
  <c r="P537" i="3"/>
  <c r="B520" i="7"/>
  <c r="R519" i="7"/>
  <c r="C225" i="3"/>
  <c r="P225" i="3" s="1"/>
  <c r="K224" i="3"/>
  <c r="N224" i="3"/>
  <c r="P408" i="3"/>
  <c r="N408" i="3"/>
  <c r="C409" i="3"/>
  <c r="K408" i="3"/>
  <c r="I408" i="3"/>
  <c r="G408" i="3" s="1"/>
  <c r="I224" i="3"/>
  <c r="G224" i="3" s="1"/>
  <c r="N165" i="3"/>
  <c r="K165" i="3"/>
  <c r="I165" i="3"/>
  <c r="G165" i="3" s="1"/>
  <c r="F165" i="3"/>
  <c r="N164" i="3"/>
  <c r="K164" i="3"/>
  <c r="I164" i="3"/>
  <c r="G164" i="3" s="1"/>
  <c r="F164" i="3"/>
  <c r="F163" i="3"/>
  <c r="I163" i="3"/>
  <c r="G163" i="3" s="1"/>
  <c r="K163" i="3"/>
  <c r="N163" i="3"/>
  <c r="N162" i="3"/>
  <c r="I162" i="3"/>
  <c r="G162" i="3" s="1"/>
  <c r="F162" i="3"/>
  <c r="B521" i="7" l="1"/>
  <c r="R520" i="7"/>
  <c r="K538" i="3"/>
  <c r="I538" i="3"/>
  <c r="G538" i="3" s="1"/>
  <c r="C539" i="3"/>
  <c r="P538" i="3"/>
  <c r="N538" i="3"/>
  <c r="K542" i="7" s="1"/>
  <c r="K225" i="3"/>
  <c r="C226" i="3"/>
  <c r="P226" i="3" s="1"/>
  <c r="I225" i="3"/>
  <c r="G225" i="3" s="1"/>
  <c r="N225" i="3"/>
  <c r="P409" i="3"/>
  <c r="C410" i="3"/>
  <c r="N409" i="3"/>
  <c r="I409" i="3"/>
  <c r="G409" i="3" s="1"/>
  <c r="K409" i="3"/>
  <c r="N161" i="3"/>
  <c r="I161" i="3"/>
  <c r="G161" i="3" s="1"/>
  <c r="F161" i="3"/>
  <c r="K539" i="3" l="1"/>
  <c r="P539" i="3"/>
  <c r="N539" i="3"/>
  <c r="K543" i="7" s="1"/>
  <c r="I539" i="3"/>
  <c r="G539" i="3" s="1"/>
  <c r="C540" i="3"/>
  <c r="R521" i="7"/>
  <c r="B522" i="7"/>
  <c r="C227" i="3"/>
  <c r="P227" i="3" s="1"/>
  <c r="I226" i="3"/>
  <c r="G226" i="3" s="1"/>
  <c r="K226" i="3"/>
  <c r="N226" i="3"/>
  <c r="P410" i="3"/>
  <c r="K410" i="3"/>
  <c r="C411" i="3"/>
  <c r="N410" i="3"/>
  <c r="I410" i="3"/>
  <c r="G410" i="3" s="1"/>
  <c r="N160" i="3"/>
  <c r="I160" i="3"/>
  <c r="G160" i="3" s="1"/>
  <c r="F160" i="3"/>
  <c r="J159" i="3"/>
  <c r="J160" i="3" s="1"/>
  <c r="J161" i="3" s="1"/>
  <c r="J162" i="3" s="1"/>
  <c r="J163" i="3" s="1"/>
  <c r="J164" i="3" s="1"/>
  <c r="J165" i="3" s="1"/>
  <c r="J166" i="3" s="1"/>
  <c r="J167" i="3" s="1"/>
  <c r="J168" i="3" s="1"/>
  <c r="J169" i="3" s="1"/>
  <c r="J170" i="3" s="1"/>
  <c r="J171" i="3" s="1"/>
  <c r="J172" i="3" s="1"/>
  <c r="J173" i="3" s="1"/>
  <c r="J174" i="3" s="1"/>
  <c r="J175" i="3" s="1"/>
  <c r="J176" i="3" s="1"/>
  <c r="J177" i="3" s="1"/>
  <c r="J178" i="3" s="1"/>
  <c r="J179" i="3" s="1"/>
  <c r="J180" i="3" s="1"/>
  <c r="K181" i="3" s="1"/>
  <c r="K182" i="3" s="1"/>
  <c r="K183" i="3" s="1"/>
  <c r="K184" i="3" s="1"/>
  <c r="N159" i="3"/>
  <c r="I159" i="3"/>
  <c r="G159" i="3" s="1"/>
  <c r="F159" i="3"/>
  <c r="N158" i="3"/>
  <c r="K158" i="3"/>
  <c r="I158" i="3"/>
  <c r="G158" i="3" s="1"/>
  <c r="F158" i="3"/>
  <c r="R522" i="7" l="1"/>
  <c r="B523" i="7"/>
  <c r="N540" i="3"/>
  <c r="K544" i="7" s="1"/>
  <c r="I540" i="3"/>
  <c r="G540" i="3" s="1"/>
  <c r="C541" i="3"/>
  <c r="K540" i="3"/>
  <c r="P540" i="3"/>
  <c r="N227" i="3"/>
  <c r="C228" i="3"/>
  <c r="P228" i="3" s="1"/>
  <c r="K227" i="3"/>
  <c r="I227" i="3"/>
  <c r="G227" i="3" s="1"/>
  <c r="C412" i="3"/>
  <c r="P411" i="3"/>
  <c r="K411" i="3"/>
  <c r="I411" i="3"/>
  <c r="G411" i="3" s="1"/>
  <c r="N411" i="3"/>
  <c r="K228" i="3"/>
  <c r="N228" i="3"/>
  <c r="N157" i="3"/>
  <c r="K157" i="3"/>
  <c r="I157" i="3"/>
  <c r="G157" i="3" s="1"/>
  <c r="F157" i="3"/>
  <c r="N156" i="3"/>
  <c r="K156" i="3"/>
  <c r="I156" i="3"/>
  <c r="G156" i="3" s="1"/>
  <c r="F156" i="3"/>
  <c r="K541" i="3" l="1"/>
  <c r="N541" i="3"/>
  <c r="K545" i="7" s="1"/>
  <c r="I541" i="3"/>
  <c r="G541" i="3" s="1"/>
  <c r="C542" i="3"/>
  <c r="P541" i="3"/>
  <c r="R523" i="7"/>
  <c r="B524" i="7"/>
  <c r="I228" i="3"/>
  <c r="G228" i="3" s="1"/>
  <c r="C229" i="3"/>
  <c r="P229" i="3" s="1"/>
  <c r="C413" i="3"/>
  <c r="I412" i="3"/>
  <c r="G412" i="3" s="1"/>
  <c r="P412" i="3"/>
  <c r="N412" i="3"/>
  <c r="K412" i="3"/>
  <c r="N229" i="3"/>
  <c r="I229" i="3"/>
  <c r="G229" i="3" s="1"/>
  <c r="N155" i="3"/>
  <c r="K155" i="3"/>
  <c r="I155" i="3"/>
  <c r="G155" i="3" s="1"/>
  <c r="F155" i="3"/>
  <c r="N154" i="3"/>
  <c r="K154" i="3"/>
  <c r="I154" i="3"/>
  <c r="G154" i="3" s="1"/>
  <c r="F154" i="3"/>
  <c r="N153" i="3"/>
  <c r="K153" i="3"/>
  <c r="I153" i="3"/>
  <c r="G153" i="3" s="1"/>
  <c r="F153" i="3"/>
  <c r="N152" i="3"/>
  <c r="K152" i="3"/>
  <c r="I152" i="3"/>
  <c r="G152" i="3" s="1"/>
  <c r="F152" i="3"/>
  <c r="N151" i="3"/>
  <c r="K151" i="3"/>
  <c r="I151" i="3"/>
  <c r="G151" i="3" s="1"/>
  <c r="F151" i="3"/>
  <c r="N150" i="3"/>
  <c r="K150" i="3"/>
  <c r="I150" i="3"/>
  <c r="G150" i="3" s="1"/>
  <c r="F150" i="3"/>
  <c r="N149" i="3"/>
  <c r="K149" i="3"/>
  <c r="I149" i="3"/>
  <c r="G149" i="3" s="1"/>
  <c r="F149" i="3"/>
  <c r="N542" i="3" l="1"/>
  <c r="K546" i="7" s="1"/>
  <c r="K542" i="3"/>
  <c r="I542" i="3"/>
  <c r="G542" i="3" s="1"/>
  <c r="C543" i="3"/>
  <c r="P542" i="3"/>
  <c r="B525" i="7"/>
  <c r="R524" i="7"/>
  <c r="C230" i="3"/>
  <c r="P230" i="3" s="1"/>
  <c r="K229" i="3"/>
  <c r="I413" i="3"/>
  <c r="G413" i="3" s="1"/>
  <c r="C414" i="3"/>
  <c r="K413" i="3"/>
  <c r="P413" i="3"/>
  <c r="N413" i="3"/>
  <c r="N148" i="3"/>
  <c r="K148" i="3"/>
  <c r="I148" i="3"/>
  <c r="G148" i="3" s="1"/>
  <c r="F148" i="3"/>
  <c r="C544" i="3" l="1"/>
  <c r="P543" i="3"/>
  <c r="N543" i="3"/>
  <c r="K547" i="7" s="1"/>
  <c r="K543" i="3"/>
  <c r="I543" i="3"/>
  <c r="G543" i="3" s="1"/>
  <c r="N230" i="3"/>
  <c r="C231" i="3"/>
  <c r="P231" i="3" s="1"/>
  <c r="B526" i="7"/>
  <c r="R525" i="7"/>
  <c r="K230" i="3"/>
  <c r="I230" i="3"/>
  <c r="G230" i="3" s="1"/>
  <c r="C415" i="3"/>
  <c r="P414" i="3"/>
  <c r="N414" i="3"/>
  <c r="K414" i="3"/>
  <c r="I414" i="3"/>
  <c r="G414" i="3" s="1"/>
  <c r="N147" i="3"/>
  <c r="K147" i="3"/>
  <c r="I147" i="3"/>
  <c r="G147" i="3" s="1"/>
  <c r="F147" i="3"/>
  <c r="N146" i="3"/>
  <c r="K146" i="3"/>
  <c r="I146" i="3"/>
  <c r="G146" i="3" s="1"/>
  <c r="F146" i="3"/>
  <c r="N145" i="3"/>
  <c r="K145" i="3"/>
  <c r="I145" i="3"/>
  <c r="G145" i="3" s="1"/>
  <c r="F145" i="3"/>
  <c r="N144" i="3"/>
  <c r="I144" i="3"/>
  <c r="G144" i="3" s="1"/>
  <c r="F144" i="3"/>
  <c r="N143" i="3"/>
  <c r="I143" i="3"/>
  <c r="G143" i="3" s="1"/>
  <c r="F143" i="3"/>
  <c r="B527" i="7" l="1"/>
  <c r="R526" i="7"/>
  <c r="I231" i="3"/>
  <c r="G231" i="3" s="1"/>
  <c r="K231" i="3"/>
  <c r="N231" i="3"/>
  <c r="C232" i="3"/>
  <c r="P232" i="3" s="1"/>
  <c r="C545" i="3"/>
  <c r="P544" i="3"/>
  <c r="N544" i="3"/>
  <c r="K548" i="7" s="1"/>
  <c r="K544" i="3"/>
  <c r="I544" i="3"/>
  <c r="G544" i="3" s="1"/>
  <c r="I415" i="3"/>
  <c r="G415" i="3" s="1"/>
  <c r="N415" i="3"/>
  <c r="K415" i="3"/>
  <c r="P415" i="3"/>
  <c r="C416" i="3"/>
  <c r="N142" i="3"/>
  <c r="I142" i="3"/>
  <c r="G142" i="3" s="1"/>
  <c r="F142" i="3"/>
  <c r="J141" i="3"/>
  <c r="J142" i="3" s="1"/>
  <c r="J143" i="3" s="1"/>
  <c r="J144" i="3" s="1"/>
  <c r="J145" i="3" s="1"/>
  <c r="J146" i="3" s="1"/>
  <c r="J147" i="3" s="1"/>
  <c r="J148" i="3" s="1"/>
  <c r="J149" i="3" s="1"/>
  <c r="J150" i="3" s="1"/>
  <c r="J151" i="3" s="1"/>
  <c r="J152" i="3" s="1"/>
  <c r="J153" i="3" s="1"/>
  <c r="J154" i="3" s="1"/>
  <c r="J155" i="3" s="1"/>
  <c r="J156" i="3" s="1"/>
  <c r="J157" i="3" s="1"/>
  <c r="J158" i="3" s="1"/>
  <c r="K159" i="3" s="1"/>
  <c r="K160" i="3" s="1"/>
  <c r="K161" i="3" s="1"/>
  <c r="K162" i="3" s="1"/>
  <c r="N141" i="3"/>
  <c r="I141" i="3"/>
  <c r="G141" i="3" s="1"/>
  <c r="F141" i="3"/>
  <c r="C2" i="9"/>
  <c r="C546" i="3" l="1"/>
  <c r="P545" i="3"/>
  <c r="N545" i="3"/>
  <c r="K549" i="7" s="1"/>
  <c r="K545" i="3"/>
  <c r="I545" i="3"/>
  <c r="G545" i="3" s="1"/>
  <c r="K232" i="3"/>
  <c r="N232" i="3"/>
  <c r="I232" i="3"/>
  <c r="G232" i="3" s="1"/>
  <c r="C233" i="3"/>
  <c r="P233" i="3" s="1"/>
  <c r="R527" i="7"/>
  <c r="B528" i="7"/>
  <c r="P416" i="3"/>
  <c r="N416" i="3"/>
  <c r="K416" i="3"/>
  <c r="I416" i="3"/>
  <c r="G416" i="3" s="1"/>
  <c r="C417" i="3"/>
  <c r="N233" i="3"/>
  <c r="C234" i="3"/>
  <c r="P234" i="3" s="1"/>
  <c r="N140" i="3"/>
  <c r="K140" i="3"/>
  <c r="I140" i="3"/>
  <c r="G140" i="3" s="1"/>
  <c r="F140" i="3"/>
  <c r="N139" i="3"/>
  <c r="K139" i="3"/>
  <c r="I139" i="3"/>
  <c r="G139" i="3" s="1"/>
  <c r="F139" i="3"/>
  <c r="N138" i="3"/>
  <c r="K138" i="3"/>
  <c r="I138" i="3"/>
  <c r="G138" i="3" s="1"/>
  <c r="F138" i="3"/>
  <c r="N137" i="3"/>
  <c r="K137" i="3"/>
  <c r="I137" i="3"/>
  <c r="G137" i="3" s="1"/>
  <c r="F137" i="3"/>
  <c r="N136" i="3"/>
  <c r="K136" i="3"/>
  <c r="I136" i="3"/>
  <c r="G136" i="3" s="1"/>
  <c r="F136" i="3"/>
  <c r="N135" i="3"/>
  <c r="K135" i="3"/>
  <c r="I135" i="3"/>
  <c r="G135" i="3" s="1"/>
  <c r="F135" i="3"/>
  <c r="N134" i="3"/>
  <c r="K134" i="3"/>
  <c r="I134" i="3"/>
  <c r="G134" i="3" s="1"/>
  <c r="F134" i="3"/>
  <c r="N133" i="3"/>
  <c r="K133" i="3"/>
  <c r="I133" i="3"/>
  <c r="G133" i="3" s="1"/>
  <c r="F133" i="3"/>
  <c r="N132" i="3"/>
  <c r="K132" i="3"/>
  <c r="I132" i="3"/>
  <c r="G132" i="3" s="1"/>
  <c r="F132" i="3"/>
  <c r="N131" i="3"/>
  <c r="K131" i="3"/>
  <c r="I131" i="3"/>
  <c r="G131" i="3" s="1"/>
  <c r="F131" i="3"/>
  <c r="N130" i="3"/>
  <c r="K130" i="3"/>
  <c r="I130" i="3"/>
  <c r="K233" i="3" l="1"/>
  <c r="B529" i="7"/>
  <c r="R528" i="7"/>
  <c r="I233" i="3"/>
  <c r="G233" i="3" s="1"/>
  <c r="C547" i="3"/>
  <c r="P546" i="3"/>
  <c r="N546" i="3"/>
  <c r="K550" i="7" s="1"/>
  <c r="K546" i="3"/>
  <c r="I546" i="3"/>
  <c r="G546" i="3" s="1"/>
  <c r="C418" i="3"/>
  <c r="I417" i="3"/>
  <c r="G417" i="3" s="1"/>
  <c r="P417" i="3"/>
  <c r="K417" i="3"/>
  <c r="N417" i="3"/>
  <c r="I234" i="3"/>
  <c r="G234" i="3" s="1"/>
  <c r="C235" i="3"/>
  <c r="N234" i="3"/>
  <c r="K234" i="3"/>
  <c r="G130" i="3"/>
  <c r="F130" i="3"/>
  <c r="N129" i="3"/>
  <c r="K129" i="3"/>
  <c r="I129" i="3"/>
  <c r="G129" i="3" s="1"/>
  <c r="F129" i="3"/>
  <c r="N128" i="3"/>
  <c r="K128" i="3"/>
  <c r="I128" i="3"/>
  <c r="G128" i="3" s="1"/>
  <c r="F128" i="3"/>
  <c r="N127" i="3"/>
  <c r="K127" i="3"/>
  <c r="I127" i="3"/>
  <c r="G127" i="3" s="1"/>
  <c r="F127" i="3"/>
  <c r="N126" i="3"/>
  <c r="K126" i="3"/>
  <c r="I126" i="3"/>
  <c r="G126" i="3" s="1"/>
  <c r="F126" i="3"/>
  <c r="N125" i="3"/>
  <c r="K125" i="3"/>
  <c r="I125" i="3"/>
  <c r="G125" i="3" s="1"/>
  <c r="F125" i="3"/>
  <c r="N124" i="3"/>
  <c r="K124" i="3"/>
  <c r="I124" i="3"/>
  <c r="G124" i="3" s="1"/>
  <c r="F124" i="3"/>
  <c r="N123" i="3"/>
  <c r="K123" i="3"/>
  <c r="I123" i="3"/>
  <c r="G123" i="3" s="1"/>
  <c r="F123" i="3"/>
  <c r="C548" i="3" l="1"/>
  <c r="P547" i="3"/>
  <c r="N547" i="3"/>
  <c r="K551" i="7" s="1"/>
  <c r="K547" i="3"/>
  <c r="I547" i="3"/>
  <c r="G547" i="3" s="1"/>
  <c r="R529" i="7"/>
  <c r="B530" i="7"/>
  <c r="P235" i="3"/>
  <c r="P418" i="3"/>
  <c r="N418" i="3"/>
  <c r="K418" i="3"/>
  <c r="I418" i="3"/>
  <c r="G418" i="3" s="1"/>
  <c r="I235" i="3"/>
  <c r="G235" i="3" s="1"/>
  <c r="N235" i="3"/>
  <c r="K235" i="3"/>
  <c r="N122" i="3"/>
  <c r="K122" i="3"/>
  <c r="I122" i="3"/>
  <c r="G122" i="3" s="1"/>
  <c r="F122" i="3"/>
  <c r="N121" i="3"/>
  <c r="I121" i="3"/>
  <c r="G121" i="3" s="1"/>
  <c r="F121" i="3"/>
  <c r="N120" i="3"/>
  <c r="I120" i="3"/>
  <c r="G120" i="3" s="1"/>
  <c r="F120" i="3"/>
  <c r="B531" i="7" l="1"/>
  <c r="R530" i="7"/>
  <c r="C549" i="3"/>
  <c r="P548" i="3"/>
  <c r="N548" i="3"/>
  <c r="K552" i="7" s="1"/>
  <c r="K548" i="3"/>
  <c r="I548" i="3"/>
  <c r="G548" i="3" s="1"/>
  <c r="N119" i="3"/>
  <c r="I119" i="3"/>
  <c r="G119" i="3" s="1"/>
  <c r="F119" i="3"/>
  <c r="J118" i="3"/>
  <c r="J119" i="3" s="1"/>
  <c r="J120" i="3" s="1"/>
  <c r="J121" i="3" s="1"/>
  <c r="J122" i="3" s="1"/>
  <c r="J123" i="3" s="1"/>
  <c r="J124" i="3" s="1"/>
  <c r="J125" i="3" s="1"/>
  <c r="J126" i="3" s="1"/>
  <c r="J127" i="3" s="1"/>
  <c r="J128" i="3" s="1"/>
  <c r="J129" i="3" s="1"/>
  <c r="J130" i="3" s="1"/>
  <c r="J131" i="3" s="1"/>
  <c r="J132" i="3" s="1"/>
  <c r="J133" i="3" s="1"/>
  <c r="J134" i="3" s="1"/>
  <c r="J135" i="3" s="1"/>
  <c r="J136" i="3" s="1"/>
  <c r="J137" i="3" s="1"/>
  <c r="J138" i="3" s="1"/>
  <c r="J139" i="3" s="1"/>
  <c r="J140" i="3" s="1"/>
  <c r="K141" i="3" s="1"/>
  <c r="K142" i="3" s="1"/>
  <c r="K143" i="3" s="1"/>
  <c r="K144" i="3" s="1"/>
  <c r="P8" i="1"/>
  <c r="N118" i="3"/>
  <c r="I118" i="3"/>
  <c r="G118" i="3" s="1"/>
  <c r="F118" i="3"/>
  <c r="N117" i="3"/>
  <c r="K117" i="3"/>
  <c r="I117" i="3"/>
  <c r="G117" i="3" s="1"/>
  <c r="F117" i="3"/>
  <c r="N116" i="3"/>
  <c r="K116" i="3"/>
  <c r="I116" i="3"/>
  <c r="G116" i="3" s="1"/>
  <c r="F116" i="3"/>
  <c r="N115" i="3"/>
  <c r="K115" i="3"/>
  <c r="I115" i="3"/>
  <c r="G115" i="3" s="1"/>
  <c r="F115" i="3"/>
  <c r="N114" i="3"/>
  <c r="K114" i="3"/>
  <c r="I114" i="3"/>
  <c r="G114" i="3" s="1"/>
  <c r="F114" i="3"/>
  <c r="N113" i="3"/>
  <c r="K113" i="3"/>
  <c r="I113" i="3"/>
  <c r="G113" i="3" s="1"/>
  <c r="F113" i="3"/>
  <c r="N112" i="3"/>
  <c r="K112" i="3"/>
  <c r="I112" i="3"/>
  <c r="G112" i="3" s="1"/>
  <c r="F112" i="3"/>
  <c r="N111" i="3"/>
  <c r="K111" i="3"/>
  <c r="I111" i="3"/>
  <c r="G111" i="3" s="1"/>
  <c r="F111" i="3"/>
  <c r="N110" i="3"/>
  <c r="K110" i="3"/>
  <c r="I110" i="3"/>
  <c r="G110" i="3" s="1"/>
  <c r="F110" i="3"/>
  <c r="N109" i="3"/>
  <c r="K109" i="3"/>
  <c r="I109" i="3"/>
  <c r="G109" i="3" s="1"/>
  <c r="F109" i="3"/>
  <c r="N108" i="3"/>
  <c r="K108" i="3"/>
  <c r="I108" i="3"/>
  <c r="G108" i="3" s="1"/>
  <c r="F108" i="3"/>
  <c r="N107" i="3"/>
  <c r="F107" i="3"/>
  <c r="K107" i="3"/>
  <c r="I107" i="3"/>
  <c r="G107" i="3" s="1"/>
  <c r="N106" i="3"/>
  <c r="K106" i="3"/>
  <c r="I106" i="3"/>
  <c r="G106" i="3" s="1"/>
  <c r="F106" i="3"/>
  <c r="N105" i="3"/>
  <c r="K105" i="3"/>
  <c r="I105" i="3"/>
  <c r="G105" i="3" s="1"/>
  <c r="F105" i="3"/>
  <c r="C550" i="3" l="1"/>
  <c r="P549" i="3"/>
  <c r="N549" i="3"/>
  <c r="K553" i="7" s="1"/>
  <c r="K549" i="3"/>
  <c r="I549" i="3"/>
  <c r="G549" i="3" s="1"/>
  <c r="B532" i="7"/>
  <c r="R531" i="7"/>
  <c r="N104" i="3"/>
  <c r="K104" i="3"/>
  <c r="I104" i="3"/>
  <c r="G104" i="3" s="1"/>
  <c r="F104" i="3"/>
  <c r="N103" i="3"/>
  <c r="I103" i="3"/>
  <c r="G103" i="3" s="1"/>
  <c r="F103" i="3"/>
  <c r="N102" i="3"/>
  <c r="I102" i="3"/>
  <c r="G102" i="3" s="1"/>
  <c r="F102" i="3"/>
  <c r="N101" i="3"/>
  <c r="I101" i="3"/>
  <c r="G101" i="3" s="1"/>
  <c r="F101" i="3"/>
  <c r="Q21" i="3"/>
  <c r="Q20" i="3"/>
  <c r="R532" i="7" l="1"/>
  <c r="B533" i="7"/>
  <c r="P550" i="3"/>
  <c r="N550" i="3"/>
  <c r="K554" i="7" s="1"/>
  <c r="K550" i="3"/>
  <c r="I550" i="3"/>
  <c r="G550" i="3" s="1"/>
  <c r="C551" i="3"/>
  <c r="M22" i="11" s="1"/>
  <c r="L15" i="11" l="1"/>
  <c r="P15" i="11" s="1"/>
  <c r="M9" i="11"/>
  <c r="Q9" i="11" s="1"/>
  <c r="M17" i="11"/>
  <c r="Q17" i="11" s="1"/>
  <c r="L10" i="11"/>
  <c r="P10" i="11" s="1"/>
  <c r="L25" i="11"/>
  <c r="P25" i="11" s="1"/>
  <c r="M18" i="11"/>
  <c r="Q18" i="11" s="1"/>
  <c r="M5" i="11"/>
  <c r="Q5" i="11" s="1"/>
  <c r="L11" i="11"/>
  <c r="P11" i="11" s="1"/>
  <c r="L19" i="11"/>
  <c r="P19" i="11" s="1"/>
  <c r="L6" i="11"/>
  <c r="P6" i="11" s="1"/>
  <c r="M13" i="11"/>
  <c r="Q13" i="11" s="1"/>
  <c r="M21" i="11"/>
  <c r="Q21" i="11" s="1"/>
  <c r="L18" i="11"/>
  <c r="P18" i="11" s="1"/>
  <c r="M10" i="11"/>
  <c r="Q10" i="11" s="1"/>
  <c r="L14" i="11"/>
  <c r="P14" i="11" s="1"/>
  <c r="L22" i="11"/>
  <c r="P22" i="11" s="1"/>
  <c r="M7" i="11"/>
  <c r="Q7" i="11" s="1"/>
  <c r="L23" i="11"/>
  <c r="P23" i="11" s="1"/>
  <c r="M6" i="11"/>
  <c r="Q6" i="11" s="1"/>
  <c r="L7" i="11"/>
  <c r="P7" i="11" s="1"/>
  <c r="M14" i="11"/>
  <c r="Q14" i="11" s="1"/>
  <c r="M25" i="11"/>
  <c r="Q25" i="11" s="1"/>
  <c r="M15" i="11"/>
  <c r="Q15" i="11" s="1"/>
  <c r="M19" i="11"/>
  <c r="Q19" i="11" s="1"/>
  <c r="M23" i="11"/>
  <c r="Q23" i="11" s="1"/>
  <c r="L4" i="11"/>
  <c r="P4" i="11" s="1"/>
  <c r="L8" i="11"/>
  <c r="P8" i="11" s="1"/>
  <c r="L12" i="11"/>
  <c r="P12" i="11" s="1"/>
  <c r="L16" i="11"/>
  <c r="P16" i="11" s="1"/>
  <c r="L20" i="11"/>
  <c r="P20" i="11" s="1"/>
  <c r="L24" i="11"/>
  <c r="P24" i="11" s="1"/>
  <c r="K24" i="1"/>
  <c r="R533" i="7"/>
  <c r="B534" i="7"/>
  <c r="M11" i="11"/>
  <c r="Q11" i="11" s="1"/>
  <c r="M4" i="11"/>
  <c r="Q4" i="11" s="1"/>
  <c r="M8" i="11"/>
  <c r="Q8" i="11" s="1"/>
  <c r="M12" i="11"/>
  <c r="Q12" i="11" s="1"/>
  <c r="M16" i="11"/>
  <c r="Q16" i="11" s="1"/>
  <c r="M20" i="11"/>
  <c r="Q20" i="11" s="1"/>
  <c r="M24" i="11"/>
  <c r="Q24" i="11" s="1"/>
  <c r="L5" i="11"/>
  <c r="P5" i="11" s="1"/>
  <c r="L9" i="11"/>
  <c r="P9" i="11" s="1"/>
  <c r="L13" i="11"/>
  <c r="P13" i="11" s="1"/>
  <c r="L17" i="11"/>
  <c r="P17" i="11" s="1"/>
  <c r="L21" i="11"/>
  <c r="P21" i="11" s="1"/>
  <c r="K551" i="3"/>
  <c r="C552" i="3"/>
  <c r="P551" i="3"/>
  <c r="N551" i="3"/>
  <c r="K555" i="7" s="1"/>
  <c r="I551" i="3"/>
  <c r="G551" i="3" s="1"/>
  <c r="L26" i="11"/>
  <c r="P26" i="11" s="1"/>
  <c r="M26" i="11"/>
  <c r="Q26" i="11" s="1"/>
  <c r="J6" i="1"/>
  <c r="J7" i="1"/>
  <c r="Q22" i="11"/>
  <c r="B535" i="7" l="1"/>
  <c r="R534" i="7"/>
  <c r="L35" i="11"/>
  <c r="P35" i="11" s="1"/>
  <c r="M35" i="11"/>
  <c r="Q35" i="11" s="1"/>
  <c r="M34" i="11"/>
  <c r="Q34" i="11" s="1"/>
  <c r="L34" i="11"/>
  <c r="P34" i="11" s="1"/>
  <c r="J14" i="1"/>
  <c r="C3" i="9"/>
  <c r="J100" i="3"/>
  <c r="J101" i="3" s="1"/>
  <c r="J102" i="3" s="1"/>
  <c r="J103" i="3" s="1"/>
  <c r="J104" i="3" s="1"/>
  <c r="J105" i="3" s="1"/>
  <c r="J106" i="3" s="1"/>
  <c r="J107" i="3" s="1"/>
  <c r="J108" i="3" s="1"/>
  <c r="J109" i="3" s="1"/>
  <c r="J110" i="3" s="1"/>
  <c r="J111" i="3" s="1"/>
  <c r="J112" i="3" s="1"/>
  <c r="J113" i="3" s="1"/>
  <c r="J114" i="3" s="1"/>
  <c r="J115" i="3" s="1"/>
  <c r="J116" i="3" s="1"/>
  <c r="J117" i="3" s="1"/>
  <c r="K118" i="3" s="1"/>
  <c r="K119" i="3" s="1"/>
  <c r="K120" i="3" s="1"/>
  <c r="K121" i="3" s="1"/>
  <c r="N100" i="3"/>
  <c r="I100" i="3"/>
  <c r="G100" i="3" s="1"/>
  <c r="F100" i="3"/>
  <c r="B536" i="7" l="1"/>
  <c r="R535" i="7"/>
  <c r="N99" i="3"/>
  <c r="K99" i="3"/>
  <c r="I99" i="3"/>
  <c r="G99" i="3" s="1"/>
  <c r="F99" i="3"/>
  <c r="N98" i="3"/>
  <c r="K98" i="3"/>
  <c r="I98" i="3"/>
  <c r="G98" i="3" s="1"/>
  <c r="F98" i="3"/>
  <c r="B537" i="7" l="1"/>
  <c r="R536" i="7"/>
  <c r="N97" i="3"/>
  <c r="K97" i="3"/>
  <c r="I97" i="3"/>
  <c r="G97" i="3" s="1"/>
  <c r="F97" i="3"/>
  <c r="N96" i="3"/>
  <c r="K96" i="3"/>
  <c r="I96" i="3"/>
  <c r="G96" i="3" s="1"/>
  <c r="F96" i="3"/>
  <c r="N95" i="3"/>
  <c r="K95" i="3"/>
  <c r="I95" i="3"/>
  <c r="G95" i="3" s="1"/>
  <c r="F95" i="3"/>
  <c r="N94" i="3"/>
  <c r="K94" i="3"/>
  <c r="I94" i="3"/>
  <c r="G94" i="3" s="1"/>
  <c r="F94" i="3"/>
  <c r="B538" i="7" l="1"/>
  <c r="R537" i="7"/>
  <c r="N93" i="3"/>
  <c r="K93" i="3"/>
  <c r="I93" i="3"/>
  <c r="G93" i="3" s="1"/>
  <c r="F93" i="3"/>
  <c r="N92" i="3"/>
  <c r="K92" i="3"/>
  <c r="I92" i="3"/>
  <c r="G92" i="3" s="1"/>
  <c r="F92" i="3"/>
  <c r="N91" i="3"/>
  <c r="K91" i="3"/>
  <c r="I91" i="3"/>
  <c r="G91" i="3" s="1"/>
  <c r="F91" i="3"/>
  <c r="N90" i="3"/>
  <c r="K90" i="3"/>
  <c r="I90" i="3"/>
  <c r="G90" i="3" s="1"/>
  <c r="F90" i="3"/>
  <c r="N89" i="3"/>
  <c r="K89" i="3"/>
  <c r="I89" i="3"/>
  <c r="G89" i="3" s="1"/>
  <c r="F89" i="3"/>
  <c r="N88" i="3"/>
  <c r="K88" i="3"/>
  <c r="I88" i="3"/>
  <c r="G88" i="3" s="1"/>
  <c r="F88" i="3"/>
  <c r="N87" i="3"/>
  <c r="B539" i="7" l="1"/>
  <c r="R538" i="7"/>
  <c r="K87" i="3"/>
  <c r="I87" i="3"/>
  <c r="G87" i="3" s="1"/>
  <c r="F87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86" i="3"/>
  <c r="I85" i="3"/>
  <c r="G85" i="3" s="1"/>
  <c r="I84" i="3"/>
  <c r="G84" i="3" s="1"/>
  <c r="I83" i="3"/>
  <c r="G83" i="3" s="1"/>
  <c r="I82" i="3"/>
  <c r="G82" i="3" s="1"/>
  <c r="I81" i="3"/>
  <c r="G81" i="3" s="1"/>
  <c r="I80" i="3"/>
  <c r="G80" i="3" s="1"/>
  <c r="I79" i="3"/>
  <c r="G79" i="3" s="1"/>
  <c r="I78" i="3"/>
  <c r="G78" i="3" s="1"/>
  <c r="I77" i="3"/>
  <c r="G77" i="3" s="1"/>
  <c r="I76" i="3"/>
  <c r="G76" i="3" s="1"/>
  <c r="I75" i="3"/>
  <c r="G75" i="3" s="1"/>
  <c r="I74" i="3"/>
  <c r="G74" i="3" s="1"/>
  <c r="I73" i="3"/>
  <c r="G73" i="3" s="1"/>
  <c r="I72" i="3"/>
  <c r="G72" i="3" s="1"/>
  <c r="I71" i="3"/>
  <c r="G71" i="3" s="1"/>
  <c r="I70" i="3"/>
  <c r="G70" i="3" s="1"/>
  <c r="I69" i="3"/>
  <c r="G69" i="3" s="1"/>
  <c r="I68" i="3"/>
  <c r="G68" i="3" s="1"/>
  <c r="I67" i="3"/>
  <c r="G67" i="3" s="1"/>
  <c r="I66" i="3"/>
  <c r="G66" i="3" s="1"/>
  <c r="I65" i="3"/>
  <c r="G65" i="3" s="1"/>
  <c r="I64" i="3"/>
  <c r="G64" i="3" s="1"/>
  <c r="I63" i="3"/>
  <c r="G63" i="3" s="1"/>
  <c r="I62" i="3"/>
  <c r="G62" i="3" s="1"/>
  <c r="I61" i="3"/>
  <c r="G61" i="3" s="1"/>
  <c r="I60" i="3"/>
  <c r="G60" i="3" s="1"/>
  <c r="I59" i="3"/>
  <c r="G59" i="3" s="1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86" i="3"/>
  <c r="G86" i="3" s="1"/>
  <c r="K86" i="3"/>
  <c r="F86" i="3"/>
  <c r="K85" i="3"/>
  <c r="F85" i="3"/>
  <c r="K84" i="3"/>
  <c r="F84" i="3"/>
  <c r="K83" i="3"/>
  <c r="F83" i="3"/>
  <c r="K82" i="3"/>
  <c r="F82" i="3"/>
  <c r="F81" i="3"/>
  <c r="F80" i="3"/>
  <c r="F79" i="3"/>
  <c r="J78" i="3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K100" i="3" s="1"/>
  <c r="K101" i="3" s="1"/>
  <c r="K102" i="3" s="1"/>
  <c r="K103" i="3" s="1"/>
  <c r="F78" i="3"/>
  <c r="K77" i="3"/>
  <c r="F77" i="3"/>
  <c r="K76" i="3"/>
  <c r="F76" i="3"/>
  <c r="K75" i="3"/>
  <c r="F75" i="3"/>
  <c r="K74" i="3"/>
  <c r="F74" i="3"/>
  <c r="F73" i="3"/>
  <c r="K73" i="3"/>
  <c r="K72" i="3"/>
  <c r="F72" i="3"/>
  <c r="K71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F59" i="3"/>
  <c r="R539" i="7" l="1"/>
  <c r="B540" i="7"/>
  <c r="G58" i="3"/>
  <c r="F58" i="3"/>
  <c r="G57" i="3"/>
  <c r="F57" i="3"/>
  <c r="J56" i="3"/>
  <c r="J57" i="3" s="1"/>
  <c r="J58" i="3" s="1"/>
  <c r="J59" i="3" s="1"/>
  <c r="J60" i="3" s="1"/>
  <c r="J61" i="3" s="1"/>
  <c r="J62" i="3" s="1"/>
  <c r="J63" i="3" s="1"/>
  <c r="J64" i="3" s="1"/>
  <c r="J65" i="3" s="1"/>
  <c r="J66" i="3" s="1"/>
  <c r="J67" i="3" s="1"/>
  <c r="J68" i="3" s="1"/>
  <c r="J69" i="3" s="1"/>
  <c r="J70" i="3" s="1"/>
  <c r="J71" i="3" s="1"/>
  <c r="J72" i="3" s="1"/>
  <c r="J73" i="3" s="1"/>
  <c r="J74" i="3" s="1"/>
  <c r="J75" i="3" s="1"/>
  <c r="J76" i="3" s="1"/>
  <c r="J77" i="3" s="1"/>
  <c r="K78" i="3" s="1"/>
  <c r="K79" i="3" s="1"/>
  <c r="K80" i="3" s="1"/>
  <c r="K81" i="3" s="1"/>
  <c r="G56" i="3"/>
  <c r="F56" i="3"/>
  <c r="K55" i="3"/>
  <c r="G55" i="3"/>
  <c r="F55" i="3"/>
  <c r="K54" i="3"/>
  <c r="G54" i="3"/>
  <c r="F54" i="3"/>
  <c r="K53" i="3"/>
  <c r="G53" i="3"/>
  <c r="F53" i="3"/>
  <c r="K52" i="3"/>
  <c r="G52" i="3"/>
  <c r="F52" i="3"/>
  <c r="K51" i="3"/>
  <c r="G51" i="3"/>
  <c r="F51" i="3"/>
  <c r="K50" i="3"/>
  <c r="G50" i="3"/>
  <c r="F50" i="3"/>
  <c r="B541" i="7" l="1"/>
  <c r="R540" i="7"/>
  <c r="K49" i="3"/>
  <c r="G49" i="3"/>
  <c r="F49" i="3"/>
  <c r="K48" i="3"/>
  <c r="G48" i="3"/>
  <c r="F48" i="3"/>
  <c r="K47" i="3"/>
  <c r="G47" i="3"/>
  <c r="F47" i="3"/>
  <c r="P10" i="1"/>
  <c r="K46" i="3"/>
  <c r="F46" i="3"/>
  <c r="K45" i="3"/>
  <c r="G45" i="3"/>
  <c r="F45" i="3"/>
  <c r="K44" i="3"/>
  <c r="G44" i="3"/>
  <c r="F44" i="3"/>
  <c r="K43" i="3"/>
  <c r="G43" i="3"/>
  <c r="F43" i="3"/>
  <c r="K42" i="3"/>
  <c r="G42" i="3"/>
  <c r="F42" i="3"/>
  <c r="K41" i="3"/>
  <c r="G41" i="3"/>
  <c r="F41" i="3"/>
  <c r="K40" i="3"/>
  <c r="G40" i="3"/>
  <c r="F40" i="3"/>
  <c r="P13" i="1"/>
  <c r="G39" i="3"/>
  <c r="F39" i="3"/>
  <c r="G38" i="3"/>
  <c r="F38" i="3"/>
  <c r="B542" i="7" l="1"/>
  <c r="R541" i="7"/>
  <c r="G13" i="1"/>
  <c r="G37" i="3"/>
  <c r="F37" i="3"/>
  <c r="B543" i="7" l="1"/>
  <c r="R542" i="7"/>
  <c r="J36" i="3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K56" i="3" s="1"/>
  <c r="K57" i="3" s="1"/>
  <c r="K58" i="3" s="1"/>
  <c r="K59" i="3" s="1"/>
  <c r="G36" i="3"/>
  <c r="F36" i="3"/>
  <c r="F35" i="3"/>
  <c r="F34" i="3"/>
  <c r="K35" i="3"/>
  <c r="G35" i="3"/>
  <c r="K34" i="3"/>
  <c r="G34" i="3"/>
  <c r="K33" i="3"/>
  <c r="G33" i="3"/>
  <c r="F33" i="3"/>
  <c r="K32" i="3"/>
  <c r="G32" i="3"/>
  <c r="F32" i="3"/>
  <c r="K31" i="3"/>
  <c r="F31" i="3"/>
  <c r="G31" i="3"/>
  <c r="K30" i="3"/>
  <c r="G30" i="3"/>
  <c r="F30" i="3"/>
  <c r="K29" i="3"/>
  <c r="G29" i="3"/>
  <c r="F29" i="3"/>
  <c r="B544" i="7" l="1"/>
  <c r="R543" i="7"/>
  <c r="K28" i="3"/>
  <c r="G28" i="3"/>
  <c r="F28" i="3"/>
  <c r="K27" i="3"/>
  <c r="F27" i="3"/>
  <c r="G27" i="3"/>
  <c r="K26" i="3"/>
  <c r="G26" i="3"/>
  <c r="F26" i="3"/>
  <c r="K25" i="3"/>
  <c r="G25" i="3"/>
  <c r="F24" i="3"/>
  <c r="F25" i="3"/>
  <c r="K24" i="3"/>
  <c r="G24" i="3"/>
  <c r="K23" i="3"/>
  <c r="F23" i="3"/>
  <c r="G23" i="3"/>
  <c r="K22" i="3"/>
  <c r="G22" i="3"/>
  <c r="F21" i="3"/>
  <c r="F22" i="3"/>
  <c r="F20" i="3"/>
  <c r="R22" i="1"/>
  <c r="S23" i="1" s="1"/>
  <c r="K14" i="3"/>
  <c r="K15" i="3"/>
  <c r="K20" i="3"/>
  <c r="K21" i="3"/>
  <c r="P14" i="1"/>
  <c r="P12" i="1"/>
  <c r="G21" i="3"/>
  <c r="R544" i="7" l="1"/>
  <c r="B545" i="7"/>
  <c r="G20" i="3"/>
  <c r="F19" i="3"/>
  <c r="G19" i="3"/>
  <c r="R545" i="7" l="1"/>
  <c r="B546" i="7"/>
  <c r="F18" i="3"/>
  <c r="F17" i="3"/>
  <c r="G18" i="3"/>
  <c r="G17" i="3"/>
  <c r="G8" i="1"/>
  <c r="G16" i="3"/>
  <c r="F16" i="3"/>
  <c r="J16" i="3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K36" i="3" s="1"/>
  <c r="K37" i="3" s="1"/>
  <c r="K38" i="3" s="1"/>
  <c r="K39" i="3" s="1"/>
  <c r="G15" i="3"/>
  <c r="G14" i="3"/>
  <c r="G25" i="1"/>
  <c r="G24" i="1"/>
  <c r="R546" i="7" l="1"/>
  <c r="B547" i="7"/>
  <c r="F15" i="3"/>
  <c r="R547" i="7" l="1"/>
  <c r="B548" i="7"/>
  <c r="K7" i="1"/>
  <c r="J15" i="3"/>
  <c r="K6" i="1"/>
  <c r="L6" i="1" s="1"/>
  <c r="M6" i="1" s="1"/>
  <c r="G14" i="1"/>
  <c r="G12" i="1"/>
  <c r="G10" i="1"/>
  <c r="G9" i="1"/>
  <c r="G7" i="1"/>
  <c r="G6" i="1"/>
  <c r="G5" i="1"/>
  <c r="G4" i="1"/>
  <c r="K4" i="1"/>
  <c r="R548" i="7" l="1"/>
  <c r="B549" i="7"/>
  <c r="K19" i="1"/>
  <c r="K16" i="3"/>
  <c r="K17" i="3" s="1"/>
  <c r="K18" i="3" s="1"/>
  <c r="K19" i="3" s="1"/>
  <c r="F14" i="3"/>
  <c r="B550" i="7" l="1"/>
  <c r="R549" i="7"/>
  <c r="L9" i="1"/>
  <c r="M9" i="1" s="1"/>
  <c r="L7" i="1"/>
  <c r="M7" i="1" s="1"/>
  <c r="A5" i="1"/>
  <c r="A6" i="1" s="1"/>
  <c r="A7" i="1" s="1"/>
  <c r="A8" i="1" s="1"/>
  <c r="A9" i="1" s="1"/>
  <c r="A10" i="1" s="1"/>
  <c r="A12" i="1" s="1"/>
  <c r="A13" i="1" s="1"/>
  <c r="B551" i="7" l="1"/>
  <c r="R550" i="7"/>
  <c r="K22" i="1"/>
  <c r="B552" i="7" l="1"/>
  <c r="R551" i="7"/>
  <c r="G46" i="3"/>
  <c r="B553" i="7" l="1"/>
  <c r="R552" i="7"/>
  <c r="L14" i="1"/>
  <c r="M14" i="1" s="1"/>
  <c r="R553" i="7" l="1"/>
  <c r="B554" i="7"/>
  <c r="M41" i="3"/>
  <c r="B555" i="7" l="1"/>
  <c r="R555" i="7" s="1"/>
  <c r="R554" i="7"/>
  <c r="M42" i="3"/>
  <c r="M43" i="3" l="1"/>
  <c r="M44" i="3" l="1"/>
  <c r="M45" i="3" l="1"/>
  <c r="M46" i="3" l="1"/>
  <c r="M47" i="3" l="1"/>
  <c r="M48" i="3" l="1"/>
  <c r="M49" i="3" l="1"/>
  <c r="M50" i="3" l="1"/>
  <c r="M51" i="3" l="1"/>
  <c r="M52" i="3" l="1"/>
  <c r="M53" i="3" l="1"/>
  <c r="M54" i="3" l="1"/>
  <c r="M55" i="3" l="1"/>
  <c r="M56" i="3" l="1"/>
  <c r="M57" i="3" l="1"/>
  <c r="M58" i="3" l="1"/>
  <c r="M59" i="3" l="1"/>
  <c r="M60" i="3" l="1"/>
  <c r="M61" i="3" l="1"/>
  <c r="M62" i="3" l="1"/>
  <c r="M63" i="3" l="1"/>
  <c r="M64" i="3" l="1"/>
  <c r="M65" i="3" l="1"/>
  <c r="M66" i="3" l="1"/>
  <c r="M67" i="3" l="1"/>
  <c r="M68" i="3" l="1"/>
  <c r="M69" i="3" l="1"/>
  <c r="M70" i="3" l="1"/>
  <c r="M71" i="3" l="1"/>
  <c r="M72" i="3" l="1"/>
  <c r="M73" i="3" l="1"/>
  <c r="M74" i="3" l="1"/>
  <c r="M75" i="3" l="1"/>
  <c r="M76" i="3" l="1"/>
  <c r="M77" i="3" l="1"/>
  <c r="M78" i="3" l="1"/>
  <c r="M79" i="3" l="1"/>
  <c r="M80" i="3" l="1"/>
  <c r="M81" i="3" l="1"/>
  <c r="M83" i="3" l="1"/>
  <c r="M82" i="3"/>
  <c r="M84" i="3" l="1"/>
  <c r="M85" i="3" l="1"/>
  <c r="M86" i="3" l="1"/>
  <c r="M87" i="3" l="1"/>
  <c r="M88" i="3" l="1"/>
  <c r="M89" i="3" l="1"/>
  <c r="M90" i="3" l="1"/>
  <c r="M91" i="3" l="1"/>
  <c r="M92" i="3" l="1"/>
  <c r="M93" i="3" l="1"/>
  <c r="M94" i="3" l="1"/>
  <c r="M95" i="3" l="1"/>
  <c r="M96" i="3" l="1"/>
  <c r="M97" i="3" l="1"/>
  <c r="M98" i="3" l="1"/>
  <c r="M99" i="3" l="1"/>
  <c r="M100" i="3" l="1"/>
  <c r="M101" i="3" l="1"/>
  <c r="M102" i="3" l="1"/>
  <c r="M103" i="3" l="1"/>
  <c r="M104" i="3" l="1"/>
  <c r="M105" i="3" l="1"/>
  <c r="M106" i="3" l="1"/>
  <c r="M107" i="3" l="1"/>
  <c r="M108" i="3" l="1"/>
  <c r="M109" i="3" l="1"/>
  <c r="M110" i="3" l="1"/>
  <c r="M111" i="3" l="1"/>
  <c r="M112" i="3" l="1"/>
  <c r="M113" i="3" l="1"/>
  <c r="M114" i="3" l="1"/>
  <c r="M115" i="3" l="1"/>
  <c r="M116" i="3" l="1"/>
  <c r="M117" i="3" l="1"/>
  <c r="M118" i="3" l="1"/>
  <c r="M119" i="3" l="1"/>
  <c r="M120" i="3" l="1"/>
  <c r="M121" i="3" l="1"/>
  <c r="M122" i="3" l="1"/>
  <c r="M123" i="3" l="1"/>
  <c r="M124" i="3" l="1"/>
  <c r="M125" i="3" l="1"/>
  <c r="M126" i="3" l="1"/>
  <c r="M127" i="3" l="1"/>
  <c r="M128" i="3" l="1"/>
  <c r="M129" i="3" l="1"/>
  <c r="M130" i="3" l="1"/>
  <c r="M131" i="3" l="1"/>
  <c r="M132" i="3" l="1"/>
  <c r="M133" i="3" l="1"/>
  <c r="M134" i="3" l="1"/>
  <c r="M135" i="3" l="1"/>
  <c r="M136" i="3" l="1"/>
  <c r="M137" i="3" l="1"/>
  <c r="M138" i="3" l="1"/>
  <c r="M139" i="3" l="1"/>
  <c r="M140" i="3" l="1"/>
  <c r="M141" i="3" l="1"/>
  <c r="M142" i="3" l="1"/>
  <c r="M143" i="3" l="1"/>
  <c r="M144" i="3" l="1"/>
  <c r="M145" i="3" l="1"/>
  <c r="M146" i="3" l="1"/>
  <c r="M147" i="3" l="1"/>
  <c r="M148" i="3" l="1"/>
  <c r="M149" i="3" l="1"/>
  <c r="M150" i="3" l="1"/>
  <c r="M151" i="3" l="1"/>
  <c r="M152" i="3" l="1"/>
  <c r="M153" i="3" l="1"/>
  <c r="M154" i="3" l="1"/>
  <c r="M155" i="3" l="1"/>
  <c r="M156" i="3" l="1"/>
  <c r="M157" i="3" l="1"/>
  <c r="M158" i="3" l="1"/>
  <c r="M159" i="3" l="1"/>
  <c r="M160" i="3" l="1"/>
  <c r="M161" i="3" l="1"/>
  <c r="M162" i="3" l="1"/>
  <c r="M163" i="3" l="1"/>
  <c r="M164" i="3" l="1"/>
  <c r="M165" i="3" l="1"/>
  <c r="M166" i="3" l="1"/>
  <c r="M167" i="3" l="1"/>
  <c r="M168" i="3" l="1"/>
  <c r="M169" i="3" l="1"/>
  <c r="M170" i="3" l="1"/>
  <c r="M171" i="3" l="1"/>
  <c r="M172" i="3" l="1"/>
  <c r="M173" i="3" l="1"/>
  <c r="M174" i="3" l="1"/>
  <c r="M175" i="3" l="1"/>
  <c r="M176" i="3" l="1"/>
  <c r="M177" i="3" l="1"/>
  <c r="M178" i="3" l="1"/>
  <c r="M179" i="3" l="1"/>
  <c r="M180" i="3" l="1"/>
  <c r="M181" i="3" l="1"/>
  <c r="M182" i="3" l="1"/>
  <c r="M183" i="3" l="1"/>
  <c r="M184" i="3"/>
  <c r="M185" i="3" l="1"/>
  <c r="M186" i="3" l="1"/>
  <c r="M187" i="3" l="1"/>
  <c r="M188" i="3" l="1"/>
  <c r="M189" i="3" l="1"/>
  <c r="M190" i="3" l="1"/>
  <c r="M191" i="3" l="1"/>
  <c r="M192" i="3" l="1"/>
  <c r="M193" i="3" l="1"/>
  <c r="M194" i="3" l="1"/>
  <c r="M195" i="3" l="1"/>
  <c r="M196" i="3" l="1"/>
  <c r="M197" i="3" l="1"/>
  <c r="M198" i="3" l="1"/>
  <c r="M199" i="3" l="1"/>
  <c r="M200" i="3" l="1"/>
  <c r="M201" i="3" l="1"/>
  <c r="M202" i="3" l="1"/>
  <c r="M203" i="3" l="1"/>
  <c r="M204" i="3" l="1"/>
  <c r="I199" i="3"/>
  <c r="G199" i="3" s="1"/>
  <c r="I195" i="3"/>
  <c r="G195" i="3" s="1"/>
  <c r="I191" i="3"/>
  <c r="G191" i="3" s="1"/>
  <c r="I187" i="3"/>
  <c r="G187" i="3" s="1"/>
  <c r="I197" i="3"/>
  <c r="G197" i="3" s="1"/>
  <c r="I193" i="3"/>
  <c r="G193" i="3" s="1"/>
  <c r="I202" i="3"/>
  <c r="I198" i="3"/>
  <c r="G198" i="3" s="1"/>
  <c r="I200" i="3"/>
  <c r="G200" i="3" s="1"/>
  <c r="I196" i="3"/>
  <c r="G196" i="3" s="1"/>
  <c r="I188" i="3"/>
  <c r="G188" i="3" s="1"/>
  <c r="I186" i="3"/>
  <c r="G186" i="3" s="1"/>
  <c r="I192" i="3"/>
  <c r="G192" i="3" s="1"/>
  <c r="I185" i="3"/>
  <c r="G185" i="3" s="1"/>
  <c r="I201" i="3"/>
  <c r="G201" i="3" s="1"/>
  <c r="I189" i="3"/>
  <c r="G189" i="3" s="1"/>
  <c r="I194" i="3"/>
  <c r="G194" i="3" s="1"/>
  <c r="I190" i="3"/>
  <c r="G190" i="3" s="1"/>
  <c r="I183" i="3"/>
  <c r="G183" i="3" s="1"/>
  <c r="I184" i="3"/>
  <c r="G184" i="3" s="1"/>
  <c r="I182" i="3"/>
  <c r="G182" i="3" s="1"/>
  <c r="M205" i="3" l="1"/>
  <c r="G202" i="3"/>
  <c r="M206" i="3" l="1"/>
  <c r="M207" i="3" l="1"/>
  <c r="M208" i="3" l="1"/>
  <c r="M209" i="3" l="1"/>
  <c r="M210" i="3" l="1"/>
  <c r="M211" i="3" l="1"/>
  <c r="M212" i="3" l="1"/>
  <c r="M213" i="3" l="1"/>
  <c r="M214" i="3" l="1"/>
  <c r="M215" i="3" l="1"/>
  <c r="M216" i="3" l="1"/>
  <c r="M217" i="3" l="1"/>
  <c r="M218" i="3" l="1"/>
  <c r="M219" i="3" l="1"/>
  <c r="M220" i="3" l="1"/>
  <c r="M221" i="3" l="1"/>
  <c r="M222" i="3" l="1"/>
  <c r="M223" i="3" l="1"/>
  <c r="M224" i="3" l="1"/>
  <c r="M225" i="3" l="1"/>
  <c r="M226" i="3" l="1"/>
  <c r="M228" i="3" l="1"/>
  <c r="M227" i="3"/>
  <c r="M229" i="3" l="1"/>
  <c r="M230" i="3" l="1"/>
  <c r="M231" i="3" l="1"/>
  <c r="M232" i="3" l="1"/>
  <c r="M233" i="3" l="1"/>
  <c r="M234" i="3" l="1"/>
  <c r="M235" i="3" l="1"/>
  <c r="M236" i="3" l="1"/>
  <c r="M237" i="3" l="1"/>
  <c r="M238" i="3" l="1"/>
  <c r="M239" i="3" l="1"/>
  <c r="M240" i="3" l="1"/>
  <c r="M241" i="3" l="1"/>
  <c r="M242" i="3" l="1"/>
  <c r="M243" i="3" l="1"/>
  <c r="M244" i="3" l="1"/>
  <c r="M245" i="3" l="1"/>
  <c r="M246" i="3" l="1"/>
  <c r="M247" i="3" l="1"/>
  <c r="M248" i="3" l="1"/>
  <c r="M249" i="3" l="1"/>
  <c r="M250" i="3" l="1"/>
  <c r="M251" i="3" l="1"/>
  <c r="M252" i="3" l="1"/>
  <c r="M253" i="3" l="1"/>
  <c r="M254" i="3" l="1"/>
  <c r="M255" i="3" l="1"/>
  <c r="M256" i="3" l="1"/>
  <c r="M257" i="3" l="1"/>
  <c r="M258" i="3" l="1"/>
  <c r="M259" i="3" l="1"/>
  <c r="M260" i="3" l="1"/>
  <c r="M261" i="3" l="1"/>
  <c r="M262" i="3" l="1"/>
  <c r="M263" i="3" l="1"/>
  <c r="M264" i="3" l="1"/>
  <c r="M265" i="3" l="1"/>
  <c r="M266" i="3" l="1"/>
  <c r="M267" i="3" l="1"/>
  <c r="M268" i="3" l="1"/>
  <c r="M269" i="3" l="1"/>
  <c r="M270" i="3" l="1"/>
  <c r="M271" i="3" l="1"/>
  <c r="M272" i="3" l="1"/>
  <c r="M273" i="3" l="1"/>
  <c r="M274" i="3" l="1"/>
  <c r="M275" i="3" l="1"/>
  <c r="M276" i="3" l="1"/>
  <c r="M277" i="3" l="1"/>
  <c r="M278" i="3" l="1"/>
  <c r="M279" i="3" l="1"/>
  <c r="M280" i="3" l="1"/>
  <c r="M281" i="3" l="1"/>
  <c r="M282" i="3" l="1"/>
  <c r="M283" i="3" l="1"/>
  <c r="M284" i="3" l="1"/>
  <c r="M285" i="3" l="1"/>
  <c r="M286" i="3" l="1"/>
  <c r="M287" i="3" l="1"/>
  <c r="M288" i="3" l="1"/>
  <c r="M289" i="3" l="1"/>
  <c r="M290" i="3" l="1"/>
  <c r="M291" i="3" l="1"/>
  <c r="M292" i="3" l="1"/>
  <c r="M293" i="3" l="1"/>
  <c r="M294" i="3" l="1"/>
  <c r="M295" i="3" l="1"/>
  <c r="M296" i="3" l="1"/>
  <c r="M297" i="3" l="1"/>
  <c r="M298" i="3" l="1"/>
  <c r="M299" i="3" l="1"/>
  <c r="M300" i="3" l="1"/>
  <c r="M301" i="3" l="1"/>
  <c r="M302" i="3" l="1"/>
  <c r="M303" i="3" l="1"/>
  <c r="M304" i="3" l="1"/>
  <c r="M305" i="3" l="1"/>
  <c r="M306" i="3" l="1"/>
  <c r="M307" i="3" l="1"/>
  <c r="M308" i="3" l="1"/>
  <c r="M309" i="3" l="1"/>
  <c r="M310" i="3" l="1"/>
  <c r="M311" i="3" l="1"/>
  <c r="M312" i="3" l="1"/>
  <c r="M313" i="3" l="1"/>
  <c r="M314" i="3" l="1"/>
  <c r="M315" i="3" l="1"/>
  <c r="M316" i="3" l="1"/>
  <c r="M317" i="3" l="1"/>
  <c r="M318" i="3" l="1"/>
  <c r="M319" i="3" l="1"/>
  <c r="M320" i="3" l="1"/>
  <c r="M321" i="3" l="1"/>
  <c r="M322" i="3" l="1"/>
  <c r="M323" i="3" l="1"/>
  <c r="M324" i="3" l="1"/>
  <c r="M325" i="3" l="1"/>
  <c r="M326" i="3" l="1"/>
  <c r="M327" i="3" l="1"/>
  <c r="M328" i="3" l="1"/>
  <c r="M329" i="3" l="1"/>
  <c r="M330" i="3" l="1"/>
  <c r="M331" i="3" l="1"/>
  <c r="M334" i="3" l="1"/>
  <c r="M333" i="3"/>
  <c r="M39" i="3"/>
  <c r="M40" i="3"/>
  <c r="M38" i="3"/>
  <c r="M37" i="3"/>
  <c r="M332" i="3"/>
  <c r="I331" i="3"/>
  <c r="M335" i="3" l="1"/>
  <c r="G331" i="3"/>
  <c r="M336" i="3" l="1"/>
  <c r="M337" i="3" l="1"/>
  <c r="M338" i="3" l="1"/>
  <c r="M339" i="3" l="1"/>
  <c r="M340" i="3" l="1"/>
  <c r="M341" i="3" l="1"/>
  <c r="M342" i="3" l="1"/>
  <c r="M343" i="3" l="1"/>
  <c r="M345" i="3" l="1"/>
  <c r="M344" i="3"/>
  <c r="M346" i="3" l="1"/>
  <c r="M347" i="3" l="1"/>
  <c r="M28" i="11"/>
  <c r="Q28" i="11" s="1"/>
  <c r="J8" i="1"/>
  <c r="L8" i="1" s="1"/>
  <c r="M8" i="1" s="1"/>
  <c r="K25" i="1"/>
  <c r="K27" i="1" s="1"/>
  <c r="J11" i="1"/>
  <c r="L11" i="1" s="1"/>
  <c r="M11" i="1" s="1"/>
  <c r="L28" i="11"/>
  <c r="P28" i="11" s="1"/>
  <c r="L27" i="11"/>
  <c r="P27" i="11" s="1"/>
  <c r="M27" i="11"/>
  <c r="Q27" i="11" s="1"/>
  <c r="M348" i="3" l="1"/>
  <c r="M349" i="3" l="1"/>
  <c r="M350" i="3" l="1"/>
  <c r="M351" i="3" l="1"/>
  <c r="I348" i="3"/>
  <c r="M352" i="3" l="1"/>
  <c r="G348" i="3"/>
  <c r="M353" i="3" l="1"/>
  <c r="M354" i="3" l="1"/>
  <c r="M355" i="3" l="1"/>
  <c r="M356" i="3" l="1"/>
  <c r="M357" i="3" l="1"/>
  <c r="M358" i="3" l="1"/>
  <c r="M359" i="3" l="1"/>
  <c r="M360" i="3" l="1"/>
  <c r="M361" i="3" l="1"/>
  <c r="M362" i="3" l="1"/>
  <c r="M363" i="3" l="1"/>
  <c r="M364" i="3" l="1"/>
  <c r="M365" i="3" l="1"/>
  <c r="M366" i="3" l="1"/>
  <c r="M367" i="3" l="1"/>
  <c r="M368" i="3" l="1"/>
  <c r="M369" i="3" l="1"/>
  <c r="M370" i="3" l="1"/>
  <c r="I370" i="3"/>
  <c r="G370" i="3" s="1"/>
  <c r="M371" i="3" l="1"/>
  <c r="J4" i="1"/>
  <c r="L4" i="1" s="1"/>
  <c r="M4" i="1" s="1"/>
  <c r="M372" i="3" l="1"/>
  <c r="M373" i="3" l="1"/>
  <c r="M374" i="3" l="1"/>
  <c r="M375" i="3" l="1"/>
  <c r="M376" i="3" l="1"/>
  <c r="M377" i="3" l="1"/>
  <c r="M378" i="3" l="1"/>
  <c r="M379" i="3" l="1"/>
  <c r="M380" i="3" l="1"/>
  <c r="M381" i="3" l="1"/>
  <c r="M382" i="3" l="1"/>
  <c r="M383" i="3" l="1"/>
  <c r="M384" i="3" l="1"/>
  <c r="M385" i="3" l="1"/>
  <c r="M386" i="3" l="1"/>
  <c r="M387" i="3" l="1"/>
  <c r="M388" i="3" l="1"/>
  <c r="M389" i="3" l="1"/>
  <c r="M390" i="3" l="1"/>
  <c r="M391" i="3" l="1"/>
  <c r="M392" i="3" l="1"/>
  <c r="M393" i="3" l="1"/>
  <c r="M394" i="3" l="1"/>
  <c r="M395" i="3" l="1"/>
  <c r="M396" i="3" l="1"/>
  <c r="M397" i="3" l="1"/>
  <c r="M398" i="3" l="1"/>
  <c r="M399" i="3" l="1"/>
  <c r="M400" i="3" l="1"/>
  <c r="M401" i="3" l="1"/>
  <c r="M402" i="3" l="1"/>
  <c r="M403" i="3" l="1"/>
  <c r="M404" i="3" l="1"/>
  <c r="M405" i="3" l="1"/>
  <c r="M406" i="3" l="1"/>
  <c r="M407" i="3" l="1"/>
  <c r="M408" i="3" l="1"/>
  <c r="M409" i="3" l="1"/>
  <c r="M410" i="3" l="1"/>
  <c r="M411" i="3" l="1"/>
  <c r="M412" i="3" l="1"/>
  <c r="M413" i="3" l="1"/>
  <c r="M414" i="3" l="1"/>
  <c r="M415" i="3" l="1"/>
  <c r="M416" i="3" l="1"/>
  <c r="M417" i="3" l="1"/>
  <c r="M418" i="3" l="1"/>
  <c r="M419" i="3" l="1"/>
  <c r="M420" i="3" l="1"/>
  <c r="M421" i="3" l="1"/>
  <c r="M422" i="3" l="1"/>
  <c r="M423" i="3" l="1"/>
  <c r="M424" i="3" l="1"/>
  <c r="M425" i="3" l="1"/>
  <c r="M426" i="3" l="1"/>
  <c r="M427" i="3" l="1"/>
  <c r="M428" i="3" l="1"/>
  <c r="M429" i="3" l="1"/>
  <c r="M430" i="3" l="1"/>
  <c r="M431" i="3" l="1"/>
  <c r="M432" i="3" l="1"/>
  <c r="M433" i="3" l="1"/>
  <c r="M434" i="3" l="1"/>
  <c r="M435" i="3" l="1"/>
  <c r="M436" i="3" l="1"/>
  <c r="M437" i="3" l="1"/>
  <c r="M438" i="3" l="1"/>
  <c r="M439" i="3" l="1"/>
  <c r="M440" i="3" l="1"/>
  <c r="M441" i="3" l="1"/>
  <c r="M442" i="3" l="1"/>
  <c r="M443" i="3" l="1"/>
  <c r="M444" i="3" l="1"/>
  <c r="M445" i="3" l="1"/>
  <c r="M446" i="3" l="1"/>
  <c r="M447" i="3" l="1"/>
  <c r="M448" i="3" l="1"/>
  <c r="M449" i="3" l="1"/>
  <c r="M450" i="3" l="1"/>
  <c r="M451" i="3" l="1"/>
  <c r="M452" i="3" l="1"/>
  <c r="M453" i="3" l="1"/>
  <c r="M454" i="3" l="1"/>
  <c r="M457" i="3" l="1"/>
  <c r="M455" i="3"/>
  <c r="M456" i="3"/>
  <c r="M458" i="3" l="1"/>
  <c r="C463" i="7"/>
  <c r="U463" i="7" s="1"/>
  <c r="M459" i="3" l="1"/>
  <c r="C464" i="7"/>
  <c r="U464" i="7" s="1"/>
  <c r="M29" i="11"/>
  <c r="Q29" i="11" s="1"/>
  <c r="J13" i="1"/>
  <c r="L13" i="1" s="1"/>
  <c r="M13" i="1" s="1"/>
  <c r="M30" i="11"/>
  <c r="Q30" i="11" s="1"/>
  <c r="L29" i="11"/>
  <c r="P29" i="11" s="1"/>
  <c r="M32" i="11"/>
  <c r="Q32" i="11" s="1"/>
  <c r="J16" i="1"/>
  <c r="L16" i="1" s="1"/>
  <c r="M16" i="1" s="1"/>
  <c r="L32" i="11"/>
  <c r="P32" i="11" s="1"/>
  <c r="L30" i="11"/>
  <c r="P30" i="11" s="1"/>
  <c r="L31" i="11"/>
  <c r="P31" i="11" s="1"/>
  <c r="J15" i="1"/>
  <c r="L15" i="1" s="1"/>
  <c r="M15" i="1" s="1"/>
  <c r="M31" i="11"/>
  <c r="Q31" i="11" s="1"/>
  <c r="M33" i="11"/>
  <c r="Q33" i="11" s="1"/>
  <c r="L33" i="11"/>
  <c r="P33" i="11" s="1"/>
  <c r="M460" i="3" l="1"/>
  <c r="C465" i="7"/>
  <c r="U465" i="7" s="1"/>
  <c r="M461" i="3" l="1"/>
  <c r="C466" i="7"/>
  <c r="U466" i="7" s="1"/>
  <c r="M462" i="3" l="1"/>
  <c r="C467" i="7"/>
  <c r="U467" i="7" s="1"/>
  <c r="M463" i="3" l="1"/>
  <c r="C468" i="7"/>
  <c r="U468" i="7" s="1"/>
  <c r="M464" i="3" l="1"/>
  <c r="C469" i="7"/>
  <c r="U469" i="7" s="1"/>
  <c r="M465" i="3" l="1"/>
  <c r="C470" i="7"/>
  <c r="U470" i="7" s="1"/>
  <c r="M466" i="3" l="1"/>
  <c r="C471" i="7"/>
  <c r="U471" i="7" s="1"/>
  <c r="M467" i="3" l="1"/>
  <c r="C472" i="7"/>
  <c r="U472" i="7" s="1"/>
  <c r="M468" i="3" l="1"/>
  <c r="C473" i="7"/>
  <c r="U473" i="7" s="1"/>
  <c r="M469" i="3" l="1"/>
  <c r="C474" i="7"/>
  <c r="U474" i="7" s="1"/>
  <c r="M470" i="3" l="1"/>
  <c r="C475" i="7"/>
  <c r="U475" i="7" s="1"/>
  <c r="M471" i="3" l="1"/>
  <c r="C476" i="7"/>
  <c r="U476" i="7" s="1"/>
  <c r="M472" i="3" l="1"/>
  <c r="C477" i="7"/>
  <c r="R477" i="7" l="1"/>
  <c r="U477" i="7" s="1"/>
  <c r="M473" i="3" l="1"/>
  <c r="C478" i="7"/>
  <c r="U478" i="7" s="1"/>
  <c r="M474" i="3" l="1"/>
  <c r="C479" i="7"/>
  <c r="U479" i="7" s="1"/>
  <c r="M475" i="3" l="1"/>
  <c r="C480" i="7"/>
  <c r="U480" i="7" s="1"/>
  <c r="M476" i="3" l="1"/>
  <c r="C481" i="7"/>
  <c r="U481" i="7" s="1"/>
  <c r="M477" i="3" l="1"/>
  <c r="C482" i="7"/>
  <c r="U482" i="7" s="1"/>
  <c r="M478" i="3" l="1"/>
  <c r="C483" i="7"/>
  <c r="U483" i="7" s="1"/>
  <c r="M479" i="3" l="1"/>
  <c r="C484" i="7"/>
  <c r="U484" i="7" s="1"/>
  <c r="M480" i="3" l="1"/>
  <c r="C485" i="7"/>
  <c r="U485" i="7" s="1"/>
  <c r="C486" i="7" l="1"/>
  <c r="U486" i="7" s="1"/>
  <c r="M481" i="3"/>
  <c r="M482" i="3" l="1"/>
  <c r="C487" i="7"/>
  <c r="U487" i="7" s="1"/>
  <c r="C488" i="7" s="1"/>
  <c r="U488" i="7" s="1"/>
  <c r="M484" i="3" l="1"/>
  <c r="C489" i="7"/>
  <c r="U489" i="7" s="1"/>
  <c r="M483" i="3"/>
  <c r="M485" i="3" l="1"/>
  <c r="C490" i="7"/>
  <c r="U490" i="7" s="1"/>
  <c r="M486" i="3" l="1"/>
  <c r="C491" i="7"/>
  <c r="U491" i="7" s="1"/>
  <c r="M487" i="3" l="1"/>
  <c r="C492" i="7"/>
  <c r="U492" i="7" s="1"/>
  <c r="M488" i="3" l="1"/>
  <c r="C493" i="7"/>
  <c r="U493" i="7" s="1"/>
  <c r="M489" i="3" l="1"/>
  <c r="C494" i="7"/>
  <c r="U494" i="7" s="1"/>
  <c r="M490" i="3" l="1"/>
  <c r="C495" i="7"/>
  <c r="U495" i="7" s="1"/>
  <c r="M491" i="3" l="1"/>
  <c r="C496" i="7"/>
  <c r="U496" i="7" s="1"/>
  <c r="M492" i="3" l="1"/>
  <c r="C497" i="7"/>
  <c r="U497" i="7" s="1"/>
  <c r="M493" i="3" l="1"/>
  <c r="C498" i="7"/>
  <c r="U498" i="7" s="1"/>
  <c r="M494" i="3" l="1"/>
  <c r="C499" i="7"/>
  <c r="U499" i="7" s="1"/>
  <c r="M495" i="3" l="1"/>
  <c r="C500" i="7"/>
  <c r="U500" i="7" s="1"/>
  <c r="M496" i="3" l="1"/>
  <c r="C501" i="7"/>
  <c r="U501" i="7" s="1"/>
  <c r="M497" i="3" l="1"/>
  <c r="C502" i="7"/>
  <c r="U502" i="7" s="1"/>
  <c r="M498" i="3" l="1"/>
  <c r="C503" i="7"/>
  <c r="U503" i="7" s="1"/>
  <c r="M499" i="3" l="1"/>
  <c r="C504" i="7"/>
  <c r="U504" i="7" s="1"/>
  <c r="M500" i="3" l="1"/>
  <c r="C505" i="7"/>
  <c r="U505" i="7" s="1"/>
  <c r="M501" i="3" l="1"/>
  <c r="C506" i="7"/>
  <c r="U506" i="7" s="1"/>
  <c r="M502" i="3" l="1"/>
  <c r="C507" i="7"/>
  <c r="U507" i="7" s="1"/>
  <c r="M503" i="3" l="1"/>
  <c r="C508" i="7"/>
  <c r="U508" i="7" s="1"/>
  <c r="M504" i="3" l="1"/>
  <c r="C509" i="7"/>
  <c r="U509" i="7" s="1"/>
  <c r="M505" i="3" l="1"/>
  <c r="C510" i="7"/>
  <c r="U510" i="7" s="1"/>
  <c r="M506" i="3" l="1"/>
  <c r="C511" i="7"/>
  <c r="U511" i="7" s="1"/>
  <c r="M507" i="3" l="1"/>
  <c r="C512" i="7"/>
  <c r="U512" i="7" s="1"/>
  <c r="M508" i="3" l="1"/>
  <c r="C513" i="7"/>
  <c r="U513" i="7" s="1"/>
  <c r="M509" i="3" l="1"/>
  <c r="C514" i="7"/>
  <c r="U514" i="7" s="1"/>
  <c r="M510" i="3" l="1"/>
  <c r="C515" i="7"/>
  <c r="U515" i="7" s="1"/>
  <c r="M511" i="3" l="1"/>
  <c r="C516" i="7"/>
  <c r="U516" i="7" s="1"/>
  <c r="M512" i="3" l="1"/>
  <c r="C517" i="7"/>
  <c r="U517" i="7" s="1"/>
  <c r="M513" i="3" l="1"/>
  <c r="C518" i="7"/>
  <c r="U518" i="7" s="1"/>
  <c r="M514" i="3" l="1"/>
  <c r="C519" i="7"/>
  <c r="U519" i="7" s="1"/>
  <c r="M515" i="3" l="1"/>
  <c r="C520" i="7"/>
  <c r="U520" i="7" s="1"/>
  <c r="M516" i="3" l="1"/>
  <c r="C521" i="7"/>
  <c r="U521" i="7" s="1"/>
  <c r="M517" i="3" l="1"/>
  <c r="C522" i="7"/>
  <c r="U522" i="7" s="1"/>
  <c r="M518" i="3" l="1"/>
  <c r="C523" i="7"/>
  <c r="U523" i="7" s="1"/>
  <c r="M519" i="3" l="1"/>
  <c r="C524" i="7"/>
  <c r="U524" i="7" s="1"/>
  <c r="M520" i="3" l="1"/>
  <c r="C525" i="7"/>
  <c r="U525" i="7" s="1"/>
  <c r="M521" i="3" l="1"/>
  <c r="C526" i="7"/>
  <c r="U526" i="7" s="1"/>
  <c r="M522" i="3" l="1"/>
  <c r="C527" i="7"/>
  <c r="U527" i="7" s="1"/>
  <c r="M523" i="3" l="1"/>
  <c r="C528" i="7"/>
  <c r="U528" i="7" s="1"/>
  <c r="M524" i="3" l="1"/>
  <c r="C529" i="7"/>
  <c r="U529" i="7" s="1"/>
  <c r="M525" i="3" l="1"/>
  <c r="C530" i="7"/>
  <c r="U530" i="7" s="1"/>
  <c r="M526" i="3" l="1"/>
  <c r="C531" i="7"/>
  <c r="U531" i="7" s="1"/>
  <c r="M527" i="3" l="1"/>
  <c r="C532" i="7"/>
  <c r="U532" i="7" s="1"/>
  <c r="M528" i="3" l="1"/>
  <c r="C533" i="7"/>
  <c r="U533" i="7" s="1"/>
  <c r="M529" i="3" l="1"/>
  <c r="C534" i="7"/>
  <c r="U534" i="7" s="1"/>
  <c r="M530" i="3" l="1"/>
  <c r="C535" i="7"/>
  <c r="U535" i="7" s="1"/>
  <c r="M531" i="3" l="1"/>
  <c r="C536" i="7"/>
  <c r="U536" i="7" s="1"/>
  <c r="M532" i="3" l="1"/>
  <c r="C537" i="7"/>
  <c r="U537" i="7" s="1"/>
  <c r="M533" i="3" l="1"/>
  <c r="C538" i="7"/>
  <c r="U538" i="7" s="1"/>
  <c r="M534" i="3" l="1"/>
  <c r="C539" i="7"/>
  <c r="U539" i="7" s="1"/>
  <c r="M535" i="3" l="1"/>
  <c r="C540" i="7"/>
  <c r="U540" i="7" s="1"/>
  <c r="M536" i="3" l="1"/>
  <c r="C541" i="7"/>
  <c r="U541" i="7" s="1"/>
  <c r="M537" i="3" l="1"/>
  <c r="C542" i="7"/>
  <c r="U542" i="7" s="1"/>
  <c r="M538" i="3" l="1"/>
  <c r="C543" i="7"/>
  <c r="U543" i="7" s="1"/>
  <c r="M539" i="3" l="1"/>
  <c r="C544" i="7"/>
  <c r="U544" i="7" s="1"/>
  <c r="M540" i="3" l="1"/>
  <c r="C545" i="7"/>
  <c r="U545" i="7" s="1"/>
  <c r="M541" i="3" l="1"/>
  <c r="C546" i="7"/>
  <c r="U546" i="7" s="1"/>
  <c r="M542" i="3" l="1"/>
  <c r="C547" i="7"/>
  <c r="U547" i="7" s="1"/>
  <c r="M543" i="3" l="1"/>
  <c r="C548" i="7"/>
  <c r="U548" i="7" s="1"/>
  <c r="M544" i="3" l="1"/>
  <c r="C549" i="7"/>
  <c r="U549" i="7" s="1"/>
  <c r="M545" i="3" l="1"/>
  <c r="C550" i="7"/>
  <c r="U550" i="7" s="1"/>
  <c r="M546" i="3" l="1"/>
  <c r="C551" i="7"/>
  <c r="U551" i="7" s="1"/>
  <c r="M547" i="3" l="1"/>
  <c r="C552" i="7"/>
  <c r="U552" i="7" s="1"/>
  <c r="M548" i="3" l="1"/>
  <c r="C553" i="7"/>
  <c r="U553" i="7" s="1"/>
  <c r="M549" i="3" l="1"/>
  <c r="C554" i="7"/>
  <c r="U554" i="7" s="1"/>
  <c r="M550" i="3" l="1"/>
  <c r="C555" i="7"/>
  <c r="U555" i="7" s="1"/>
  <c r="M551" i="3" l="1"/>
  <c r="C556" i="7"/>
  <c r="U556" i="7" s="1"/>
  <c r="M552" i="3" l="1"/>
  <c r="C557" i="7"/>
  <c r="U557" i="7" s="1"/>
  <c r="M553" i="3" l="1"/>
  <c r="C558" i="7"/>
  <c r="U558" i="7" s="1"/>
  <c r="M554" i="3" l="1"/>
  <c r="C559" i="7"/>
  <c r="U559" i="7" s="1"/>
  <c r="M555" i="3" l="1"/>
  <c r="C560" i="7"/>
  <c r="U560" i="7" s="1"/>
  <c r="M556" i="3" l="1"/>
  <c r="C561" i="7"/>
  <c r="U561" i="7" s="1"/>
  <c r="M557" i="3" l="1"/>
  <c r="C562" i="7"/>
  <c r="U562" i="7" s="1"/>
  <c r="M558" i="3" l="1"/>
  <c r="C563" i="7"/>
  <c r="U563" i="7" s="1"/>
  <c r="M559" i="3" l="1"/>
  <c r="C564" i="7"/>
  <c r="U564" i="7" s="1"/>
  <c r="M560" i="3" l="1"/>
  <c r="C565" i="7"/>
  <c r="U565" i="7" s="1"/>
  <c r="M561" i="3" l="1"/>
  <c r="C566" i="7"/>
  <c r="U566" i="7" s="1"/>
  <c r="M562" i="3" l="1"/>
  <c r="C567" i="7"/>
  <c r="U567" i="7" s="1"/>
  <c r="M563" i="3" l="1"/>
  <c r="C568" i="7"/>
  <c r="U568" i="7" s="1"/>
  <c r="M564" i="3" l="1"/>
  <c r="C569" i="7"/>
  <c r="U569" i="7" s="1"/>
  <c r="M565" i="3" l="1"/>
  <c r="J5" i="1" s="1"/>
  <c r="L5" i="1" s="1"/>
  <c r="M5" i="1" s="1"/>
  <c r="C570" i="7"/>
  <c r="U570" i="7" s="1"/>
  <c r="M566" i="3" s="1"/>
  <c r="N21" i="11" l="1"/>
  <c r="R21" i="11" s="1"/>
  <c r="N14" i="11"/>
  <c r="R14" i="11" s="1"/>
  <c r="N11" i="11"/>
  <c r="R11" i="11" s="1"/>
  <c r="N5" i="11"/>
  <c r="R5" i="11" s="1"/>
  <c r="N12" i="11"/>
  <c r="R12" i="11" s="1"/>
  <c r="N24" i="11"/>
  <c r="R24" i="11" s="1"/>
  <c r="N18" i="11"/>
  <c r="R18" i="11" s="1"/>
  <c r="N4" i="11"/>
  <c r="R4" i="11" s="1"/>
  <c r="N20" i="11"/>
  <c r="R20" i="11" s="1"/>
  <c r="N16" i="11"/>
  <c r="R16" i="11" s="1"/>
  <c r="N15" i="11"/>
  <c r="R15" i="11" s="1"/>
  <c r="N27" i="11"/>
  <c r="R27" i="11" s="1"/>
  <c r="N25" i="11"/>
  <c r="R25" i="11" s="1"/>
  <c r="N7" i="11"/>
  <c r="R7" i="11" s="1"/>
  <c r="N22" i="11"/>
  <c r="R22" i="11" s="1"/>
  <c r="N9" i="11"/>
  <c r="R9" i="11" s="1"/>
  <c r="N8" i="11"/>
  <c r="R8" i="11" s="1"/>
  <c r="N28" i="11"/>
  <c r="R28" i="11" s="1"/>
  <c r="N10" i="11"/>
  <c r="R10" i="11" s="1"/>
  <c r="N26" i="11"/>
  <c r="R26" i="11" s="1"/>
  <c r="N17" i="11"/>
  <c r="R17" i="11" s="1"/>
  <c r="N19" i="11"/>
  <c r="R19" i="11" s="1"/>
  <c r="N23" i="11"/>
  <c r="R23" i="11" s="1"/>
  <c r="N6" i="11"/>
  <c r="R6" i="11" s="1"/>
  <c r="N13" i="11"/>
  <c r="R13" i="11" s="1"/>
  <c r="T22" i="11" l="1"/>
  <c r="U22" i="11"/>
  <c r="V22" i="11" s="1"/>
  <c r="T18" i="11"/>
  <c r="U18" i="11"/>
  <c r="V18" i="11" s="1"/>
  <c r="U7" i="11"/>
  <c r="V7" i="11" s="1"/>
  <c r="T7" i="11"/>
  <c r="U24" i="11"/>
  <c r="V24" i="11" s="1"/>
  <c r="T24" i="11"/>
  <c r="T6" i="11"/>
  <c r="U6" i="11"/>
  <c r="V6" i="11" s="1"/>
  <c r="U25" i="11"/>
  <c r="V25" i="11" s="1"/>
  <c r="T25" i="11"/>
  <c r="T12" i="11"/>
  <c r="U12" i="11"/>
  <c r="V12" i="11" s="1"/>
  <c r="U9" i="11"/>
  <c r="V9" i="11" s="1"/>
  <c r="T9" i="11"/>
  <c r="U27" i="11"/>
  <c r="V27" i="11" s="1"/>
  <c r="T27" i="11"/>
  <c r="T5" i="11"/>
  <c r="U5" i="11"/>
  <c r="V5" i="11" s="1"/>
  <c r="U15" i="11"/>
  <c r="V15" i="11" s="1"/>
  <c r="T15" i="11"/>
  <c r="T11" i="11"/>
  <c r="U11" i="11"/>
  <c r="V11" i="11" s="1"/>
  <c r="U23" i="11"/>
  <c r="V23" i="11" s="1"/>
  <c r="T23" i="11"/>
  <c r="T14" i="11"/>
  <c r="U14" i="11"/>
  <c r="V14" i="11" s="1"/>
  <c r="U4" i="11"/>
  <c r="V4" i="11" s="1"/>
  <c r="T4" i="11"/>
  <c r="U19" i="11"/>
  <c r="V19" i="11" s="1"/>
  <c r="T19" i="11"/>
  <c r="T17" i="11"/>
  <c r="U17" i="11"/>
  <c r="V17" i="11" s="1"/>
  <c r="T26" i="11"/>
  <c r="U26" i="11"/>
  <c r="V26" i="11" s="1"/>
  <c r="T10" i="11"/>
  <c r="U10" i="11"/>
  <c r="V10" i="11" s="1"/>
  <c r="T28" i="11"/>
  <c r="U28" i="11"/>
  <c r="V28" i="11" s="1"/>
  <c r="T16" i="11"/>
  <c r="U16" i="11"/>
  <c r="V16" i="11" s="1"/>
  <c r="U13" i="11"/>
  <c r="V13" i="11" s="1"/>
  <c r="T13" i="11"/>
  <c r="T8" i="11"/>
  <c r="U8" i="11"/>
  <c r="V8" i="11" s="1"/>
  <c r="T20" i="11"/>
  <c r="U20" i="11"/>
  <c r="V20" i="11" s="1"/>
  <c r="U21" i="11"/>
  <c r="V21" i="11" s="1"/>
  <c r="T21" i="11"/>
  <c r="N29" i="11" l="1"/>
  <c r="R29" i="11" s="1"/>
  <c r="T29" i="11" l="1"/>
  <c r="U29" i="11"/>
  <c r="V29" i="11" s="1"/>
  <c r="N30" i="11"/>
  <c r="R30" i="11" s="1"/>
  <c r="U30" i="11" l="1"/>
  <c r="V30" i="11" s="1"/>
  <c r="T30" i="11"/>
  <c r="N31" i="11"/>
  <c r="R31" i="11" s="1"/>
  <c r="U31" i="11" l="1"/>
  <c r="V31" i="11" s="1"/>
  <c r="T31" i="11"/>
  <c r="N32" i="11" l="1"/>
  <c r="R32" i="11" s="1"/>
  <c r="T32" i="11" l="1"/>
  <c r="U32" i="11"/>
  <c r="V32" i="11" s="1"/>
  <c r="N33" i="11" l="1"/>
  <c r="R33" i="11" s="1"/>
  <c r="U33" i="11" l="1"/>
  <c r="V33" i="11" s="1"/>
  <c r="T33" i="11"/>
  <c r="N34" i="11" l="1"/>
  <c r="R34" i="11" s="1"/>
  <c r="U34" i="11" l="1"/>
  <c r="V34" i="11" s="1"/>
  <c r="T34" i="11"/>
  <c r="N35" i="11"/>
  <c r="R35" i="11" s="1"/>
  <c r="U35" i="11" l="1"/>
  <c r="V35" i="11" s="1"/>
  <c r="V1" i="11" s="1"/>
  <c r="J10" i="1" s="1"/>
  <c r="L10" i="1" s="1"/>
  <c r="M10" i="1" s="1"/>
  <c r="T35" i="11"/>
  <c r="J24" i="1" l="1"/>
  <c r="L24" i="1" s="1"/>
  <c r="M24" i="1" s="1"/>
  <c r="O377" i="3" l="1"/>
  <c r="O448" i="3"/>
  <c r="O451" i="3"/>
  <c r="O42" i="3"/>
  <c r="O300" i="3"/>
  <c r="O555" i="3"/>
  <c r="O239" i="3"/>
  <c r="O419" i="3"/>
  <c r="O525" i="3" l="1"/>
  <c r="O155" i="3"/>
  <c r="O420" i="3"/>
  <c r="O240" i="3"/>
  <c r="O17" i="3"/>
  <c r="O475" i="3"/>
  <c r="O58" i="3"/>
  <c r="O21" i="3"/>
  <c r="O221" i="3"/>
  <c r="O62" i="3"/>
  <c r="O73" i="3"/>
  <c r="O435" i="3"/>
  <c r="O490" i="3"/>
  <c r="O514" i="3"/>
  <c r="O492" i="3"/>
  <c r="O135" i="3"/>
  <c r="O54" i="3"/>
  <c r="O436" i="3"/>
  <c r="O542" i="3"/>
  <c r="O480" i="3"/>
  <c r="O204" i="3"/>
  <c r="O22" i="3"/>
  <c r="O177" i="3"/>
  <c r="O541" i="3"/>
  <c r="O289" i="3"/>
  <c r="O230" i="3"/>
  <c r="O308" i="3"/>
  <c r="O567" i="3"/>
  <c r="O314" i="3"/>
  <c r="O343" i="3"/>
  <c r="O193" i="3"/>
  <c r="O429" i="3"/>
  <c r="O26" i="3"/>
  <c r="O133" i="3"/>
  <c r="O330" i="3"/>
  <c r="O96" i="3"/>
  <c r="O306" i="3"/>
  <c r="O524" i="3"/>
  <c r="O161" i="3"/>
  <c r="O342" i="3"/>
  <c r="O253" i="3"/>
  <c r="O24" i="3"/>
  <c r="O162" i="3"/>
  <c r="O56" i="3"/>
  <c r="O188" i="3"/>
  <c r="O403" i="3"/>
  <c r="O259" i="3"/>
  <c r="O417" i="3"/>
  <c r="O523" i="3"/>
  <c r="O414" i="3"/>
  <c r="O190" i="3"/>
  <c r="O48" i="3"/>
  <c r="O237" i="3"/>
  <c r="O55" i="3"/>
  <c r="O321" i="3"/>
  <c r="O106" i="3"/>
  <c r="O479" i="3"/>
  <c r="O87" i="3"/>
  <c r="O413" i="3"/>
  <c r="O290" i="3"/>
  <c r="O197" i="3"/>
  <c r="O297" i="3"/>
  <c r="O312" i="3"/>
  <c r="O315" i="3"/>
  <c r="O464" i="3"/>
  <c r="O486" i="3"/>
  <c r="O165" i="3"/>
  <c r="O194" i="3"/>
  <c r="O136" i="3"/>
  <c r="O187" i="3"/>
  <c r="O470" i="3"/>
  <c r="O494" i="3"/>
  <c r="O79" i="3"/>
  <c r="O441" i="3"/>
  <c r="O484" i="3"/>
  <c r="O198" i="3"/>
  <c r="O53" i="3"/>
  <c r="O506" i="3"/>
  <c r="O481" i="3"/>
  <c r="O203" i="3"/>
  <c r="O404" i="3"/>
  <c r="O115" i="3"/>
  <c r="O176" i="3"/>
  <c r="O520" i="3"/>
  <c r="O39" i="3"/>
  <c r="O257" i="3"/>
  <c r="O471" i="3"/>
  <c r="O150" i="3"/>
  <c r="O81" i="3"/>
  <c r="O474" i="3"/>
  <c r="O392" i="3"/>
  <c r="O383" i="3"/>
  <c r="O271" i="3"/>
  <c r="O35" i="3"/>
  <c r="O499" i="3"/>
  <c r="O395" i="3"/>
  <c r="O267" i="3"/>
  <c r="O409" i="3"/>
  <c r="O427" i="3"/>
  <c r="O519" i="3"/>
  <c r="O144" i="3"/>
  <c r="O323" i="3"/>
  <c r="O487" i="3"/>
  <c r="O324" i="3"/>
  <c r="O547" i="3"/>
  <c r="O18" i="3"/>
  <c r="O465" i="3"/>
  <c r="O191" i="3"/>
  <c r="O422" i="3"/>
  <c r="O425" i="3"/>
  <c r="O384" i="3"/>
  <c r="O209" i="3"/>
  <c r="O59" i="3"/>
  <c r="O456" i="3"/>
  <c r="O561" i="3"/>
  <c r="O502" i="3"/>
  <c r="O376" i="3"/>
  <c r="O483" i="3"/>
  <c r="O282" i="3"/>
  <c r="O432" i="3"/>
  <c r="O544" i="3"/>
  <c r="O27" i="3"/>
  <c r="O34" i="3"/>
  <c r="O95" i="3"/>
  <c r="O97" i="3"/>
  <c r="O307" i="3"/>
  <c r="O226" i="3"/>
  <c r="O40" i="3"/>
  <c r="O365" i="3"/>
  <c r="O393" i="3"/>
  <c r="O449" i="3"/>
  <c r="O88" i="3"/>
  <c r="O205" i="3"/>
  <c r="O412" i="3"/>
  <c r="O157" i="3"/>
  <c r="O250" i="3"/>
  <c r="O373" i="3"/>
  <c r="O550" i="3"/>
  <c r="O243" i="3"/>
  <c r="O268" i="3"/>
  <c r="O225" i="3"/>
  <c r="O554" i="3"/>
  <c r="O507" i="3"/>
  <c r="O102" i="3"/>
  <c r="O224" i="3"/>
  <c r="O482" i="3"/>
  <c r="O272" i="3"/>
  <c r="O254" i="3"/>
  <c r="O222" i="3"/>
  <c r="O127" i="3"/>
  <c r="O445" i="3"/>
  <c r="O235" i="3"/>
  <c r="O466" i="3"/>
  <c r="O460" i="3"/>
  <c r="O293" i="3"/>
  <c r="O423" i="3"/>
  <c r="O302" i="3"/>
  <c r="O391" i="3"/>
  <c r="O273" i="3"/>
  <c r="O539" i="3"/>
  <c r="O548" i="3"/>
  <c r="O450" i="3"/>
  <c r="O416" i="3"/>
  <c r="O341" i="3"/>
  <c r="O72" i="3"/>
  <c r="O301" i="3"/>
  <c r="O84" i="3"/>
  <c r="O216" i="3"/>
  <c r="O364" i="3"/>
  <c r="O213" i="3"/>
  <c r="O195" i="3"/>
  <c r="O331" i="3"/>
  <c r="O93" i="3"/>
  <c r="O122" i="3"/>
  <c r="O500" i="3"/>
  <c r="O398" i="3"/>
  <c r="O549" i="3"/>
  <c r="O78" i="3"/>
  <c r="O546" i="3"/>
  <c r="O90" i="3"/>
  <c r="O275" i="3"/>
  <c r="O283" i="3"/>
  <c r="O206" i="3"/>
  <c r="O85" i="3"/>
  <c r="O402" i="3"/>
  <c r="O515" i="3"/>
  <c r="O159" i="3"/>
  <c r="O532" i="3"/>
  <c r="O489" i="3"/>
  <c r="O71" i="3"/>
  <c r="O381" i="3"/>
  <c r="O370" i="3"/>
  <c r="O452" i="3"/>
  <c r="O491" i="3"/>
  <c r="O173" i="3"/>
  <c r="O70" i="3"/>
  <c r="O269" i="3"/>
  <c r="O178" i="3"/>
  <c r="O369" i="3"/>
  <c r="O123" i="3"/>
  <c r="O142" i="3"/>
  <c r="O281" i="3"/>
  <c r="O171" i="3"/>
  <c r="O28" i="3"/>
  <c r="O309" i="3"/>
  <c r="O399" i="3"/>
  <c r="O103" i="3"/>
  <c r="O512" i="3"/>
  <c r="O476" i="3"/>
  <c r="O29" i="3"/>
  <c r="O467" i="3"/>
  <c r="O279" i="3"/>
  <c r="O462" i="3"/>
  <c r="O244" i="3"/>
  <c r="O438" i="3"/>
  <c r="O201" i="3"/>
  <c r="O46" i="3"/>
  <c r="O380" i="3"/>
  <c r="O394" i="3"/>
  <c r="O15" i="3"/>
  <c r="O440" i="3"/>
  <c r="O260" i="3"/>
  <c r="O387" i="3"/>
  <c r="O137" i="3"/>
  <c r="O472" i="3"/>
  <c r="O212" i="3"/>
  <c r="O186" i="3"/>
  <c r="O552" i="3"/>
  <c r="O138" i="3"/>
  <c r="O498" i="3"/>
  <c r="O154" i="3"/>
  <c r="O304" i="3"/>
  <c r="O147" i="3"/>
  <c r="O117" i="3"/>
  <c r="O94" i="3"/>
  <c r="O249" i="3"/>
  <c r="O270" i="3"/>
  <c r="O346" i="3"/>
  <c r="O461" i="3"/>
  <c r="O360" i="3"/>
  <c r="O184" i="3"/>
  <c r="O551" i="3"/>
  <c r="O352" i="3"/>
  <c r="O67" i="3"/>
  <c r="O291" i="3"/>
  <c r="O158" i="3"/>
  <c r="O141" i="3"/>
  <c r="O328" i="3"/>
  <c r="O69" i="3"/>
  <c r="O223" i="3"/>
  <c r="O322" i="3"/>
  <c r="O463" i="3"/>
  <c r="O558" i="3"/>
  <c r="O156" i="3"/>
  <c r="O208" i="3"/>
  <c r="O214" i="3"/>
  <c r="O557" i="3"/>
  <c r="O37" i="3"/>
  <c r="O516" i="3"/>
  <c r="O478" i="3"/>
  <c r="O347" i="3"/>
  <c r="O295" i="3"/>
  <c r="O453" i="3"/>
  <c r="O339" i="3"/>
  <c r="O170" i="3"/>
  <c r="O105" i="3"/>
  <c r="O428" i="3"/>
  <c r="O74" i="3"/>
  <c r="O350" i="3"/>
  <c r="O400" i="3"/>
  <c r="O521" i="3"/>
  <c r="O545" i="3"/>
  <c r="O262" i="3"/>
  <c r="O45" i="3"/>
  <c r="O202" i="3"/>
  <c r="O473" i="3"/>
  <c r="O504" i="3"/>
  <c r="O248" i="3"/>
  <c r="O458" i="3"/>
  <c r="O437" i="3"/>
  <c r="O355" i="3"/>
  <c r="O196" i="3"/>
  <c r="O125" i="3"/>
  <c r="O528" i="3"/>
  <c r="O47" i="3"/>
  <c r="O503" i="3"/>
  <c r="O351" i="3"/>
  <c r="O255" i="3"/>
  <c r="O152" i="3"/>
  <c r="O91" i="3"/>
  <c r="O374" i="3"/>
  <c r="O433" i="3"/>
  <c r="O485" i="3"/>
  <c r="O134" i="3"/>
  <c r="O68" i="3"/>
  <c r="O23" i="3"/>
  <c r="O396" i="3"/>
  <c r="O89" i="3"/>
  <c r="O439" i="3"/>
  <c r="O231" i="3"/>
  <c r="O421" i="3"/>
  <c r="O368" i="3"/>
  <c r="O261" i="3"/>
  <c r="O114" i="3"/>
  <c r="O510" i="3"/>
  <c r="O454" i="3"/>
  <c r="O242" i="3"/>
  <c r="O366" i="3"/>
  <c r="O131" i="3"/>
  <c r="O333" i="3"/>
  <c r="O174" i="3"/>
  <c r="O128" i="3"/>
  <c r="O146" i="3"/>
  <c r="O140" i="3"/>
  <c r="O49" i="3"/>
  <c r="O277" i="3"/>
  <c r="O468" i="3"/>
  <c r="O286" i="3"/>
  <c r="O180" i="3"/>
  <c r="O288" i="3"/>
  <c r="O390" i="3"/>
  <c r="O168" i="3"/>
  <c r="O488" i="3"/>
  <c r="O151" i="3"/>
  <c r="O264" i="3"/>
  <c r="O505" i="3"/>
  <c r="O126" i="3"/>
  <c r="O389" i="3"/>
  <c r="O334" i="3"/>
  <c r="O526" i="3"/>
  <c r="O493" i="3"/>
  <c r="O540" i="3"/>
  <c r="O329" i="3"/>
  <c r="O44" i="3"/>
  <c r="O401" i="3"/>
  <c r="O80" i="3"/>
  <c r="O305" i="3"/>
  <c r="O75" i="3"/>
  <c r="O246" i="3"/>
  <c r="O292" i="3"/>
  <c r="O287" i="3"/>
  <c r="O31" i="3"/>
  <c r="O251" i="3"/>
  <c r="O348" i="3"/>
  <c r="O345" i="3"/>
  <c r="O139" i="3"/>
  <c r="O337" i="3"/>
  <c r="O217" i="3"/>
  <c r="O116" i="3"/>
  <c r="O77" i="3"/>
  <c r="O327" i="3"/>
  <c r="O319" i="3"/>
  <c r="O16" i="3"/>
  <c r="O148" i="3"/>
  <c r="O166" i="3"/>
  <c r="O316" i="3"/>
  <c r="O356" i="3"/>
  <c r="O362" i="3"/>
  <c r="O258" i="3"/>
  <c r="O517" i="3"/>
  <c r="O179" i="3"/>
  <c r="O338" i="3"/>
  <c r="O100" i="3"/>
  <c r="O375" i="3"/>
  <c r="O344" i="3"/>
  <c r="O535" i="3"/>
  <c r="O410" i="3"/>
  <c r="O560" i="3"/>
  <c r="O509" i="3"/>
  <c r="O175" i="3"/>
  <c r="O385" i="3"/>
  <c r="O562" i="3"/>
  <c r="O318" i="3"/>
  <c r="O457" i="3"/>
  <c r="O533" i="3"/>
  <c r="O332" i="3"/>
  <c r="O296" i="3"/>
  <c r="O63" i="3"/>
  <c r="O447" i="3"/>
  <c r="O215" i="3"/>
  <c r="O280" i="3"/>
  <c r="O367" i="3"/>
  <c r="O415" i="3"/>
  <c r="O311" i="3"/>
  <c r="O220" i="3"/>
  <c r="O565" i="3"/>
  <c r="O382" i="3"/>
  <c r="O443" i="3"/>
  <c r="O285" i="3"/>
  <c r="O30" i="3"/>
  <c r="O167" i="3"/>
  <c r="O218" i="3"/>
  <c r="O372" i="3"/>
  <c r="O446" i="3"/>
  <c r="O442" i="3"/>
  <c r="O211" i="3"/>
  <c r="O185" i="3"/>
  <c r="O388" i="3"/>
  <c r="O531" i="3"/>
  <c r="O200" i="3"/>
  <c r="O247" i="3"/>
  <c r="O129" i="3"/>
  <c r="O172" i="3"/>
  <c r="O20" i="3"/>
  <c r="O210" i="3"/>
  <c r="O310" i="3"/>
  <c r="O41" i="3"/>
  <c r="O189" i="3"/>
  <c r="O530" i="3"/>
  <c r="O564" i="3"/>
  <c r="O112" i="3"/>
  <c r="O455" i="3"/>
  <c r="O121" i="3"/>
  <c r="O361" i="3"/>
  <c r="O379" i="3"/>
  <c r="O434" i="3"/>
  <c r="O411" i="3"/>
  <c r="O340" i="3"/>
  <c r="O431" i="3"/>
  <c r="O529" i="3"/>
  <c r="O363" i="3"/>
  <c r="O497" i="3"/>
  <c r="O64" i="3"/>
  <c r="O294" i="3"/>
  <c r="O120" i="3"/>
  <c r="O424" i="3"/>
  <c r="O459" i="3"/>
  <c r="O76" i="3"/>
  <c r="O284" i="3"/>
  <c r="O238" i="3"/>
  <c r="O66" i="3"/>
  <c r="O563" i="3"/>
  <c r="O566" i="3"/>
  <c r="O405" i="3"/>
  <c r="O241" i="3"/>
  <c r="O164" i="3"/>
  <c r="O101" i="3"/>
  <c r="O534" i="3"/>
  <c r="O252" i="3"/>
  <c r="O496" i="3"/>
  <c r="O57" i="3"/>
  <c r="O14" i="3"/>
  <c r="O113" i="3"/>
  <c r="O98" i="3"/>
  <c r="O143" i="3"/>
  <c r="O38" i="3"/>
  <c r="O536" i="3"/>
  <c r="O299" i="3"/>
  <c r="O336" i="3"/>
  <c r="O111" i="3"/>
  <c r="O407" i="3"/>
  <c r="O92" i="3"/>
  <c r="O263" i="3"/>
  <c r="O228" i="3"/>
  <c r="O82" i="3"/>
  <c r="O50" i="3"/>
  <c r="O149" i="3"/>
  <c r="O371" i="3"/>
  <c r="O160" i="3"/>
  <c r="O559" i="3"/>
  <c r="O357" i="3"/>
  <c r="O163" i="3"/>
  <c r="O52" i="3"/>
  <c r="O265" i="3"/>
  <c r="O169" i="3"/>
  <c r="O236" i="3"/>
  <c r="O359" i="3"/>
  <c r="O256" i="3"/>
  <c r="O60" i="3"/>
  <c r="O335" i="3"/>
  <c r="O199" i="3"/>
  <c r="O278" i="3"/>
  <c r="O508" i="3"/>
  <c r="O130" i="3"/>
  <c r="O19" i="3"/>
  <c r="O511" i="3"/>
  <c r="O207" i="3"/>
  <c r="O349" i="3"/>
  <c r="O553" i="3"/>
  <c r="O313" i="3"/>
  <c r="O232" i="3"/>
  <c r="O219" i="3"/>
  <c r="O229" i="3"/>
  <c r="O326" i="3"/>
  <c r="O233" i="3"/>
  <c r="O132" i="3"/>
  <c r="O104" i="3"/>
  <c r="O538" i="3"/>
  <c r="O33" i="3"/>
  <c r="O274" i="3"/>
  <c r="O426" i="3"/>
  <c r="O397" i="3"/>
  <c r="O325" i="3"/>
  <c r="O25" i="3"/>
  <c r="O298" i="3"/>
  <c r="O444" i="3"/>
  <c r="O32" i="3"/>
  <c r="O303" i="3"/>
  <c r="O61" i="3"/>
  <c r="O537" i="3"/>
  <c r="O556" i="3"/>
  <c r="O43" i="3"/>
  <c r="O495" i="3"/>
  <c r="O408" i="3"/>
  <c r="O153" i="3"/>
  <c r="O86" i="3"/>
  <c r="O317" i="3"/>
  <c r="O266" i="3"/>
  <c r="O354" i="3"/>
  <c r="O227" i="3"/>
  <c r="O118" i="3"/>
  <c r="O513" i="3"/>
  <c r="O518" i="3"/>
  <c r="O36" i="3"/>
  <c r="O353" i="3"/>
  <c r="O124" i="3"/>
  <c r="O192" i="3"/>
  <c r="O418" i="3"/>
  <c r="O183" i="3"/>
  <c r="O51" i="3"/>
  <c r="O358" i="3"/>
  <c r="O65" i="3"/>
  <c r="O110" i="3"/>
  <c r="O320" i="3"/>
  <c r="O99" i="3"/>
  <c r="O406" i="3"/>
  <c r="O119" i="3"/>
  <c r="O477" i="3"/>
  <c r="O469" i="3"/>
  <c r="O378" i="3"/>
  <c r="O182" i="3"/>
  <c r="O245" i="3"/>
  <c r="O109" i="3"/>
  <c r="O501" i="3"/>
  <c r="O386" i="3"/>
  <c r="O430" i="3"/>
  <c r="O543" i="3"/>
  <c r="O83" i="3"/>
  <c r="O276" i="3"/>
  <c r="O145" i="3"/>
  <c r="O181" i="3"/>
  <c r="O527" i="3"/>
  <c r="O107" i="3"/>
  <c r="O234" i="3"/>
  <c r="O108" i="3"/>
  <c r="O522" i="3"/>
  <c r="J12" i="1" l="1"/>
  <c r="J19" i="1" s="1"/>
  <c r="L12" i="1" l="1"/>
  <c r="M12" i="1" s="1"/>
  <c r="L19" i="1" l="1"/>
  <c r="M19" i="1" s="1"/>
  <c r="J20" i="1"/>
  <c r="J22" i="1" l="1"/>
  <c r="L22" i="1" s="1"/>
  <c r="M22" i="1" s="1"/>
  <c r="L20" i="1"/>
  <c r="M20" i="1" s="1"/>
  <c r="J25" i="1"/>
  <c r="J27" i="1" l="1"/>
  <c r="L27" i="1" s="1"/>
  <c r="M27" i="1" s="1"/>
  <c r="L25" i="1"/>
  <c r="M2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tc={6D27C3B1-77D1-430A-AEA6-70FF67B567F7}</author>
    <author>tc={81AEBBAC-5022-41C3-992D-AA4CE0A4BA95}</author>
    <author>tc={A860CAEE-3388-4BB3-9106-4CA3BE26D7CE}</author>
    <author>tc={3C28294F-7513-4EDC-A6CD-72C9A452F4FD}</author>
    <author>tc={ED227ABE-1CCE-4D86-ADD7-298BB1E40B48}</author>
  </authors>
  <commentList>
    <comment ref="D13" authorId="0" shapeId="0" xr:uid="{6D27C3B1-77D1-430A-AEA6-70FF67B567F7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BTG.</t>
      </text>
    </comment>
    <comment ref="E13" authorId="1" shapeId="0" xr:uid="{81AEBBAC-5022-41C3-992D-AA4CE0A4BA95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BTG.</t>
      </text>
    </comment>
    <comment ref="H13" authorId="2" shapeId="0" xr:uid="{A860CAEE-3388-4BB3-9106-4CA3BE26D7CE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 Master.</t>
      </text>
    </comment>
    <comment ref="M13" authorId="3" shapeId="0" xr:uid="{3C28294F-7513-4EDC-A6CD-72C9A452F4FD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do Caixa.</t>
      </text>
    </comment>
    <comment ref="Q13" authorId="4" shapeId="0" xr:uid="{ED227ABE-1CCE-4D86-ADD7-298BB1E40B48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tc={AA451C90-ABBB-41C1-B1DC-2F70EBA4B452}</author>
    <author>tc={E67FDC17-9B1E-47E5-B5EC-A5A25E5D6600}</author>
    <author>tc={49D71B50-4C37-4DFC-90BD-CB1371ECEE8B}</author>
    <author>tc={B28540B4-44D7-4405-A87D-8F8510C65AAF}</author>
    <author>tc={0E7B3302-8197-4E79-AF86-A90E334810AE}</author>
    <author>tc={0871C481-7A7B-4736-BB2F-F45499DAFD5D}</author>
    <author>tc={87E4F468-2B06-45D4-97A5-9CB30048290C}</author>
    <author>tc={2EFA19BB-F360-454E-B97C-229C544A81A6}</author>
    <author>tc={322CDCFE-C280-4F2E-98B8-7119689CD0E0}</author>
    <author>tc={474DDCC9-1F89-4228-860B-855DAD26A938}</author>
    <author>tc={6F45E554-3689-417F-AF29-373EC62620C4}</author>
    <author>tc={F526724B-CF87-4620-8FDA-765C75B3B10B}</author>
    <author>tc={2EE8896F-D02F-4CB8-B37B-3732664BF828}</author>
    <author>tc={990643C8-A113-45C8-B531-41FB1B531334}</author>
    <author>tc={DB365A31-820E-4538-BAC9-F9EFA15CE4C6}</author>
    <author>tc={566E4B0C-AB1C-45B0-8B56-5006FBEB8174}</author>
    <author>tc={14A24B88-7979-49FE-8A0A-D166ECF12E01}</author>
    <author>tc={BF500C5B-DB40-440C-8BA0-6D99FEFDB44D}</author>
    <author>tc={0AD6D643-9D5C-4DF0-877E-549F982E6986}</author>
    <author>tc={C7D4F3C0-C991-4E09-B5F2-3CC7AF93C63F}</author>
    <author>tc={3E2E5098-0439-43C2-857B-C62CDA0871AC}</author>
    <author>tc={C1A5F25B-539A-47AB-8F9E-CB207FD18CC6}</author>
    <author>tc={450EE9D9-45DC-4B65-86E6-59B9D697FB66}</author>
    <author>tc={73904E52-08FE-4855-9E8D-44F1889A8C45}</author>
    <author>tc={378E6854-3024-4604-B155-428E2FD52348}</author>
    <author>tc={D34F3042-751A-4A62-8CB7-CDAB37F274E1}</author>
    <author>tc={F341393A-705D-45EA-BD6E-73E1DD8F3A38}</author>
    <author>tc={AAEBF80A-36FE-41A8-BA2A-BD34E0E43A3E}</author>
    <author>tc={187F5F22-40E0-4722-882F-717D785ACEAA}</author>
    <author>tc={8CB8A253-956F-4717-BD46-16D8C65872FB}</author>
    <author>tc={F8839E58-AC8B-4D76-A9D7-412278792AB3}</author>
    <author>tc={73C00460-85C4-48EA-9ADF-699173F77C84}</author>
    <author>tc={242FBFA1-6DFE-40B0-BD5F-629A121B4970}</author>
    <author>tc={505D94EF-409B-4CA9-91B3-4E10A48DB58F}</author>
    <author>tc={42C18D2E-094B-4E08-AD0F-1FE2DAC6A0A8}</author>
    <author>tc={7855FE3A-4E59-4F60-915C-37121B89D671}</author>
    <author>tc={DD3BFCE8-9719-4443-AF57-563A34EAEF06}</author>
    <author>tc={E76B0478-EC1E-4B11-A820-64F02A304441}</author>
    <author>tc={02AC11DF-214D-42A6-94D3-E8F163D11892}</author>
    <author>tc={987C6D2C-58FE-493C-9703-F52DDF614707}</author>
    <author>tc={7D9F8CE9-44E1-47AA-88BB-A91721383A48}</author>
    <author>tc={62F3A069-B15D-4E50-8106-2D13656BB2BD}</author>
    <author>tc={77970F01-9C08-40C2-8866-A4E23EFD0F18}</author>
    <author>tc={E67E1AA4-33E4-4446-A775-99DF7EAF5EED}</author>
    <author>tc={A8335EEE-D063-448C-8F4C-6DD563D2832E}</author>
    <author>tc={E5F17DF9-2CFB-45FE-A668-5B1DEF05526A}</author>
    <author>tc={DBEC00F7-80D9-42C9-B795-C69887580F1C}</author>
    <author>tc={18070B8C-51AA-429F-B7A8-11CB7CDDB2AC}</author>
    <author>tc={1D23D807-83F5-4A80-92BA-468D4884F3DD}</author>
    <author>tc={2FE6ADD8-5077-4C2E-AD01-90838BE034D9}</author>
    <author>tc={BC9146A7-BD64-4A55-97E2-A1969950A6D3}</author>
    <author>tc={C92005DD-0634-4ADC-AB2D-7DD18AC1217C}</author>
    <author>tc={7EEDDCA8-1919-4675-A340-450D2A00373D}</author>
    <author>tc={09C77BA3-05B0-4E1A-928C-4F8E886CC5A2}</author>
    <author>tc={8910BBA5-609E-43FC-8502-C766EE9BDEAA}</author>
    <author>tc={FB95629D-A2CF-48C9-8134-082C439C3B88}</author>
    <author>tc={8C3FD641-35BC-4C8C-B33B-A84290938216}</author>
    <author>tc={E7BCE8F8-607F-47E2-B46E-8C929FD8C578}</author>
  </authors>
  <commentList>
    <comment ref="D13" authorId="0" shapeId="0" xr:uid="{AA451C90-ABBB-41C1-B1DC-2F70EBA4B4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5o dia útil, lembrar que cai o pagamento de taxa de administração.</t>
      </text>
    </comment>
    <comment ref="R13" authorId="1" shapeId="0" xr:uid="{E67FDC17-9B1E-47E5-B5EC-A5A25E5D6600}">
      <text>
        <t>[Threaded comment]
Your version of Excel allows you to read this threaded comment; however, any edits to it will get removed if the file is opened in a newer version of Excel. Learn more: https://go.microsoft.com/fwlink/?linkid=870924
Comment:
    Conferir no Caixa do Fundo no Portal do BTG o valor que foi aplicado no dia.</t>
      </text>
    </comment>
    <comment ref="S13" authorId="2" shapeId="0" xr:uid="{49D71B50-4C37-4DFC-90BD-CB1371ECEE8B}">
      <text>
        <t>[Threaded comment]
Your version of Excel allows you to read this threaded comment; however, any edits to it will get removed if the file is opened in a newer version of Excel. Learn more: https://go.microsoft.com/fwlink/?linkid=870924
Comment:
    Conferir no Caixa do Fundo no Portal do BTG o valor que foi resgatado no dia.</t>
      </text>
    </comment>
    <comment ref="V13" authorId="3" shapeId="0" xr:uid="{B28540B4-44D7-4405-A87D-8F8510C65AAF}">
      <text>
        <t>[Threaded comment]
Your version of Excel allows you to read this threaded comment; however, any edits to it will get removed if the file is opened in a newer version of Excel. Learn more: https://go.microsoft.com/fwlink/?linkid=870924
Comment:
    Pegar da carteira BTG.</t>
      </text>
    </comment>
    <comment ref="Q20" authorId="4" shapeId="0" xr:uid="{0E7B3302-8197-4E79-AF86-A90E334810AE}">
      <text>
        <t>[Threaded comment]
Your version of Excel allows you to read this threaded comment; however, any edits to it will get removed if the file is opened in a newer version of Excel. Learn more: https://go.microsoft.com/fwlink/?linkid=870924
Comment:
    Tx. Reg. Fundos</t>
      </text>
    </comment>
    <comment ref="Q115" authorId="5" shapeId="0" xr:uid="{0871C481-7A7B-4736-BB2F-F45499DAFD5D}">
      <text>
        <t>[Threaded comment]
Your version of Excel allows you to read this threaded comment; however, any edits to it will get removed if the file is opened in a newer version of Excel. Learn more: https://go.microsoft.com/fwlink/?linkid=870924
Comment:
    Anbima</t>
      </text>
    </comment>
    <comment ref="Q194" authorId="6" shapeId="0" xr:uid="{87E4F468-2B06-45D4-97A5-9CB30048290C}">
      <text>
        <t>[Threaded comment]
Your version of Excel allows you to read this threaded comment; however, any edits to it will get removed if the file is opened in a newer version of Excel. Learn more: https://go.microsoft.com/fwlink/?linkid=870924
Comment:
    CETIP</t>
      </text>
    </comment>
    <comment ref="Q232" authorId="7" shapeId="0" xr:uid="{2EFA19BB-F360-454E-B97C-229C544A81A6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33" authorId="8" shapeId="0" xr:uid="{322CDCFE-C280-4F2E-98B8-7119689CD0E0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34" authorId="9" shapeId="0" xr:uid="{474DDCC9-1F89-4228-860B-855DAD26A938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35" authorId="10" shapeId="0" xr:uid="{6F45E554-3689-417F-AF29-373EC62620C4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36" authorId="11" shapeId="0" xr:uid="{F526724B-CF87-4620-8FDA-765C75B3B10B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37" authorId="12" shapeId="0" xr:uid="{2EE8896F-D02F-4CB8-B37B-3732664BF828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38" authorId="13" shapeId="0" xr:uid="{990643C8-A113-45C8-B531-41FB1B531334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39" authorId="14" shapeId="0" xr:uid="{DB365A31-820E-4538-BAC9-F9EFA15CE4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40" authorId="15" shapeId="0" xr:uid="{566E4B0C-AB1C-45B0-8B56-5006FBEB8174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41" authorId="16" shapeId="0" xr:uid="{14A24B88-7979-49FE-8A0A-D166ECF12E01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42" authorId="17" shapeId="0" xr:uid="{BF500C5B-DB40-440C-8BA0-6D99FEFDB44D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43" authorId="18" shapeId="0" xr:uid="{0AD6D643-9D5C-4DF0-877E-549F982E6986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44" authorId="19" shapeId="0" xr:uid="{C7D4F3C0-C991-4E09-B5F2-3CC7AF93C63F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45" authorId="20" shapeId="0" xr:uid="{3E2E5098-0439-43C2-857B-C62CDA0871AC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46" authorId="21" shapeId="0" xr:uid="{C1A5F25B-539A-47AB-8F9E-CB207FD18C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47" authorId="22" shapeId="0" xr:uid="{450EE9D9-45DC-4B65-86E6-59B9D697FB66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48" authorId="23" shapeId="0" xr:uid="{73904E52-08FE-4855-9E8D-44F1889A8C45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49" authorId="24" shapeId="0" xr:uid="{378E6854-3024-4604-B155-428E2FD52348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50" authorId="25" shapeId="0" xr:uid="{D34F3042-751A-4A62-8CB7-CDAB37F274E1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51" authorId="26" shapeId="0" xr:uid="{F341393A-705D-45EA-BD6E-73E1DD8F3A38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52" authorId="27" shapeId="0" xr:uid="{AAEBF80A-36FE-41A8-BA2A-BD34E0E43A3E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53" authorId="28" shapeId="0" xr:uid="{187F5F22-40E0-4722-882F-717D785ACEAA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54" authorId="29" shapeId="0" xr:uid="{8CB8A253-956F-4717-BD46-16D8C65872FB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55" authorId="30" shapeId="0" xr:uid="{F8839E58-AC8B-4D76-A9D7-412278792AB3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56" authorId="31" shapeId="0" xr:uid="{73C00460-85C4-48EA-9ADF-699173F77C84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57" authorId="32" shapeId="0" xr:uid="{242FBFA1-6DFE-40B0-BD5F-629A121B4970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58" authorId="33" shapeId="0" xr:uid="{505D94EF-409B-4CA9-91B3-4E10A48DB58F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59" authorId="34" shapeId="0" xr:uid="{42C18D2E-094B-4E08-AD0F-1FE2DAC6A0A8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60" authorId="35" shapeId="0" xr:uid="{7855FE3A-4E59-4F60-915C-37121B89D671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61" authorId="36" shapeId="0" xr:uid="{DD3BFCE8-9719-4443-AF57-563A34EAEF06}">
      <text>
        <t>[Threaded comment]
Your version of Excel allows you to read this threaded comment; however, any edits to it will get removed if the file is opened in a newer version of Excel. Learn more: https://go.microsoft.com/fwlink/?linkid=870924
Comment:
    CETIP</t>
      </text>
    </comment>
    <comment ref="Q262" authorId="37" shapeId="0" xr:uid="{E76B0478-EC1E-4B11-A820-64F02A304441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63" authorId="38" shapeId="0" xr:uid="{02AC11DF-214D-42A6-94D3-E8F163D11892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64" authorId="39" shapeId="0" xr:uid="{987C6D2C-58FE-493C-9703-F52DDF614707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65" authorId="40" shapeId="0" xr:uid="{7D9F8CE9-44E1-47AA-88BB-A91721383A48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66" authorId="41" shapeId="0" xr:uid="{62F3A069-B15D-4E50-8106-2D13656BB2BD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67" authorId="42" shapeId="0" xr:uid="{77970F01-9C08-40C2-8866-A4E23EFD0F18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68" authorId="43" shapeId="0" xr:uid="{E67E1AA4-33E4-4446-A775-99DF7EAF5EED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69" authorId="44" shapeId="0" xr:uid="{A8335EEE-D063-448C-8F4C-6DD563D2832E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70" authorId="45" shapeId="0" xr:uid="{E5F17DF9-2CFB-45FE-A668-5B1DEF05526A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71" authorId="46" shapeId="0" xr:uid="{DBEC00F7-80D9-42C9-B795-C69887580F1C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72" authorId="47" shapeId="0" xr:uid="{18070B8C-51AA-429F-B7A8-11CB7CDDB2AC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73" authorId="48" shapeId="0" xr:uid="{1D23D807-83F5-4A80-92BA-468D4884F3DD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74" authorId="49" shapeId="0" xr:uid="{2FE6ADD8-5077-4C2E-AD01-90838BE034D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75" authorId="50" shapeId="0" xr:uid="{BC9146A7-BD64-4A55-97E2-A1969950A6D3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76" authorId="51" shapeId="0" xr:uid="{C92005DD-0634-4ADC-AB2D-7DD18AC1217C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77" authorId="52" shapeId="0" xr:uid="{7EEDDCA8-1919-4675-A340-450D2A00373D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278" authorId="53" shapeId="0" xr:uid="{09C77BA3-05B0-4E1A-928C-4F8E886CC5A2}">
      <text>
        <t>[Threaded comment]
Your version of Excel allows you to read this threaded comment; however, any edits to it will get removed if the file is opened in a newer version of Excel. Learn more: https://go.microsoft.com/fwlink/?linkid=870924
Comment:
    Repasse</t>
      </text>
    </comment>
    <comment ref="Q359" authorId="54" shapeId="0" xr:uid="{8910BBA5-609E-43FC-8502-C766EE9BDEAA}">
      <text>
        <t>[Threaded comment]
Your version of Excel allows you to read this threaded comment; however, any edits to it will get removed if the file is opened in a newer version of Excel. Learn more: https://go.microsoft.com/fwlink/?linkid=870924
Comment:
    Gráfica</t>
      </text>
    </comment>
    <comment ref="Q362" authorId="55" shapeId="0" xr:uid="{FB95629D-A2CF-48C9-8134-082C439C3B88}">
      <text>
        <t>[Threaded comment]
Your version of Excel allows you to read this threaded comment; however, any edits to it will get removed if the file is opened in a newer version of Excel. Learn more: https://go.microsoft.com/fwlink/?linkid=870924
Comment:
    cetip</t>
      </text>
    </comment>
    <comment ref="Q381" authorId="56" shapeId="0" xr:uid="{8C3FD641-35BC-4C8C-B33B-A84290938216}">
      <text>
        <t>[Threaded comment]
Your version of Excel allows you to read this threaded comment; however, any edits to it will get removed if the file is opened in a newer version of Excel. Learn more: https://go.microsoft.com/fwlink/?linkid=870924
Comment:
    cetip</t>
      </text>
    </comment>
    <comment ref="Q438" authorId="57" shapeId="0" xr:uid="{E7BCE8F8-607F-47E2-B46E-8C929FD8C578}">
      <text>
        <t>[Threaded comment]
Your version of Excel allows you to read this threaded comment; however, any edits to it will get removed if the file is opened in a newer version of Excel. Learn more: https://go.microsoft.com/fwlink/?linkid=870924
Comment:
    Ajuste de Caixa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tc={197DEBEF-203A-4381-9E5E-A61418C4E5BD}</author>
    <author>tc={A4E5347F-1298-4D9E-A3B3-85056A3B0BA3}</author>
  </authors>
  <commentList>
    <comment ref="A3" authorId="0" shapeId="0" xr:uid="{197DEBEF-203A-4381-9E5E-A61418C4E5BD}">
      <text>
        <t>[Threaded comment]
Your version of Excel allows you to read this threaded comment; however, any edits to it will get removed if the file is opened in a newer version of Excel. Learn more: https://go.microsoft.com/fwlink/?linkid=870924
Comment:
    Atualizar com as movimentações</t>
      </text>
    </comment>
    <comment ref="N3" authorId="1" shapeId="0" xr:uid="{A4E5347F-1298-4D9E-A3B3-85056A3B0BA3}">
      <text>
        <t>[Threaded comment]
Your version of Excel allows you to read this threaded comment; however, any edits to it will get removed if the file is opened in a newer version of Excel. Learn more: https://go.microsoft.com/fwlink/?linkid=870924
Comment:
    Única coluna da sheet que pega referência de fora da planilha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<sst xmlns="http://schemas.openxmlformats.org/spreadsheetml/2006/main" count="320" uniqueCount="214">
  <si>
    <t>NEULER_ACOES_FIC_FIA</t>
  </si>
  <si>
    <t>Data</t>
  </si>
  <si>
    <t>Resumo</t>
  </si>
  <si>
    <t>Descricao</t>
  </si>
  <si>
    <t>Financeiro</t>
  </si>
  <si>
    <t>Ganho Diario</t>
  </si>
  <si>
    <t>% PL</t>
  </si>
  <si>
    <t>PORTFOLIO INVESTIDO</t>
  </si>
  <si>
    <t>C/C SALDO FUNDO</t>
  </si>
  <si>
    <t>Rentabilidade</t>
  </si>
  <si>
    <t>Patrimonio</t>
  </si>
  <si>
    <t>Cota Líquida</t>
  </si>
  <si>
    <t>Rentabilidade_Dia</t>
  </si>
  <si>
    <t>Rentabilidade_Mes</t>
  </si>
  <si>
    <t>Rentabilidade_Semestre</t>
  </si>
  <si>
    <t>Rentabilidade_Ano</t>
  </si>
  <si>
    <t>Perc_CDI_Dia</t>
  </si>
  <si>
    <t>Perc_CDI_Mes</t>
  </si>
  <si>
    <t>Perc_CDI_Semestre</t>
  </si>
  <si>
    <t>Perc_CDI_Ano</t>
  </si>
  <si>
    <t>Aquisicao</t>
  </si>
  <si>
    <t>Resgate</t>
  </si>
  <si>
    <t>Saldo Cotas</t>
  </si>
  <si>
    <t>Cota Bruta</t>
  </si>
  <si>
    <t>Portfolio_Investido</t>
  </si>
  <si>
    <t>CNPJ</t>
  </si>
  <si>
    <t>Portfólio Inv.</t>
  </si>
  <si>
    <t>ISIN</t>
  </si>
  <si>
    <t>Quantidade</t>
  </si>
  <si>
    <t>Quota</t>
  </si>
  <si>
    <t>% P.L.</t>
  </si>
  <si>
    <t>Var.Diária</t>
  </si>
  <si>
    <t xml:space="preserve">47610569000132      </t>
  </si>
  <si>
    <t>NEULER MASTER FIA</t>
  </si>
  <si>
    <t>BR0DKVCTF004</t>
  </si>
  <si>
    <t>Data Carteira:</t>
  </si>
  <si>
    <t>Nome BTG?</t>
  </si>
  <si>
    <t>Nome BTG</t>
  </si>
  <si>
    <t>Resumo Carteira</t>
  </si>
  <si>
    <t>Sheets</t>
  </si>
  <si>
    <t>House</t>
  </si>
  <si>
    <t>BTG</t>
  </si>
  <si>
    <t>Diferença</t>
  </si>
  <si>
    <t>Posição</t>
  </si>
  <si>
    <t>Portfolio Investido</t>
  </si>
  <si>
    <t>Trades</t>
  </si>
  <si>
    <t>olhar para ativos novos na boletagem</t>
  </si>
  <si>
    <t>Prices</t>
  </si>
  <si>
    <t>linkar melhor com BBG</t>
  </si>
  <si>
    <t>Caixa</t>
  </si>
  <si>
    <t>Contas a Pagar/Receber</t>
  </si>
  <si>
    <t>Taxas</t>
  </si>
  <si>
    <t>Dividendos</t>
  </si>
  <si>
    <t>Controle de Trades</t>
  </si>
  <si>
    <t>Controle de Passivo</t>
  </si>
  <si>
    <t>Caixa BRL</t>
  </si>
  <si>
    <t>Despesa</t>
  </si>
  <si>
    <t>Despesas</t>
  </si>
  <si>
    <t>TAXA ADMINISTRACAO</t>
  </si>
  <si>
    <t>Taxa de Administração</t>
  </si>
  <si>
    <t>TAXA CUSTODIA</t>
  </si>
  <si>
    <t>Taxa de Custódia</t>
  </si>
  <si>
    <t>Total PL</t>
  </si>
  <si>
    <t>Patrimônio Líquido</t>
  </si>
  <si>
    <t>Check</t>
  </si>
  <si>
    <t>Variação Carteira:</t>
  </si>
  <si>
    <t>Taxa de Performance</t>
  </si>
  <si>
    <t>Cota</t>
  </si>
  <si>
    <t>Tx de Adm</t>
  </si>
  <si>
    <t>Tx de Adm a Pagar</t>
  </si>
  <si>
    <t>Saldo C/C R$</t>
  </si>
  <si>
    <t>Outras Despesas/Receitas</t>
  </si>
  <si>
    <t>NEULER ACOES FIC FIA</t>
  </si>
  <si>
    <t>Número de Cotas FIC</t>
  </si>
  <si>
    <t>Número de Cotas Master</t>
  </si>
  <si>
    <t>Cota Master</t>
  </si>
  <si>
    <t>PRÊMIO DE PERFORMANCE</t>
  </si>
  <si>
    <t>A RECEBER AQUISIçãO</t>
  </si>
  <si>
    <t>DESPESA</t>
  </si>
  <si>
    <t>A REC. AQUISIÇÃO PI</t>
  </si>
  <si>
    <t>DESPESAS</t>
  </si>
  <si>
    <t>Nome</t>
  </si>
  <si>
    <t>Data Início Vigência</t>
  </si>
  <si>
    <t>Data Fim Vigência</t>
  </si>
  <si>
    <t>Valor</t>
  </si>
  <si>
    <t>Cotas a Emitir FIC</t>
  </si>
  <si>
    <t>Cotas a Emitir Master</t>
  </si>
  <si>
    <t>Port. Investido Master</t>
  </si>
  <si>
    <t>Quantidade de Cotas:</t>
  </si>
  <si>
    <t>Valor da Cota:</t>
  </si>
  <si>
    <t>Cota D-1</t>
  </si>
  <si>
    <t>A PAGAR TX.ADM.</t>
  </si>
  <si>
    <t>FERIADOS</t>
  </si>
  <si>
    <t>Pendências Bolsa</t>
  </si>
  <si>
    <t>Dividendos a Receber</t>
  </si>
  <si>
    <t>Dividendos a Pagar</t>
  </si>
  <si>
    <t>Cotas a Emitir</t>
  </si>
  <si>
    <t>Despesas Aluguel</t>
  </si>
  <si>
    <t>Despesas Provisionadas</t>
  </si>
  <si>
    <t>Saldo Inicial</t>
  </si>
  <si>
    <t>Liquidações de Bolsa</t>
  </si>
  <si>
    <t>Liquidações SELIC</t>
  </si>
  <si>
    <t>Ajuste de BM&amp;F</t>
  </si>
  <si>
    <t>Taxa CVM</t>
  </si>
  <si>
    <t>Câmbio</t>
  </si>
  <si>
    <t>Saldo Final</t>
  </si>
  <si>
    <t>A RECEBER FINANCEIRO PI</t>
  </si>
  <si>
    <t>A Receber Resgate Master</t>
  </si>
  <si>
    <t>Resgate Cotas Master</t>
  </si>
  <si>
    <t>Aplicação no FIC</t>
  </si>
  <si>
    <t>https://neulercapital.sharepoint.com/sites/Comercial/Documentos Compartilhados/General/</t>
  </si>
  <si>
    <t>Dia:</t>
  </si>
  <si>
    <t>FINANCEIRO</t>
  </si>
  <si>
    <t>APLICAÇÃO</t>
  </si>
  <si>
    <t>OTAVIO DE FREITAS E CASTRO SAMPAIO</t>
  </si>
  <si>
    <t>INVESTFORT PENEDO FUNDO DE INVESTIMENTO EM ACOES I</t>
  </si>
  <si>
    <t>LEONARDO PORCIUNCULA GOMES PEREIRA</t>
  </si>
  <si>
    <t>ALINE HADID JAGER</t>
  </si>
  <si>
    <t>FLORA FUNDO DE INVESTIMENTO MULTIMERCADO CREDITO P</t>
  </si>
  <si>
    <t>VISION FUNDO DE INVESTIMENTO EM COTAS DE FUNDOS DE</t>
  </si>
  <si>
    <t>YONA SELDIN ADLER</t>
  </si>
  <si>
    <t>ROMEU CORTES DOMINGUES E/OU JULIENNE MOREIRA DOMIN</t>
  </si>
  <si>
    <t>PEDRO MARTINI GOMES PEREIRA</t>
  </si>
  <si>
    <t>ROGERIO PAULO OLIVEIRA DE MORAIS E/OU MARCELA DE A</t>
  </si>
  <si>
    <t>LUCAS BRAGA SOARES</t>
  </si>
  <si>
    <t>JULIANA HENRIQUES DA CUNHA PEREIRA</t>
  </si>
  <si>
    <t>EDUARDO WHITAKER DE ASSUMPCAO MATTOS ROSMAN</t>
  </si>
  <si>
    <t>DANNY ADLER</t>
  </si>
  <si>
    <t>BLUE HILL FIA IE</t>
  </si>
  <si>
    <t>051 ACOES FIA</t>
  </si>
  <si>
    <t>Performance R$ (15%)</t>
  </si>
  <si>
    <t>Diferencial Bruto</t>
  </si>
  <si>
    <t>Diferencial Líquido</t>
  </si>
  <si>
    <t>Índice Benchmark</t>
  </si>
  <si>
    <t>Índice Cotista Bruto</t>
  </si>
  <si>
    <t>Índice Cotista Líquido</t>
  </si>
  <si>
    <t>Retorno Benchmark</t>
  </si>
  <si>
    <t>Retorno Cotista Bruto</t>
  </si>
  <si>
    <t>Retorno Cotista Líquido</t>
  </si>
  <si>
    <t>Boleta Id</t>
  </si>
  <si>
    <t>Qt Cotas</t>
  </si>
  <si>
    <t>Fin. Previsto</t>
  </si>
  <si>
    <t>Tipo Movimento</t>
  </si>
  <si>
    <t>Operação</t>
  </si>
  <si>
    <t>Data Impacto</t>
  </si>
  <si>
    <t>Data Solicitação</t>
  </si>
  <si>
    <t>Conta</t>
  </si>
  <si>
    <t>Cliente</t>
  </si>
  <si>
    <t>Total:</t>
  </si>
  <si>
    <t>definir variáveis que estão na carteira do btg</t>
  </si>
  <si>
    <t>achar data</t>
  </si>
  <si>
    <t>preencher coluna com variáveis</t>
  </si>
  <si>
    <t>puxar formulas</t>
  </si>
  <si>
    <t>Débito em conta Corrente</t>
  </si>
  <si>
    <t>RESGATE</t>
  </si>
  <si>
    <t>Fórmula para resgates a pagar corrigida</t>
  </si>
  <si>
    <t>Mudar a fórmula dessa coluna</t>
  </si>
  <si>
    <t>LUCIANO BAPTISTA CARLOS</t>
  </si>
  <si>
    <t>AJUSTE - C/C</t>
  </si>
  <si>
    <t>VLADIMIR DO NASCIMENTO PINTO</t>
  </si>
  <si>
    <t>Neuler FIC FIA</t>
  </si>
  <si>
    <t>A PAGAR PREMIO</t>
  </si>
  <si>
    <t>A pagar prêmio</t>
  </si>
  <si>
    <t>Data Base</t>
  </si>
  <si>
    <t>A PAGAR - PFEE.</t>
  </si>
  <si>
    <t>Perf. Anual</t>
  </si>
  <si>
    <t>15/01/2024</t>
  </si>
  <si>
    <t>Despesa de Auditoria- DIFERIMENTO  9/2023</t>
  </si>
  <si>
    <t>13/01/2025</t>
  </si>
  <si>
    <t>A Pagar IR Cotista</t>
  </si>
  <si>
    <t>A Pagar Cotista</t>
  </si>
  <si>
    <t>IR Cotista</t>
  </si>
  <si>
    <t>A pagar Cotista</t>
  </si>
  <si>
    <t>INVESTFORT PENEDO FUNDO DE INVESTIMENTO EM ACOES INVESTIMENTO NO EXTERIOR</t>
  </si>
  <si>
    <t>BANCO BTG PACTUAL S A- P/C 001022810 ()</t>
  </si>
  <si>
    <t>062618489</t>
  </si>
  <si>
    <t>33933573</t>
  </si>
  <si>
    <t>004476617</t>
  </si>
  <si>
    <t>30/01/2024</t>
  </si>
  <si>
    <t>17025552</t>
  </si>
  <si>
    <t>004471820</t>
  </si>
  <si>
    <t>34555187</t>
  </si>
  <si>
    <t>26/03/2024</t>
  </si>
  <si>
    <t>Despesa CVM - DIFERIMENTO  3/2024</t>
  </si>
  <si>
    <t>26/03/2025</t>
  </si>
  <si>
    <t>08/05/2024</t>
  </si>
  <si>
    <t>Despesa CVM - DIFERIMENTO  5/2024</t>
  </si>
  <si>
    <t>08/05/2025</t>
  </si>
  <si>
    <t>Atualizar a coluna de performance.</t>
  </si>
  <si>
    <t>004471818</t>
  </si>
  <si>
    <t>41963235</t>
  </si>
  <si>
    <t>42020726</t>
  </si>
  <si>
    <t>Despesa CETIP  10/2024</t>
  </si>
  <si>
    <t>01/10/2024</t>
  </si>
  <si>
    <t>31/10/2024</t>
  </si>
  <si>
    <t>17/10/2024</t>
  </si>
  <si>
    <t>Despesa Anbima - DIFERIMENTO  10/2024</t>
  </si>
  <si>
    <t>16/12/2024</t>
  </si>
  <si>
    <t>base movimentacao</t>
  </si>
  <si>
    <t>base cota master</t>
  </si>
  <si>
    <t>calculo</t>
  </si>
  <si>
    <t>lógica</t>
  </si>
  <si>
    <t>Despesa CETIP  11/2024</t>
  </si>
  <si>
    <t>01/11/2024</t>
  </si>
  <si>
    <t>29/11/2024</t>
  </si>
  <si>
    <t>27/11/2024</t>
  </si>
  <si>
    <t>Despesa de Auditoria - DIFERIMENTO  11/2024</t>
  </si>
  <si>
    <t>27/11/2025</t>
  </si>
  <si>
    <t>Despesa CETIP  12/2024</t>
  </si>
  <si>
    <t>02/12/2024</t>
  </si>
  <si>
    <t>31/12/2024</t>
  </si>
  <si>
    <t>12/12/2024</t>
  </si>
  <si>
    <t>Despesa de Auditoria - DIFERIMENTO  12/2024</t>
  </si>
  <si>
    <t>12/12/2025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</si>
</sst>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(* #,##0.00_);_(* \(#,##0.00\);_(* &quot;-&quot;??_);_(@_)"/>
    <numFmt numFmtId="165" formatCode="_-&quot;£&quot;* #,##0.00_-;\-&quot;£&quot;* #,##0.00_-;_-&quot;£&quot;* &quot;-&quot;??_-;_-@_-"/>
    <numFmt numFmtId="166" formatCode="#,##0.0000%"/>
    <numFmt numFmtId="167" formatCode="#,##0.00000000"/>
    <numFmt numFmtId="168" formatCode="#,##0.0000"/>
    <numFmt numFmtId="169" formatCode="#,##0.00####"/>
    <numFmt numFmtId="170" formatCode="#,##0.00%"/>
    <numFmt numFmtId="171" formatCode="#,##0.00###%"/>
    <numFmt numFmtId="172" formatCode="_-* #,##0.000000_-;\-* #,##0.000000_-;_-* &quot;-&quot;??_-;_-@_-"/>
    <numFmt numFmtId="173" formatCode="0.00000000"/>
    <numFmt numFmtId="174" formatCode="0.0000000"/>
    <numFmt numFmtId="175" formatCode="#,##0.00000"/>
    <numFmt numFmtId="176" formatCode="[$-409]dd\-mmm\-yy;@"/>
    <numFmt numFmtId="177" formatCode="[$-409]d\-mmm\-yy;@"/>
    <numFmt numFmtId="178" formatCode="0.000%"/>
    <numFmt numFmtId="179" formatCode="&quot;R$&quot;\ #,##0.00"/>
    <numFmt numFmtId="180" formatCode="0.0000%"/>
    <numFmt numFmtId="181" formatCode="#,##0.000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indexed="60"/>
      <name val="Arial"/>
      <family val="2"/>
    </font>
    <font>
      <b/>
      <sz val="8"/>
      <color indexed="62"/>
      <name val="Arial"/>
      <family val="2"/>
    </font>
    <font>
      <sz val="8"/>
      <color indexed="62"/>
      <name val="Arial"/>
      <family val="2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1BF91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b/>
      <sz val="14"/>
      <color indexed="9"/>
      <name val="Wingdings"/>
      <charset val="2"/>
    </font>
    <font>
      <b/>
      <sz val="9"/>
      <color theme="1"/>
      <name val="Calibri"/>
      <family val="2"/>
      <scheme val="minor"/>
    </font>
    <font>
      <b/>
      <sz val="8"/>
      <color rgb="FF333399"/>
      <name val="Arial"/>
      <family val="2"/>
    </font>
    <font>
      <sz val="8"/>
      <color rgb="FF333399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color theme="5"/>
      <name val="Calibri"/>
      <family val="2"/>
      <scheme val="minor"/>
    </font>
    <font>
      <sz val="10"/>
      <name val="Arial"/>
      <family val="2"/>
    </font>
    <font>
      <sz val="10"/>
      <color rgb="FF656565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0023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C0C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89999084444715716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/>
    <xf numFmtId="0" fontId="16" fillId="0" borderId="0"/>
    <xf numFmtId="0" fontId="19" fillId="0" borderId="0"/>
    <xf numFmtId="0" fontId="21" fillId="0" borderId="0"/>
    <xf numFmtId="0" fontId="22" fillId="0" borderId="0"/>
    <xf numFmtId="0" fontId="23" fillId="0" borderId="0"/>
    <xf numFmtId="0" fontId="24" fillId="0" borderId="0"/>
    <xf numFmtId="0" fontId="25" fillId="0" borderId="0"/>
    <xf numFmtId="0" fontId="26" fillId="0" borderId="0"/>
  </cellStyleXfs>
  <cellXfs count="96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15" fontId="0" fillId="0" borderId="0" xfId="0" applyNumberFormat="1"/>
    <xf numFmtId="0" fontId="6" fillId="0" borderId="0" xfId="0" applyFont="1" applyAlignment="1">
      <alignment vertical="center"/>
    </xf>
    <xf numFmtId="0" fontId="0" fillId="0" borderId="2" xfId="0" applyBorder="1"/>
    <xf numFmtId="0" fontId="7" fillId="0" borderId="3" xfId="0" applyFont="1" applyBorder="1"/>
    <xf numFmtId="0" fontId="8" fillId="2" borderId="3" xfId="0" applyFont="1" applyFill="1" applyBorder="1" applyAlignment="1">
      <alignment horizontal="left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0" xfId="0" applyFont="1"/>
    <xf numFmtId="0" fontId="0" fillId="0" borderId="6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7" xfId="0" applyBorder="1"/>
    <xf numFmtId="0" fontId="9" fillId="0" borderId="0" xfId="0" applyFont="1"/>
    <xf numFmtId="0" fontId="2" fillId="0" borderId="0" xfId="0" applyFont="1"/>
    <xf numFmtId="4" fontId="0" fillId="3" borderId="0" xfId="0" applyNumberFormat="1" applyFill="1"/>
    <xf numFmtId="4" fontId="0" fillId="0" borderId="0" xfId="0" applyNumberFormat="1"/>
    <xf numFmtId="0" fontId="10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8" xfId="0" applyBorder="1"/>
    <xf numFmtId="0" fontId="0" fillId="0" borderId="6" xfId="0" applyBorder="1"/>
    <xf numFmtId="0" fontId="0" fillId="0" borderId="9" xfId="0" applyBorder="1"/>
    <xf numFmtId="165" fontId="11" fillId="0" borderId="1" xfId="2" applyFont="1" applyBorder="1" applyAlignment="1">
      <alignment horizontal="center" vertical="center" wrapText="1"/>
    </xf>
    <xf numFmtId="172" fontId="11" fillId="0" borderId="1" xfId="1" applyNumberFormat="1" applyFont="1" applyBorder="1" applyAlignment="1">
      <alignment horizontal="center" vertical="center" wrapText="1"/>
    </xf>
    <xf numFmtId="164" fontId="11" fillId="0" borderId="1" xfId="1" applyFont="1" applyBorder="1" applyAlignment="1">
      <alignment horizontal="center" vertical="center" wrapText="1"/>
    </xf>
    <xf numFmtId="16" fontId="0" fillId="0" borderId="0" xfId="0" applyNumberFormat="1"/>
    <xf numFmtId="0" fontId="0" fillId="5" borderId="0" xfId="0" applyFill="1"/>
    <xf numFmtId="4" fontId="0" fillId="5" borderId="0" xfId="0" applyNumberFormat="1" applyFill="1"/>
    <xf numFmtId="167" fontId="0" fillId="5" borderId="0" xfId="0" applyNumberFormat="1" applyFill="1"/>
    <xf numFmtId="173" fontId="0" fillId="5" borderId="0" xfId="0" applyNumberFormat="1" applyFill="1"/>
    <xf numFmtId="0" fontId="2" fillId="0" borderId="11" xfId="0" applyFont="1" applyBorder="1" applyAlignment="1">
      <alignment horizontal="left" vertical="center"/>
    </xf>
    <xf numFmtId="10" fontId="0" fillId="0" borderId="11" xfId="0" applyNumberFormat="1" applyBorder="1"/>
    <xf numFmtId="10" fontId="0" fillId="0" borderId="11" xfId="3" applyNumberFormat="1" applyFont="1" applyFill="1" applyBorder="1"/>
    <xf numFmtId="0" fontId="10" fillId="0" borderId="11" xfId="0" applyFont="1" applyBorder="1" applyAlignment="1">
      <alignment horizontal="center" vertical="center"/>
    </xf>
    <xf numFmtId="174" fontId="0" fillId="0" borderId="0" xfId="0" applyNumberFormat="1"/>
    <xf numFmtId="175" fontId="0" fillId="0" borderId="0" xfId="0" applyNumberFormat="1"/>
    <xf numFmtId="176" fontId="0" fillId="0" borderId="0" xfId="0" applyNumberFormat="1"/>
    <xf numFmtId="177" fontId="11" fillId="0" borderId="1" xfId="0" applyNumberFormat="1" applyFont="1" applyBorder="1" applyAlignment="1">
      <alignment horizontal="center" vertical="center" wrapText="1"/>
    </xf>
    <xf numFmtId="0" fontId="0" fillId="6" borderId="0" xfId="0" applyFill="1"/>
    <xf numFmtId="4" fontId="0" fillId="6" borderId="0" xfId="0" applyNumberFormat="1" applyFill="1"/>
    <xf numFmtId="177" fontId="11" fillId="0" borderId="0" xfId="0" applyNumberFormat="1" applyFont="1" applyAlignment="1">
      <alignment horizontal="center" vertical="center" wrapText="1"/>
    </xf>
    <xf numFmtId="0" fontId="14" fillId="0" borderId="0" xfId="4"/>
    <xf numFmtId="3" fontId="0" fillId="6" borderId="0" xfId="0" applyNumberFormat="1" applyFill="1"/>
    <xf numFmtId="178" fontId="0" fillId="0" borderId="0" xfId="3" applyNumberFormat="1" applyFont="1"/>
    <xf numFmtId="0" fontId="0" fillId="7" borderId="0" xfId="0" applyFill="1"/>
    <xf numFmtId="15" fontId="0" fillId="7" borderId="0" xfId="0" applyNumberFormat="1" applyFill="1"/>
    <xf numFmtId="0" fontId="0" fillId="5" borderId="0" xfId="0" applyFill="1" applyAlignment="1">
      <alignment horizontal="center" vertical="center"/>
    </xf>
    <xf numFmtId="175" fontId="0" fillId="0" borderId="0" xfId="3" applyNumberFormat="1" applyFont="1" applyAlignment="1">
      <alignment horizontal="center" vertical="center"/>
    </xf>
    <xf numFmtId="4" fontId="0" fillId="8" borderId="0" xfId="0" applyNumberFormat="1" applyFill="1"/>
    <xf numFmtId="175" fontId="0" fillId="9" borderId="0" xfId="3" applyNumberFormat="1" applyFont="1" applyFill="1" applyAlignment="1">
      <alignment horizontal="center" vertical="center"/>
    </xf>
    <xf numFmtId="10" fontId="0" fillId="0" borderId="0" xfId="3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4" fontId="0" fillId="0" borderId="0" xfId="0" applyNumberFormat="1"/>
    <xf numFmtId="0" fontId="18" fillId="10" borderId="0" xfId="0" applyFont="1" applyFill="1" applyAlignment="1">
      <alignment horizontal="center" vertical="center" wrapText="1"/>
    </xf>
    <xf numFmtId="0" fontId="18" fillId="10" borderId="0" xfId="0" applyFont="1" applyFill="1" applyAlignment="1">
      <alignment horizontal="center" vertical="center"/>
    </xf>
    <xf numFmtId="179" fontId="2" fillId="0" borderId="0" xfId="0" applyNumberFormat="1" applyFont="1"/>
    <xf numFmtId="14" fontId="2" fillId="0" borderId="0" xfId="0" applyNumberFormat="1" applyFont="1"/>
    <xf numFmtId="165" fontId="11" fillId="0" borderId="0" xfId="2" applyFont="1" applyFill="1" applyBorder="1" applyAlignment="1">
      <alignment horizontal="center" vertical="center" wrapText="1"/>
    </xf>
    <xf numFmtId="0" fontId="20" fillId="11" borderId="0" xfId="0" applyFont="1" applyFill="1"/>
    <xf numFmtId="0" fontId="0" fillId="12" borderId="0" xfId="0" applyFill="1"/>
    <xf numFmtId="180" fontId="0" fillId="0" borderId="0" xfId="3" applyNumberFormat="1" applyFont="1"/>
    <xf numFmtId="10" fontId="0" fillId="0" borderId="0" xfId="0" applyNumberFormat="1"/>
    <xf numFmtId="4" fontId="0" fillId="7" borderId="0" xfId="0" applyNumberFormat="1" applyFill="1"/>
    <xf numFmtId="0" fontId="0" fillId="13" borderId="0" xfId="0" applyFill="1"/>
    <xf numFmtId="4" fontId="0" fillId="12" borderId="0" xfId="0" applyNumberFormat="1" applyFill="1"/>
    <xf numFmtId="165" fontId="11" fillId="0" borderId="0" xfId="2" applyFont="1" applyBorder="1" applyAlignment="1">
      <alignment horizontal="center" vertical="center" wrapText="1"/>
    </xf>
    <xf numFmtId="9" fontId="0" fillId="0" borderId="0" xfId="0" applyNumberFormat="1"/>
    <xf numFmtId="14" fontId="0" fillId="6" borderId="0" xfId="0" applyNumberFormat="1" applyFill="1"/>
    <xf numFmtId="4" fontId="0" fillId="13" borderId="0" xfId="0" applyNumberFormat="1" applyFill="1"/>
    <xf numFmtId="181" fontId="0" fillId="0" borderId="0" xfId="0" applyNumberFormat="1"/>
    <xf numFmtId="181" fontId="0" fillId="0" borderId="0" xfId="3" applyNumberFormat="1" applyFont="1" applyAlignment="1">
      <alignment horizontal="center" vertical="center"/>
    </xf>
    <xf numFmtId="14" fontId="0" fillId="0" borderId="0" xfId="0" applyNumberFormat="1" applyAlignment="1">
      <alignment horizontal="right"/>
    </xf>
    <xf numFmtId="0" fontId="0" fillId="14" borderId="0" xfId="0" applyFill="1"/>
    <xf numFmtId="14" fontId="0" fillId="14" borderId="0" xfId="0" applyNumberFormat="1" applyFill="1" applyAlignment="1">
      <alignment horizontal="right"/>
    </xf>
    <xf numFmtId="14" fontId="0" fillId="14" borderId="0" xfId="0" applyNumberFormat="1" applyFill="1"/>
    <xf numFmtId="4" fontId="0" fillId="14" borderId="0" xfId="0" applyNumberForma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49" fontId="4" fillId="0" borderId="0" xfId="0" applyNumberFormat="1" applyFont="1"/>
    <xf numFmtId="0" fontId="12" fillId="4" borderId="0" xfId="0" applyFont="1" applyFill="1"/>
    <xf numFmtId="49" fontId="13" fillId="0" borderId="0" xfId="0" applyNumberFormat="1" applyFont="1" applyAlignment="1">
      <alignment horizontal="left"/>
    </xf>
    <xf numFmtId="4" fontId="13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7" fontId="13" fillId="0" borderId="0" xfId="0" applyNumberFormat="1" applyFont="1" applyAlignment="1">
      <alignment horizontal="right"/>
    </xf>
    <xf numFmtId="168" fontId="13" fillId="0" borderId="0" xfId="0" applyNumberFormat="1" applyFont="1" applyAlignment="1">
      <alignment horizontal="right"/>
    </xf>
    <xf numFmtId="169" fontId="13" fillId="0" borderId="0" xfId="0" applyNumberFormat="1" applyFont="1" applyAlignment="1">
      <alignment horizontal="right"/>
    </xf>
    <xf numFmtId="170" fontId="13" fillId="0" borderId="0" xfId="0" applyNumberFormat="1" applyFont="1" applyAlignment="1">
      <alignment horizontal="right"/>
    </xf>
    <xf numFmtId="171" fontId="13" fillId="0" borderId="0" xfId="0" applyNumberFormat="1" applyFont="1" applyAlignment="1">
      <alignment horizontal="right"/>
    </xf>
    <xf numFmtId="49" fontId="13" fillId="0" borderId="0" xfId="0" applyNumberFormat="1" applyFont="1" applyAlignment="1">
      <alignment horizontal="right"/>
    </xf>
    <xf numFmtId="0" fontId="6" fillId="0" borderId="0" xfId="0" applyFont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27" fillId="0" borderId="10" xfId="0" applyFont="1" applyBorder="1" applyAlignment="1">
      <alignment horizontal="center"/>
    </xf>
  </cellXfs>
  <cellStyles count="14">
    <cellStyle name="Comma" xfId="1" builtinId="3"/>
    <cellStyle name="Currency" xfId="2" builtinId="4"/>
    <cellStyle name="Hyperlink" xfId="4" builtinId="8"/>
    <cellStyle name="Normal" xfId="0" builtinId="0"/>
    <cellStyle name="Normal 10" xfId="13" xr:uid="{F15BA3E0-B17D-4BE9-8A1B-EB8A9095624D}"/>
    <cellStyle name="Normal 2" xfId="5" xr:uid="{49C4F6AF-F7ED-4FB6-8944-15D3D4619361}"/>
    <cellStyle name="Normal 3" xfId="6" xr:uid="{D9D96FDA-D4FA-42BD-B0F4-7D6615AC2269}"/>
    <cellStyle name="Normal 4" xfId="7" xr:uid="{423C63F7-599F-4358-8D90-0254AE916514}"/>
    <cellStyle name="Normal 5" xfId="8" xr:uid="{AE07127B-50BD-464C-A83C-3673A5962782}"/>
    <cellStyle name="Normal 6" xfId="9" xr:uid="{1ECDD34B-2F72-416B-9C5F-FDDD925DB84A}"/>
    <cellStyle name="Normal 7" xfId="10" xr:uid="{4C75CDFD-CD77-4673-B6D1-5C8F24E0D6E1}"/>
    <cellStyle name="Normal 8" xfId="11" xr:uid="{5234A9B9-23FA-4A8A-92C1-53FA818D5607}"/>
    <cellStyle name="Normal 9" xfId="12" xr:uid="{D3786191-D3C9-4E8C-B960-E63684DA9616}"/>
    <cellStyle name="Percent" xfId="3" builtinId="5"/>
  </cellStyles>
  <dxfs count="12">
    <dxf>
      <font>
        <b/>
        <i val="0"/>
        <color theme="5" tint="-0.24994659260841701"/>
      </font>
      <fill>
        <patternFill patternType="solid">
          <bgColor rgb="FFFF0000"/>
        </patternFill>
      </fill>
    </dxf>
    <dxf>
      <font>
        <color rgb="FF92D050"/>
      </font>
      <fill>
        <patternFill patternType="solid">
          <bgColor rgb="FF003300"/>
        </patternFill>
      </fill>
    </dxf>
    <dxf>
      <font>
        <b/>
        <i val="0"/>
        <color theme="5" tint="-0.24994659260841701"/>
      </font>
      <fill>
        <patternFill patternType="solid">
          <bgColor rgb="FFFF0000"/>
        </patternFill>
      </fill>
    </dxf>
    <dxf>
      <font>
        <color rgb="FF92D050"/>
      </font>
      <fill>
        <patternFill patternType="solid">
          <bgColor rgb="FF003300"/>
        </patternFill>
      </fill>
    </dxf>
    <dxf>
      <font>
        <b/>
        <i val="0"/>
        <color theme="5" tint="-0.24994659260841701"/>
      </font>
      <fill>
        <patternFill patternType="solid">
          <bgColor rgb="FFFF0000"/>
        </patternFill>
      </fill>
    </dxf>
    <dxf>
      <font>
        <color rgb="FF92D050"/>
      </font>
      <fill>
        <patternFill patternType="solid">
          <bgColor rgb="FF003300"/>
        </patternFill>
      </fill>
    </dxf>
    <dxf>
      <font>
        <b/>
        <i val="0"/>
        <color theme="5" tint="-0.24994659260841701"/>
      </font>
      <fill>
        <patternFill patternType="solid">
          <bgColor rgb="FFFF0000"/>
        </patternFill>
      </fill>
    </dxf>
    <dxf>
      <font>
        <color rgb="FF92D050"/>
      </font>
      <fill>
        <patternFill patternType="solid">
          <bgColor rgb="FF003300"/>
        </patternFill>
      </fill>
    </dxf>
    <dxf>
      <font>
        <b/>
        <i val="0"/>
        <color theme="5" tint="-0.24994659260841701"/>
      </font>
      <fill>
        <patternFill patternType="solid">
          <bgColor rgb="FFFF0000"/>
        </patternFill>
      </fill>
    </dxf>
    <dxf>
      <font>
        <color rgb="FF92D050"/>
      </font>
      <fill>
        <patternFill patternType="solid">
          <bgColor rgb="FF003300"/>
        </patternFill>
      </fill>
    </dxf>
    <dxf>
      <font>
        <b/>
        <i val="0"/>
        <color theme="5" tint="-0.24994659260841701"/>
      </font>
      <fill>
        <patternFill patternType="solid">
          <bgColor rgb="FFFF0000"/>
        </patternFill>
      </fill>
    </dxf>
    <dxf>
      <font>
        <color rgb="FF92D050"/>
      </font>
      <fill>
        <patternFill patternType="solid">
          <bgColor rgb="FF0033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28</xdr:row>
          <xdr:rowOff>123825</xdr:rowOff>
        </xdr:from>
        <xdr:to>
          <xdr:col>3</xdr:col>
          <xdr:colOff>266700</xdr:colOff>
          <xdr:row>32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Salvar e Fechar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100854</xdr:colOff>
      <xdr:row>32</xdr:row>
      <xdr:rowOff>44824</xdr:rowOff>
    </xdr:from>
    <xdr:to>
      <xdr:col>2</xdr:col>
      <xdr:colOff>402517</xdr:colOff>
      <xdr:row>37</xdr:row>
      <xdr:rowOff>18154</xdr:rowOff>
    </xdr:to>
    <xdr:pic macro="[0]!Salvar_Fechar">
      <xdr:nvPicPr>
        <xdr:cNvPr id="3" name="Graphic 2" descr="Disk outlin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593913" y="6062383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" name="Picture 5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" name="Picture 5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" name="Picture 5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" name="Picture 5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" name="Picture 5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" name="Picture 5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3" name="Picture 5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4" name="Picture 5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5" name="Picture 5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6" name="Picture 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7" name="Picture 5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8" name="Picture 5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9" name="Picture 5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590" y="2159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0" name="Picture 5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1" name="Picture 5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2" name="Picture 5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3" name="Picture 5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4" name="Picture 5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5" name="Picture 5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6" name="Picture 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7" name="Picture 5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8" name="Picture 5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9" name="Picture 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0" name="Picture 5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1" name="Picture 5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2" name="Picture 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3" name="Picture 5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4" name="Picture 5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5" name="Picture 5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6" name="Picture 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7" name="Picture 5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8" name="Picture 5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9" name="Picture 5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0" name="Picture 5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1" name="Picture 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2" name="Picture 5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3" name="Picture 5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4" name="Picture 5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5" name="Picture 5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6" name="Picture 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7" name="Picture 5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8" name="Picture 5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590" y="2159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49" name="Picture 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0" name="Picture 5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1" name="Picture 5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2" name="Picture 5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3" name="Picture 5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4" name="Picture 5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5" name="Picture 5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6" name="Picture 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7" name="Picture 5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8" name="Picture 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59" name="Picture 5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0" name="Picture 5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1" name="Picture 5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2" name="Picture 5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3" name="Picture 5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4" name="Picture 5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5" name="Picture 5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6" name="Picture 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7" name="Picture 5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8" name="Picture 5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69" name="Picture 5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0" name="Picture 5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1" name="Picture 5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2" name="Picture 5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3" name="Picture 5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4" name="Picture 5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5" name="Picture 5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6" name="Picture 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7" name="Picture 5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8" name="Picture 5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79" name="Picture 5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0" name="Picture 5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1" name="Picture 5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2" name="Picture 5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3" name="Picture 5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4" name="Picture 5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5" name="Picture 5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6" name="Picture 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7" name="Picture 5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8" name="Picture 5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89" name="Picture 5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0" name="Picture 5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1" name="Picture 5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2" name="Picture 5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3" name="Picture 5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4" name="Picture 5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5" name="Picture 5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6" name="Picture 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7" name="Picture 5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8" name="Picture 5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99" name="Picture 5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0" name="Picture 5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1" name="Picture 5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2" name="Picture 5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3" name="Picture 5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4" name="Picture 5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5" name="Picture 5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6" name="Picture 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7" name="Picture 5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8" name="Picture 5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09" name="Picture 5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0" name="Picture 5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1" name="Picture 5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2" name="Picture 5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3" name="Picture 5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4" name="Picture 5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5" name="Picture 5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6" name="Picture 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7" name="Picture 5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8" name="Picture 5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19" name="Picture 5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0" name="Picture 5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1" name="Picture 5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2" name="Picture 5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3" name="Picture 5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4" name="Picture 5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5" name="Picture 5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6" name="Picture 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7" name="Picture 5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8" name="Picture 5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29" name="Picture 5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30" name="Picture 5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31" name="Picture 5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32" name="Picture 5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33" name="Picture 5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34" name="Picture 5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35" name="Picture 5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36" name="Picture 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37" name="Picture 5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38" name="Picture 5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39" name="Picture 5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40" name="Picture 5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41" name="Picture 5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42" name="Picture 5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43" name="Picture 5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44" name="Picture 5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45" name="Picture 5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46" name="Picture 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47" name="Picture 5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48" name="Picture 5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49" name="Picture 5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50" name="Picture 5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51" name="Picture 5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52" name="Picture 5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53" name="Picture 5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54" name="Picture 5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55" name="Picture 5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56" name="Picture 5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57" name="Picture 5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58" name="Picture 5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59" name="Picture 5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60" name="Picture 5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61" name="Picture 5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62" name="Picture 5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63" name="Picture 5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64" name="Picture 5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65" name="Picture 5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66" name="Picture 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67" name="Picture 5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68" name="Picture 5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69" name="Picture 5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70" name="Picture 5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71" name="Picture 5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72" name="Picture 5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73" name="Picture 5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74" name="Picture 5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75" name="Picture 5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76" name="Picture 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77" name="Picture 5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78" name="Picture 5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79" name="Picture 5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80" name="Picture 5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81" name="Picture 5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82" name="Picture 5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83" name="Picture 5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84" name="Picture 5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85" name="Picture 5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86" name="Picture 5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87" name="Picture 5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88" name="Picture 5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89" name="Picture 5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90" name="Picture 5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91" name="Picture 5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92" name="Picture 5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93" name="Picture 5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94" name="Picture 5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95" name="Picture 5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96" name="Picture 5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97" name="Picture 5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98" name="Picture 5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199" name="Picture 5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00" name="Picture 5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01" name="Picture 5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02" name="Picture 5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03" name="Picture 5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04" name="Picture 5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05" name="Picture 5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06" name="Picture 5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07" name="Picture 5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08" name="Picture 5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09" name="Picture 5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10" name="Picture 5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11" name="Picture 5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12" name="Picture 5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13" name="Picture 5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14" name="Picture 5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15" name="Picture 5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16" name="Picture 5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17" name="Picture 5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18" name="Picture 5">
          <a:extLst>
            <a:ext uri="{FF2B5EF4-FFF2-40B4-BE49-F238E27FC236}">
              <a16:creationId xmlns:a16="http://schemas.microsoft.com/office/drawing/2014/main" id="{8D847DFD-FD7E-4357-A27B-2B71D7CC7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19" name="Picture 5">
          <a:extLst>
            <a:ext uri="{FF2B5EF4-FFF2-40B4-BE49-F238E27FC236}">
              <a16:creationId xmlns:a16="http://schemas.microsoft.com/office/drawing/2014/main" id="{8879589F-4789-4329-9708-665E66A14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20" name="Picture 5">
          <a:extLst>
            <a:ext uri="{FF2B5EF4-FFF2-40B4-BE49-F238E27FC236}">
              <a16:creationId xmlns:a16="http://schemas.microsoft.com/office/drawing/2014/main" id="{B6B35330-CE3F-4389-A562-C8BBDCCBE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21" name="Picture 5">
          <a:extLst>
            <a:ext uri="{FF2B5EF4-FFF2-40B4-BE49-F238E27FC236}">
              <a16:creationId xmlns:a16="http://schemas.microsoft.com/office/drawing/2014/main" id="{C6C4A744-1283-40A7-96E7-E4176BA72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22" name="Picture 5">
          <a:extLst>
            <a:ext uri="{FF2B5EF4-FFF2-40B4-BE49-F238E27FC236}">
              <a16:creationId xmlns:a16="http://schemas.microsoft.com/office/drawing/2014/main" id="{F087211B-4FBB-4447-AEE3-383FAC521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23" name="Picture 5">
          <a:extLst>
            <a:ext uri="{FF2B5EF4-FFF2-40B4-BE49-F238E27FC236}">
              <a16:creationId xmlns:a16="http://schemas.microsoft.com/office/drawing/2014/main" id="{E95FC3F9-B426-4E4E-8876-907DC460A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24" name="Picture 5">
          <a:extLst>
            <a:ext uri="{FF2B5EF4-FFF2-40B4-BE49-F238E27FC236}">
              <a16:creationId xmlns:a16="http://schemas.microsoft.com/office/drawing/2014/main" id="{E47491DF-825A-4060-AC99-7BD23F72E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590" y="2159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25" name="Picture 5">
          <a:extLst>
            <a:ext uri="{FF2B5EF4-FFF2-40B4-BE49-F238E27FC236}">
              <a16:creationId xmlns:a16="http://schemas.microsoft.com/office/drawing/2014/main" id="{7171C5FD-43F0-4B84-9713-D4033194E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26" name="Picture 5">
          <a:extLst>
            <a:ext uri="{FF2B5EF4-FFF2-40B4-BE49-F238E27FC236}">
              <a16:creationId xmlns:a16="http://schemas.microsoft.com/office/drawing/2014/main" id="{936F1B01-21B7-405A-B361-549FEB95E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27" name="Picture 5">
          <a:extLst>
            <a:ext uri="{FF2B5EF4-FFF2-40B4-BE49-F238E27FC236}">
              <a16:creationId xmlns:a16="http://schemas.microsoft.com/office/drawing/2014/main" id="{F0799423-933E-4247-891F-405862945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28" name="Picture 5">
          <a:extLst>
            <a:ext uri="{FF2B5EF4-FFF2-40B4-BE49-F238E27FC236}">
              <a16:creationId xmlns:a16="http://schemas.microsoft.com/office/drawing/2014/main" id="{B8A549A1-A0F1-4900-B7D3-59028F79F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29" name="Picture 5">
          <a:extLst>
            <a:ext uri="{FF2B5EF4-FFF2-40B4-BE49-F238E27FC236}">
              <a16:creationId xmlns:a16="http://schemas.microsoft.com/office/drawing/2014/main" id="{5B20498D-1A85-4B7E-A163-14E2602C5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30" name="Picture 5">
          <a:extLst>
            <a:ext uri="{FF2B5EF4-FFF2-40B4-BE49-F238E27FC236}">
              <a16:creationId xmlns:a16="http://schemas.microsoft.com/office/drawing/2014/main" id="{B66ED873-9590-4956-AE63-D29CC9F2F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31" name="Picture 5">
          <a:extLst>
            <a:ext uri="{FF2B5EF4-FFF2-40B4-BE49-F238E27FC236}">
              <a16:creationId xmlns:a16="http://schemas.microsoft.com/office/drawing/2014/main" id="{FD0C22C5-6567-4F5E-BF58-A81BF84D7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32" name="Picture 5">
          <a:extLst>
            <a:ext uri="{FF2B5EF4-FFF2-40B4-BE49-F238E27FC236}">
              <a16:creationId xmlns:a16="http://schemas.microsoft.com/office/drawing/2014/main" id="{D6F3E55B-5EA6-4560-A73F-5FA5837B0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33" name="Picture 5">
          <a:extLst>
            <a:ext uri="{FF2B5EF4-FFF2-40B4-BE49-F238E27FC236}">
              <a16:creationId xmlns:a16="http://schemas.microsoft.com/office/drawing/2014/main" id="{E8802EB4-622A-4F8C-8CCE-0580B48CD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34" name="Picture 5">
          <a:extLst>
            <a:ext uri="{FF2B5EF4-FFF2-40B4-BE49-F238E27FC236}">
              <a16:creationId xmlns:a16="http://schemas.microsoft.com/office/drawing/2014/main" id="{0DE93217-5BA6-4F2A-86C7-3A3B3FD98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35" name="Picture 5">
          <a:extLst>
            <a:ext uri="{FF2B5EF4-FFF2-40B4-BE49-F238E27FC236}">
              <a16:creationId xmlns:a16="http://schemas.microsoft.com/office/drawing/2014/main" id="{D2A894E7-49E6-4728-9156-1E0A18DEF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36" name="Picture 5">
          <a:extLst>
            <a:ext uri="{FF2B5EF4-FFF2-40B4-BE49-F238E27FC236}">
              <a16:creationId xmlns:a16="http://schemas.microsoft.com/office/drawing/2014/main" id="{00733F82-7688-421C-A24A-028F069BB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37" name="Picture 5">
          <a:extLst>
            <a:ext uri="{FF2B5EF4-FFF2-40B4-BE49-F238E27FC236}">
              <a16:creationId xmlns:a16="http://schemas.microsoft.com/office/drawing/2014/main" id="{757F4852-F9EE-48DB-B661-9D4B18E91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38" name="Picture 5">
          <a:extLst>
            <a:ext uri="{FF2B5EF4-FFF2-40B4-BE49-F238E27FC236}">
              <a16:creationId xmlns:a16="http://schemas.microsoft.com/office/drawing/2014/main" id="{EC0C3C30-E646-46A5-B9C8-E7F55F24C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39" name="Picture 5">
          <a:extLst>
            <a:ext uri="{FF2B5EF4-FFF2-40B4-BE49-F238E27FC236}">
              <a16:creationId xmlns:a16="http://schemas.microsoft.com/office/drawing/2014/main" id="{BBD61169-77DD-47E3-8EE3-49223907D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40" name="Picture 5">
          <a:extLst>
            <a:ext uri="{FF2B5EF4-FFF2-40B4-BE49-F238E27FC236}">
              <a16:creationId xmlns:a16="http://schemas.microsoft.com/office/drawing/2014/main" id="{B1FD4CE1-4634-4EFE-A9BC-DEC364465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41" name="Picture 5">
          <a:extLst>
            <a:ext uri="{FF2B5EF4-FFF2-40B4-BE49-F238E27FC236}">
              <a16:creationId xmlns:a16="http://schemas.microsoft.com/office/drawing/2014/main" id="{EB5129FE-CFC5-42E7-AC6F-6AB04F170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42" name="Picture 5">
          <a:extLst>
            <a:ext uri="{FF2B5EF4-FFF2-40B4-BE49-F238E27FC236}">
              <a16:creationId xmlns:a16="http://schemas.microsoft.com/office/drawing/2014/main" id="{F89C1704-99DE-4F03-9E4A-D46D58A55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43" name="Picture 5">
          <a:extLst>
            <a:ext uri="{FF2B5EF4-FFF2-40B4-BE49-F238E27FC236}">
              <a16:creationId xmlns:a16="http://schemas.microsoft.com/office/drawing/2014/main" id="{96F83AD1-B173-4F9A-9EEE-109753C85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44" name="Picture 5">
          <a:extLst>
            <a:ext uri="{FF2B5EF4-FFF2-40B4-BE49-F238E27FC236}">
              <a16:creationId xmlns:a16="http://schemas.microsoft.com/office/drawing/2014/main" id="{2F411BA7-7D3E-4AE3-B19A-35712B2E2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45" name="Picture 5">
          <a:extLst>
            <a:ext uri="{FF2B5EF4-FFF2-40B4-BE49-F238E27FC236}">
              <a16:creationId xmlns:a16="http://schemas.microsoft.com/office/drawing/2014/main" id="{20242541-A26E-4597-9D39-760A56CEB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46" name="Picture 5">
          <a:extLst>
            <a:ext uri="{FF2B5EF4-FFF2-40B4-BE49-F238E27FC236}">
              <a16:creationId xmlns:a16="http://schemas.microsoft.com/office/drawing/2014/main" id="{D73629C4-1034-4905-B340-5B58CF114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47" name="Picture 5">
          <a:extLst>
            <a:ext uri="{FF2B5EF4-FFF2-40B4-BE49-F238E27FC236}">
              <a16:creationId xmlns:a16="http://schemas.microsoft.com/office/drawing/2014/main" id="{08A093EA-16AF-4BE5-B7B2-4CC7FC664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48" name="Picture 5">
          <a:extLst>
            <a:ext uri="{FF2B5EF4-FFF2-40B4-BE49-F238E27FC236}">
              <a16:creationId xmlns:a16="http://schemas.microsoft.com/office/drawing/2014/main" id="{5C3A2D1F-FD70-4CA6-BA74-4B60A022F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49" name="Picture 5">
          <a:extLst>
            <a:ext uri="{FF2B5EF4-FFF2-40B4-BE49-F238E27FC236}">
              <a16:creationId xmlns:a16="http://schemas.microsoft.com/office/drawing/2014/main" id="{C5404EEC-3FC3-4B0B-8350-8D846242B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50" name="Picture 5">
          <a:extLst>
            <a:ext uri="{FF2B5EF4-FFF2-40B4-BE49-F238E27FC236}">
              <a16:creationId xmlns:a16="http://schemas.microsoft.com/office/drawing/2014/main" id="{C71DFD7C-8D66-4527-95A7-5DD839123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51" name="Picture 5">
          <a:extLst>
            <a:ext uri="{FF2B5EF4-FFF2-40B4-BE49-F238E27FC236}">
              <a16:creationId xmlns:a16="http://schemas.microsoft.com/office/drawing/2014/main" id="{21EC32DB-BA66-4E82-8564-B3753C591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52" name="Picture 5">
          <a:extLst>
            <a:ext uri="{FF2B5EF4-FFF2-40B4-BE49-F238E27FC236}">
              <a16:creationId xmlns:a16="http://schemas.microsoft.com/office/drawing/2014/main" id="{0788038B-E004-43C9-BCBE-13810366A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53" name="Picture 5">
          <a:extLst>
            <a:ext uri="{FF2B5EF4-FFF2-40B4-BE49-F238E27FC236}">
              <a16:creationId xmlns:a16="http://schemas.microsoft.com/office/drawing/2014/main" id="{0081C4F5-B209-489D-A77A-F35C40853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54" name="Picture 5">
          <a:extLst>
            <a:ext uri="{FF2B5EF4-FFF2-40B4-BE49-F238E27FC236}">
              <a16:creationId xmlns:a16="http://schemas.microsoft.com/office/drawing/2014/main" id="{52F99DCF-AC60-4F83-B37A-610BB29D8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55" name="Picture 5">
          <a:extLst>
            <a:ext uri="{FF2B5EF4-FFF2-40B4-BE49-F238E27FC236}">
              <a16:creationId xmlns:a16="http://schemas.microsoft.com/office/drawing/2014/main" id="{3E99D8FB-1698-47E6-9B56-218A5AFC6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56" name="Picture 5">
          <a:extLst>
            <a:ext uri="{FF2B5EF4-FFF2-40B4-BE49-F238E27FC236}">
              <a16:creationId xmlns:a16="http://schemas.microsoft.com/office/drawing/2014/main" id="{CE8216CF-8589-4A1C-8EE3-8E86F214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57" name="Picture 5">
          <a:extLst>
            <a:ext uri="{FF2B5EF4-FFF2-40B4-BE49-F238E27FC236}">
              <a16:creationId xmlns:a16="http://schemas.microsoft.com/office/drawing/2014/main" id="{1AF3792B-FFD4-4DE1-9CA3-319A1B28D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58" name="Picture 5">
          <a:extLst>
            <a:ext uri="{FF2B5EF4-FFF2-40B4-BE49-F238E27FC236}">
              <a16:creationId xmlns:a16="http://schemas.microsoft.com/office/drawing/2014/main" id="{573863FD-32F2-48F8-9618-F1952CD39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59" name="Picture 5">
          <a:extLst>
            <a:ext uri="{FF2B5EF4-FFF2-40B4-BE49-F238E27FC236}">
              <a16:creationId xmlns:a16="http://schemas.microsoft.com/office/drawing/2014/main" id="{4CC1DBD0-CF4F-4E71-B135-994DA1E60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60" name="Picture 5">
          <a:extLst>
            <a:ext uri="{FF2B5EF4-FFF2-40B4-BE49-F238E27FC236}">
              <a16:creationId xmlns:a16="http://schemas.microsoft.com/office/drawing/2014/main" id="{0AA777CC-1DF6-477C-97E2-C570D5660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61" name="Picture 5">
          <a:extLst>
            <a:ext uri="{FF2B5EF4-FFF2-40B4-BE49-F238E27FC236}">
              <a16:creationId xmlns:a16="http://schemas.microsoft.com/office/drawing/2014/main" id="{069C0476-6135-4F95-8A9E-463BFCDB1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62" name="Picture 5">
          <a:extLst>
            <a:ext uri="{FF2B5EF4-FFF2-40B4-BE49-F238E27FC236}">
              <a16:creationId xmlns:a16="http://schemas.microsoft.com/office/drawing/2014/main" id="{8C942ABA-8F1C-4E5E-ACE7-CBD381CE0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63" name="Picture 5">
          <a:extLst>
            <a:ext uri="{FF2B5EF4-FFF2-40B4-BE49-F238E27FC236}">
              <a16:creationId xmlns:a16="http://schemas.microsoft.com/office/drawing/2014/main" id="{A08E7BC1-789C-4F8B-ABC7-A9B10A080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64" name="Picture 5">
          <a:extLst>
            <a:ext uri="{FF2B5EF4-FFF2-40B4-BE49-F238E27FC236}">
              <a16:creationId xmlns:a16="http://schemas.microsoft.com/office/drawing/2014/main" id="{E9F73705-1B62-41C4-85DD-41BD5DCE4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65" name="Picture 5">
          <a:extLst>
            <a:ext uri="{FF2B5EF4-FFF2-40B4-BE49-F238E27FC236}">
              <a16:creationId xmlns:a16="http://schemas.microsoft.com/office/drawing/2014/main" id="{BF754E3E-7BC0-4B9F-A4F3-2FA300F67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66" name="Picture 5">
          <a:extLst>
            <a:ext uri="{FF2B5EF4-FFF2-40B4-BE49-F238E27FC236}">
              <a16:creationId xmlns:a16="http://schemas.microsoft.com/office/drawing/2014/main" id="{7FA75DC4-2EE3-4A9F-AC6B-56B209203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67" name="Picture 5">
          <a:extLst>
            <a:ext uri="{FF2B5EF4-FFF2-40B4-BE49-F238E27FC236}">
              <a16:creationId xmlns:a16="http://schemas.microsoft.com/office/drawing/2014/main" id="{9C16FD7E-9A65-444B-A03D-1033CD919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68" name="Picture 5">
          <a:extLst>
            <a:ext uri="{FF2B5EF4-FFF2-40B4-BE49-F238E27FC236}">
              <a16:creationId xmlns:a16="http://schemas.microsoft.com/office/drawing/2014/main" id="{3D4F75BB-5EEF-4D16-9CDD-CD8F50AFA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69" name="Picture 5">
          <a:extLst>
            <a:ext uri="{FF2B5EF4-FFF2-40B4-BE49-F238E27FC236}">
              <a16:creationId xmlns:a16="http://schemas.microsoft.com/office/drawing/2014/main" id="{C663BCD9-0A9A-4A0D-9F31-91B125D14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70" name="Picture 5">
          <a:extLst>
            <a:ext uri="{FF2B5EF4-FFF2-40B4-BE49-F238E27FC236}">
              <a16:creationId xmlns:a16="http://schemas.microsoft.com/office/drawing/2014/main" id="{69A2577E-9C2D-455A-B54F-316D5B7B4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71" name="Picture 5">
          <a:extLst>
            <a:ext uri="{FF2B5EF4-FFF2-40B4-BE49-F238E27FC236}">
              <a16:creationId xmlns:a16="http://schemas.microsoft.com/office/drawing/2014/main" id="{D4BF9EE7-0EA8-4707-9C3C-609B46E98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72" name="Picture 5">
          <a:extLst>
            <a:ext uri="{FF2B5EF4-FFF2-40B4-BE49-F238E27FC236}">
              <a16:creationId xmlns:a16="http://schemas.microsoft.com/office/drawing/2014/main" id="{BCA33D3E-5E2C-4F59-ACAB-E483E8C10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73" name="Picture 5">
          <a:extLst>
            <a:ext uri="{FF2B5EF4-FFF2-40B4-BE49-F238E27FC236}">
              <a16:creationId xmlns:a16="http://schemas.microsoft.com/office/drawing/2014/main" id="{A2C624FB-0117-4283-9F26-82881D676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74" name="Picture 5">
          <a:extLst>
            <a:ext uri="{FF2B5EF4-FFF2-40B4-BE49-F238E27FC236}">
              <a16:creationId xmlns:a16="http://schemas.microsoft.com/office/drawing/2014/main" id="{DA730A80-2BE6-4E02-A957-08641C43A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75" name="Picture 5">
          <a:extLst>
            <a:ext uri="{FF2B5EF4-FFF2-40B4-BE49-F238E27FC236}">
              <a16:creationId xmlns:a16="http://schemas.microsoft.com/office/drawing/2014/main" id="{538E1557-8573-45D9-AF75-97C8CF67B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76" name="Picture 5">
          <a:extLst>
            <a:ext uri="{FF2B5EF4-FFF2-40B4-BE49-F238E27FC236}">
              <a16:creationId xmlns:a16="http://schemas.microsoft.com/office/drawing/2014/main" id="{484F3491-B902-4D4B-9408-7CB413B01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77" name="Picture 5">
          <a:extLst>
            <a:ext uri="{FF2B5EF4-FFF2-40B4-BE49-F238E27FC236}">
              <a16:creationId xmlns:a16="http://schemas.microsoft.com/office/drawing/2014/main" id="{5A4DCC62-BA55-4D68-8DEB-78732B7A2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78" name="Picture 5">
          <a:extLst>
            <a:ext uri="{FF2B5EF4-FFF2-40B4-BE49-F238E27FC236}">
              <a16:creationId xmlns:a16="http://schemas.microsoft.com/office/drawing/2014/main" id="{77EBBC90-48D7-4A13-A890-B2E255423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79" name="Picture 5">
          <a:extLst>
            <a:ext uri="{FF2B5EF4-FFF2-40B4-BE49-F238E27FC236}">
              <a16:creationId xmlns:a16="http://schemas.microsoft.com/office/drawing/2014/main" id="{B23377B0-08B6-4FE7-A934-43C462439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80" name="Picture 5">
          <a:extLst>
            <a:ext uri="{FF2B5EF4-FFF2-40B4-BE49-F238E27FC236}">
              <a16:creationId xmlns:a16="http://schemas.microsoft.com/office/drawing/2014/main" id="{A6935117-E032-4BBD-9AEB-CCE000083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81" name="Picture 5">
          <a:extLst>
            <a:ext uri="{FF2B5EF4-FFF2-40B4-BE49-F238E27FC236}">
              <a16:creationId xmlns:a16="http://schemas.microsoft.com/office/drawing/2014/main" id="{5A618038-EB28-4D40-9188-19BDA28A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82" name="Picture 5">
          <a:extLst>
            <a:ext uri="{FF2B5EF4-FFF2-40B4-BE49-F238E27FC236}">
              <a16:creationId xmlns:a16="http://schemas.microsoft.com/office/drawing/2014/main" id="{C4A8C82B-473D-428B-9863-23A97039F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83" name="Picture 5">
          <a:extLst>
            <a:ext uri="{FF2B5EF4-FFF2-40B4-BE49-F238E27FC236}">
              <a16:creationId xmlns:a16="http://schemas.microsoft.com/office/drawing/2014/main" id="{BACB4B2D-7121-40E8-AE8B-A5D47E9E3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84" name="Picture 5">
          <a:extLst>
            <a:ext uri="{FF2B5EF4-FFF2-40B4-BE49-F238E27FC236}">
              <a16:creationId xmlns:a16="http://schemas.microsoft.com/office/drawing/2014/main" id="{2DC851FC-31B4-4695-85C2-7F0A1070B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85" name="Picture 5">
          <a:extLst>
            <a:ext uri="{FF2B5EF4-FFF2-40B4-BE49-F238E27FC236}">
              <a16:creationId xmlns:a16="http://schemas.microsoft.com/office/drawing/2014/main" id="{8BB15D0D-9C51-4B03-8D76-03B378AC9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86" name="Picture 5">
          <a:extLst>
            <a:ext uri="{FF2B5EF4-FFF2-40B4-BE49-F238E27FC236}">
              <a16:creationId xmlns:a16="http://schemas.microsoft.com/office/drawing/2014/main" id="{E1AD5D64-E5DB-499D-B61D-6800765C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87" name="Picture 5">
          <a:extLst>
            <a:ext uri="{FF2B5EF4-FFF2-40B4-BE49-F238E27FC236}">
              <a16:creationId xmlns:a16="http://schemas.microsoft.com/office/drawing/2014/main" id="{A2817DC5-6E36-462C-B5B7-4B7F44928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88" name="Picture 5">
          <a:extLst>
            <a:ext uri="{FF2B5EF4-FFF2-40B4-BE49-F238E27FC236}">
              <a16:creationId xmlns:a16="http://schemas.microsoft.com/office/drawing/2014/main" id="{50C09307-E81C-4F16-9BB3-D23CA4539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89" name="Picture 5">
          <a:extLst>
            <a:ext uri="{FF2B5EF4-FFF2-40B4-BE49-F238E27FC236}">
              <a16:creationId xmlns:a16="http://schemas.microsoft.com/office/drawing/2014/main" id="{7903778E-F7AC-45E2-BC38-0AC78F64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90" name="Picture 5">
          <a:extLst>
            <a:ext uri="{FF2B5EF4-FFF2-40B4-BE49-F238E27FC236}">
              <a16:creationId xmlns:a16="http://schemas.microsoft.com/office/drawing/2014/main" id="{A1C7D739-7984-4221-9C14-A42FF85BC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91" name="Picture 5">
          <a:extLst>
            <a:ext uri="{FF2B5EF4-FFF2-40B4-BE49-F238E27FC236}">
              <a16:creationId xmlns:a16="http://schemas.microsoft.com/office/drawing/2014/main" id="{04DEFAFA-9A93-4451-8FAB-A3B8E47A1D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92" name="Picture 5">
          <a:extLst>
            <a:ext uri="{FF2B5EF4-FFF2-40B4-BE49-F238E27FC236}">
              <a16:creationId xmlns:a16="http://schemas.microsoft.com/office/drawing/2014/main" id="{022032FE-A470-4B63-AB59-E84B69FEF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93" name="Picture 5">
          <a:extLst>
            <a:ext uri="{FF2B5EF4-FFF2-40B4-BE49-F238E27FC236}">
              <a16:creationId xmlns:a16="http://schemas.microsoft.com/office/drawing/2014/main" id="{AC4C4ABA-6D44-4C58-A1A1-8F84D0459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94" name="Picture 5">
          <a:extLst>
            <a:ext uri="{FF2B5EF4-FFF2-40B4-BE49-F238E27FC236}">
              <a16:creationId xmlns:a16="http://schemas.microsoft.com/office/drawing/2014/main" id="{A793A40D-7716-43BB-89FA-0C24D66C0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95" name="Picture 5">
          <a:extLst>
            <a:ext uri="{FF2B5EF4-FFF2-40B4-BE49-F238E27FC236}">
              <a16:creationId xmlns:a16="http://schemas.microsoft.com/office/drawing/2014/main" id="{528FFBD2-35E7-4165-8FEC-5DAD5EEE4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96" name="Picture 5">
          <a:extLst>
            <a:ext uri="{FF2B5EF4-FFF2-40B4-BE49-F238E27FC236}">
              <a16:creationId xmlns:a16="http://schemas.microsoft.com/office/drawing/2014/main" id="{79DEA861-3E58-4A91-9417-BCB94961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97" name="Picture 5">
          <a:extLst>
            <a:ext uri="{FF2B5EF4-FFF2-40B4-BE49-F238E27FC236}">
              <a16:creationId xmlns:a16="http://schemas.microsoft.com/office/drawing/2014/main" id="{8DF71A00-EF53-4AA3-BB99-0D71D8F97E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98" name="Picture 5">
          <a:extLst>
            <a:ext uri="{FF2B5EF4-FFF2-40B4-BE49-F238E27FC236}">
              <a16:creationId xmlns:a16="http://schemas.microsoft.com/office/drawing/2014/main" id="{1845D2AA-7130-45DF-A0EF-BA99AC99A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299" name="Picture 5">
          <a:extLst>
            <a:ext uri="{FF2B5EF4-FFF2-40B4-BE49-F238E27FC236}">
              <a16:creationId xmlns:a16="http://schemas.microsoft.com/office/drawing/2014/main" id="{91268C22-B62F-485A-B005-58A6AC159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240" y="1524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00" name="Picture 5">
          <a:extLst>
            <a:ext uri="{FF2B5EF4-FFF2-40B4-BE49-F238E27FC236}">
              <a16:creationId xmlns:a16="http://schemas.microsoft.com/office/drawing/2014/main" id="{375738EA-B7E6-47F7-99C6-64F6B728A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01" name="Picture 5">
          <a:extLst>
            <a:ext uri="{FF2B5EF4-FFF2-40B4-BE49-F238E27FC236}">
              <a16:creationId xmlns:a16="http://schemas.microsoft.com/office/drawing/2014/main" id="{1AB3FC6B-390E-4292-BB94-E89CFE927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02" name="Picture 5">
          <a:extLst>
            <a:ext uri="{FF2B5EF4-FFF2-40B4-BE49-F238E27FC236}">
              <a16:creationId xmlns:a16="http://schemas.microsoft.com/office/drawing/2014/main" id="{39A6C90C-F3E2-4398-ABBB-DBFCE08E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03" name="Picture 5">
          <a:extLst>
            <a:ext uri="{FF2B5EF4-FFF2-40B4-BE49-F238E27FC236}">
              <a16:creationId xmlns:a16="http://schemas.microsoft.com/office/drawing/2014/main" id="{A177513C-C9B7-40F0-AAAB-5F49E3406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04" name="Picture 5">
          <a:extLst>
            <a:ext uri="{FF2B5EF4-FFF2-40B4-BE49-F238E27FC236}">
              <a16:creationId xmlns:a16="http://schemas.microsoft.com/office/drawing/2014/main" id="{4477AA61-0A10-48B5-A4E2-73B9E3015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05" name="Picture 5">
          <a:extLst>
            <a:ext uri="{FF2B5EF4-FFF2-40B4-BE49-F238E27FC236}">
              <a16:creationId xmlns:a16="http://schemas.microsoft.com/office/drawing/2014/main" id="{BF8D8C1B-9DDE-400B-B06B-3B07CE92B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50" y="1905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06" name="Picture 5">
          <a:extLst>
            <a:ext uri="{FF2B5EF4-FFF2-40B4-BE49-F238E27FC236}">
              <a16:creationId xmlns:a16="http://schemas.microsoft.com/office/drawing/2014/main" id="{48DDDE31-E11A-4122-9814-011F19888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07" name="Picture 5">
          <a:extLst>
            <a:ext uri="{FF2B5EF4-FFF2-40B4-BE49-F238E27FC236}">
              <a16:creationId xmlns:a16="http://schemas.microsoft.com/office/drawing/2014/main" id="{D08CA2A6-F0A4-49A6-82C4-AD51D6BB2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  <xdr:oneCellAnchor>
    <xdr:from>
      <xdr:col>0</xdr:col>
      <xdr:colOff>19050</xdr:colOff>
      <xdr:row>0</xdr:row>
      <xdr:rowOff>19050</xdr:rowOff>
    </xdr:from>
    <xdr:ext cx="1724025" cy="676275"/>
    <xdr:pic>
      <xdr:nvPicPr>
        <xdr:cNvPr id="308" name="Picture 5">
          <a:extLst>
            <a:ext uri="{FF2B5EF4-FFF2-40B4-BE49-F238E27FC236}">
              <a16:creationId xmlns:a16="http://schemas.microsoft.com/office/drawing/2014/main" id="{79DF8997-7336-47C6-B73C-E08BA0327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22860"/>
          <a:ext cx="1724025" cy="6762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N:\Comercial\Movimentacoes2.xlsx" TargetMode="External"/><Relationship Id="rId1" Type="http://schemas.openxmlformats.org/officeDocument/2006/relationships/externalLinkPath" Target="/Comercial/Movimentacoes2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N:\Comercial\Serie_Cotas_PL.xlsm" TargetMode="External"/><Relationship Id="rId1" Type="http://schemas.openxmlformats.org/officeDocument/2006/relationships/externalLinkPath" Target="/Comercial/Serie_Cotas_P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riados"/>
      <sheetName val="BTG"/>
      <sheetName val="FIC"/>
      <sheetName val="HSF"/>
      <sheetName val="Master"/>
      <sheetName val="Fluxo de Movimentações"/>
      <sheetName val="Check Aplicações"/>
      <sheetName val="resgates MH 2022"/>
    </sheetNames>
    <sheetDataSet>
      <sheetData sheetId="0"/>
      <sheetData sheetId="1"/>
      <sheetData sheetId="2">
        <row r="2">
          <cell r="F2">
            <v>44833</v>
          </cell>
          <cell r="G2">
            <v>44833</v>
          </cell>
          <cell r="J2">
            <v>1000000</v>
          </cell>
          <cell r="K2">
            <v>1000000</v>
          </cell>
        </row>
        <row r="3">
          <cell r="F3">
            <v>44833</v>
          </cell>
          <cell r="G3">
            <v>44833</v>
          </cell>
          <cell r="J3">
            <v>250000</v>
          </cell>
          <cell r="K3">
            <v>250000</v>
          </cell>
        </row>
        <row r="4">
          <cell r="F4">
            <v>44833</v>
          </cell>
          <cell r="G4">
            <v>44833</v>
          </cell>
          <cell r="J4">
            <v>100000</v>
          </cell>
          <cell r="K4">
            <v>100000</v>
          </cell>
        </row>
        <row r="5">
          <cell r="F5">
            <v>44833</v>
          </cell>
          <cell r="G5">
            <v>44833</v>
          </cell>
          <cell r="J5">
            <v>250000</v>
          </cell>
          <cell r="K5">
            <v>250000</v>
          </cell>
        </row>
        <row r="6">
          <cell r="F6">
            <v>44833</v>
          </cell>
          <cell r="G6">
            <v>44833</v>
          </cell>
          <cell r="J6">
            <v>100000</v>
          </cell>
          <cell r="K6">
            <v>100000</v>
          </cell>
        </row>
        <row r="7">
          <cell r="F7">
            <v>44833</v>
          </cell>
          <cell r="G7">
            <v>44833</v>
          </cell>
          <cell r="J7">
            <v>4041299.02</v>
          </cell>
          <cell r="K7">
            <v>4041299.02</v>
          </cell>
        </row>
        <row r="8">
          <cell r="F8">
            <v>44833</v>
          </cell>
          <cell r="G8">
            <v>44833</v>
          </cell>
          <cell r="J8">
            <v>100000</v>
          </cell>
          <cell r="K8">
            <v>100000</v>
          </cell>
        </row>
        <row r="9">
          <cell r="F9">
            <v>44837</v>
          </cell>
          <cell r="G9">
            <v>44834</v>
          </cell>
          <cell r="J9">
            <v>100000</v>
          </cell>
          <cell r="K9">
            <v>95509.651918999996</v>
          </cell>
        </row>
        <row r="10">
          <cell r="F10">
            <v>44844</v>
          </cell>
          <cell r="G10">
            <v>44841</v>
          </cell>
          <cell r="J10">
            <v>100000</v>
          </cell>
          <cell r="K10">
            <v>95304.109217999998</v>
          </cell>
        </row>
        <row r="11">
          <cell r="F11">
            <v>44851</v>
          </cell>
          <cell r="G11">
            <v>44848</v>
          </cell>
          <cell r="J11">
            <v>500000</v>
          </cell>
          <cell r="K11">
            <v>486772.303396</v>
          </cell>
        </row>
        <row r="12">
          <cell r="F12">
            <v>44853</v>
          </cell>
          <cell r="G12">
            <v>44852</v>
          </cell>
          <cell r="J12">
            <v>100000</v>
          </cell>
          <cell r="K12">
            <v>96522.720725000006</v>
          </cell>
        </row>
        <row r="13">
          <cell r="F13">
            <v>44855</v>
          </cell>
          <cell r="G13">
            <v>44854</v>
          </cell>
          <cell r="J13">
            <v>1100000</v>
          </cell>
          <cell r="K13">
            <v>1047610.1678760001</v>
          </cell>
        </row>
        <row r="14">
          <cell r="F14">
            <v>44855</v>
          </cell>
          <cell r="G14">
            <v>44854</v>
          </cell>
          <cell r="J14">
            <v>1000000</v>
          </cell>
          <cell r="K14">
            <v>952372.87988699996</v>
          </cell>
        </row>
        <row r="15">
          <cell r="F15">
            <v>44881</v>
          </cell>
          <cell r="G15">
            <v>44879</v>
          </cell>
          <cell r="J15">
            <v>100000</v>
          </cell>
          <cell r="K15">
            <v>101959.61277778259</v>
          </cell>
        </row>
        <row r="16">
          <cell r="F16">
            <v>44881</v>
          </cell>
          <cell r="G16">
            <v>44879</v>
          </cell>
          <cell r="J16">
            <v>100000</v>
          </cell>
          <cell r="K16">
            <v>101959.61277778259</v>
          </cell>
        </row>
        <row r="17">
          <cell r="F17">
            <v>44882</v>
          </cell>
          <cell r="G17">
            <v>44881</v>
          </cell>
          <cell r="J17">
            <v>1000000</v>
          </cell>
          <cell r="K17">
            <v>1020900.5915404297</v>
          </cell>
        </row>
        <row r="18">
          <cell r="F18">
            <v>44900</v>
          </cell>
          <cell r="G18">
            <v>44897</v>
          </cell>
          <cell r="J18">
            <v>1000000</v>
          </cell>
          <cell r="K18">
            <v>1037198.7171096508</v>
          </cell>
        </row>
        <row r="19">
          <cell r="F19">
            <v>44907</v>
          </cell>
          <cell r="G19">
            <v>44904</v>
          </cell>
          <cell r="J19">
            <v>1000000</v>
          </cell>
          <cell r="K19">
            <v>1108066.882030546</v>
          </cell>
        </row>
        <row r="20">
          <cell r="F20">
            <v>44908</v>
          </cell>
          <cell r="G20">
            <v>44907</v>
          </cell>
          <cell r="J20">
            <v>100000</v>
          </cell>
          <cell r="K20">
            <v>113700.99231404031</v>
          </cell>
        </row>
        <row r="21">
          <cell r="F21">
            <v>44915</v>
          </cell>
          <cell r="G21">
            <v>44914</v>
          </cell>
          <cell r="J21">
            <v>1000000</v>
          </cell>
          <cell r="K21">
            <v>1083176.8233088388</v>
          </cell>
        </row>
        <row r="22">
          <cell r="F22">
            <v>44921</v>
          </cell>
          <cell r="G22">
            <v>44918</v>
          </cell>
          <cell r="J22">
            <v>1000000</v>
          </cell>
          <cell r="K22">
            <v>1054533.9582079756</v>
          </cell>
        </row>
        <row r="23">
          <cell r="F23">
            <v>44937</v>
          </cell>
          <cell r="G23">
            <v>44936</v>
          </cell>
          <cell r="J23">
            <v>300000</v>
          </cell>
          <cell r="K23">
            <v>310022.82077983761</v>
          </cell>
        </row>
        <row r="24">
          <cell r="F24">
            <v>44992</v>
          </cell>
          <cell r="G24">
            <v>44991</v>
          </cell>
          <cell r="J24">
            <v>200000</v>
          </cell>
          <cell r="K24">
            <v>222857.01805721273</v>
          </cell>
        </row>
        <row r="25">
          <cell r="F25">
            <v>45120</v>
          </cell>
          <cell r="G25">
            <v>45119</v>
          </cell>
          <cell r="J25">
            <v>100000</v>
          </cell>
          <cell r="K25">
            <v>96716.195030141607</v>
          </cell>
        </row>
        <row r="26">
          <cell r="F26">
            <v>45152</v>
          </cell>
          <cell r="G26">
            <v>45149</v>
          </cell>
          <cell r="J26">
            <v>100000</v>
          </cell>
          <cell r="K26">
            <v>97947.126182344247</v>
          </cell>
        </row>
        <row r="27">
          <cell r="F27">
            <v>45321</v>
          </cell>
          <cell r="G27">
            <v>45323</v>
          </cell>
          <cell r="J27">
            <v>-100000</v>
          </cell>
          <cell r="K27">
            <v>-88225.853951274272</v>
          </cell>
        </row>
        <row r="28">
          <cell r="F28">
            <v>45320</v>
          </cell>
          <cell r="G28">
            <v>45317</v>
          </cell>
          <cell r="J28">
            <v>1000000</v>
          </cell>
          <cell r="K28">
            <v>872689.67408269621</v>
          </cell>
        </row>
        <row r="29">
          <cell r="F29">
            <v>45321</v>
          </cell>
          <cell r="G29">
            <v>45320</v>
          </cell>
          <cell r="J29">
            <v>100000</v>
          </cell>
          <cell r="K29">
            <v>88225.853951274272</v>
          </cell>
        </row>
        <row r="30">
          <cell r="F30">
            <v>45322</v>
          </cell>
          <cell r="G30">
            <v>45321</v>
          </cell>
          <cell r="J30">
            <v>1000000</v>
          </cell>
          <cell r="K30">
            <v>876416.43137076532</v>
          </cell>
        </row>
        <row r="31">
          <cell r="F31">
            <v>45321</v>
          </cell>
          <cell r="G31">
            <v>45323</v>
          </cell>
          <cell r="J31">
            <v>-1797.8699991974599</v>
          </cell>
          <cell r="K31">
            <v>-1586.1861597257268</v>
          </cell>
        </row>
        <row r="32">
          <cell r="F32">
            <v>45348</v>
          </cell>
          <cell r="G32">
            <v>45345</v>
          </cell>
          <cell r="J32">
            <v>400000</v>
          </cell>
          <cell r="K32">
            <v>350466.07168625784</v>
          </cell>
        </row>
        <row r="33">
          <cell r="F33">
            <v>45443</v>
          </cell>
          <cell r="G33">
            <v>45447</v>
          </cell>
          <cell r="J33">
            <v>-50000</v>
          </cell>
          <cell r="K33">
            <v>-49717.900631815086</v>
          </cell>
        </row>
        <row r="34">
          <cell r="F34">
            <v>45441</v>
          </cell>
          <cell r="G34">
            <v>45440</v>
          </cell>
          <cell r="J34">
            <v>50000</v>
          </cell>
          <cell r="K34">
            <v>49501.745134522971</v>
          </cell>
        </row>
        <row r="35">
          <cell r="F35">
            <v>45558</v>
          </cell>
          <cell r="G35">
            <v>45560</v>
          </cell>
          <cell r="J35">
            <v>-32000</v>
          </cell>
          <cell r="K35">
            <v>-31546.332196679552</v>
          </cell>
        </row>
        <row r="36">
          <cell r="F36">
            <v>45583</v>
          </cell>
          <cell r="G36">
            <v>45587</v>
          </cell>
          <cell r="J36">
            <v>-38258.960893832882</v>
          </cell>
          <cell r="K36">
            <v>-38507.953320000001</v>
          </cell>
        </row>
        <row r="37">
          <cell r="F37">
            <v>45525</v>
          </cell>
          <cell r="G37">
            <v>45524</v>
          </cell>
          <cell r="J37">
            <v>50000</v>
          </cell>
          <cell r="K37">
            <v>45903.717503</v>
          </cell>
        </row>
        <row r="38">
          <cell r="F38">
            <v>45526</v>
          </cell>
          <cell r="G38">
            <v>45525</v>
          </cell>
          <cell r="J38">
            <v>100000</v>
          </cell>
          <cell r="K38">
            <v>93277.961047999997</v>
          </cell>
        </row>
        <row r="39">
          <cell r="F39">
            <v>45663</v>
          </cell>
          <cell r="G39">
            <v>45665</v>
          </cell>
          <cell r="J39">
            <v>-487314.67</v>
          </cell>
          <cell r="K39">
            <v>-486772.303396</v>
          </cell>
        </row>
        <row r="40">
          <cell r="F40">
            <v>45677</v>
          </cell>
          <cell r="G40">
            <v>45679</v>
          </cell>
          <cell r="J40">
            <v>-50000</v>
          </cell>
          <cell r="K40">
            <v>-51657.428596999998</v>
          </cell>
        </row>
      </sheetData>
      <sheetData sheetId="3"/>
      <sheetData sheetId="4">
        <row r="1">
          <cell r="A1" t="str">
            <v>Cliente</v>
          </cell>
          <cell r="E1" t="str">
            <v>Data Solicitação</v>
          </cell>
          <cell r="G1" t="str">
            <v>Data Impacto</v>
          </cell>
          <cell r="J1" t="str">
            <v>Fin. Previsto</v>
          </cell>
        </row>
        <row r="2">
          <cell r="A2" t="str">
            <v>HSF FIA IE</v>
          </cell>
          <cell r="E2">
            <v>44833</v>
          </cell>
          <cell r="F2">
            <v>44833</v>
          </cell>
          <cell r="G2">
            <v>44833</v>
          </cell>
          <cell r="J2">
            <v>2800000</v>
          </cell>
          <cell r="K2">
            <v>2800000</v>
          </cell>
        </row>
        <row r="3">
          <cell r="A3" t="str">
            <v>NEULER ACOES FIC FIA</v>
          </cell>
          <cell r="E3">
            <v>44833</v>
          </cell>
          <cell r="F3">
            <v>44833</v>
          </cell>
          <cell r="G3">
            <v>44833</v>
          </cell>
          <cell r="J3">
            <v>5716299.0199999996</v>
          </cell>
          <cell r="K3">
            <v>5716299.0199999996</v>
          </cell>
        </row>
        <row r="4">
          <cell r="A4" t="str">
            <v>NEULER ACOES FIC FIA</v>
          </cell>
          <cell r="E4">
            <v>44834</v>
          </cell>
          <cell r="F4">
            <v>44837</v>
          </cell>
          <cell r="G4">
            <v>44834</v>
          </cell>
          <cell r="J4">
            <v>100000</v>
          </cell>
          <cell r="K4">
            <v>94638.197225624477</v>
          </cell>
        </row>
        <row r="5">
          <cell r="A5" t="str">
            <v>NEULER ACOES FIC FIA</v>
          </cell>
          <cell r="E5">
            <v>44834</v>
          </cell>
          <cell r="F5">
            <v>44837</v>
          </cell>
          <cell r="G5">
            <v>44834</v>
          </cell>
          <cell r="J5">
            <v>100000</v>
          </cell>
          <cell r="K5">
            <v>94638.197225624477</v>
          </cell>
        </row>
        <row r="6">
          <cell r="A6" t="str">
            <v>HSF FIA IE</v>
          </cell>
          <cell r="E6">
            <v>44837</v>
          </cell>
          <cell r="F6">
            <v>44838</v>
          </cell>
          <cell r="G6">
            <v>44837</v>
          </cell>
          <cell r="J6">
            <v>2200000</v>
          </cell>
          <cell r="K6">
            <v>2094887.7502010141</v>
          </cell>
        </row>
        <row r="7">
          <cell r="A7" t="str">
            <v>NEULER ACOES FIC FIA</v>
          </cell>
          <cell r="E7">
            <v>44841</v>
          </cell>
          <cell r="F7">
            <v>44844</v>
          </cell>
          <cell r="G7">
            <v>44841</v>
          </cell>
          <cell r="J7">
            <v>100000</v>
          </cell>
          <cell r="K7">
            <v>94367.612431460817</v>
          </cell>
        </row>
        <row r="8">
          <cell r="A8" t="str">
            <v>NEULER ACOES FIC FIA</v>
          </cell>
          <cell r="E8">
            <v>44848</v>
          </cell>
          <cell r="F8">
            <v>44851</v>
          </cell>
          <cell r="G8">
            <v>44848</v>
          </cell>
          <cell r="J8">
            <v>500000</v>
          </cell>
          <cell r="K8">
            <v>483589.76809162518</v>
          </cell>
        </row>
        <row r="9">
          <cell r="A9" t="str">
            <v>NEULER ACOES FIC FIA</v>
          </cell>
          <cell r="E9">
            <v>44852</v>
          </cell>
          <cell r="F9">
            <v>44853</v>
          </cell>
          <cell r="G9">
            <v>44852</v>
          </cell>
          <cell r="J9">
            <v>100000</v>
          </cell>
          <cell r="K9">
            <v>95748.709427082809</v>
          </cell>
        </row>
        <row r="10">
          <cell r="A10" t="str">
            <v>NEULER ACOES FIC FIA</v>
          </cell>
          <cell r="E10">
            <v>44854</v>
          </cell>
          <cell r="F10">
            <v>44855</v>
          </cell>
          <cell r="G10">
            <v>44854</v>
          </cell>
          <cell r="J10">
            <v>1000000</v>
          </cell>
          <cell r="K10">
            <v>942556.37311848078</v>
          </cell>
        </row>
        <row r="11">
          <cell r="A11" t="str">
            <v>NEULER ACOES FIC FIA</v>
          </cell>
          <cell r="E11">
            <v>44854</v>
          </cell>
          <cell r="F11">
            <v>44855</v>
          </cell>
          <cell r="G11">
            <v>44854</v>
          </cell>
          <cell r="J11">
            <v>1100000</v>
          </cell>
          <cell r="K11">
            <v>1036812.0104303289</v>
          </cell>
        </row>
        <row r="12">
          <cell r="A12" t="str">
            <v>NEULER ACOES FIC FIA</v>
          </cell>
          <cell r="E12">
            <v>44868</v>
          </cell>
          <cell r="F12">
            <v>44868</v>
          </cell>
          <cell r="G12">
            <v>44872</v>
          </cell>
          <cell r="J12">
            <v>-11000</v>
          </cell>
          <cell r="K12">
            <v>-9912.1298698068786</v>
          </cell>
        </row>
        <row r="13">
          <cell r="A13" t="str">
            <v>NEULER ACOES FIC FIA</v>
          </cell>
          <cell r="E13">
            <v>44879</v>
          </cell>
          <cell r="F13">
            <v>44881</v>
          </cell>
          <cell r="G13">
            <v>44879</v>
          </cell>
          <cell r="J13">
            <v>100000</v>
          </cell>
          <cell r="K13">
            <v>101366.92281750173</v>
          </cell>
        </row>
        <row r="14">
          <cell r="A14" t="str">
            <v>NEULER ACOES FIC FIA</v>
          </cell>
          <cell r="E14">
            <v>44881</v>
          </cell>
          <cell r="F14">
            <v>44882</v>
          </cell>
          <cell r="G14">
            <v>44881</v>
          </cell>
          <cell r="J14">
            <v>100000</v>
          </cell>
          <cell r="K14">
            <v>101490.53052753965</v>
          </cell>
        </row>
        <row r="15">
          <cell r="A15" t="str">
            <v>NEULER ACOES FIC FIA</v>
          </cell>
          <cell r="E15">
            <v>44881</v>
          </cell>
          <cell r="F15">
            <v>44882</v>
          </cell>
          <cell r="G15">
            <v>44881</v>
          </cell>
          <cell r="J15">
            <v>1000000</v>
          </cell>
          <cell r="K15">
            <v>1014905.3052753966</v>
          </cell>
        </row>
        <row r="16">
          <cell r="A16" t="str">
            <v>HSF FIA IE</v>
          </cell>
          <cell r="E16">
            <v>44888</v>
          </cell>
          <cell r="F16">
            <v>44889</v>
          </cell>
          <cell r="G16">
            <v>44888</v>
          </cell>
          <cell r="J16">
            <v>4000000</v>
          </cell>
          <cell r="K16">
            <v>3933318.065503709</v>
          </cell>
        </row>
        <row r="17">
          <cell r="A17" t="str">
            <v>NEULER ACOES FIC FIA</v>
          </cell>
          <cell r="E17">
            <v>44897</v>
          </cell>
          <cell r="F17">
            <v>44900</v>
          </cell>
          <cell r="G17">
            <v>44897</v>
          </cell>
          <cell r="J17">
            <v>1000000</v>
          </cell>
          <cell r="K17">
            <v>1030175.0638296469</v>
          </cell>
        </row>
        <row r="18">
          <cell r="A18" t="str">
            <v>HSF FIA IE</v>
          </cell>
          <cell r="E18">
            <v>44900</v>
          </cell>
          <cell r="F18">
            <v>44900</v>
          </cell>
          <cell r="G18">
            <v>44902</v>
          </cell>
          <cell r="J18">
            <v>-4000</v>
          </cell>
          <cell r="K18">
            <v>-4120.7002553185876</v>
          </cell>
        </row>
        <row r="19">
          <cell r="A19" t="str">
            <v>NEULER ACOES FIC FIA</v>
          </cell>
          <cell r="E19">
            <v>44900</v>
          </cell>
          <cell r="F19">
            <v>44900</v>
          </cell>
          <cell r="G19">
            <v>44902</v>
          </cell>
          <cell r="J19">
            <v>-14000</v>
          </cell>
          <cell r="K19">
            <v>-14422.450893615056</v>
          </cell>
        </row>
        <row r="20">
          <cell r="A20" t="str">
            <v>NEULER ACOES FIC FIA</v>
          </cell>
          <cell r="E20">
            <v>44904</v>
          </cell>
          <cell r="F20">
            <v>44907</v>
          </cell>
          <cell r="G20">
            <v>44904</v>
          </cell>
          <cell r="J20">
            <v>1000000</v>
          </cell>
          <cell r="K20">
            <v>1100277.2918831003</v>
          </cell>
        </row>
        <row r="21">
          <cell r="A21" t="str">
            <v>NEULER ACOES FIC FIA</v>
          </cell>
          <cell r="E21">
            <v>44907</v>
          </cell>
          <cell r="F21">
            <v>44908</v>
          </cell>
          <cell r="G21">
            <v>44907</v>
          </cell>
          <cell r="J21">
            <v>100000</v>
          </cell>
          <cell r="K21">
            <v>112897.59003159439</v>
          </cell>
        </row>
        <row r="22">
          <cell r="A22" t="str">
            <v>NEULER ACOES FIC FIA</v>
          </cell>
          <cell r="E22">
            <v>44914</v>
          </cell>
          <cell r="F22">
            <v>44915</v>
          </cell>
          <cell r="G22">
            <v>44914</v>
          </cell>
          <cell r="J22">
            <v>1000000</v>
          </cell>
          <cell r="K22">
            <v>1074686.2910115067</v>
          </cell>
        </row>
        <row r="23">
          <cell r="A23" t="str">
            <v>NEULER ACOES FIC FIA</v>
          </cell>
          <cell r="E23">
            <v>44918</v>
          </cell>
          <cell r="F23">
            <v>44921</v>
          </cell>
          <cell r="G23">
            <v>44918</v>
          </cell>
          <cell r="J23">
            <v>1000000</v>
          </cell>
          <cell r="K23">
            <v>1045231.7780563205</v>
          </cell>
        </row>
        <row r="24">
          <cell r="A24" t="str">
            <v>HSF FIA IE</v>
          </cell>
          <cell r="E24">
            <v>44929</v>
          </cell>
          <cell r="F24">
            <v>44929</v>
          </cell>
          <cell r="G24">
            <v>44931</v>
          </cell>
          <cell r="J24">
            <v>-3500</v>
          </cell>
          <cell r="K24">
            <v>-3865.9705563264179</v>
          </cell>
        </row>
        <row r="25">
          <cell r="A25" t="str">
            <v>NEULER ACOES FIC FIA</v>
          </cell>
          <cell r="E25">
            <v>44929</v>
          </cell>
          <cell r="F25">
            <v>44929</v>
          </cell>
          <cell r="G25">
            <v>44931</v>
          </cell>
          <cell r="J25">
            <v>-20000</v>
          </cell>
          <cell r="K25">
            <v>-22091.260321865244</v>
          </cell>
        </row>
        <row r="26">
          <cell r="A26" t="str">
            <v>NEULER ACOES FIC FIA</v>
          </cell>
          <cell r="E26">
            <v>44936</v>
          </cell>
          <cell r="F26">
            <v>44937</v>
          </cell>
          <cell r="G26">
            <v>44936</v>
          </cell>
          <cell r="J26">
            <v>300000</v>
          </cell>
          <cell r="K26">
            <v>306859.94615426235</v>
          </cell>
        </row>
        <row r="27">
          <cell r="A27" t="str">
            <v>HSF FIA IE</v>
          </cell>
          <cell r="E27">
            <v>44959</v>
          </cell>
          <cell r="F27">
            <v>44959</v>
          </cell>
          <cell r="G27">
            <v>44963</v>
          </cell>
          <cell r="J27">
            <v>-4000</v>
          </cell>
          <cell r="K27">
            <v>-4020.5251831123064</v>
          </cell>
        </row>
        <row r="28">
          <cell r="A28" t="str">
            <v>NEULER ACOES FIC FIA</v>
          </cell>
          <cell r="E28">
            <v>44959</v>
          </cell>
          <cell r="F28">
            <v>44959</v>
          </cell>
          <cell r="G28">
            <v>44963</v>
          </cell>
          <cell r="J28">
            <v>-23000</v>
          </cell>
          <cell r="K28">
            <v>-23118.019802895764</v>
          </cell>
        </row>
        <row r="29">
          <cell r="A29" t="str">
            <v>HSF FIA IE</v>
          </cell>
          <cell r="E29">
            <v>44965</v>
          </cell>
          <cell r="F29">
            <v>44966</v>
          </cell>
          <cell r="G29">
            <v>44965</v>
          </cell>
          <cell r="J29">
            <v>87000</v>
          </cell>
          <cell r="K29">
            <v>91033.265229289784</v>
          </cell>
        </row>
        <row r="30">
          <cell r="A30" t="str">
            <v>HSF FIA IE</v>
          </cell>
          <cell r="E30">
            <v>44987</v>
          </cell>
          <cell r="F30">
            <v>44987</v>
          </cell>
          <cell r="G30">
            <v>44991</v>
          </cell>
          <cell r="J30">
            <v>-9000</v>
          </cell>
          <cell r="K30">
            <v>-9945.1370986874736</v>
          </cell>
        </row>
        <row r="31">
          <cell r="A31" t="str">
            <v>NEULER ACOES FIC FIA</v>
          </cell>
          <cell r="E31">
            <v>44987</v>
          </cell>
          <cell r="F31">
            <v>44987</v>
          </cell>
          <cell r="G31">
            <v>44991</v>
          </cell>
          <cell r="J31">
            <v>-20000</v>
          </cell>
          <cell r="K31">
            <v>-22100.304663749943</v>
          </cell>
        </row>
        <row r="32">
          <cell r="A32" t="str">
            <v>NEULER ACOES FIC FIA</v>
          </cell>
          <cell r="E32">
            <v>44991</v>
          </cell>
          <cell r="F32">
            <v>44992</v>
          </cell>
          <cell r="G32">
            <v>44991</v>
          </cell>
          <cell r="J32">
            <v>200000</v>
          </cell>
          <cell r="K32">
            <v>220283.57986370174</v>
          </cell>
        </row>
        <row r="33">
          <cell r="A33" t="str">
            <v>HSF FIA IE</v>
          </cell>
          <cell r="E33">
            <v>45020</v>
          </cell>
          <cell r="F33">
            <v>45020</v>
          </cell>
          <cell r="G33">
            <v>45022</v>
          </cell>
          <cell r="J33">
            <v>-10000</v>
          </cell>
          <cell r="K33">
            <v>-11307.369351827667</v>
          </cell>
        </row>
        <row r="34">
          <cell r="A34" t="str">
            <v>NEULER ACOES FIC FIA</v>
          </cell>
          <cell r="E34">
            <v>45020</v>
          </cell>
          <cell r="F34">
            <v>45020</v>
          </cell>
          <cell r="G34">
            <v>45022</v>
          </cell>
          <cell r="J34">
            <v>-24000</v>
          </cell>
          <cell r="K34">
            <v>-27137.6864443864</v>
          </cell>
        </row>
        <row r="35">
          <cell r="A35" t="str">
            <v>HSF FIA IE</v>
          </cell>
          <cell r="E35">
            <v>45049</v>
          </cell>
          <cell r="F35">
            <v>45049</v>
          </cell>
          <cell r="G35">
            <v>45051</v>
          </cell>
          <cell r="J35">
            <v>-9000</v>
          </cell>
          <cell r="K35">
            <v>-10138.500934769787</v>
          </cell>
        </row>
        <row r="36">
          <cell r="A36" t="str">
            <v>NEULER ACOES FIC FIA</v>
          </cell>
          <cell r="E36">
            <v>45049</v>
          </cell>
          <cell r="F36">
            <v>45049</v>
          </cell>
          <cell r="G36">
            <v>45051</v>
          </cell>
          <cell r="J36">
            <v>-18000</v>
          </cell>
          <cell r="K36">
            <v>-20277.001869539574</v>
          </cell>
        </row>
        <row r="37">
          <cell r="A37" t="str">
            <v>HSF FIA IE</v>
          </cell>
          <cell r="E37">
            <v>45077</v>
          </cell>
          <cell r="F37">
            <v>45078</v>
          </cell>
          <cell r="G37">
            <v>45077</v>
          </cell>
          <cell r="J37">
            <v>50000</v>
          </cell>
          <cell r="K37">
            <v>50928.0620751963</v>
          </cell>
        </row>
        <row r="38">
          <cell r="A38" t="str">
            <v>HSF FIA IE</v>
          </cell>
          <cell r="E38">
            <v>45079</v>
          </cell>
          <cell r="F38">
            <v>45079</v>
          </cell>
          <cell r="G38">
            <v>45083</v>
          </cell>
          <cell r="J38">
            <v>-10000</v>
          </cell>
          <cell r="K38">
            <v>-10078.298299488728</v>
          </cell>
        </row>
        <row r="39">
          <cell r="A39" t="str">
            <v>NEULER ACOES FIC FIA</v>
          </cell>
          <cell r="E39">
            <v>45079</v>
          </cell>
          <cell r="F39">
            <v>45079</v>
          </cell>
          <cell r="G39">
            <v>45083</v>
          </cell>
          <cell r="J39">
            <v>-23000</v>
          </cell>
          <cell r="K39">
            <v>-23180.086088824075</v>
          </cell>
        </row>
        <row r="40">
          <cell r="A40" t="str">
            <v>HSF FIA IE</v>
          </cell>
          <cell r="E40">
            <v>45111</v>
          </cell>
          <cell r="F40">
            <v>45111</v>
          </cell>
          <cell r="G40">
            <v>45113</v>
          </cell>
          <cell r="J40">
            <v>-11500</v>
          </cell>
          <cell r="K40">
            <v>-10736.020487687932</v>
          </cell>
        </row>
        <row r="41">
          <cell r="A41" t="str">
            <v>NEULER ACOES FIC FIA</v>
          </cell>
          <cell r="E41">
            <v>45111</v>
          </cell>
          <cell r="F41">
            <v>45111</v>
          </cell>
          <cell r="G41">
            <v>45113</v>
          </cell>
          <cell r="J41">
            <v>-24500</v>
          </cell>
          <cell r="K41">
            <v>-22872.391473769945</v>
          </cell>
        </row>
        <row r="42">
          <cell r="A42" t="str">
            <v>HSF FIA IE</v>
          </cell>
          <cell r="E42">
            <v>45119</v>
          </cell>
          <cell r="F42">
            <v>45120</v>
          </cell>
          <cell r="G42">
            <v>45119</v>
          </cell>
          <cell r="J42">
            <v>50000</v>
          </cell>
          <cell r="K42">
            <v>47381.162595377093</v>
          </cell>
        </row>
        <row r="43">
          <cell r="A43" t="str">
            <v>NEULER ACOES FIC FIA</v>
          </cell>
          <cell r="E43">
            <v>45119</v>
          </cell>
          <cell r="F43">
            <v>45120</v>
          </cell>
          <cell r="G43">
            <v>45119</v>
          </cell>
          <cell r="J43">
            <v>100000</v>
          </cell>
          <cell r="K43">
            <v>94762.325190754185</v>
          </cell>
        </row>
        <row r="44">
          <cell r="A44" t="str">
            <v>HSF FIA IE</v>
          </cell>
          <cell r="E44">
            <v>45140</v>
          </cell>
          <cell r="F44">
            <v>45140</v>
          </cell>
          <cell r="G44">
            <v>45142</v>
          </cell>
          <cell r="J44">
            <v>-12000</v>
          </cell>
          <cell r="K44">
            <v>-11095.153609165633</v>
          </cell>
        </row>
        <row r="45">
          <cell r="A45" t="str">
            <v>NEULER ACOES FIC FIA</v>
          </cell>
          <cell r="E45">
            <v>45140</v>
          </cell>
          <cell r="F45">
            <v>45140</v>
          </cell>
          <cell r="G45">
            <v>45142</v>
          </cell>
          <cell r="J45">
            <v>-25000</v>
          </cell>
          <cell r="K45">
            <v>-23114.903352428402</v>
          </cell>
        </row>
        <row r="46">
          <cell r="A46" t="str">
            <v>NEULER ACOES FIC FIA</v>
          </cell>
          <cell r="E46">
            <v>45149</v>
          </cell>
          <cell r="F46">
            <v>45152</v>
          </cell>
          <cell r="G46">
            <v>45149</v>
          </cell>
          <cell r="J46">
            <v>100000</v>
          </cell>
          <cell r="K46">
            <v>95876.688771996036</v>
          </cell>
        </row>
        <row r="47">
          <cell r="A47" t="str">
            <v>HSF FIA IE</v>
          </cell>
          <cell r="E47">
            <v>45173</v>
          </cell>
          <cell r="F47">
            <v>45173</v>
          </cell>
          <cell r="G47">
            <v>45175</v>
          </cell>
          <cell r="J47">
            <v>-12500</v>
          </cell>
          <cell r="K47">
            <v>-11587.895858745589</v>
          </cell>
        </row>
        <row r="48">
          <cell r="A48" t="str">
            <v>NEULER ACOES FIC FIA</v>
          </cell>
          <cell r="E48">
            <v>45173</v>
          </cell>
          <cell r="F48">
            <v>45173</v>
          </cell>
          <cell r="G48">
            <v>45175</v>
          </cell>
          <cell r="J48">
            <v>-28000</v>
          </cell>
          <cell r="K48">
            <v>-25956.88672359012</v>
          </cell>
        </row>
        <row r="49">
          <cell r="A49" t="str">
            <v>HSF FIA IE</v>
          </cell>
          <cell r="E49">
            <v>45202</v>
          </cell>
          <cell r="F49">
            <v>45202</v>
          </cell>
          <cell r="G49">
            <v>45204</v>
          </cell>
          <cell r="J49">
            <v>-11500</v>
          </cell>
          <cell r="K49">
            <v>-10943.173053911303</v>
          </cell>
        </row>
        <row r="50">
          <cell r="A50" t="str">
            <v>NEULER ACOES FIC FIA</v>
          </cell>
          <cell r="E50">
            <v>45202</v>
          </cell>
          <cell r="F50">
            <v>45202</v>
          </cell>
          <cell r="G50">
            <v>45204</v>
          </cell>
          <cell r="J50">
            <v>-24000</v>
          </cell>
          <cell r="K50">
            <v>-22837.926373380113</v>
          </cell>
        </row>
        <row r="51">
          <cell r="A51" t="str">
            <v>NEULER ACOES FIC FIA</v>
          </cell>
          <cell r="E51">
            <v>45233</v>
          </cell>
          <cell r="F51">
            <v>45233</v>
          </cell>
          <cell r="G51">
            <v>45237</v>
          </cell>
          <cell r="J51">
            <v>-25000</v>
          </cell>
          <cell r="K51">
            <v>-22815.289967733705</v>
          </cell>
        </row>
        <row r="52">
          <cell r="A52" t="str">
            <v>HSF FIA IE</v>
          </cell>
          <cell r="E52">
            <v>45233</v>
          </cell>
          <cell r="F52">
            <v>45233</v>
          </cell>
          <cell r="G52">
            <v>45237</v>
          </cell>
          <cell r="J52">
            <v>-12000</v>
          </cell>
          <cell r="K52">
            <v>-10951.339184512179</v>
          </cell>
        </row>
        <row r="53">
          <cell r="A53" t="str">
            <v>NEULER ACOES FIC FIA</v>
          </cell>
          <cell r="E53">
            <v>45264</v>
          </cell>
          <cell r="F53">
            <v>45264</v>
          </cell>
          <cell r="G53">
            <v>45266</v>
          </cell>
          <cell r="J53">
            <v>-24500</v>
          </cell>
          <cell r="K53">
            <v>-20935.600895325926</v>
          </cell>
        </row>
        <row r="54">
          <cell r="A54" t="str">
            <v>HSF FIA IE</v>
          </cell>
          <cell r="E54">
            <v>45264</v>
          </cell>
          <cell r="F54">
            <v>45265</v>
          </cell>
          <cell r="G54">
            <v>45264</v>
          </cell>
          <cell r="J54">
            <v>50000</v>
          </cell>
          <cell r="K54">
            <v>42700.830975251112</v>
          </cell>
        </row>
        <row r="55">
          <cell r="A55" t="str">
            <v>HSF FIA IE</v>
          </cell>
          <cell r="E55">
            <v>45264</v>
          </cell>
          <cell r="F55">
            <v>45264</v>
          </cell>
          <cell r="G55">
            <v>45266</v>
          </cell>
          <cell r="J55">
            <v>-11500</v>
          </cell>
          <cell r="K55">
            <v>-9826.9147059693114</v>
          </cell>
        </row>
        <row r="56">
          <cell r="A56" t="str">
            <v>NEULER ACOES FIC FIA</v>
          </cell>
          <cell r="E56">
            <v>45293</v>
          </cell>
          <cell r="F56">
            <v>45293</v>
          </cell>
          <cell r="G56">
            <v>45295</v>
          </cell>
          <cell r="J56">
            <v>-26000</v>
          </cell>
          <cell r="K56">
            <v>-21447.195725540896</v>
          </cell>
        </row>
        <row r="57">
          <cell r="A57" t="str">
            <v>HSF FIA IE</v>
          </cell>
          <cell r="E57">
            <v>45293</v>
          </cell>
          <cell r="F57">
            <v>45293</v>
          </cell>
          <cell r="G57">
            <v>45295</v>
          </cell>
          <cell r="J57">
            <v>-12000</v>
          </cell>
          <cell r="K57">
            <v>-9898.7057194804129</v>
          </cell>
        </row>
        <row r="58">
          <cell r="A58" t="str">
            <v>NEULER ACOES FIC FIA</v>
          </cell>
          <cell r="E58">
            <v>45299</v>
          </cell>
          <cell r="F58">
            <v>45299</v>
          </cell>
          <cell r="G58">
            <v>45301</v>
          </cell>
          <cell r="J58">
            <v>-212000</v>
          </cell>
          <cell r="K58">
            <v>-172606.54362805441</v>
          </cell>
        </row>
        <row r="59">
          <cell r="A59" t="str">
            <v>HSF FIA IE</v>
          </cell>
          <cell r="E59">
            <v>45299</v>
          </cell>
          <cell r="F59">
            <v>45299</v>
          </cell>
          <cell r="G59">
            <v>45301</v>
          </cell>
          <cell r="J59">
            <v>-148000</v>
          </cell>
          <cell r="K59">
            <v>-120498.90781581157</v>
          </cell>
        </row>
        <row r="60">
          <cell r="A60" t="str">
            <v>NEULER ACOES FIC FIA</v>
          </cell>
          <cell r="E60">
            <v>45317</v>
          </cell>
          <cell r="F60">
            <v>45320</v>
          </cell>
          <cell r="G60">
            <v>45317</v>
          </cell>
          <cell r="J60">
            <v>1000000</v>
          </cell>
          <cell r="K60">
            <v>837679.63411493902</v>
          </cell>
        </row>
        <row r="61">
          <cell r="A61" t="str">
            <v>NEULER ACOES FIC FIA</v>
          </cell>
          <cell r="E61">
            <v>45320</v>
          </cell>
          <cell r="F61">
            <v>45321</v>
          </cell>
          <cell r="G61">
            <v>45320</v>
          </cell>
          <cell r="J61">
            <v>100000</v>
          </cell>
          <cell r="K61">
            <v>84679.985021804299</v>
          </cell>
        </row>
        <row r="62">
          <cell r="A62" t="str">
            <v>NEULER ACOES FIC FIA</v>
          </cell>
          <cell r="E62">
            <v>45321</v>
          </cell>
          <cell r="F62">
            <v>45322</v>
          </cell>
          <cell r="G62">
            <v>45320</v>
          </cell>
          <cell r="J62">
            <v>1000000</v>
          </cell>
          <cell r="K62">
            <v>841124.45891515003</v>
          </cell>
        </row>
        <row r="63">
          <cell r="A63" t="str">
            <v>NEULER ACOES FIC FIA</v>
          </cell>
          <cell r="E63">
            <v>45321</v>
          </cell>
          <cell r="F63">
            <v>45321</v>
          </cell>
          <cell r="G63">
            <v>45323</v>
          </cell>
          <cell r="J63">
            <v>-100000</v>
          </cell>
          <cell r="K63">
            <v>-84679.985021804256</v>
          </cell>
        </row>
        <row r="64">
          <cell r="A64" t="str">
            <v>HSF FIA IE</v>
          </cell>
          <cell r="E64">
            <v>45324</v>
          </cell>
          <cell r="F64">
            <v>45324</v>
          </cell>
          <cell r="G64">
            <v>45328</v>
          </cell>
          <cell r="J64">
            <v>-13000</v>
          </cell>
          <cell r="K64">
            <v>-11007.822921047744</v>
          </cell>
        </row>
        <row r="65">
          <cell r="A65" t="str">
            <v>NEULER ACOES FIC FIA</v>
          </cell>
          <cell r="E65">
            <v>45324</v>
          </cell>
          <cell r="F65">
            <v>45324</v>
          </cell>
          <cell r="G65">
            <v>45328</v>
          </cell>
          <cell r="J65">
            <v>-28500</v>
          </cell>
          <cell r="K65">
            <v>-24132.534865373902</v>
          </cell>
        </row>
        <row r="66">
          <cell r="A66" t="str">
            <v>HSF FIA IE</v>
          </cell>
          <cell r="E66">
            <v>45344</v>
          </cell>
          <cell r="F66">
            <v>45345</v>
          </cell>
          <cell r="G66">
            <v>45344</v>
          </cell>
          <cell r="J66">
            <v>50000</v>
          </cell>
          <cell r="K66">
            <v>42018.879418673801</v>
          </cell>
        </row>
        <row r="67">
          <cell r="A67" t="str">
            <v>NEULER ACOES FIC FIA</v>
          </cell>
          <cell r="E67">
            <v>45345</v>
          </cell>
          <cell r="F67">
            <v>45348</v>
          </cell>
          <cell r="G67">
            <v>45345</v>
          </cell>
          <cell r="J67">
            <v>400000</v>
          </cell>
          <cell r="K67">
            <v>335940.45522619202</v>
          </cell>
        </row>
        <row r="68">
          <cell r="A68" t="str">
            <v>NEULER ACOES FIC FIA</v>
          </cell>
          <cell r="E68">
            <v>45356</v>
          </cell>
          <cell r="F68">
            <v>45356</v>
          </cell>
          <cell r="G68">
            <v>45358</v>
          </cell>
          <cell r="J68">
            <v>-27000</v>
          </cell>
          <cell r="K68">
            <v>-22755.195727551873</v>
          </cell>
        </row>
        <row r="69">
          <cell r="A69" t="str">
            <v>HSF FIA IE</v>
          </cell>
          <cell r="E69">
            <v>45356</v>
          </cell>
          <cell r="F69">
            <v>45356</v>
          </cell>
          <cell r="G69">
            <v>45358</v>
          </cell>
          <cell r="J69">
            <v>-11000</v>
          </cell>
          <cell r="K69">
            <v>-9270.6352964100224</v>
          </cell>
        </row>
        <row r="70">
          <cell r="A70" t="str">
            <v>NEULER ACOES FIC FIA</v>
          </cell>
          <cell r="E70">
            <v>45385</v>
          </cell>
          <cell r="F70">
            <v>45385</v>
          </cell>
          <cell r="G70">
            <v>45387</v>
          </cell>
          <cell r="J70">
            <v>-29000</v>
          </cell>
          <cell r="K70">
            <v>-24795.477920439178</v>
          </cell>
        </row>
        <row r="71">
          <cell r="A71" t="str">
            <v>HSF FIA IE</v>
          </cell>
          <cell r="E71">
            <v>45385</v>
          </cell>
          <cell r="F71">
            <v>45385</v>
          </cell>
          <cell r="G71">
            <v>45387</v>
          </cell>
          <cell r="J71">
            <v>-12000</v>
          </cell>
          <cell r="K71">
            <v>-10260.197760181729</v>
          </cell>
        </row>
        <row r="72">
          <cell r="A72" t="str">
            <v>NEULER ACOES FIC FIA</v>
          </cell>
          <cell r="E72">
            <v>45418</v>
          </cell>
          <cell r="F72">
            <v>45418</v>
          </cell>
          <cell r="G72">
            <v>45420</v>
          </cell>
          <cell r="J72">
            <v>-30000</v>
          </cell>
          <cell r="K72">
            <v>-26570.733329211918</v>
          </cell>
        </row>
        <row r="73">
          <cell r="A73" t="str">
            <v>HSF FIA IE</v>
          </cell>
          <cell r="E73">
            <v>45418</v>
          </cell>
          <cell r="F73">
            <v>45418</v>
          </cell>
          <cell r="G73">
            <v>45420</v>
          </cell>
          <cell r="J73">
            <v>-12000</v>
          </cell>
          <cell r="K73">
            <v>-10628.293331684768</v>
          </cell>
        </row>
        <row r="74">
          <cell r="A74" t="str">
            <v>NEULER ACOES FIC FIA</v>
          </cell>
          <cell r="E74">
            <v>45418</v>
          </cell>
          <cell r="F74">
            <v>45418</v>
          </cell>
          <cell r="G74">
            <v>45420</v>
          </cell>
          <cell r="J74">
            <v>-7500</v>
          </cell>
          <cell r="K74">
            <v>-6642.6833323029796</v>
          </cell>
        </row>
        <row r="75">
          <cell r="A75" t="str">
            <v>NEULER ACOES FIC FIA</v>
          </cell>
          <cell r="E75">
            <v>45440</v>
          </cell>
          <cell r="F75">
            <v>45441</v>
          </cell>
          <cell r="G75">
            <v>45440</v>
          </cell>
          <cell r="J75">
            <v>50000</v>
          </cell>
          <cell r="K75">
            <v>47215.240399701557</v>
          </cell>
        </row>
        <row r="76">
          <cell r="A76" t="str">
            <v>NEULER ACOES FIC FIA</v>
          </cell>
          <cell r="E76">
            <v>45443</v>
          </cell>
          <cell r="F76">
            <v>45443</v>
          </cell>
          <cell r="G76">
            <v>45447</v>
          </cell>
          <cell r="J76">
            <v>-50000</v>
          </cell>
          <cell r="K76">
            <v>-47417.752485780838</v>
          </cell>
        </row>
        <row r="77">
          <cell r="A77" t="str">
            <v>NEULER ACOES FIC FIA</v>
          </cell>
          <cell r="E77">
            <v>45448</v>
          </cell>
          <cell r="F77">
            <v>45448</v>
          </cell>
          <cell r="G77">
            <v>45450</v>
          </cell>
          <cell r="J77">
            <v>-28000</v>
          </cell>
          <cell r="K77">
            <v>-26571.293437421944</v>
          </cell>
        </row>
        <row r="78">
          <cell r="A78" t="str">
            <v>HSF FIA IE</v>
          </cell>
          <cell r="E78">
            <v>45448</v>
          </cell>
          <cell r="F78">
            <v>45448</v>
          </cell>
          <cell r="G78">
            <v>45450</v>
          </cell>
          <cell r="J78">
            <v>-11000</v>
          </cell>
          <cell r="K78">
            <v>-10438.722421844335</v>
          </cell>
        </row>
        <row r="79">
          <cell r="A79" t="str">
            <v>HSF FIA IE</v>
          </cell>
          <cell r="E79">
            <v>45476</v>
          </cell>
          <cell r="F79">
            <v>45477</v>
          </cell>
          <cell r="G79">
            <v>45476</v>
          </cell>
          <cell r="J79">
            <v>200000</v>
          </cell>
          <cell r="K79">
            <v>188801.66356921804</v>
          </cell>
        </row>
        <row r="80">
          <cell r="A80" t="str">
            <v>NEULER ACOES FIC FIA</v>
          </cell>
          <cell r="E80">
            <v>45476</v>
          </cell>
          <cell r="F80">
            <v>45476</v>
          </cell>
          <cell r="G80">
            <v>45478</v>
          </cell>
          <cell r="J80">
            <v>-26000</v>
          </cell>
          <cell r="K80">
            <v>-25086.4372492683</v>
          </cell>
        </row>
        <row r="81">
          <cell r="A81" t="str">
            <v>HSF FIA IE</v>
          </cell>
          <cell r="E81">
            <v>45476</v>
          </cell>
          <cell r="F81">
            <v>45476</v>
          </cell>
          <cell r="G81">
            <v>45478</v>
          </cell>
          <cell r="J81">
            <v>-10000</v>
          </cell>
          <cell r="K81">
            <v>-9648.6297112570373</v>
          </cell>
        </row>
        <row r="82">
          <cell r="A82" t="str">
            <v>HSF FIA IE</v>
          </cell>
          <cell r="E82">
            <v>45509</v>
          </cell>
          <cell r="F82">
            <v>45509</v>
          </cell>
          <cell r="G82">
            <v>45511</v>
          </cell>
          <cell r="J82">
            <v>-12000</v>
          </cell>
          <cell r="K82">
            <v>-11282.251373261533</v>
          </cell>
        </row>
        <row r="83">
          <cell r="A83" t="str">
            <v>NEULER ACOES FIC FIA</v>
          </cell>
          <cell r="E83">
            <v>45509</v>
          </cell>
          <cell r="F83">
            <v>45509</v>
          </cell>
          <cell r="G83">
            <v>45511</v>
          </cell>
          <cell r="J83">
            <v>-29000</v>
          </cell>
          <cell r="K83">
            <v>-27265.440818715371</v>
          </cell>
        </row>
        <row r="84">
          <cell r="A84" t="str">
            <v>NEULER ACOES FIC FIA</v>
          </cell>
          <cell r="E84">
            <v>45524</v>
          </cell>
          <cell r="F84">
            <v>45525</v>
          </cell>
          <cell r="G84">
            <v>45524</v>
          </cell>
          <cell r="J84">
            <v>50000</v>
          </cell>
          <cell r="K84">
            <v>43579.380190000003</v>
          </cell>
        </row>
        <row r="85">
          <cell r="A85" t="str">
            <v>NEULER ACOES FIC FIA</v>
          </cell>
          <cell r="E85">
            <v>45525</v>
          </cell>
          <cell r="F85">
            <v>45526</v>
          </cell>
          <cell r="G85">
            <v>45525</v>
          </cell>
          <cell r="J85">
            <v>100000</v>
          </cell>
          <cell r="K85">
            <v>88548.939671</v>
          </cell>
        </row>
        <row r="86">
          <cell r="A86" t="str">
            <v>HSF FIA IE</v>
          </cell>
          <cell r="E86">
            <v>45539</v>
          </cell>
          <cell r="F86">
            <v>45539</v>
          </cell>
          <cell r="G86">
            <v>45541</v>
          </cell>
          <cell r="J86">
            <v>-12500</v>
          </cell>
          <cell r="K86">
            <v>-10997.215152999999</v>
          </cell>
        </row>
        <row r="87">
          <cell r="A87" t="str">
            <v>NEULER ACOES FIC FIA</v>
          </cell>
          <cell r="E87">
            <v>45539</v>
          </cell>
          <cell r="F87">
            <v>45539</v>
          </cell>
          <cell r="G87">
            <v>45541</v>
          </cell>
          <cell r="J87">
            <v>-30000</v>
          </cell>
          <cell r="K87">
            <v>-26393.316366999999</v>
          </cell>
        </row>
        <row r="88">
          <cell r="A88" t="str">
            <v>NEULER ACOES FIC FIA</v>
          </cell>
          <cell r="E88">
            <v>45558</v>
          </cell>
          <cell r="F88">
            <v>45558</v>
          </cell>
          <cell r="G88">
            <v>45560</v>
          </cell>
          <cell r="J88">
            <v>-32000</v>
          </cell>
          <cell r="K88">
            <v>-29897.637030914248</v>
          </cell>
        </row>
        <row r="89">
          <cell r="A89" t="str">
            <v>NEULER ACOES FIC FIA</v>
          </cell>
          <cell r="E89">
            <v>45568</v>
          </cell>
          <cell r="F89">
            <v>45568</v>
          </cell>
          <cell r="G89">
            <v>45572</v>
          </cell>
          <cell r="J89">
            <v>-28000</v>
          </cell>
          <cell r="K89">
            <v>-26827.036133718211</v>
          </cell>
        </row>
        <row r="90">
          <cell r="A90" t="str">
            <v>HSF FIA IE</v>
          </cell>
          <cell r="E90">
            <v>45568</v>
          </cell>
          <cell r="F90">
            <v>45568</v>
          </cell>
          <cell r="G90">
            <v>45572</v>
          </cell>
          <cell r="J90">
            <v>-11200</v>
          </cell>
          <cell r="K90">
            <v>-10730.814453487284</v>
          </cell>
        </row>
        <row r="91">
          <cell r="A91" t="str">
            <v>NEULER ACOES FIC FIA</v>
          </cell>
          <cell r="E91">
            <v>45583</v>
          </cell>
          <cell r="F91">
            <v>45583</v>
          </cell>
          <cell r="G91">
            <v>45587</v>
          </cell>
          <cell r="J91">
            <v>-42000</v>
          </cell>
          <cell r="K91">
            <v>-40004.682452000001</v>
          </cell>
        </row>
        <row r="92">
          <cell r="A92" t="str">
            <v>HSF FIA IE</v>
          </cell>
          <cell r="E92">
            <v>45601</v>
          </cell>
          <cell r="F92">
            <v>45601</v>
          </cell>
          <cell r="G92">
            <v>45603</v>
          </cell>
          <cell r="J92">
            <v>-12000</v>
          </cell>
          <cell r="K92">
            <v>-11329.68913882183</v>
          </cell>
        </row>
        <row r="93">
          <cell r="A93" t="str">
            <v>NEULER ACOES FIC FIA</v>
          </cell>
          <cell r="E93">
            <v>45601</v>
          </cell>
          <cell r="F93">
            <v>45601</v>
          </cell>
          <cell r="G93">
            <v>45603</v>
          </cell>
          <cell r="J93">
            <v>-29000</v>
          </cell>
          <cell r="K93">
            <v>-27380.08208548609</v>
          </cell>
        </row>
        <row r="94">
          <cell r="A94" t="str">
            <v>HSF FIA IE</v>
          </cell>
          <cell r="E94">
            <v>45630</v>
          </cell>
          <cell r="F94">
            <v>45630</v>
          </cell>
          <cell r="G94">
            <v>45632</v>
          </cell>
          <cell r="J94">
            <v>-9700</v>
          </cell>
          <cell r="K94">
            <v>-9876.021315</v>
          </cell>
        </row>
        <row r="95">
          <cell r="A95" t="str">
            <v>NEULER ACOES FIC FIA</v>
          </cell>
          <cell r="E95">
            <v>45630</v>
          </cell>
          <cell r="F95">
            <v>45630</v>
          </cell>
          <cell r="G95">
            <v>45632</v>
          </cell>
          <cell r="J95">
            <v>-23500</v>
          </cell>
          <cell r="K95">
            <v>-23926.443393000001</v>
          </cell>
        </row>
      </sheetData>
      <sheetData sheetId="5">
        <row r="5">
          <cell r="A5">
            <v>44833</v>
          </cell>
          <cell r="B5">
            <v>5841299.0199999996</v>
          </cell>
          <cell r="C5">
            <v>0</v>
          </cell>
          <cell r="E5">
            <v>8516299.0199999996</v>
          </cell>
          <cell r="F5">
            <v>0</v>
          </cell>
        </row>
        <row r="6">
          <cell r="A6">
            <v>44834</v>
          </cell>
          <cell r="B6">
            <v>0</v>
          </cell>
          <cell r="C6">
            <v>0</v>
          </cell>
          <cell r="E6">
            <v>0</v>
          </cell>
          <cell r="F6">
            <v>0</v>
          </cell>
        </row>
        <row r="7">
          <cell r="A7">
            <v>44837</v>
          </cell>
          <cell r="B7">
            <v>100000</v>
          </cell>
          <cell r="C7">
            <v>0</v>
          </cell>
          <cell r="E7">
            <v>200000</v>
          </cell>
          <cell r="F7">
            <v>0</v>
          </cell>
        </row>
        <row r="8">
          <cell r="A8">
            <v>44838</v>
          </cell>
          <cell r="B8">
            <v>0</v>
          </cell>
          <cell r="C8">
            <v>0</v>
          </cell>
          <cell r="E8">
            <v>2200000</v>
          </cell>
          <cell r="F8">
            <v>0</v>
          </cell>
        </row>
        <row r="9">
          <cell r="A9">
            <v>44839</v>
          </cell>
          <cell r="B9">
            <v>0</v>
          </cell>
          <cell r="C9">
            <v>0</v>
          </cell>
          <cell r="E9">
            <v>0</v>
          </cell>
          <cell r="F9">
            <v>0</v>
          </cell>
        </row>
        <row r="10">
          <cell r="A10">
            <v>44840</v>
          </cell>
          <cell r="B10">
            <v>0</v>
          </cell>
          <cell r="C10">
            <v>0</v>
          </cell>
          <cell r="E10">
            <v>0</v>
          </cell>
          <cell r="F10">
            <v>0</v>
          </cell>
        </row>
        <row r="11">
          <cell r="A11">
            <v>44841</v>
          </cell>
          <cell r="B11">
            <v>0</v>
          </cell>
          <cell r="C11">
            <v>0</v>
          </cell>
          <cell r="E11">
            <v>0</v>
          </cell>
          <cell r="F11">
            <v>0</v>
          </cell>
        </row>
        <row r="12">
          <cell r="A12">
            <v>44844</v>
          </cell>
          <cell r="B12">
            <v>100000</v>
          </cell>
          <cell r="C12">
            <v>0</v>
          </cell>
          <cell r="E12">
            <v>100000</v>
          </cell>
          <cell r="F12">
            <v>0</v>
          </cell>
        </row>
        <row r="13">
          <cell r="A13">
            <v>44845</v>
          </cell>
          <cell r="B13">
            <v>0</v>
          </cell>
          <cell r="C13">
            <v>0</v>
          </cell>
          <cell r="E13">
            <v>0</v>
          </cell>
          <cell r="F13">
            <v>0</v>
          </cell>
        </row>
        <row r="14">
          <cell r="A14">
            <v>44846</v>
          </cell>
          <cell r="B14">
            <v>0</v>
          </cell>
          <cell r="C14">
            <v>0</v>
          </cell>
          <cell r="E14">
            <v>0</v>
          </cell>
          <cell r="F14">
            <v>0</v>
          </cell>
        </row>
        <row r="15">
          <cell r="A15">
            <v>44847</v>
          </cell>
          <cell r="B15">
            <v>0</v>
          </cell>
          <cell r="C15">
            <v>0</v>
          </cell>
          <cell r="E15">
            <v>0</v>
          </cell>
          <cell r="F15">
            <v>0</v>
          </cell>
        </row>
        <row r="16">
          <cell r="A16">
            <v>44848</v>
          </cell>
          <cell r="B16">
            <v>0</v>
          </cell>
          <cell r="C16">
            <v>0</v>
          </cell>
          <cell r="E16">
            <v>0</v>
          </cell>
          <cell r="F16">
            <v>0</v>
          </cell>
        </row>
        <row r="17">
          <cell r="A17">
            <v>44851</v>
          </cell>
          <cell r="B17">
            <v>500000</v>
          </cell>
          <cell r="C17">
            <v>0</v>
          </cell>
          <cell r="E17">
            <v>500000</v>
          </cell>
          <cell r="F17">
            <v>0</v>
          </cell>
        </row>
        <row r="18">
          <cell r="A18">
            <v>44852</v>
          </cell>
          <cell r="B18">
            <v>0</v>
          </cell>
          <cell r="C18">
            <v>0</v>
          </cell>
          <cell r="E18">
            <v>0</v>
          </cell>
          <cell r="F18">
            <v>0</v>
          </cell>
        </row>
        <row r="19">
          <cell r="A19">
            <v>44853</v>
          </cell>
          <cell r="B19">
            <v>100000</v>
          </cell>
          <cell r="C19">
            <v>0</v>
          </cell>
          <cell r="E19">
            <v>100000</v>
          </cell>
          <cell r="F19">
            <v>0</v>
          </cell>
        </row>
        <row r="20">
          <cell r="A20">
            <v>44854</v>
          </cell>
          <cell r="B20">
            <v>0</v>
          </cell>
          <cell r="C20">
            <v>0</v>
          </cell>
          <cell r="E20">
            <v>0</v>
          </cell>
          <cell r="F20">
            <v>0</v>
          </cell>
        </row>
        <row r="21">
          <cell r="A21">
            <v>44855</v>
          </cell>
          <cell r="B21">
            <v>2100000</v>
          </cell>
          <cell r="C21">
            <v>0</v>
          </cell>
          <cell r="E21">
            <v>2100000</v>
          </cell>
          <cell r="F21">
            <v>0</v>
          </cell>
        </row>
        <row r="22">
          <cell r="A22">
            <v>44858</v>
          </cell>
          <cell r="B22">
            <v>0</v>
          </cell>
          <cell r="C22">
            <v>0</v>
          </cell>
          <cell r="E22">
            <v>0</v>
          </cell>
          <cell r="F22">
            <v>0</v>
          </cell>
        </row>
        <row r="23">
          <cell r="A23">
            <v>44859</v>
          </cell>
          <cell r="B23">
            <v>0</v>
          </cell>
          <cell r="C23">
            <v>0</v>
          </cell>
          <cell r="E23">
            <v>0</v>
          </cell>
          <cell r="F23">
            <v>0</v>
          </cell>
        </row>
        <row r="24">
          <cell r="A24">
            <v>44860</v>
          </cell>
          <cell r="B24">
            <v>0</v>
          </cell>
          <cell r="C24">
            <v>0</v>
          </cell>
          <cell r="E24">
            <v>0</v>
          </cell>
          <cell r="F24">
            <v>0</v>
          </cell>
        </row>
        <row r="25">
          <cell r="A25">
            <v>44861</v>
          </cell>
          <cell r="B25">
            <v>0</v>
          </cell>
          <cell r="C25">
            <v>0</v>
          </cell>
          <cell r="E25">
            <v>0</v>
          </cell>
          <cell r="F25">
            <v>0</v>
          </cell>
        </row>
        <row r="26">
          <cell r="A26">
            <v>44862</v>
          </cell>
          <cell r="B26">
            <v>0</v>
          </cell>
          <cell r="C26">
            <v>0</v>
          </cell>
          <cell r="E26">
            <v>0</v>
          </cell>
          <cell r="F26">
            <v>0</v>
          </cell>
        </row>
        <row r="27">
          <cell r="A27">
            <v>44865</v>
          </cell>
          <cell r="B27">
            <v>0</v>
          </cell>
          <cell r="C27">
            <v>0</v>
          </cell>
          <cell r="E27">
            <v>0</v>
          </cell>
          <cell r="F27">
            <v>0</v>
          </cell>
        </row>
        <row r="28">
          <cell r="A28">
            <v>44866</v>
          </cell>
          <cell r="B28">
            <v>0</v>
          </cell>
          <cell r="C28">
            <v>0</v>
          </cell>
          <cell r="E28">
            <v>0</v>
          </cell>
          <cell r="F28">
            <v>0</v>
          </cell>
        </row>
        <row r="29">
          <cell r="A29">
            <v>44868</v>
          </cell>
          <cell r="B29">
            <v>0</v>
          </cell>
          <cell r="C29">
            <v>0</v>
          </cell>
          <cell r="E29">
            <v>0</v>
          </cell>
          <cell r="F29">
            <v>-11000</v>
          </cell>
        </row>
        <row r="30">
          <cell r="A30">
            <v>44869</v>
          </cell>
          <cell r="B30">
            <v>0</v>
          </cell>
          <cell r="C30">
            <v>0</v>
          </cell>
          <cell r="E30">
            <v>0</v>
          </cell>
          <cell r="F30">
            <v>0</v>
          </cell>
        </row>
        <row r="31">
          <cell r="A31">
            <v>44872</v>
          </cell>
          <cell r="B31">
            <v>0</v>
          </cell>
          <cell r="C31">
            <v>0</v>
          </cell>
          <cell r="E31">
            <v>0</v>
          </cell>
          <cell r="F31">
            <v>0</v>
          </cell>
        </row>
        <row r="32">
          <cell r="A32">
            <v>44873</v>
          </cell>
          <cell r="B32">
            <v>0</v>
          </cell>
          <cell r="C32">
            <v>0</v>
          </cell>
          <cell r="E32">
            <v>0</v>
          </cell>
          <cell r="F32">
            <v>0</v>
          </cell>
        </row>
        <row r="33">
          <cell r="A33">
            <v>44874</v>
          </cell>
          <cell r="B33">
            <v>0</v>
          </cell>
          <cell r="C33">
            <v>0</v>
          </cell>
          <cell r="E33">
            <v>0</v>
          </cell>
          <cell r="F33">
            <v>0</v>
          </cell>
        </row>
        <row r="34">
          <cell r="A34">
            <v>44875</v>
          </cell>
          <cell r="B34">
            <v>0</v>
          </cell>
          <cell r="C34">
            <v>0</v>
          </cell>
          <cell r="E34">
            <v>0</v>
          </cell>
          <cell r="F34">
            <v>0</v>
          </cell>
        </row>
        <row r="35">
          <cell r="A35">
            <v>44876</v>
          </cell>
          <cell r="B35">
            <v>0</v>
          </cell>
          <cell r="C35">
            <v>0</v>
          </cell>
          <cell r="E35">
            <v>0</v>
          </cell>
          <cell r="F35">
            <v>0</v>
          </cell>
        </row>
        <row r="36">
          <cell r="A36">
            <v>44879</v>
          </cell>
          <cell r="B36">
            <v>0</v>
          </cell>
          <cell r="C36">
            <v>0</v>
          </cell>
          <cell r="E36">
            <v>0</v>
          </cell>
          <cell r="F36">
            <v>0</v>
          </cell>
        </row>
        <row r="37">
          <cell r="A37">
            <v>44881</v>
          </cell>
          <cell r="B37">
            <v>200000</v>
          </cell>
          <cell r="C37">
            <v>0</v>
          </cell>
          <cell r="E37">
            <v>100000</v>
          </cell>
          <cell r="F37">
            <v>0</v>
          </cell>
        </row>
        <row r="38">
          <cell r="A38">
            <v>44882</v>
          </cell>
          <cell r="B38">
            <v>1000000</v>
          </cell>
          <cell r="C38">
            <v>0</v>
          </cell>
          <cell r="E38">
            <v>1100000</v>
          </cell>
          <cell r="F38">
            <v>0</v>
          </cell>
        </row>
        <row r="39">
          <cell r="A39">
            <v>44883</v>
          </cell>
          <cell r="B39">
            <v>0</v>
          </cell>
          <cell r="C39">
            <v>0</v>
          </cell>
          <cell r="E39">
            <v>0</v>
          </cell>
          <cell r="F39">
            <v>0</v>
          </cell>
        </row>
        <row r="40">
          <cell r="A40">
            <v>44886</v>
          </cell>
          <cell r="B40">
            <v>0</v>
          </cell>
          <cell r="C40">
            <v>0</v>
          </cell>
          <cell r="E40">
            <v>0</v>
          </cell>
          <cell r="F40">
            <v>0</v>
          </cell>
        </row>
        <row r="41">
          <cell r="A41">
            <v>44887</v>
          </cell>
          <cell r="B41">
            <v>0</v>
          </cell>
          <cell r="C41">
            <v>0</v>
          </cell>
          <cell r="E41">
            <v>0</v>
          </cell>
          <cell r="F41">
            <v>0</v>
          </cell>
        </row>
        <row r="42">
          <cell r="A42">
            <v>44888</v>
          </cell>
          <cell r="B42">
            <v>0</v>
          </cell>
          <cell r="C42">
            <v>0</v>
          </cell>
          <cell r="E42">
            <v>0</v>
          </cell>
          <cell r="F42">
            <v>0</v>
          </cell>
        </row>
        <row r="43">
          <cell r="A43">
            <v>44889</v>
          </cell>
          <cell r="B43">
            <v>0</v>
          </cell>
          <cell r="C43">
            <v>0</v>
          </cell>
          <cell r="E43">
            <v>4000000</v>
          </cell>
          <cell r="F43">
            <v>0</v>
          </cell>
        </row>
        <row r="44">
          <cell r="A44">
            <v>44890</v>
          </cell>
          <cell r="B44">
            <v>0</v>
          </cell>
          <cell r="C44">
            <v>0</v>
          </cell>
          <cell r="E44">
            <v>0</v>
          </cell>
          <cell r="F44">
            <v>0</v>
          </cell>
        </row>
        <row r="45">
          <cell r="A45">
            <v>44893</v>
          </cell>
          <cell r="B45">
            <v>0</v>
          </cell>
          <cell r="C45">
            <v>0</v>
          </cell>
          <cell r="E45">
            <v>0</v>
          </cell>
          <cell r="F45">
            <v>0</v>
          </cell>
        </row>
        <row r="46">
          <cell r="A46">
            <v>44894</v>
          </cell>
          <cell r="B46">
            <v>0</v>
          </cell>
          <cell r="C46">
            <v>0</v>
          </cell>
          <cell r="E46">
            <v>0</v>
          </cell>
          <cell r="F46">
            <v>0</v>
          </cell>
        </row>
        <row r="47">
          <cell r="A47">
            <v>44895</v>
          </cell>
          <cell r="B47">
            <v>0</v>
          </cell>
          <cell r="C47">
            <v>0</v>
          </cell>
          <cell r="E47">
            <v>0</v>
          </cell>
          <cell r="F47">
            <v>0</v>
          </cell>
        </row>
        <row r="48">
          <cell r="A48">
            <v>44896</v>
          </cell>
          <cell r="B48">
            <v>0</v>
          </cell>
          <cell r="C48">
            <v>0</v>
          </cell>
          <cell r="E48">
            <v>0</v>
          </cell>
          <cell r="F48">
            <v>0</v>
          </cell>
        </row>
        <row r="49">
          <cell r="A49">
            <v>44897</v>
          </cell>
          <cell r="B49">
            <v>0</v>
          </cell>
          <cell r="C49">
            <v>0</v>
          </cell>
          <cell r="E49">
            <v>0</v>
          </cell>
          <cell r="F49">
            <v>0</v>
          </cell>
        </row>
        <row r="50">
          <cell r="A50">
            <v>44900</v>
          </cell>
          <cell r="B50">
            <v>1000000</v>
          </cell>
          <cell r="C50">
            <v>0</v>
          </cell>
          <cell r="E50">
            <v>1000000</v>
          </cell>
          <cell r="F50">
            <v>-18000</v>
          </cell>
        </row>
        <row r="51">
          <cell r="A51">
            <v>44901</v>
          </cell>
          <cell r="B51">
            <v>0</v>
          </cell>
          <cell r="C51">
            <v>0</v>
          </cell>
          <cell r="E51">
            <v>0</v>
          </cell>
          <cell r="F51">
            <v>0</v>
          </cell>
        </row>
        <row r="52">
          <cell r="A52">
            <v>44902</v>
          </cell>
          <cell r="B52">
            <v>0</v>
          </cell>
          <cell r="C52">
            <v>0</v>
          </cell>
          <cell r="E52">
            <v>0</v>
          </cell>
          <cell r="F52">
            <v>0</v>
          </cell>
        </row>
        <row r="53">
          <cell r="A53">
            <v>44903</v>
          </cell>
          <cell r="B53">
            <v>0</v>
          </cell>
          <cell r="C53">
            <v>0</v>
          </cell>
          <cell r="E53">
            <v>0</v>
          </cell>
          <cell r="F53">
            <v>0</v>
          </cell>
        </row>
        <row r="54">
          <cell r="A54">
            <v>44904</v>
          </cell>
          <cell r="B54">
            <v>0</v>
          </cell>
          <cell r="C54">
            <v>0</v>
          </cell>
          <cell r="E54">
            <v>0</v>
          </cell>
          <cell r="F54">
            <v>0</v>
          </cell>
        </row>
        <row r="55">
          <cell r="A55">
            <v>44907</v>
          </cell>
          <cell r="B55">
            <v>1000000</v>
          </cell>
          <cell r="C55">
            <v>0</v>
          </cell>
          <cell r="E55">
            <v>1000000</v>
          </cell>
          <cell r="F55">
            <v>0</v>
          </cell>
        </row>
        <row r="56">
          <cell r="A56">
            <v>44908</v>
          </cell>
          <cell r="B56">
            <v>100000</v>
          </cell>
          <cell r="C56">
            <v>0</v>
          </cell>
          <cell r="E56">
            <v>100000</v>
          </cell>
          <cell r="F56">
            <v>0</v>
          </cell>
        </row>
        <row r="57">
          <cell r="A57">
            <v>44909</v>
          </cell>
          <cell r="B57">
            <v>0</v>
          </cell>
          <cell r="C57">
            <v>0</v>
          </cell>
          <cell r="E57">
            <v>0</v>
          </cell>
          <cell r="F57">
            <v>0</v>
          </cell>
        </row>
        <row r="58">
          <cell r="A58">
            <v>44910</v>
          </cell>
          <cell r="B58">
            <v>0</v>
          </cell>
          <cell r="C58">
            <v>0</v>
          </cell>
          <cell r="E58">
            <v>0</v>
          </cell>
          <cell r="F58">
            <v>0</v>
          </cell>
        </row>
        <row r="59">
          <cell r="A59">
            <v>44911</v>
          </cell>
          <cell r="B59">
            <v>0</v>
          </cell>
          <cell r="C59">
            <v>0</v>
          </cell>
          <cell r="E59">
            <v>0</v>
          </cell>
          <cell r="F59">
            <v>0</v>
          </cell>
        </row>
        <row r="60">
          <cell r="A60">
            <v>44914</v>
          </cell>
          <cell r="B60">
            <v>0</v>
          </cell>
          <cell r="C60">
            <v>0</v>
          </cell>
          <cell r="E60">
            <v>0</v>
          </cell>
          <cell r="F60">
            <v>0</v>
          </cell>
        </row>
        <row r="61">
          <cell r="A61">
            <v>44915</v>
          </cell>
          <cell r="B61">
            <v>1000000</v>
          </cell>
          <cell r="C61">
            <v>0</v>
          </cell>
          <cell r="E61">
            <v>1000000</v>
          </cell>
          <cell r="F61">
            <v>0</v>
          </cell>
        </row>
        <row r="62">
          <cell r="A62">
            <v>44916</v>
          </cell>
          <cell r="B62">
            <v>0</v>
          </cell>
          <cell r="C62">
            <v>0</v>
          </cell>
          <cell r="E62">
            <v>0</v>
          </cell>
          <cell r="F62">
            <v>0</v>
          </cell>
        </row>
        <row r="63">
          <cell r="A63">
            <v>44917</v>
          </cell>
          <cell r="B63">
            <v>0</v>
          </cell>
          <cell r="C63">
            <v>0</v>
          </cell>
          <cell r="E63">
            <v>0</v>
          </cell>
          <cell r="F63">
            <v>0</v>
          </cell>
        </row>
        <row r="64">
          <cell r="A64">
            <v>44918</v>
          </cell>
          <cell r="B64">
            <v>0</v>
          </cell>
          <cell r="C64">
            <v>0</v>
          </cell>
          <cell r="E64">
            <v>0</v>
          </cell>
          <cell r="F64">
            <v>0</v>
          </cell>
        </row>
        <row r="65">
          <cell r="A65">
            <v>44921</v>
          </cell>
          <cell r="B65">
            <v>1000000</v>
          </cell>
          <cell r="C65">
            <v>0</v>
          </cell>
          <cell r="E65">
            <v>1000000</v>
          </cell>
          <cell r="F65">
            <v>0</v>
          </cell>
        </row>
        <row r="66">
          <cell r="A66">
            <v>44922</v>
          </cell>
          <cell r="B66">
            <v>0</v>
          </cell>
          <cell r="C66">
            <v>0</v>
          </cell>
          <cell r="E66">
            <v>0</v>
          </cell>
          <cell r="F66">
            <v>0</v>
          </cell>
        </row>
        <row r="67">
          <cell r="A67">
            <v>44923</v>
          </cell>
          <cell r="B67">
            <v>0</v>
          </cell>
          <cell r="C67">
            <v>0</v>
          </cell>
          <cell r="E67">
            <v>0</v>
          </cell>
          <cell r="F67">
            <v>0</v>
          </cell>
        </row>
        <row r="68">
          <cell r="A68">
            <v>44924</v>
          </cell>
          <cell r="B68">
            <v>0</v>
          </cell>
          <cell r="C68">
            <v>0</v>
          </cell>
          <cell r="E68">
            <v>0</v>
          </cell>
          <cell r="F68">
            <v>0</v>
          </cell>
        </row>
        <row r="69">
          <cell r="A69">
            <v>44925</v>
          </cell>
          <cell r="B69">
            <v>0</v>
          </cell>
          <cell r="C69">
            <v>0</v>
          </cell>
          <cell r="E69">
            <v>0</v>
          </cell>
          <cell r="F69">
            <v>0</v>
          </cell>
        </row>
        <row r="70">
          <cell r="A70">
            <v>44926</v>
          </cell>
          <cell r="B70">
            <v>0</v>
          </cell>
          <cell r="C70">
            <v>0</v>
          </cell>
          <cell r="E70">
            <v>0</v>
          </cell>
          <cell r="F70">
            <v>0</v>
          </cell>
        </row>
        <row r="71">
          <cell r="A71">
            <v>44928</v>
          </cell>
          <cell r="B71">
            <v>0</v>
          </cell>
          <cell r="C71">
            <v>0</v>
          </cell>
          <cell r="E71">
            <v>0</v>
          </cell>
          <cell r="F71">
            <v>0</v>
          </cell>
        </row>
        <row r="72">
          <cell r="A72">
            <v>44929</v>
          </cell>
          <cell r="B72">
            <v>0</v>
          </cell>
          <cell r="C72">
            <v>0</v>
          </cell>
          <cell r="E72">
            <v>0</v>
          </cell>
          <cell r="F72">
            <v>-23500</v>
          </cell>
        </row>
        <row r="73">
          <cell r="A73">
            <v>44930</v>
          </cell>
          <cell r="B73">
            <v>0</v>
          </cell>
          <cell r="C73">
            <v>0</v>
          </cell>
          <cell r="E73">
            <v>0</v>
          </cell>
          <cell r="F73">
            <v>0</v>
          </cell>
        </row>
        <row r="74">
          <cell r="A74">
            <v>44931</v>
          </cell>
          <cell r="B74">
            <v>0</v>
          </cell>
          <cell r="C74">
            <v>0</v>
          </cell>
          <cell r="E74">
            <v>0</v>
          </cell>
          <cell r="F74">
            <v>0</v>
          </cell>
        </row>
        <row r="75">
          <cell r="A75">
            <v>44932</v>
          </cell>
          <cell r="B75">
            <v>0</v>
          </cell>
          <cell r="C75">
            <v>0</v>
          </cell>
          <cell r="E75">
            <v>0</v>
          </cell>
          <cell r="F75">
            <v>0</v>
          </cell>
        </row>
        <row r="76">
          <cell r="A76">
            <v>44935</v>
          </cell>
          <cell r="B76">
            <v>0</v>
          </cell>
          <cell r="C76">
            <v>0</v>
          </cell>
          <cell r="E76">
            <v>0</v>
          </cell>
          <cell r="F76">
            <v>0</v>
          </cell>
        </row>
        <row r="77">
          <cell r="A77">
            <v>44936</v>
          </cell>
          <cell r="B77">
            <v>0</v>
          </cell>
          <cell r="C77">
            <v>0</v>
          </cell>
          <cell r="E77">
            <v>0</v>
          </cell>
          <cell r="F77">
            <v>0</v>
          </cell>
        </row>
        <row r="78">
          <cell r="A78">
            <v>44937</v>
          </cell>
          <cell r="B78">
            <v>300000</v>
          </cell>
          <cell r="C78">
            <v>0</v>
          </cell>
          <cell r="E78">
            <v>300000</v>
          </cell>
          <cell r="F78">
            <v>0</v>
          </cell>
        </row>
        <row r="79">
          <cell r="A79">
            <v>44938</v>
          </cell>
          <cell r="B79">
            <v>0</v>
          </cell>
          <cell r="C79">
            <v>0</v>
          </cell>
          <cell r="E79">
            <v>0</v>
          </cell>
          <cell r="F79">
            <v>0</v>
          </cell>
        </row>
        <row r="80">
          <cell r="A80">
            <v>44939</v>
          </cell>
          <cell r="B80">
            <v>0</v>
          </cell>
          <cell r="C80">
            <v>0</v>
          </cell>
          <cell r="E80">
            <v>0</v>
          </cell>
          <cell r="F80">
            <v>0</v>
          </cell>
        </row>
        <row r="81">
          <cell r="A81">
            <v>44942</v>
          </cell>
          <cell r="B81">
            <v>0</v>
          </cell>
          <cell r="C81">
            <v>0</v>
          </cell>
          <cell r="E81">
            <v>0</v>
          </cell>
          <cell r="F81">
            <v>0</v>
          </cell>
        </row>
        <row r="82">
          <cell r="A82">
            <v>44943</v>
          </cell>
          <cell r="B82">
            <v>0</v>
          </cell>
          <cell r="C82">
            <v>0</v>
          </cell>
          <cell r="E82">
            <v>0</v>
          </cell>
          <cell r="F82">
            <v>0</v>
          </cell>
        </row>
        <row r="83">
          <cell r="A83">
            <v>44944</v>
          </cell>
          <cell r="B83">
            <v>0</v>
          </cell>
          <cell r="C83">
            <v>0</v>
          </cell>
          <cell r="E83">
            <v>0</v>
          </cell>
          <cell r="F83">
            <v>0</v>
          </cell>
        </row>
        <row r="84">
          <cell r="A84">
            <v>44945</v>
          </cell>
          <cell r="B84">
            <v>0</v>
          </cell>
          <cell r="C84">
            <v>0</v>
          </cell>
          <cell r="E84">
            <v>0</v>
          </cell>
          <cell r="F84">
            <v>0</v>
          </cell>
        </row>
        <row r="85">
          <cell r="A85">
            <v>44946</v>
          </cell>
          <cell r="B85">
            <v>0</v>
          </cell>
          <cell r="C85">
            <v>0</v>
          </cell>
          <cell r="E85">
            <v>0</v>
          </cell>
          <cell r="F85">
            <v>0</v>
          </cell>
        </row>
        <row r="86">
          <cell r="A86">
            <v>44949</v>
          </cell>
          <cell r="B86">
            <v>0</v>
          </cell>
          <cell r="C86">
            <v>0</v>
          </cell>
          <cell r="E86">
            <v>0</v>
          </cell>
          <cell r="F86">
            <v>0</v>
          </cell>
        </row>
        <row r="87">
          <cell r="A87">
            <v>44950</v>
          </cell>
          <cell r="B87">
            <v>0</v>
          </cell>
          <cell r="C87">
            <v>0</v>
          </cell>
          <cell r="E87">
            <v>0</v>
          </cell>
          <cell r="F87">
            <v>0</v>
          </cell>
        </row>
        <row r="88">
          <cell r="A88">
            <v>44951</v>
          </cell>
          <cell r="B88">
            <v>0</v>
          </cell>
          <cell r="C88">
            <v>0</v>
          </cell>
          <cell r="E88">
            <v>0</v>
          </cell>
          <cell r="F88">
            <v>0</v>
          </cell>
        </row>
        <row r="89">
          <cell r="A89">
            <v>44952</v>
          </cell>
          <cell r="B89">
            <v>0</v>
          </cell>
          <cell r="C89">
            <v>0</v>
          </cell>
          <cell r="E89">
            <v>0</v>
          </cell>
          <cell r="F89">
            <v>0</v>
          </cell>
        </row>
        <row r="90">
          <cell r="A90">
            <v>44953</v>
          </cell>
          <cell r="B90">
            <v>0</v>
          </cell>
          <cell r="C90">
            <v>0</v>
          </cell>
          <cell r="E90">
            <v>0</v>
          </cell>
          <cell r="F90">
            <v>0</v>
          </cell>
        </row>
        <row r="91">
          <cell r="A91">
            <v>44956</v>
          </cell>
          <cell r="B91">
            <v>0</v>
          </cell>
          <cell r="C91">
            <v>0</v>
          </cell>
          <cell r="E91">
            <v>0</v>
          </cell>
          <cell r="F91">
            <v>0</v>
          </cell>
        </row>
        <row r="92">
          <cell r="A92">
            <v>44957</v>
          </cell>
          <cell r="B92">
            <v>0</v>
          </cell>
          <cell r="C92">
            <v>0</v>
          </cell>
          <cell r="E92">
            <v>0</v>
          </cell>
          <cell r="F92">
            <v>0</v>
          </cell>
        </row>
        <row r="93">
          <cell r="A93">
            <v>44958</v>
          </cell>
          <cell r="B93">
            <v>0</v>
          </cell>
          <cell r="C93">
            <v>0</v>
          </cell>
          <cell r="E93">
            <v>0</v>
          </cell>
          <cell r="F93">
            <v>0</v>
          </cell>
        </row>
        <row r="94">
          <cell r="A94">
            <v>44959</v>
          </cell>
          <cell r="B94">
            <v>0</v>
          </cell>
          <cell r="C94">
            <v>0</v>
          </cell>
          <cell r="E94">
            <v>0</v>
          </cell>
          <cell r="F94">
            <v>-27000</v>
          </cell>
        </row>
        <row r="95">
          <cell r="A95">
            <v>44960</v>
          </cell>
          <cell r="B95">
            <v>0</v>
          </cell>
          <cell r="C95">
            <v>0</v>
          </cell>
          <cell r="E95">
            <v>0</v>
          </cell>
          <cell r="F95">
            <v>0</v>
          </cell>
        </row>
        <row r="96">
          <cell r="A96">
            <v>44963</v>
          </cell>
          <cell r="B96">
            <v>0</v>
          </cell>
          <cell r="C96">
            <v>0</v>
          </cell>
          <cell r="E96">
            <v>0</v>
          </cell>
          <cell r="F96">
            <v>0</v>
          </cell>
        </row>
        <row r="97">
          <cell r="A97">
            <v>44964</v>
          </cell>
          <cell r="B97">
            <v>0</v>
          </cell>
          <cell r="C97">
            <v>0</v>
          </cell>
          <cell r="E97">
            <v>0</v>
          </cell>
          <cell r="F97">
            <v>0</v>
          </cell>
        </row>
        <row r="98">
          <cell r="A98">
            <v>44965</v>
          </cell>
          <cell r="B98">
            <v>0</v>
          </cell>
          <cell r="C98">
            <v>0</v>
          </cell>
          <cell r="E98">
            <v>0</v>
          </cell>
          <cell r="F98">
            <v>0</v>
          </cell>
        </row>
        <row r="99">
          <cell r="A99">
            <v>44966</v>
          </cell>
          <cell r="B99">
            <v>0</v>
          </cell>
          <cell r="C99">
            <v>0</v>
          </cell>
          <cell r="E99">
            <v>87000</v>
          </cell>
          <cell r="F99">
            <v>0</v>
          </cell>
        </row>
        <row r="100">
          <cell r="A100">
            <v>44967</v>
          </cell>
          <cell r="B100">
            <v>0</v>
          </cell>
          <cell r="C100">
            <v>0</v>
          </cell>
          <cell r="E100">
            <v>0</v>
          </cell>
          <cell r="F100">
            <v>0</v>
          </cell>
        </row>
        <row r="101">
          <cell r="A101">
            <v>44970</v>
          </cell>
          <cell r="B101">
            <v>0</v>
          </cell>
          <cell r="C101">
            <v>0</v>
          </cell>
          <cell r="E101">
            <v>0</v>
          </cell>
          <cell r="F101">
            <v>0</v>
          </cell>
        </row>
        <row r="102">
          <cell r="A102">
            <v>44971</v>
          </cell>
          <cell r="B102">
            <v>0</v>
          </cell>
          <cell r="C102">
            <v>0</v>
          </cell>
          <cell r="E102">
            <v>0</v>
          </cell>
          <cell r="F102">
            <v>0</v>
          </cell>
        </row>
        <row r="103">
          <cell r="A103">
            <v>44972</v>
          </cell>
          <cell r="B103">
            <v>0</v>
          </cell>
          <cell r="C103">
            <v>0</v>
          </cell>
          <cell r="E103">
            <v>0</v>
          </cell>
          <cell r="F103">
            <v>0</v>
          </cell>
        </row>
        <row r="104">
          <cell r="A104">
            <v>44973</v>
          </cell>
          <cell r="B104">
            <v>0</v>
          </cell>
          <cell r="C104">
            <v>0</v>
          </cell>
          <cell r="E104">
            <v>0</v>
          </cell>
          <cell r="F104">
            <v>0</v>
          </cell>
        </row>
        <row r="105">
          <cell r="A105">
            <v>44974</v>
          </cell>
          <cell r="B105">
            <v>0</v>
          </cell>
          <cell r="C105">
            <v>0</v>
          </cell>
          <cell r="E105">
            <v>0</v>
          </cell>
          <cell r="F105">
            <v>0</v>
          </cell>
        </row>
        <row r="106">
          <cell r="A106">
            <v>44977</v>
          </cell>
          <cell r="B106">
            <v>0</v>
          </cell>
          <cell r="C106">
            <v>0</v>
          </cell>
          <cell r="E106">
            <v>0</v>
          </cell>
          <cell r="F106">
            <v>0</v>
          </cell>
        </row>
        <row r="107">
          <cell r="A107">
            <v>44978</v>
          </cell>
          <cell r="B107">
            <v>0</v>
          </cell>
          <cell r="C107">
            <v>0</v>
          </cell>
          <cell r="E107">
            <v>0</v>
          </cell>
          <cell r="F107">
            <v>0</v>
          </cell>
        </row>
        <row r="108">
          <cell r="A108">
            <v>44979</v>
          </cell>
          <cell r="B108">
            <v>0</v>
          </cell>
          <cell r="C108">
            <v>0</v>
          </cell>
          <cell r="E108">
            <v>0</v>
          </cell>
          <cell r="F108">
            <v>0</v>
          </cell>
        </row>
        <row r="109">
          <cell r="A109">
            <v>44980</v>
          </cell>
          <cell r="B109">
            <v>0</v>
          </cell>
          <cell r="C109">
            <v>0</v>
          </cell>
          <cell r="E109">
            <v>0</v>
          </cell>
          <cell r="F109">
            <v>0</v>
          </cell>
        </row>
        <row r="110">
          <cell r="A110">
            <v>44981</v>
          </cell>
          <cell r="B110">
            <v>0</v>
          </cell>
          <cell r="C110">
            <v>0</v>
          </cell>
          <cell r="E110">
            <v>0</v>
          </cell>
          <cell r="F110">
            <v>0</v>
          </cell>
        </row>
        <row r="111">
          <cell r="A111">
            <v>44984</v>
          </cell>
          <cell r="B111">
            <v>0</v>
          </cell>
          <cell r="C111">
            <v>0</v>
          </cell>
          <cell r="E111">
            <v>0</v>
          </cell>
          <cell r="F111">
            <v>0</v>
          </cell>
        </row>
        <row r="112">
          <cell r="A112">
            <v>44985</v>
          </cell>
          <cell r="B112">
            <v>0</v>
          </cell>
          <cell r="C112">
            <v>0</v>
          </cell>
          <cell r="E112">
            <v>0</v>
          </cell>
          <cell r="F112">
            <v>0</v>
          </cell>
        </row>
        <row r="113">
          <cell r="A113">
            <v>44986</v>
          </cell>
          <cell r="B113">
            <v>0</v>
          </cell>
          <cell r="C113">
            <v>0</v>
          </cell>
          <cell r="E113">
            <v>0</v>
          </cell>
          <cell r="F113">
            <v>0</v>
          </cell>
        </row>
        <row r="114">
          <cell r="A114">
            <v>44987</v>
          </cell>
          <cell r="B114">
            <v>0</v>
          </cell>
          <cell r="C114">
            <v>0</v>
          </cell>
          <cell r="E114">
            <v>0</v>
          </cell>
          <cell r="F114">
            <v>-29000</v>
          </cell>
        </row>
        <row r="115">
          <cell r="A115">
            <v>44988</v>
          </cell>
          <cell r="B115">
            <v>0</v>
          </cell>
          <cell r="C115">
            <v>0</v>
          </cell>
          <cell r="E115">
            <v>0</v>
          </cell>
          <cell r="F115">
            <v>0</v>
          </cell>
        </row>
        <row r="116">
          <cell r="A116">
            <v>44991</v>
          </cell>
          <cell r="B116">
            <v>0</v>
          </cell>
          <cell r="C116">
            <v>0</v>
          </cell>
          <cell r="E116">
            <v>0</v>
          </cell>
          <cell r="F116">
            <v>0</v>
          </cell>
        </row>
        <row r="117">
          <cell r="A117">
            <v>44992</v>
          </cell>
          <cell r="B117">
            <v>200000</v>
          </cell>
          <cell r="C117">
            <v>0</v>
          </cell>
          <cell r="E117">
            <v>200000</v>
          </cell>
          <cell r="F117">
            <v>0</v>
          </cell>
        </row>
        <row r="118">
          <cell r="A118">
            <v>44993</v>
          </cell>
          <cell r="B118">
            <v>0</v>
          </cell>
          <cell r="C118">
            <v>0</v>
          </cell>
          <cell r="E118">
            <v>0</v>
          </cell>
          <cell r="F118">
            <v>0</v>
          </cell>
        </row>
        <row r="119">
          <cell r="A119">
            <v>44994</v>
          </cell>
          <cell r="B119">
            <v>0</v>
          </cell>
          <cell r="C119">
            <v>0</v>
          </cell>
          <cell r="E119">
            <v>0</v>
          </cell>
          <cell r="F119">
            <v>0</v>
          </cell>
        </row>
        <row r="120">
          <cell r="A120">
            <v>44995</v>
          </cell>
          <cell r="B120">
            <v>0</v>
          </cell>
          <cell r="C120">
            <v>0</v>
          </cell>
          <cell r="E120">
            <v>0</v>
          </cell>
          <cell r="F120">
            <v>0</v>
          </cell>
        </row>
        <row r="121">
          <cell r="A121">
            <v>44998</v>
          </cell>
          <cell r="B121">
            <v>0</v>
          </cell>
          <cell r="C121">
            <v>0</v>
          </cell>
          <cell r="E121">
            <v>0</v>
          </cell>
          <cell r="F121">
            <v>0</v>
          </cell>
        </row>
        <row r="122">
          <cell r="A122">
            <v>44999</v>
          </cell>
          <cell r="B122">
            <v>0</v>
          </cell>
          <cell r="C122">
            <v>0</v>
          </cell>
          <cell r="E122">
            <v>0</v>
          </cell>
          <cell r="F122">
            <v>0</v>
          </cell>
        </row>
        <row r="123">
          <cell r="A123">
            <v>45000</v>
          </cell>
          <cell r="B123">
            <v>0</v>
          </cell>
          <cell r="C123">
            <v>0</v>
          </cell>
          <cell r="E123">
            <v>0</v>
          </cell>
          <cell r="F123">
            <v>0</v>
          </cell>
        </row>
        <row r="124">
          <cell r="A124">
            <v>45001</v>
          </cell>
          <cell r="B124">
            <v>0</v>
          </cell>
          <cell r="C124">
            <v>0</v>
          </cell>
          <cell r="E124">
            <v>0</v>
          </cell>
          <cell r="F124">
            <v>0</v>
          </cell>
        </row>
        <row r="125">
          <cell r="A125">
            <v>45002</v>
          </cell>
          <cell r="B125">
            <v>0</v>
          </cell>
          <cell r="C125">
            <v>0</v>
          </cell>
          <cell r="E125">
            <v>0</v>
          </cell>
          <cell r="F125">
            <v>0</v>
          </cell>
        </row>
        <row r="126">
          <cell r="A126">
            <v>45005</v>
          </cell>
          <cell r="B126">
            <v>0</v>
          </cell>
          <cell r="C126">
            <v>0</v>
          </cell>
          <cell r="E126">
            <v>0</v>
          </cell>
          <cell r="F126">
            <v>0</v>
          </cell>
        </row>
        <row r="127">
          <cell r="A127">
            <v>45006</v>
          </cell>
          <cell r="B127">
            <v>0</v>
          </cell>
          <cell r="C127">
            <v>0</v>
          </cell>
          <cell r="E127">
            <v>0</v>
          </cell>
          <cell r="F127">
            <v>0</v>
          </cell>
        </row>
        <row r="128">
          <cell r="A128">
            <v>45007</v>
          </cell>
          <cell r="B128">
            <v>0</v>
          </cell>
          <cell r="C128">
            <v>0</v>
          </cell>
          <cell r="E128">
            <v>0</v>
          </cell>
          <cell r="F128">
            <v>0</v>
          </cell>
        </row>
        <row r="129">
          <cell r="A129">
            <v>45008</v>
          </cell>
          <cell r="B129">
            <v>0</v>
          </cell>
          <cell r="C129">
            <v>0</v>
          </cell>
          <cell r="E129">
            <v>0</v>
          </cell>
          <cell r="F129">
            <v>0</v>
          </cell>
        </row>
        <row r="130">
          <cell r="A130">
            <v>45009</v>
          </cell>
          <cell r="B130">
            <v>0</v>
          </cell>
          <cell r="C130">
            <v>0</v>
          </cell>
          <cell r="E130">
            <v>0</v>
          </cell>
          <cell r="F130">
            <v>0</v>
          </cell>
        </row>
        <row r="131">
          <cell r="A131">
            <v>45012</v>
          </cell>
          <cell r="B131">
            <v>0</v>
          </cell>
          <cell r="C131">
            <v>0</v>
          </cell>
          <cell r="E131">
            <v>0</v>
          </cell>
          <cell r="F131">
            <v>0</v>
          </cell>
        </row>
        <row r="132">
          <cell r="A132">
            <v>45013</v>
          </cell>
          <cell r="B132">
            <v>0</v>
          </cell>
          <cell r="C132">
            <v>0</v>
          </cell>
          <cell r="E132">
            <v>0</v>
          </cell>
          <cell r="F132">
            <v>0</v>
          </cell>
        </row>
        <row r="133">
          <cell r="A133">
            <v>45014</v>
          </cell>
          <cell r="B133">
            <v>0</v>
          </cell>
          <cell r="C133">
            <v>0</v>
          </cell>
          <cell r="E133">
            <v>0</v>
          </cell>
          <cell r="F133">
            <v>0</v>
          </cell>
        </row>
        <row r="134">
          <cell r="A134">
            <v>45015</v>
          </cell>
          <cell r="B134">
            <v>0</v>
          </cell>
          <cell r="C134">
            <v>0</v>
          </cell>
          <cell r="E134">
            <v>0</v>
          </cell>
          <cell r="F134">
            <v>0</v>
          </cell>
        </row>
        <row r="135">
          <cell r="A135">
            <v>45016</v>
          </cell>
          <cell r="B135">
            <v>0</v>
          </cell>
          <cell r="C135">
            <v>0</v>
          </cell>
          <cell r="E135">
            <v>0</v>
          </cell>
          <cell r="F135">
            <v>0</v>
          </cell>
        </row>
        <row r="136">
          <cell r="A136">
            <v>45019</v>
          </cell>
          <cell r="B136">
            <v>0</v>
          </cell>
          <cell r="C136">
            <v>0</v>
          </cell>
          <cell r="E136">
            <v>0</v>
          </cell>
          <cell r="F136">
            <v>0</v>
          </cell>
        </row>
        <row r="137">
          <cell r="A137">
            <v>45020</v>
          </cell>
          <cell r="B137">
            <v>0</v>
          </cell>
          <cell r="C137">
            <v>0</v>
          </cell>
          <cell r="E137">
            <v>0</v>
          </cell>
          <cell r="F137">
            <v>-34000</v>
          </cell>
        </row>
        <row r="138">
          <cell r="A138">
            <v>45021</v>
          </cell>
          <cell r="B138">
            <v>0</v>
          </cell>
          <cell r="C138">
            <v>0</v>
          </cell>
          <cell r="E138">
            <v>0</v>
          </cell>
          <cell r="F138">
            <v>0</v>
          </cell>
        </row>
        <row r="139">
          <cell r="A139">
            <v>45022</v>
          </cell>
          <cell r="B139">
            <v>0</v>
          </cell>
          <cell r="C139">
            <v>0</v>
          </cell>
          <cell r="E139">
            <v>0</v>
          </cell>
          <cell r="F139">
            <v>0</v>
          </cell>
        </row>
        <row r="140">
          <cell r="A140">
            <v>45023</v>
          </cell>
          <cell r="B140">
            <v>0</v>
          </cell>
          <cell r="C140">
            <v>0</v>
          </cell>
          <cell r="E140">
            <v>0</v>
          </cell>
          <cell r="F140">
            <v>0</v>
          </cell>
        </row>
        <row r="141">
          <cell r="A141">
            <v>45026</v>
          </cell>
          <cell r="B141">
            <v>0</v>
          </cell>
          <cell r="C141">
            <v>0</v>
          </cell>
          <cell r="E141">
            <v>0</v>
          </cell>
          <cell r="F141">
            <v>0</v>
          </cell>
        </row>
        <row r="142">
          <cell r="A142">
            <v>45027</v>
          </cell>
          <cell r="B142">
            <v>0</v>
          </cell>
          <cell r="C142">
            <v>0</v>
          </cell>
          <cell r="E142">
            <v>0</v>
          </cell>
          <cell r="F142">
            <v>0</v>
          </cell>
        </row>
        <row r="143">
          <cell r="A143">
            <v>45028</v>
          </cell>
          <cell r="B143">
            <v>0</v>
          </cell>
          <cell r="C143">
            <v>0</v>
          </cell>
          <cell r="E143">
            <v>0</v>
          </cell>
          <cell r="F143">
            <v>0</v>
          </cell>
        </row>
        <row r="144">
          <cell r="A144">
            <v>45029</v>
          </cell>
          <cell r="B144">
            <v>0</v>
          </cell>
          <cell r="C144">
            <v>0</v>
          </cell>
          <cell r="E144">
            <v>0</v>
          </cell>
          <cell r="F144">
            <v>0</v>
          </cell>
        </row>
        <row r="145">
          <cell r="A145">
            <v>45030</v>
          </cell>
          <cell r="B145">
            <v>0</v>
          </cell>
          <cell r="C145">
            <v>0</v>
          </cell>
          <cell r="E145">
            <v>0</v>
          </cell>
          <cell r="F145">
            <v>0</v>
          </cell>
        </row>
        <row r="146">
          <cell r="A146">
            <v>45033</v>
          </cell>
          <cell r="B146">
            <v>0</v>
          </cell>
          <cell r="C146">
            <v>0</v>
          </cell>
          <cell r="E146">
            <v>0</v>
          </cell>
          <cell r="F146">
            <v>0</v>
          </cell>
        </row>
        <row r="147">
          <cell r="A147">
            <v>45034</v>
          </cell>
          <cell r="B147">
            <v>0</v>
          </cell>
          <cell r="C147">
            <v>0</v>
          </cell>
          <cell r="E147">
            <v>0</v>
          </cell>
          <cell r="F147">
            <v>0</v>
          </cell>
        </row>
        <row r="148">
          <cell r="A148">
            <v>45035</v>
          </cell>
          <cell r="B148">
            <v>0</v>
          </cell>
          <cell r="C148">
            <v>0</v>
          </cell>
          <cell r="E148">
            <v>0</v>
          </cell>
          <cell r="F148">
            <v>0</v>
          </cell>
        </row>
        <row r="149">
          <cell r="A149">
            <v>45036</v>
          </cell>
          <cell r="B149">
            <v>0</v>
          </cell>
          <cell r="C149">
            <v>0</v>
          </cell>
          <cell r="E149">
            <v>0</v>
          </cell>
          <cell r="F149">
            <v>0</v>
          </cell>
        </row>
        <row r="150">
          <cell r="A150">
            <v>45037</v>
          </cell>
          <cell r="B150">
            <v>0</v>
          </cell>
          <cell r="C150">
            <v>0</v>
          </cell>
          <cell r="E150">
            <v>0</v>
          </cell>
          <cell r="F150">
            <v>0</v>
          </cell>
        </row>
        <row r="151">
          <cell r="A151">
            <v>45040</v>
          </cell>
          <cell r="B151">
            <v>0</v>
          </cell>
          <cell r="C151">
            <v>0</v>
          </cell>
          <cell r="E151">
            <v>0</v>
          </cell>
          <cell r="F151">
            <v>0</v>
          </cell>
        </row>
        <row r="152">
          <cell r="A152">
            <v>45041</v>
          </cell>
          <cell r="B152">
            <v>0</v>
          </cell>
          <cell r="C152">
            <v>0</v>
          </cell>
          <cell r="E152">
            <v>0</v>
          </cell>
          <cell r="F152">
            <v>0</v>
          </cell>
        </row>
        <row r="153">
          <cell r="A153">
            <v>45042</v>
          </cell>
          <cell r="B153">
            <v>0</v>
          </cell>
          <cell r="C153">
            <v>0</v>
          </cell>
          <cell r="E153">
            <v>0</v>
          </cell>
          <cell r="F153">
            <v>0</v>
          </cell>
        </row>
        <row r="154">
          <cell r="A154">
            <v>45043</v>
          </cell>
          <cell r="B154">
            <v>0</v>
          </cell>
          <cell r="C154">
            <v>0</v>
          </cell>
          <cell r="E154">
            <v>0</v>
          </cell>
          <cell r="F154">
            <v>0</v>
          </cell>
        </row>
        <row r="155">
          <cell r="A155">
            <v>45044</v>
          </cell>
          <cell r="B155">
            <v>0</v>
          </cell>
          <cell r="C155">
            <v>0</v>
          </cell>
          <cell r="E155">
            <v>0</v>
          </cell>
          <cell r="F155">
            <v>0</v>
          </cell>
        </row>
        <row r="156">
          <cell r="A156">
            <v>45047</v>
          </cell>
          <cell r="B156">
            <v>0</v>
          </cell>
          <cell r="C156">
            <v>0</v>
          </cell>
          <cell r="E156">
            <v>0</v>
          </cell>
          <cell r="F156">
            <v>0</v>
          </cell>
        </row>
        <row r="157">
          <cell r="A157">
            <v>45048</v>
          </cell>
          <cell r="B157">
            <v>0</v>
          </cell>
          <cell r="C157">
            <v>0</v>
          </cell>
          <cell r="E157">
            <v>0</v>
          </cell>
          <cell r="F157">
            <v>0</v>
          </cell>
        </row>
        <row r="158">
          <cell r="A158">
            <v>45049</v>
          </cell>
          <cell r="B158">
            <v>0</v>
          </cell>
          <cell r="C158">
            <v>0</v>
          </cell>
          <cell r="E158">
            <v>0</v>
          </cell>
          <cell r="F158">
            <v>-27000</v>
          </cell>
        </row>
        <row r="159">
          <cell r="A159">
            <v>45050</v>
          </cell>
          <cell r="B159">
            <v>0</v>
          </cell>
          <cell r="C159">
            <v>0</v>
          </cell>
          <cell r="E159">
            <v>0</v>
          </cell>
          <cell r="F159">
            <v>0</v>
          </cell>
        </row>
        <row r="160">
          <cell r="A160">
            <v>45051</v>
          </cell>
          <cell r="B160">
            <v>0</v>
          </cell>
          <cell r="C160">
            <v>0</v>
          </cell>
          <cell r="E160">
            <v>0</v>
          </cell>
          <cell r="F160">
            <v>0</v>
          </cell>
        </row>
        <row r="161">
          <cell r="A161">
            <v>45054</v>
          </cell>
          <cell r="B161">
            <v>0</v>
          </cell>
          <cell r="C161">
            <v>0</v>
          </cell>
          <cell r="E161">
            <v>0</v>
          </cell>
          <cell r="F161">
            <v>0</v>
          </cell>
        </row>
        <row r="162">
          <cell r="A162">
            <v>45055</v>
          </cell>
          <cell r="B162">
            <v>0</v>
          </cell>
          <cell r="C162">
            <v>0</v>
          </cell>
          <cell r="E162">
            <v>0</v>
          </cell>
          <cell r="F162">
            <v>0</v>
          </cell>
        </row>
        <row r="163">
          <cell r="A163">
            <v>45056</v>
          </cell>
          <cell r="B163">
            <v>0</v>
          </cell>
          <cell r="C163">
            <v>0</v>
          </cell>
          <cell r="E163">
            <v>0</v>
          </cell>
          <cell r="F163">
            <v>0</v>
          </cell>
        </row>
        <row r="164">
          <cell r="A164">
            <v>45057</v>
          </cell>
          <cell r="B164">
            <v>0</v>
          </cell>
          <cell r="C164">
            <v>0</v>
          </cell>
          <cell r="E164">
            <v>0</v>
          </cell>
          <cell r="F164">
            <v>0</v>
          </cell>
        </row>
        <row r="165">
          <cell r="A165">
            <v>45058</v>
          </cell>
          <cell r="B165">
            <v>0</v>
          </cell>
          <cell r="C165">
            <v>0</v>
          </cell>
          <cell r="E165">
            <v>0</v>
          </cell>
          <cell r="F165">
            <v>0</v>
          </cell>
        </row>
        <row r="166">
          <cell r="A166">
            <v>45061</v>
          </cell>
          <cell r="B166">
            <v>0</v>
          </cell>
          <cell r="C166">
            <v>0</v>
          </cell>
          <cell r="E166">
            <v>0</v>
          </cell>
          <cell r="F166">
            <v>0</v>
          </cell>
        </row>
        <row r="167">
          <cell r="A167">
            <v>45062</v>
          </cell>
          <cell r="B167">
            <v>0</v>
          </cell>
          <cell r="C167">
            <v>0</v>
          </cell>
          <cell r="E167">
            <v>0</v>
          </cell>
          <cell r="F167">
            <v>0</v>
          </cell>
        </row>
        <row r="168">
          <cell r="A168">
            <v>45063</v>
          </cell>
          <cell r="B168">
            <v>0</v>
          </cell>
          <cell r="C168">
            <v>0</v>
          </cell>
          <cell r="E168">
            <v>0</v>
          </cell>
          <cell r="F168">
            <v>0</v>
          </cell>
        </row>
        <row r="169">
          <cell r="A169">
            <v>45064</v>
          </cell>
          <cell r="B169">
            <v>0</v>
          </cell>
          <cell r="C169">
            <v>0</v>
          </cell>
          <cell r="E169">
            <v>0</v>
          </cell>
          <cell r="F169">
            <v>0</v>
          </cell>
        </row>
        <row r="170">
          <cell r="A170">
            <v>45065</v>
          </cell>
          <cell r="B170">
            <v>0</v>
          </cell>
          <cell r="C170">
            <v>0</v>
          </cell>
          <cell r="E170">
            <v>0</v>
          </cell>
          <cell r="F170">
            <v>0</v>
          </cell>
        </row>
        <row r="171">
          <cell r="A171">
            <v>45068</v>
          </cell>
          <cell r="B171">
            <v>0</v>
          </cell>
          <cell r="C171">
            <v>0</v>
          </cell>
          <cell r="E171">
            <v>0</v>
          </cell>
          <cell r="F171">
            <v>0</v>
          </cell>
        </row>
        <row r="172">
          <cell r="A172">
            <v>45069</v>
          </cell>
          <cell r="B172">
            <v>0</v>
          </cell>
          <cell r="C172">
            <v>0</v>
          </cell>
          <cell r="E172">
            <v>0</v>
          </cell>
          <cell r="F172">
            <v>0</v>
          </cell>
        </row>
        <row r="173">
          <cell r="A173">
            <v>45070</v>
          </cell>
          <cell r="B173">
            <v>0</v>
          </cell>
          <cell r="C173">
            <v>0</v>
          </cell>
          <cell r="E173">
            <v>0</v>
          </cell>
          <cell r="F173">
            <v>0</v>
          </cell>
        </row>
        <row r="174">
          <cell r="A174">
            <v>45071</v>
          </cell>
          <cell r="B174">
            <v>0</v>
          </cell>
          <cell r="C174">
            <v>0</v>
          </cell>
          <cell r="E174">
            <v>0</v>
          </cell>
          <cell r="F174">
            <v>0</v>
          </cell>
        </row>
        <row r="175">
          <cell r="A175">
            <v>45072</v>
          </cell>
          <cell r="B175">
            <v>0</v>
          </cell>
          <cell r="C175">
            <v>0</v>
          </cell>
          <cell r="E175">
            <v>0</v>
          </cell>
          <cell r="F175">
            <v>0</v>
          </cell>
        </row>
        <row r="176">
          <cell r="A176">
            <v>45075</v>
          </cell>
          <cell r="B176">
            <v>0</v>
          </cell>
          <cell r="C176">
            <v>0</v>
          </cell>
          <cell r="E176">
            <v>0</v>
          </cell>
          <cell r="F176">
            <v>0</v>
          </cell>
        </row>
        <row r="177">
          <cell r="A177">
            <v>45076</v>
          </cell>
          <cell r="B177">
            <v>0</v>
          </cell>
          <cell r="C177">
            <v>0</v>
          </cell>
          <cell r="E177">
            <v>0</v>
          </cell>
          <cell r="F177">
            <v>0</v>
          </cell>
        </row>
        <row r="178">
          <cell r="A178">
            <v>45077</v>
          </cell>
          <cell r="B178">
            <v>0</v>
          </cell>
          <cell r="C178">
            <v>0</v>
          </cell>
          <cell r="E178">
            <v>0</v>
          </cell>
          <cell r="F178">
            <v>0</v>
          </cell>
        </row>
        <row r="179">
          <cell r="A179">
            <v>45078</v>
          </cell>
          <cell r="B179">
            <v>0</v>
          </cell>
          <cell r="C179">
            <v>0</v>
          </cell>
          <cell r="E179">
            <v>50000</v>
          </cell>
          <cell r="F179">
            <v>0</v>
          </cell>
        </row>
        <row r="180">
          <cell r="A180">
            <v>45079</v>
          </cell>
          <cell r="B180">
            <v>0</v>
          </cell>
          <cell r="C180">
            <v>0</v>
          </cell>
          <cell r="E180">
            <v>0</v>
          </cell>
          <cell r="F180">
            <v>-33000</v>
          </cell>
        </row>
        <row r="181">
          <cell r="A181">
            <v>45082</v>
          </cell>
          <cell r="B181">
            <v>0</v>
          </cell>
          <cell r="C181">
            <v>0</v>
          </cell>
          <cell r="E181">
            <v>0</v>
          </cell>
          <cell r="F181">
            <v>0</v>
          </cell>
        </row>
        <row r="182">
          <cell r="A182">
            <v>45083</v>
          </cell>
          <cell r="B182">
            <v>0</v>
          </cell>
          <cell r="C182">
            <v>0</v>
          </cell>
          <cell r="E182">
            <v>0</v>
          </cell>
          <cell r="F182">
            <v>0</v>
          </cell>
        </row>
        <row r="183">
          <cell r="A183">
            <v>45084</v>
          </cell>
          <cell r="B183">
            <v>0</v>
          </cell>
          <cell r="C183">
            <v>0</v>
          </cell>
          <cell r="E183">
            <v>0</v>
          </cell>
          <cell r="F183">
            <v>0</v>
          </cell>
        </row>
        <row r="184">
          <cell r="A184">
            <v>45085</v>
          </cell>
          <cell r="B184">
            <v>0</v>
          </cell>
          <cell r="C184">
            <v>0</v>
          </cell>
          <cell r="E184">
            <v>0</v>
          </cell>
          <cell r="F184">
            <v>0</v>
          </cell>
        </row>
        <row r="185">
          <cell r="A185">
            <v>45086</v>
          </cell>
          <cell r="B185">
            <v>0</v>
          </cell>
          <cell r="C185">
            <v>0</v>
          </cell>
          <cell r="E185">
            <v>0</v>
          </cell>
          <cell r="F185">
            <v>0</v>
          </cell>
        </row>
        <row r="186">
          <cell r="A186">
            <v>45089</v>
          </cell>
          <cell r="B186">
            <v>0</v>
          </cell>
          <cell r="C186">
            <v>0</v>
          </cell>
          <cell r="E186">
            <v>0</v>
          </cell>
          <cell r="F186">
            <v>0</v>
          </cell>
        </row>
        <row r="187">
          <cell r="A187">
            <v>45090</v>
          </cell>
          <cell r="B187">
            <v>0</v>
          </cell>
          <cell r="C187">
            <v>0</v>
          </cell>
          <cell r="E187">
            <v>0</v>
          </cell>
          <cell r="F187">
            <v>0</v>
          </cell>
        </row>
        <row r="188">
          <cell r="A188">
            <v>45091</v>
          </cell>
          <cell r="B188">
            <v>0</v>
          </cell>
          <cell r="C188">
            <v>0</v>
          </cell>
          <cell r="E188">
            <v>0</v>
          </cell>
          <cell r="F188">
            <v>0</v>
          </cell>
        </row>
        <row r="189">
          <cell r="A189">
            <v>45092</v>
          </cell>
          <cell r="B189">
            <v>0</v>
          </cell>
          <cell r="C189">
            <v>0</v>
          </cell>
          <cell r="E189">
            <v>0</v>
          </cell>
          <cell r="F189">
            <v>0</v>
          </cell>
        </row>
        <row r="190">
          <cell r="A190">
            <v>45093</v>
          </cell>
          <cell r="B190">
            <v>0</v>
          </cell>
          <cell r="C190">
            <v>0</v>
          </cell>
          <cell r="E190">
            <v>0</v>
          </cell>
          <cell r="F190">
            <v>0</v>
          </cell>
        </row>
        <row r="191">
          <cell r="A191">
            <v>45096</v>
          </cell>
          <cell r="B191">
            <v>0</v>
          </cell>
          <cell r="C191">
            <v>0</v>
          </cell>
          <cell r="E191">
            <v>0</v>
          </cell>
          <cell r="F191">
            <v>0</v>
          </cell>
        </row>
        <row r="192">
          <cell r="A192">
            <v>45097</v>
          </cell>
          <cell r="B192">
            <v>0</v>
          </cell>
          <cell r="C192">
            <v>0</v>
          </cell>
          <cell r="E192">
            <v>0</v>
          </cell>
          <cell r="F192">
            <v>0</v>
          </cell>
        </row>
        <row r="193">
          <cell r="A193">
            <v>45098</v>
          </cell>
          <cell r="B193">
            <v>0</v>
          </cell>
          <cell r="C193">
            <v>0</v>
          </cell>
          <cell r="E193">
            <v>0</v>
          </cell>
          <cell r="F193">
            <v>0</v>
          </cell>
        </row>
        <row r="194">
          <cell r="A194">
            <v>45099</v>
          </cell>
          <cell r="B194">
            <v>0</v>
          </cell>
          <cell r="C194">
            <v>0</v>
          </cell>
          <cell r="E194">
            <v>0</v>
          </cell>
          <cell r="F194">
            <v>0</v>
          </cell>
        </row>
        <row r="195">
          <cell r="A195">
            <v>45100</v>
          </cell>
          <cell r="B195">
            <v>0</v>
          </cell>
          <cell r="C195">
            <v>0</v>
          </cell>
          <cell r="E195">
            <v>0</v>
          </cell>
          <cell r="F195">
            <v>0</v>
          </cell>
        </row>
        <row r="196">
          <cell r="A196">
            <v>45103</v>
          </cell>
          <cell r="B196">
            <v>0</v>
          </cell>
          <cell r="C196">
            <v>0</v>
          </cell>
          <cell r="E196">
            <v>0</v>
          </cell>
          <cell r="F196">
            <v>0</v>
          </cell>
        </row>
        <row r="197">
          <cell r="A197">
            <v>45104</v>
          </cell>
          <cell r="B197">
            <v>0</v>
          </cell>
          <cell r="C197">
            <v>0</v>
          </cell>
          <cell r="E197">
            <v>0</v>
          </cell>
          <cell r="F197">
            <v>0</v>
          </cell>
        </row>
        <row r="198">
          <cell r="A198">
            <v>45105</v>
          </cell>
          <cell r="B198">
            <v>0</v>
          </cell>
          <cell r="C198">
            <v>0</v>
          </cell>
          <cell r="E198">
            <v>0</v>
          </cell>
          <cell r="F198">
            <v>0</v>
          </cell>
        </row>
        <row r="199">
          <cell r="A199">
            <v>45106</v>
          </cell>
          <cell r="B199">
            <v>0</v>
          </cell>
          <cell r="C199">
            <v>0</v>
          </cell>
          <cell r="E199">
            <v>0</v>
          </cell>
          <cell r="F199">
            <v>0</v>
          </cell>
        </row>
        <row r="200">
          <cell r="A200">
            <v>45107</v>
          </cell>
          <cell r="B200">
            <v>0</v>
          </cell>
          <cell r="C200">
            <v>0</v>
          </cell>
          <cell r="E200">
            <v>0</v>
          </cell>
          <cell r="F200">
            <v>0</v>
          </cell>
        </row>
        <row r="201">
          <cell r="A201">
            <v>45110</v>
          </cell>
          <cell r="B201">
            <v>0</v>
          </cell>
          <cell r="C201">
            <v>0</v>
          </cell>
          <cell r="E201">
            <v>0</v>
          </cell>
          <cell r="F201">
            <v>0</v>
          </cell>
        </row>
        <row r="202">
          <cell r="A202">
            <v>45111</v>
          </cell>
          <cell r="B202">
            <v>0</v>
          </cell>
          <cell r="C202">
            <v>0</v>
          </cell>
          <cell r="E202">
            <v>0</v>
          </cell>
          <cell r="F202">
            <v>-36000</v>
          </cell>
        </row>
        <row r="203">
          <cell r="A203">
            <v>45112</v>
          </cell>
          <cell r="B203">
            <v>0</v>
          </cell>
          <cell r="C203">
            <v>0</v>
          </cell>
          <cell r="E203">
            <v>0</v>
          </cell>
          <cell r="F203">
            <v>0</v>
          </cell>
        </row>
        <row r="204">
          <cell r="A204">
            <v>45113</v>
          </cell>
          <cell r="B204">
            <v>0</v>
          </cell>
          <cell r="C204">
            <v>0</v>
          </cell>
          <cell r="E204">
            <v>0</v>
          </cell>
          <cell r="F204">
            <v>0</v>
          </cell>
        </row>
        <row r="205">
          <cell r="A205">
            <v>45114</v>
          </cell>
          <cell r="B205">
            <v>0</v>
          </cell>
          <cell r="C205">
            <v>0</v>
          </cell>
          <cell r="E205">
            <v>0</v>
          </cell>
          <cell r="F205">
            <v>0</v>
          </cell>
        </row>
        <row r="206">
          <cell r="A206">
            <v>45117</v>
          </cell>
          <cell r="B206">
            <v>0</v>
          </cell>
          <cell r="C206">
            <v>0</v>
          </cell>
          <cell r="E206">
            <v>0</v>
          </cell>
          <cell r="F206">
            <v>0</v>
          </cell>
        </row>
        <row r="207">
          <cell r="A207">
            <v>45118</v>
          </cell>
          <cell r="B207">
            <v>0</v>
          </cell>
          <cell r="C207">
            <v>0</v>
          </cell>
          <cell r="E207">
            <v>0</v>
          </cell>
          <cell r="F207">
            <v>0</v>
          </cell>
        </row>
        <row r="208">
          <cell r="A208">
            <v>45119</v>
          </cell>
          <cell r="B208">
            <v>0</v>
          </cell>
          <cell r="C208">
            <v>0</v>
          </cell>
          <cell r="E208">
            <v>0</v>
          </cell>
          <cell r="F208">
            <v>0</v>
          </cell>
        </row>
        <row r="209">
          <cell r="A209">
            <v>45120</v>
          </cell>
          <cell r="B209">
            <v>100000</v>
          </cell>
          <cell r="C209">
            <v>0</v>
          </cell>
          <cell r="E209">
            <v>150000</v>
          </cell>
          <cell r="F209">
            <v>0</v>
          </cell>
        </row>
        <row r="210">
          <cell r="A210">
            <v>45121</v>
          </cell>
          <cell r="B210">
            <v>0</v>
          </cell>
          <cell r="C210">
            <v>0</v>
          </cell>
          <cell r="E210">
            <v>0</v>
          </cell>
          <cell r="F210">
            <v>0</v>
          </cell>
        </row>
        <row r="211">
          <cell r="A211">
            <v>45124</v>
          </cell>
          <cell r="B211">
            <v>0</v>
          </cell>
          <cell r="C211">
            <v>0</v>
          </cell>
          <cell r="E211">
            <v>0</v>
          </cell>
          <cell r="F211">
            <v>0</v>
          </cell>
        </row>
        <row r="212">
          <cell r="A212">
            <v>45125</v>
          </cell>
          <cell r="B212">
            <v>0</v>
          </cell>
          <cell r="C212">
            <v>0</v>
          </cell>
          <cell r="E212">
            <v>0</v>
          </cell>
          <cell r="F212">
            <v>0</v>
          </cell>
        </row>
        <row r="213">
          <cell r="A213">
            <v>45126</v>
          </cell>
          <cell r="B213">
            <v>0</v>
          </cell>
          <cell r="C213">
            <v>0</v>
          </cell>
          <cell r="E213">
            <v>0</v>
          </cell>
          <cell r="F213">
            <v>0</v>
          </cell>
        </row>
        <row r="214">
          <cell r="A214">
            <v>45127</v>
          </cell>
          <cell r="B214">
            <v>0</v>
          </cell>
          <cell r="C214">
            <v>0</v>
          </cell>
          <cell r="E214">
            <v>0</v>
          </cell>
          <cell r="F214">
            <v>0</v>
          </cell>
        </row>
        <row r="215">
          <cell r="A215">
            <v>45128</v>
          </cell>
          <cell r="B215">
            <v>0</v>
          </cell>
          <cell r="C215">
            <v>0</v>
          </cell>
          <cell r="E215">
            <v>0</v>
          </cell>
          <cell r="F215">
            <v>0</v>
          </cell>
        </row>
        <row r="216">
          <cell r="A216">
            <v>45131</v>
          </cell>
          <cell r="B216">
            <v>0</v>
          </cell>
          <cell r="C216">
            <v>0</v>
          </cell>
          <cell r="E216">
            <v>0</v>
          </cell>
          <cell r="F216">
            <v>0</v>
          </cell>
        </row>
        <row r="217">
          <cell r="A217">
            <v>45132</v>
          </cell>
          <cell r="B217">
            <v>0</v>
          </cell>
          <cell r="C217">
            <v>0</v>
          </cell>
          <cell r="E217">
            <v>0</v>
          </cell>
          <cell r="F217">
            <v>0</v>
          </cell>
        </row>
        <row r="218">
          <cell r="A218">
            <v>45133</v>
          </cell>
          <cell r="B218">
            <v>0</v>
          </cell>
          <cell r="C218">
            <v>0</v>
          </cell>
          <cell r="E218">
            <v>0</v>
          </cell>
          <cell r="F218">
            <v>0</v>
          </cell>
        </row>
        <row r="219">
          <cell r="A219">
            <v>45134</v>
          </cell>
          <cell r="B219">
            <v>0</v>
          </cell>
          <cell r="C219">
            <v>0</v>
          </cell>
          <cell r="E219">
            <v>0</v>
          </cell>
          <cell r="F219">
            <v>0</v>
          </cell>
        </row>
        <row r="220">
          <cell r="A220">
            <v>45135</v>
          </cell>
          <cell r="B220">
            <v>0</v>
          </cell>
          <cell r="C220">
            <v>0</v>
          </cell>
          <cell r="E220">
            <v>0</v>
          </cell>
          <cell r="F220">
            <v>0</v>
          </cell>
        </row>
        <row r="221">
          <cell r="A221">
            <v>45138</v>
          </cell>
          <cell r="B221">
            <v>0</v>
          </cell>
          <cell r="C221">
            <v>0</v>
          </cell>
          <cell r="E221">
            <v>0</v>
          </cell>
          <cell r="F221">
            <v>0</v>
          </cell>
        </row>
        <row r="222">
          <cell r="A222">
            <v>45139</v>
          </cell>
          <cell r="B222">
            <v>0</v>
          </cell>
          <cell r="C222">
            <v>0</v>
          </cell>
          <cell r="E222">
            <v>0</v>
          </cell>
          <cell r="F222">
            <v>0</v>
          </cell>
        </row>
        <row r="223">
          <cell r="A223">
            <v>45140</v>
          </cell>
          <cell r="B223">
            <v>0</v>
          </cell>
          <cell r="C223">
            <v>0</v>
          </cell>
          <cell r="E223">
            <v>0</v>
          </cell>
          <cell r="F223">
            <v>-37000</v>
          </cell>
        </row>
        <row r="224">
          <cell r="A224">
            <v>45141</v>
          </cell>
          <cell r="B224">
            <v>0</v>
          </cell>
          <cell r="C224">
            <v>0</v>
          </cell>
          <cell r="E224">
            <v>0</v>
          </cell>
          <cell r="F224">
            <v>0</v>
          </cell>
        </row>
        <row r="225">
          <cell r="A225">
            <v>45142</v>
          </cell>
          <cell r="B225">
            <v>0</v>
          </cell>
          <cell r="C225">
            <v>0</v>
          </cell>
          <cell r="E225">
            <v>0</v>
          </cell>
          <cell r="F225">
            <v>0</v>
          </cell>
        </row>
        <row r="226">
          <cell r="A226">
            <v>45145</v>
          </cell>
          <cell r="B226">
            <v>0</v>
          </cell>
          <cell r="C226">
            <v>0</v>
          </cell>
          <cell r="E226">
            <v>0</v>
          </cell>
          <cell r="F226">
            <v>0</v>
          </cell>
        </row>
        <row r="227">
          <cell r="A227">
            <v>45146</v>
          </cell>
          <cell r="B227">
            <v>0</v>
          </cell>
          <cell r="C227">
            <v>0</v>
          </cell>
          <cell r="E227">
            <v>0</v>
          </cell>
          <cell r="F227">
            <v>0</v>
          </cell>
        </row>
        <row r="228">
          <cell r="A228">
            <v>45147</v>
          </cell>
          <cell r="B228">
            <v>0</v>
          </cell>
          <cell r="C228">
            <v>0</v>
          </cell>
          <cell r="E228">
            <v>0</v>
          </cell>
          <cell r="F228">
            <v>0</v>
          </cell>
        </row>
        <row r="229">
          <cell r="A229">
            <v>45148</v>
          </cell>
          <cell r="B229">
            <v>0</v>
          </cell>
          <cell r="C229">
            <v>0</v>
          </cell>
          <cell r="E229">
            <v>0</v>
          </cell>
          <cell r="F229">
            <v>0</v>
          </cell>
        </row>
        <row r="230">
          <cell r="A230">
            <v>45149</v>
          </cell>
          <cell r="B230">
            <v>0</v>
          </cell>
          <cell r="C230">
            <v>0</v>
          </cell>
          <cell r="E230">
            <v>0</v>
          </cell>
          <cell r="F230">
            <v>0</v>
          </cell>
        </row>
        <row r="231">
          <cell r="A231">
            <v>45152</v>
          </cell>
          <cell r="B231">
            <v>100000</v>
          </cell>
          <cell r="C231">
            <v>0</v>
          </cell>
          <cell r="E231">
            <v>100000</v>
          </cell>
          <cell r="F231">
            <v>0</v>
          </cell>
        </row>
        <row r="232">
          <cell r="A232">
            <v>45153</v>
          </cell>
          <cell r="B232">
            <v>0</v>
          </cell>
          <cell r="C232">
            <v>0</v>
          </cell>
          <cell r="E232">
            <v>0</v>
          </cell>
          <cell r="F232">
            <v>0</v>
          </cell>
        </row>
        <row r="233">
          <cell r="A233">
            <v>45154</v>
          </cell>
          <cell r="B233">
            <v>0</v>
          </cell>
          <cell r="C233">
            <v>0</v>
          </cell>
          <cell r="E233">
            <v>0</v>
          </cell>
          <cell r="F233">
            <v>0</v>
          </cell>
        </row>
        <row r="234">
          <cell r="A234">
            <v>45155</v>
          </cell>
          <cell r="B234">
            <v>0</v>
          </cell>
          <cell r="C234">
            <v>0</v>
          </cell>
          <cell r="E234">
            <v>0</v>
          </cell>
          <cell r="F234">
            <v>0</v>
          </cell>
        </row>
        <row r="235">
          <cell r="A235">
            <v>45156</v>
          </cell>
          <cell r="B235">
            <v>0</v>
          </cell>
          <cell r="C235">
            <v>0</v>
          </cell>
          <cell r="E235">
            <v>0</v>
          </cell>
          <cell r="F235">
            <v>0</v>
          </cell>
        </row>
        <row r="236">
          <cell r="A236">
            <v>45159</v>
          </cell>
          <cell r="B236">
            <v>0</v>
          </cell>
          <cell r="C236">
            <v>0</v>
          </cell>
          <cell r="E236">
            <v>0</v>
          </cell>
          <cell r="F236">
            <v>0</v>
          </cell>
        </row>
        <row r="237">
          <cell r="A237">
            <v>45160</v>
          </cell>
          <cell r="B237">
            <v>0</v>
          </cell>
          <cell r="C237">
            <v>0</v>
          </cell>
          <cell r="E237">
            <v>0</v>
          </cell>
          <cell r="F237">
            <v>0</v>
          </cell>
        </row>
        <row r="238">
          <cell r="A238">
            <v>45161</v>
          </cell>
          <cell r="B238">
            <v>0</v>
          </cell>
          <cell r="C238">
            <v>0</v>
          </cell>
          <cell r="E238">
            <v>0</v>
          </cell>
          <cell r="F238">
            <v>0</v>
          </cell>
        </row>
        <row r="239">
          <cell r="A239">
            <v>45162</v>
          </cell>
          <cell r="B239">
            <v>0</v>
          </cell>
          <cell r="C239">
            <v>0</v>
          </cell>
          <cell r="E239">
            <v>0</v>
          </cell>
          <cell r="F239">
            <v>0</v>
          </cell>
        </row>
        <row r="240">
          <cell r="A240">
            <v>45163</v>
          </cell>
          <cell r="B240">
            <v>0</v>
          </cell>
          <cell r="C240">
            <v>0</v>
          </cell>
          <cell r="E240">
            <v>0</v>
          </cell>
          <cell r="F240">
            <v>0</v>
          </cell>
        </row>
        <row r="241">
          <cell r="A241">
            <v>45166</v>
          </cell>
          <cell r="B241">
            <v>0</v>
          </cell>
          <cell r="C241">
            <v>0</v>
          </cell>
          <cell r="E241">
            <v>0</v>
          </cell>
          <cell r="F241">
            <v>0</v>
          </cell>
        </row>
        <row r="242">
          <cell r="A242">
            <v>45167</v>
          </cell>
          <cell r="B242">
            <v>0</v>
          </cell>
          <cell r="C242">
            <v>0</v>
          </cell>
          <cell r="E242">
            <v>0</v>
          </cell>
          <cell r="F242">
            <v>0</v>
          </cell>
        </row>
        <row r="243">
          <cell r="A243">
            <v>45168</v>
          </cell>
          <cell r="B243">
            <v>0</v>
          </cell>
          <cell r="C243">
            <v>0</v>
          </cell>
          <cell r="E243">
            <v>0</v>
          </cell>
          <cell r="F243">
            <v>0</v>
          </cell>
        </row>
        <row r="244">
          <cell r="A244">
            <v>45169</v>
          </cell>
          <cell r="B244">
            <v>0</v>
          </cell>
          <cell r="C244">
            <v>0</v>
          </cell>
          <cell r="E244">
            <v>0</v>
          </cell>
          <cell r="F244">
            <v>0</v>
          </cell>
        </row>
        <row r="245">
          <cell r="A245">
            <v>45170</v>
          </cell>
          <cell r="B245">
            <v>0</v>
          </cell>
          <cell r="C245">
            <v>0</v>
          </cell>
          <cell r="E245">
            <v>0</v>
          </cell>
          <cell r="F245">
            <v>0</v>
          </cell>
        </row>
        <row r="246">
          <cell r="A246">
            <v>45173</v>
          </cell>
          <cell r="B246">
            <v>0</v>
          </cell>
          <cell r="C246">
            <v>0</v>
          </cell>
          <cell r="E246">
            <v>0</v>
          </cell>
          <cell r="F246">
            <v>-40500</v>
          </cell>
        </row>
        <row r="247">
          <cell r="A247">
            <v>45174</v>
          </cell>
          <cell r="B247">
            <v>0</v>
          </cell>
          <cell r="C247">
            <v>0</v>
          </cell>
          <cell r="E247">
            <v>0</v>
          </cell>
          <cell r="F247">
            <v>0</v>
          </cell>
        </row>
        <row r="248">
          <cell r="A248">
            <v>45175</v>
          </cell>
          <cell r="B248">
            <v>0</v>
          </cell>
          <cell r="C248">
            <v>0</v>
          </cell>
          <cell r="E248">
            <v>0</v>
          </cell>
          <cell r="F248">
            <v>0</v>
          </cell>
        </row>
        <row r="249">
          <cell r="A249">
            <v>45176</v>
          </cell>
          <cell r="B249">
            <v>0</v>
          </cell>
          <cell r="C249">
            <v>0</v>
          </cell>
          <cell r="E249">
            <v>0</v>
          </cell>
          <cell r="F249">
            <v>0</v>
          </cell>
        </row>
        <row r="250">
          <cell r="A250">
            <v>45177</v>
          </cell>
          <cell r="B250">
            <v>0</v>
          </cell>
          <cell r="C250">
            <v>0</v>
          </cell>
          <cell r="E250">
            <v>0</v>
          </cell>
          <cell r="F250">
            <v>0</v>
          </cell>
        </row>
        <row r="251">
          <cell r="A251">
            <v>45180</v>
          </cell>
          <cell r="B251">
            <v>0</v>
          </cell>
          <cell r="C251">
            <v>0</v>
          </cell>
          <cell r="E251">
            <v>0</v>
          </cell>
          <cell r="F251">
            <v>0</v>
          </cell>
        </row>
        <row r="252">
          <cell r="A252">
            <v>45181</v>
          </cell>
          <cell r="B252">
            <v>0</v>
          </cell>
          <cell r="C252">
            <v>0</v>
          </cell>
          <cell r="E252">
            <v>0</v>
          </cell>
          <cell r="F252">
            <v>0</v>
          </cell>
        </row>
        <row r="253">
          <cell r="A253">
            <v>45182</v>
          </cell>
          <cell r="B253">
            <v>0</v>
          </cell>
          <cell r="C253">
            <v>0</v>
          </cell>
          <cell r="E253">
            <v>0</v>
          </cell>
          <cell r="F253">
            <v>0</v>
          </cell>
        </row>
        <row r="254">
          <cell r="A254">
            <v>45183</v>
          </cell>
          <cell r="B254">
            <v>0</v>
          </cell>
          <cell r="C254">
            <v>0</v>
          </cell>
          <cell r="E254">
            <v>0</v>
          </cell>
          <cell r="F254">
            <v>0</v>
          </cell>
        </row>
        <row r="255">
          <cell r="A255">
            <v>45184</v>
          </cell>
          <cell r="B255">
            <v>0</v>
          </cell>
          <cell r="C255">
            <v>0</v>
          </cell>
          <cell r="E255">
            <v>0</v>
          </cell>
          <cell r="F255">
            <v>0</v>
          </cell>
        </row>
        <row r="256">
          <cell r="A256">
            <v>45187</v>
          </cell>
          <cell r="B256">
            <v>0</v>
          </cell>
          <cell r="C256">
            <v>0</v>
          </cell>
          <cell r="E256">
            <v>0</v>
          </cell>
          <cell r="F256">
            <v>0</v>
          </cell>
        </row>
        <row r="257">
          <cell r="A257">
            <v>45188</v>
          </cell>
          <cell r="B257">
            <v>0</v>
          </cell>
          <cell r="C257">
            <v>0</v>
          </cell>
          <cell r="E257">
            <v>0</v>
          </cell>
          <cell r="F257">
            <v>0</v>
          </cell>
        </row>
        <row r="258">
          <cell r="A258">
            <v>45189</v>
          </cell>
          <cell r="B258">
            <v>0</v>
          </cell>
          <cell r="C258">
            <v>0</v>
          </cell>
          <cell r="E258">
            <v>0</v>
          </cell>
          <cell r="F258">
            <v>0</v>
          </cell>
        </row>
        <row r="259">
          <cell r="A259">
            <v>45190</v>
          </cell>
          <cell r="B259">
            <v>0</v>
          </cell>
          <cell r="C259">
            <v>0</v>
          </cell>
          <cell r="E259">
            <v>0</v>
          </cell>
          <cell r="F259">
            <v>0</v>
          </cell>
        </row>
        <row r="260">
          <cell r="A260">
            <v>45191</v>
          </cell>
          <cell r="B260">
            <v>0</v>
          </cell>
          <cell r="C260">
            <v>0</v>
          </cell>
          <cell r="E260">
            <v>0</v>
          </cell>
          <cell r="F260">
            <v>0</v>
          </cell>
        </row>
        <row r="261">
          <cell r="A261">
            <v>45194</v>
          </cell>
          <cell r="B261">
            <v>0</v>
          </cell>
          <cell r="C261">
            <v>0</v>
          </cell>
          <cell r="E261">
            <v>0</v>
          </cell>
          <cell r="F261">
            <v>0</v>
          </cell>
        </row>
        <row r="262">
          <cell r="A262">
            <v>45195</v>
          </cell>
          <cell r="B262">
            <v>0</v>
          </cell>
          <cell r="C262">
            <v>0</v>
          </cell>
          <cell r="E262">
            <v>0</v>
          </cell>
          <cell r="F262">
            <v>0</v>
          </cell>
        </row>
        <row r="263">
          <cell r="A263">
            <v>45196</v>
          </cell>
          <cell r="B263">
            <v>0</v>
          </cell>
          <cell r="C263">
            <v>0</v>
          </cell>
          <cell r="E263">
            <v>0</v>
          </cell>
          <cell r="F263">
            <v>0</v>
          </cell>
        </row>
        <row r="264">
          <cell r="A264">
            <v>45197</v>
          </cell>
          <cell r="B264">
            <v>0</v>
          </cell>
          <cell r="C264">
            <v>0</v>
          </cell>
          <cell r="E264">
            <v>0</v>
          </cell>
          <cell r="F264">
            <v>0</v>
          </cell>
        </row>
        <row r="265">
          <cell r="A265">
            <v>45198</v>
          </cell>
          <cell r="B265">
            <v>0</v>
          </cell>
          <cell r="C265">
            <v>0</v>
          </cell>
          <cell r="E265">
            <v>0</v>
          </cell>
          <cell r="F265">
            <v>0</v>
          </cell>
        </row>
        <row r="266">
          <cell r="A266">
            <v>45201</v>
          </cell>
          <cell r="B266">
            <v>0</v>
          </cell>
          <cell r="C266">
            <v>0</v>
          </cell>
          <cell r="E266">
            <v>0</v>
          </cell>
          <cell r="F266">
            <v>0</v>
          </cell>
        </row>
        <row r="267">
          <cell r="A267">
            <v>45202</v>
          </cell>
          <cell r="B267">
            <v>0</v>
          </cell>
          <cell r="C267">
            <v>0</v>
          </cell>
          <cell r="E267">
            <v>0</v>
          </cell>
          <cell r="F267">
            <v>-35500</v>
          </cell>
        </row>
        <row r="268">
          <cell r="A268">
            <v>45203</v>
          </cell>
          <cell r="B268">
            <v>0</v>
          </cell>
          <cell r="C268">
            <v>0</v>
          </cell>
          <cell r="E268">
            <v>0</v>
          </cell>
          <cell r="F268">
            <v>0</v>
          </cell>
        </row>
        <row r="269">
          <cell r="A269">
            <v>45204</v>
          </cell>
          <cell r="B269">
            <v>0</v>
          </cell>
          <cell r="C269">
            <v>0</v>
          </cell>
          <cell r="E269">
            <v>0</v>
          </cell>
          <cell r="F269">
            <v>0</v>
          </cell>
        </row>
        <row r="270">
          <cell r="A270">
            <v>45205</v>
          </cell>
          <cell r="B270">
            <v>0</v>
          </cell>
          <cell r="C270">
            <v>0</v>
          </cell>
          <cell r="E270">
            <v>0</v>
          </cell>
          <cell r="F270">
            <v>0</v>
          </cell>
        </row>
        <row r="271">
          <cell r="A271">
            <v>45208</v>
          </cell>
          <cell r="B271">
            <v>0</v>
          </cell>
          <cell r="C271">
            <v>0</v>
          </cell>
          <cell r="E271">
            <v>0</v>
          </cell>
          <cell r="F271">
            <v>0</v>
          </cell>
        </row>
        <row r="272">
          <cell r="A272">
            <v>45209</v>
          </cell>
          <cell r="B272">
            <v>0</v>
          </cell>
          <cell r="C272">
            <v>0</v>
          </cell>
          <cell r="E272">
            <v>0</v>
          </cell>
          <cell r="F272">
            <v>0</v>
          </cell>
        </row>
        <row r="273">
          <cell r="A273">
            <v>45210</v>
          </cell>
          <cell r="B273">
            <v>0</v>
          </cell>
          <cell r="C273">
            <v>0</v>
          </cell>
          <cell r="E273">
            <v>0</v>
          </cell>
          <cell r="F273">
            <v>0</v>
          </cell>
        </row>
        <row r="274">
          <cell r="A274">
            <v>45211</v>
          </cell>
          <cell r="B274">
            <v>0</v>
          </cell>
          <cell r="C274">
            <v>0</v>
          </cell>
          <cell r="E274">
            <v>0</v>
          </cell>
          <cell r="F274">
            <v>0</v>
          </cell>
        </row>
        <row r="275">
          <cell r="A275">
            <v>45212</v>
          </cell>
          <cell r="B275">
            <v>0</v>
          </cell>
          <cell r="C275">
            <v>0</v>
          </cell>
          <cell r="E275">
            <v>0</v>
          </cell>
          <cell r="F275">
            <v>0</v>
          </cell>
        </row>
        <row r="276">
          <cell r="A276">
            <v>45215</v>
          </cell>
          <cell r="B276">
            <v>0</v>
          </cell>
          <cell r="C276">
            <v>0</v>
          </cell>
          <cell r="E276">
            <v>0</v>
          </cell>
          <cell r="F276">
            <v>0</v>
          </cell>
        </row>
        <row r="277">
          <cell r="A277">
            <v>45216</v>
          </cell>
          <cell r="B277">
            <v>0</v>
          </cell>
          <cell r="C277">
            <v>0</v>
          </cell>
          <cell r="E277">
            <v>0</v>
          </cell>
          <cell r="F277">
            <v>0</v>
          </cell>
        </row>
        <row r="278">
          <cell r="A278">
            <v>45217</v>
          </cell>
          <cell r="B278">
            <v>0</v>
          </cell>
          <cell r="C278">
            <v>0</v>
          </cell>
          <cell r="E278">
            <v>0</v>
          </cell>
          <cell r="F278">
            <v>0</v>
          </cell>
        </row>
        <row r="279">
          <cell r="A279">
            <v>45218</v>
          </cell>
          <cell r="B279">
            <v>0</v>
          </cell>
          <cell r="C279">
            <v>0</v>
          </cell>
          <cell r="E279">
            <v>0</v>
          </cell>
          <cell r="F279">
            <v>0</v>
          </cell>
        </row>
        <row r="280">
          <cell r="A280">
            <v>45219</v>
          </cell>
          <cell r="B280">
            <v>0</v>
          </cell>
          <cell r="C280">
            <v>0</v>
          </cell>
          <cell r="E280">
            <v>0</v>
          </cell>
          <cell r="F280">
            <v>0</v>
          </cell>
        </row>
        <row r="281">
          <cell r="A281">
            <v>45222</v>
          </cell>
          <cell r="B281">
            <v>0</v>
          </cell>
          <cell r="C281">
            <v>0</v>
          </cell>
          <cell r="E281">
            <v>0</v>
          </cell>
          <cell r="F281">
            <v>0</v>
          </cell>
        </row>
        <row r="282">
          <cell r="A282">
            <v>45223</v>
          </cell>
          <cell r="B282">
            <v>0</v>
          </cell>
          <cell r="C282">
            <v>0</v>
          </cell>
          <cell r="E282">
            <v>0</v>
          </cell>
          <cell r="F282">
            <v>0</v>
          </cell>
        </row>
        <row r="283">
          <cell r="A283">
            <v>45224</v>
          </cell>
          <cell r="B283">
            <v>0</v>
          </cell>
          <cell r="C283">
            <v>0</v>
          </cell>
          <cell r="E283">
            <v>0</v>
          </cell>
          <cell r="F283">
            <v>0</v>
          </cell>
        </row>
        <row r="284">
          <cell r="A284">
            <v>45225</v>
          </cell>
          <cell r="B284">
            <v>0</v>
          </cell>
          <cell r="C284">
            <v>0</v>
          </cell>
          <cell r="E284">
            <v>0</v>
          </cell>
          <cell r="F284">
            <v>0</v>
          </cell>
        </row>
        <row r="285">
          <cell r="A285">
            <v>45226</v>
          </cell>
          <cell r="B285">
            <v>0</v>
          </cell>
          <cell r="C285">
            <v>0</v>
          </cell>
          <cell r="E285">
            <v>0</v>
          </cell>
          <cell r="F285">
            <v>0</v>
          </cell>
        </row>
        <row r="286">
          <cell r="A286">
            <v>45229</v>
          </cell>
          <cell r="B286">
            <v>0</v>
          </cell>
          <cell r="C286">
            <v>0</v>
          </cell>
          <cell r="E286">
            <v>0</v>
          </cell>
          <cell r="F286">
            <v>0</v>
          </cell>
        </row>
        <row r="287">
          <cell r="A287">
            <v>45230</v>
          </cell>
          <cell r="B287">
            <v>0</v>
          </cell>
          <cell r="C287">
            <v>0</v>
          </cell>
          <cell r="E287">
            <v>0</v>
          </cell>
          <cell r="F287">
            <v>0</v>
          </cell>
        </row>
        <row r="288">
          <cell r="A288">
            <v>45231</v>
          </cell>
          <cell r="B288">
            <v>0</v>
          </cell>
          <cell r="C288">
            <v>0</v>
          </cell>
          <cell r="E288">
            <v>0</v>
          </cell>
          <cell r="F288">
            <v>0</v>
          </cell>
        </row>
        <row r="289">
          <cell r="A289">
            <v>45232</v>
          </cell>
          <cell r="B289">
            <v>0</v>
          </cell>
          <cell r="C289">
            <v>0</v>
          </cell>
          <cell r="E289">
            <v>0</v>
          </cell>
          <cell r="F289">
            <v>0</v>
          </cell>
        </row>
        <row r="290">
          <cell r="A290">
            <v>45233</v>
          </cell>
          <cell r="B290">
            <v>0</v>
          </cell>
          <cell r="C290">
            <v>0</v>
          </cell>
          <cell r="E290">
            <v>0</v>
          </cell>
          <cell r="F290">
            <v>-37000</v>
          </cell>
        </row>
        <row r="291">
          <cell r="A291">
            <v>45236</v>
          </cell>
          <cell r="B291">
            <v>0</v>
          </cell>
          <cell r="C291">
            <v>0</v>
          </cell>
          <cell r="E291">
            <v>0</v>
          </cell>
          <cell r="F291">
            <v>0</v>
          </cell>
        </row>
        <row r="292">
          <cell r="A292">
            <v>45237</v>
          </cell>
          <cell r="B292">
            <v>0</v>
          </cell>
          <cell r="C292">
            <v>0</v>
          </cell>
          <cell r="E292">
            <v>0</v>
          </cell>
          <cell r="F292">
            <v>0</v>
          </cell>
        </row>
        <row r="293">
          <cell r="A293">
            <v>45238</v>
          </cell>
          <cell r="B293">
            <v>0</v>
          </cell>
          <cell r="C293">
            <v>0</v>
          </cell>
          <cell r="E293">
            <v>0</v>
          </cell>
          <cell r="F293">
            <v>0</v>
          </cell>
        </row>
        <row r="294">
          <cell r="A294">
            <v>45239</v>
          </cell>
          <cell r="B294">
            <v>0</v>
          </cell>
          <cell r="C294">
            <v>0</v>
          </cell>
          <cell r="E294">
            <v>0</v>
          </cell>
          <cell r="F294">
            <v>0</v>
          </cell>
        </row>
        <row r="295">
          <cell r="A295">
            <v>45240</v>
          </cell>
          <cell r="B295">
            <v>0</v>
          </cell>
          <cell r="C295">
            <v>0</v>
          </cell>
          <cell r="E295">
            <v>0</v>
          </cell>
          <cell r="F295">
            <v>0</v>
          </cell>
        </row>
        <row r="296">
          <cell r="A296">
            <v>45243</v>
          </cell>
          <cell r="B296">
            <v>0</v>
          </cell>
          <cell r="C296">
            <v>0</v>
          </cell>
          <cell r="E296">
            <v>0</v>
          </cell>
          <cell r="F296">
            <v>0</v>
          </cell>
        </row>
        <row r="297">
          <cell r="A297">
            <v>45244</v>
          </cell>
          <cell r="B297">
            <v>0</v>
          </cell>
          <cell r="C297">
            <v>0</v>
          </cell>
          <cell r="E297">
            <v>0</v>
          </cell>
          <cell r="F297">
            <v>0</v>
          </cell>
        </row>
        <row r="298">
          <cell r="A298">
            <v>45245</v>
          </cell>
          <cell r="B298">
            <v>0</v>
          </cell>
          <cell r="C298">
            <v>0</v>
          </cell>
          <cell r="E298">
            <v>0</v>
          </cell>
          <cell r="F298">
            <v>0</v>
          </cell>
        </row>
        <row r="299">
          <cell r="A299">
            <v>45246</v>
          </cell>
          <cell r="B299">
            <v>0</v>
          </cell>
          <cell r="C299">
            <v>0</v>
          </cell>
          <cell r="E299">
            <v>0</v>
          </cell>
          <cell r="F299">
            <v>0</v>
          </cell>
        </row>
        <row r="300">
          <cell r="A300">
            <v>45247</v>
          </cell>
          <cell r="B300">
            <v>0</v>
          </cell>
          <cell r="C300">
            <v>0</v>
          </cell>
          <cell r="E300">
            <v>0</v>
          </cell>
          <cell r="F300">
            <v>0</v>
          </cell>
        </row>
        <row r="301">
          <cell r="A301">
            <v>45250</v>
          </cell>
          <cell r="B301">
            <v>0</v>
          </cell>
          <cell r="C301">
            <v>0</v>
          </cell>
          <cell r="E301">
            <v>0</v>
          </cell>
          <cell r="F301">
            <v>0</v>
          </cell>
        </row>
        <row r="302">
          <cell r="A302">
            <v>45251</v>
          </cell>
          <cell r="B302">
            <v>0</v>
          </cell>
          <cell r="C302">
            <v>0</v>
          </cell>
          <cell r="E302">
            <v>0</v>
          </cell>
          <cell r="F302">
            <v>0</v>
          </cell>
        </row>
        <row r="303">
          <cell r="A303">
            <v>45252</v>
          </cell>
          <cell r="B303">
            <v>0</v>
          </cell>
          <cell r="C303">
            <v>0</v>
          </cell>
          <cell r="E303">
            <v>0</v>
          </cell>
          <cell r="F303">
            <v>0</v>
          </cell>
        </row>
        <row r="304">
          <cell r="A304">
            <v>45253</v>
          </cell>
          <cell r="B304">
            <v>0</v>
          </cell>
          <cell r="C304">
            <v>0</v>
          </cell>
          <cell r="E304">
            <v>0</v>
          </cell>
          <cell r="F304">
            <v>0</v>
          </cell>
        </row>
        <row r="305">
          <cell r="A305">
            <v>45254</v>
          </cell>
          <cell r="B305">
            <v>0</v>
          </cell>
          <cell r="C305">
            <v>0</v>
          </cell>
          <cell r="E305">
            <v>0</v>
          </cell>
          <cell r="F305">
            <v>0</v>
          </cell>
        </row>
        <row r="306">
          <cell r="A306">
            <v>45257</v>
          </cell>
          <cell r="B306">
            <v>0</v>
          </cell>
          <cell r="C306">
            <v>0</v>
          </cell>
          <cell r="E306">
            <v>0</v>
          </cell>
          <cell r="F306">
            <v>0</v>
          </cell>
        </row>
        <row r="307">
          <cell r="A307">
            <v>45258</v>
          </cell>
          <cell r="B307">
            <v>0</v>
          </cell>
          <cell r="C307">
            <v>0</v>
          </cell>
          <cell r="E307">
            <v>0</v>
          </cell>
          <cell r="F307">
            <v>0</v>
          </cell>
        </row>
        <row r="308">
          <cell r="A308">
            <v>45259</v>
          </cell>
          <cell r="B308">
            <v>0</v>
          </cell>
          <cell r="C308">
            <v>0</v>
          </cell>
          <cell r="E308">
            <v>0</v>
          </cell>
          <cell r="F308">
            <v>0</v>
          </cell>
        </row>
        <row r="309">
          <cell r="A309">
            <v>45260</v>
          </cell>
          <cell r="B309">
            <v>0</v>
          </cell>
          <cell r="C309">
            <v>0</v>
          </cell>
          <cell r="E309">
            <v>0</v>
          </cell>
          <cell r="F309">
            <v>0</v>
          </cell>
        </row>
        <row r="310">
          <cell r="A310">
            <v>45261</v>
          </cell>
          <cell r="B310">
            <v>0</v>
          </cell>
          <cell r="C310">
            <v>0</v>
          </cell>
          <cell r="E310">
            <v>0</v>
          </cell>
          <cell r="F310">
            <v>0</v>
          </cell>
        </row>
        <row r="311">
          <cell r="A311">
            <v>45264</v>
          </cell>
          <cell r="B311">
            <v>0</v>
          </cell>
          <cell r="C311">
            <v>0</v>
          </cell>
          <cell r="E311">
            <v>0</v>
          </cell>
          <cell r="F311">
            <v>-36000</v>
          </cell>
        </row>
        <row r="312">
          <cell r="A312">
            <v>45265</v>
          </cell>
          <cell r="B312">
            <v>0</v>
          </cell>
          <cell r="C312">
            <v>0</v>
          </cell>
          <cell r="E312">
            <v>50000</v>
          </cell>
          <cell r="F312">
            <v>0</v>
          </cell>
        </row>
        <row r="313">
          <cell r="A313">
            <v>45266</v>
          </cell>
          <cell r="B313">
            <v>0</v>
          </cell>
          <cell r="C313">
            <v>0</v>
          </cell>
          <cell r="E313">
            <v>0</v>
          </cell>
          <cell r="F313">
            <v>0</v>
          </cell>
        </row>
        <row r="314">
          <cell r="A314">
            <v>45267</v>
          </cell>
          <cell r="B314">
            <v>0</v>
          </cell>
          <cell r="C314">
            <v>0</v>
          </cell>
          <cell r="E314">
            <v>0</v>
          </cell>
          <cell r="F314">
            <v>0</v>
          </cell>
        </row>
        <row r="315">
          <cell r="A315">
            <v>45268</v>
          </cell>
          <cell r="B315">
            <v>0</v>
          </cell>
          <cell r="C315">
            <v>0</v>
          </cell>
          <cell r="E315">
            <v>0</v>
          </cell>
          <cell r="F315">
            <v>0</v>
          </cell>
        </row>
        <row r="316">
          <cell r="A316">
            <v>45271</v>
          </cell>
          <cell r="B316">
            <v>0</v>
          </cell>
          <cell r="C316">
            <v>0</v>
          </cell>
          <cell r="E316">
            <v>0</v>
          </cell>
          <cell r="F316">
            <v>0</v>
          </cell>
        </row>
        <row r="317">
          <cell r="A317">
            <v>45272</v>
          </cell>
          <cell r="B317">
            <v>0</v>
          </cell>
          <cell r="C317">
            <v>0</v>
          </cell>
          <cell r="E317">
            <v>0</v>
          </cell>
          <cell r="F317">
            <v>0</v>
          </cell>
        </row>
        <row r="318">
          <cell r="A318">
            <v>45273</v>
          </cell>
          <cell r="B318">
            <v>0</v>
          </cell>
          <cell r="C318">
            <v>0</v>
          </cell>
          <cell r="E318">
            <v>0</v>
          </cell>
          <cell r="F318">
            <v>0</v>
          </cell>
        </row>
        <row r="319">
          <cell r="A319">
            <v>45274</v>
          </cell>
          <cell r="B319">
            <v>0</v>
          </cell>
          <cell r="C319">
            <v>0</v>
          </cell>
          <cell r="E319">
            <v>0</v>
          </cell>
          <cell r="F319">
            <v>0</v>
          </cell>
        </row>
        <row r="320">
          <cell r="A320">
            <v>45275</v>
          </cell>
          <cell r="B320">
            <v>0</v>
          </cell>
          <cell r="C320">
            <v>0</v>
          </cell>
          <cell r="E320">
            <v>0</v>
          </cell>
          <cell r="F320">
            <v>0</v>
          </cell>
        </row>
        <row r="321">
          <cell r="A321">
            <v>45278</v>
          </cell>
          <cell r="B321">
            <v>0</v>
          </cell>
          <cell r="C321">
            <v>0</v>
          </cell>
          <cell r="E321">
            <v>0</v>
          </cell>
          <cell r="F321">
            <v>0</v>
          </cell>
        </row>
        <row r="322">
          <cell r="A322">
            <v>45279</v>
          </cell>
          <cell r="B322">
            <v>0</v>
          </cell>
          <cell r="C322">
            <v>0</v>
          </cell>
          <cell r="E322">
            <v>0</v>
          </cell>
          <cell r="F322">
            <v>0</v>
          </cell>
        </row>
        <row r="323">
          <cell r="A323">
            <v>45280</v>
          </cell>
          <cell r="B323">
            <v>0</v>
          </cell>
          <cell r="C323">
            <v>0</v>
          </cell>
          <cell r="E323">
            <v>0</v>
          </cell>
          <cell r="F323">
            <v>0</v>
          </cell>
        </row>
        <row r="324">
          <cell r="A324">
            <v>45281</v>
          </cell>
          <cell r="B324">
            <v>0</v>
          </cell>
          <cell r="C324">
            <v>0</v>
          </cell>
          <cell r="E324">
            <v>0</v>
          </cell>
          <cell r="F324">
            <v>0</v>
          </cell>
        </row>
        <row r="325">
          <cell r="A325">
            <v>45282</v>
          </cell>
          <cell r="B325">
            <v>0</v>
          </cell>
          <cell r="C325">
            <v>0</v>
          </cell>
          <cell r="E325">
            <v>0</v>
          </cell>
          <cell r="F325">
            <v>0</v>
          </cell>
        </row>
        <row r="326">
          <cell r="A326">
            <v>45285</v>
          </cell>
          <cell r="B326">
            <v>0</v>
          </cell>
          <cell r="C326">
            <v>0</v>
          </cell>
          <cell r="E326">
            <v>0</v>
          </cell>
          <cell r="F326">
            <v>0</v>
          </cell>
        </row>
        <row r="327">
          <cell r="A327">
            <v>45286</v>
          </cell>
          <cell r="B327">
            <v>0</v>
          </cell>
          <cell r="C327">
            <v>0</v>
          </cell>
          <cell r="E327">
            <v>0</v>
          </cell>
          <cell r="F327">
            <v>0</v>
          </cell>
        </row>
        <row r="328">
          <cell r="A328">
            <v>45287</v>
          </cell>
          <cell r="B328">
            <v>0</v>
          </cell>
          <cell r="C328">
            <v>0</v>
          </cell>
          <cell r="E328">
            <v>0</v>
          </cell>
          <cell r="F328">
            <v>0</v>
          </cell>
        </row>
        <row r="329">
          <cell r="A329">
            <v>45288</v>
          </cell>
          <cell r="B329">
            <v>0</v>
          </cell>
          <cell r="C329">
            <v>0</v>
          </cell>
          <cell r="E329">
            <v>0</v>
          </cell>
          <cell r="F329">
            <v>0</v>
          </cell>
        </row>
        <row r="330">
          <cell r="A330">
            <v>45289</v>
          </cell>
          <cell r="B330">
            <v>0</v>
          </cell>
          <cell r="C330">
            <v>0</v>
          </cell>
          <cell r="E330">
            <v>0</v>
          </cell>
          <cell r="F330">
            <v>0</v>
          </cell>
        </row>
        <row r="331">
          <cell r="A331">
            <v>45292</v>
          </cell>
          <cell r="B331">
            <v>0</v>
          </cell>
          <cell r="C331">
            <v>0</v>
          </cell>
          <cell r="E331">
            <v>0</v>
          </cell>
          <cell r="F331">
            <v>0</v>
          </cell>
        </row>
        <row r="332">
          <cell r="A332">
            <v>45293</v>
          </cell>
          <cell r="B332">
            <v>0</v>
          </cell>
          <cell r="C332">
            <v>0</v>
          </cell>
          <cell r="E332">
            <v>0</v>
          </cell>
          <cell r="F332">
            <v>-38000</v>
          </cell>
        </row>
        <row r="333">
          <cell r="A333">
            <v>45294</v>
          </cell>
          <cell r="B333">
            <v>0</v>
          </cell>
          <cell r="C333">
            <v>0</v>
          </cell>
          <cell r="E333">
            <v>0</v>
          </cell>
          <cell r="F333">
            <v>0</v>
          </cell>
        </row>
        <row r="334">
          <cell r="A334">
            <v>45295</v>
          </cell>
          <cell r="B334">
            <v>0</v>
          </cell>
          <cell r="C334">
            <v>0</v>
          </cell>
          <cell r="E334">
            <v>0</v>
          </cell>
          <cell r="F334">
            <v>0</v>
          </cell>
        </row>
        <row r="335">
          <cell r="A335">
            <v>45296</v>
          </cell>
          <cell r="B335">
            <v>0</v>
          </cell>
          <cell r="C335">
            <v>0</v>
          </cell>
          <cell r="E335">
            <v>0</v>
          </cell>
          <cell r="F335">
            <v>0</v>
          </cell>
        </row>
        <row r="336">
          <cell r="A336">
            <v>45299</v>
          </cell>
          <cell r="B336">
            <v>0</v>
          </cell>
          <cell r="C336">
            <v>0</v>
          </cell>
          <cell r="E336">
            <v>0</v>
          </cell>
          <cell r="F336">
            <v>-360000</v>
          </cell>
        </row>
        <row r="337">
          <cell r="A337">
            <v>45300</v>
          </cell>
          <cell r="B337">
            <v>0</v>
          </cell>
          <cell r="C337">
            <v>0</v>
          </cell>
          <cell r="E337">
            <v>0</v>
          </cell>
          <cell r="F337">
            <v>0</v>
          </cell>
        </row>
        <row r="338">
          <cell r="A338">
            <v>45301</v>
          </cell>
          <cell r="B338">
            <v>0</v>
          </cell>
          <cell r="C338">
            <v>0</v>
          </cell>
          <cell r="E338">
            <v>0</v>
          </cell>
          <cell r="F338">
            <v>0</v>
          </cell>
        </row>
        <row r="339">
          <cell r="A339">
            <v>45302</v>
          </cell>
          <cell r="B339">
            <v>0</v>
          </cell>
          <cell r="C339">
            <v>0</v>
          </cell>
          <cell r="E339">
            <v>0</v>
          </cell>
          <cell r="F339">
            <v>0</v>
          </cell>
        </row>
        <row r="340">
          <cell r="A340">
            <v>45303</v>
          </cell>
          <cell r="B340">
            <v>0</v>
          </cell>
          <cell r="C340">
            <v>0</v>
          </cell>
          <cell r="E340">
            <v>0</v>
          </cell>
          <cell r="F340">
            <v>0</v>
          </cell>
        </row>
        <row r="341">
          <cell r="A341">
            <v>45306</v>
          </cell>
          <cell r="B341">
            <v>0</v>
          </cell>
          <cell r="C341">
            <v>0</v>
          </cell>
          <cell r="E341">
            <v>0</v>
          </cell>
          <cell r="F341">
            <v>0</v>
          </cell>
        </row>
        <row r="342">
          <cell r="A342">
            <v>45307</v>
          </cell>
          <cell r="B342">
            <v>0</v>
          </cell>
          <cell r="C342">
            <v>0</v>
          </cell>
          <cell r="E342">
            <v>0</v>
          </cell>
          <cell r="F342">
            <v>0</v>
          </cell>
        </row>
        <row r="343">
          <cell r="A343">
            <v>45308</v>
          </cell>
          <cell r="B343">
            <v>0</v>
          </cell>
          <cell r="C343">
            <v>0</v>
          </cell>
          <cell r="E343">
            <v>0</v>
          </cell>
          <cell r="F343">
            <v>0</v>
          </cell>
        </row>
        <row r="344">
          <cell r="A344">
            <v>45309</v>
          </cell>
          <cell r="B344">
            <v>0</v>
          </cell>
          <cell r="C344">
            <v>0</v>
          </cell>
          <cell r="E344">
            <v>0</v>
          </cell>
          <cell r="F344">
            <v>0</v>
          </cell>
        </row>
        <row r="345">
          <cell r="A345">
            <v>45310</v>
          </cell>
          <cell r="B345">
            <v>0</v>
          </cell>
          <cell r="C345">
            <v>0</v>
          </cell>
          <cell r="E345">
            <v>0</v>
          </cell>
          <cell r="F345">
            <v>0</v>
          </cell>
        </row>
        <row r="346">
          <cell r="A346">
            <v>45313</v>
          </cell>
          <cell r="B346">
            <v>0</v>
          </cell>
          <cell r="C346">
            <v>0</v>
          </cell>
          <cell r="E346">
            <v>0</v>
          </cell>
          <cell r="F346">
            <v>0</v>
          </cell>
        </row>
        <row r="347">
          <cell r="A347">
            <v>45314</v>
          </cell>
          <cell r="B347">
            <v>0</v>
          </cell>
          <cell r="C347">
            <v>0</v>
          </cell>
          <cell r="E347">
            <v>0</v>
          </cell>
          <cell r="F347">
            <v>0</v>
          </cell>
        </row>
        <row r="348">
          <cell r="A348">
            <v>45315</v>
          </cell>
          <cell r="B348">
            <v>0</v>
          </cell>
          <cell r="C348">
            <v>0</v>
          </cell>
          <cell r="E348">
            <v>0</v>
          </cell>
          <cell r="F348">
            <v>0</v>
          </cell>
        </row>
        <row r="349">
          <cell r="A349">
            <v>45316</v>
          </cell>
          <cell r="B349">
            <v>0</v>
          </cell>
          <cell r="C349">
            <v>0</v>
          </cell>
          <cell r="E349">
            <v>0</v>
          </cell>
          <cell r="F349">
            <v>0</v>
          </cell>
        </row>
        <row r="350">
          <cell r="A350">
            <v>45317</v>
          </cell>
          <cell r="B350">
            <v>0</v>
          </cell>
          <cell r="C350">
            <v>0</v>
          </cell>
          <cell r="E350">
            <v>0</v>
          </cell>
          <cell r="F350">
            <v>0</v>
          </cell>
        </row>
        <row r="351">
          <cell r="A351">
            <v>45320</v>
          </cell>
          <cell r="B351">
            <v>1000000</v>
          </cell>
          <cell r="C351">
            <v>0</v>
          </cell>
          <cell r="E351">
            <v>1000000</v>
          </cell>
          <cell r="F351">
            <v>0</v>
          </cell>
        </row>
        <row r="352">
          <cell r="A352">
            <v>45321</v>
          </cell>
          <cell r="B352">
            <v>100000</v>
          </cell>
          <cell r="C352">
            <v>-101797.86999919746</v>
          </cell>
          <cell r="E352">
            <v>100000</v>
          </cell>
          <cell r="F352">
            <v>-100000</v>
          </cell>
        </row>
        <row r="353">
          <cell r="A353">
            <v>45322</v>
          </cell>
          <cell r="B353">
            <v>1000000</v>
          </cell>
          <cell r="C353">
            <v>0</v>
          </cell>
          <cell r="E353">
            <v>1000000</v>
          </cell>
          <cell r="F353">
            <v>0</v>
          </cell>
        </row>
        <row r="354">
          <cell r="A354">
            <v>45323</v>
          </cell>
          <cell r="B354">
            <v>0</v>
          </cell>
          <cell r="C354">
            <v>0</v>
          </cell>
          <cell r="E354">
            <v>0</v>
          </cell>
          <cell r="F354">
            <v>0</v>
          </cell>
        </row>
        <row r="355">
          <cell r="A355">
            <v>45324</v>
          </cell>
          <cell r="B355">
            <v>0</v>
          </cell>
          <cell r="C355">
            <v>0</v>
          </cell>
          <cell r="E355">
            <v>0</v>
          </cell>
          <cell r="F355">
            <v>-41500</v>
          </cell>
        </row>
        <row r="356">
          <cell r="A356">
            <v>45327</v>
          </cell>
          <cell r="B356">
            <v>0</v>
          </cell>
          <cell r="C356">
            <v>0</v>
          </cell>
          <cell r="E356">
            <v>0</v>
          </cell>
          <cell r="F356">
            <v>0</v>
          </cell>
        </row>
        <row r="357">
          <cell r="A357">
            <v>45328</v>
          </cell>
          <cell r="B357">
            <v>0</v>
          </cell>
          <cell r="C357">
            <v>0</v>
          </cell>
          <cell r="E357">
            <v>0</v>
          </cell>
          <cell r="F357">
            <v>0</v>
          </cell>
        </row>
        <row r="358">
          <cell r="A358">
            <v>45329</v>
          </cell>
          <cell r="B358">
            <v>0</v>
          </cell>
          <cell r="C358">
            <v>0</v>
          </cell>
          <cell r="E358">
            <v>0</v>
          </cell>
          <cell r="F358">
            <v>0</v>
          </cell>
        </row>
        <row r="359">
          <cell r="A359">
            <v>45330</v>
          </cell>
          <cell r="B359">
            <v>0</v>
          </cell>
          <cell r="C359">
            <v>0</v>
          </cell>
          <cell r="E359">
            <v>0</v>
          </cell>
          <cell r="F359">
            <v>0</v>
          </cell>
        </row>
        <row r="360">
          <cell r="A360">
            <v>45331</v>
          </cell>
          <cell r="B360">
            <v>0</v>
          </cell>
          <cell r="C360">
            <v>0</v>
          </cell>
          <cell r="E360">
            <v>0</v>
          </cell>
          <cell r="F360">
            <v>0</v>
          </cell>
        </row>
        <row r="361">
          <cell r="A361">
            <v>45334</v>
          </cell>
          <cell r="B361">
            <v>0</v>
          </cell>
          <cell r="C361">
            <v>0</v>
          </cell>
          <cell r="E361">
            <v>0</v>
          </cell>
          <cell r="F361">
            <v>0</v>
          </cell>
        </row>
        <row r="362">
          <cell r="A362">
            <v>45335</v>
          </cell>
          <cell r="B362">
            <v>0</v>
          </cell>
          <cell r="C362">
            <v>0</v>
          </cell>
          <cell r="E362">
            <v>0</v>
          </cell>
          <cell r="F362">
            <v>0</v>
          </cell>
        </row>
        <row r="363">
          <cell r="A363">
            <v>45336</v>
          </cell>
          <cell r="B363">
            <v>0</v>
          </cell>
          <cell r="C363">
            <v>0</v>
          </cell>
          <cell r="E363">
            <v>0</v>
          </cell>
          <cell r="F363">
            <v>0</v>
          </cell>
        </row>
        <row r="364">
          <cell r="A364">
            <v>45337</v>
          </cell>
          <cell r="B364">
            <v>0</v>
          </cell>
          <cell r="C364">
            <v>0</v>
          </cell>
          <cell r="E364">
            <v>0</v>
          </cell>
          <cell r="F364">
            <v>0</v>
          </cell>
        </row>
        <row r="365">
          <cell r="A365">
            <v>45338</v>
          </cell>
          <cell r="B365">
            <v>0</v>
          </cell>
          <cell r="C365">
            <v>0</v>
          </cell>
          <cell r="E365">
            <v>0</v>
          </cell>
          <cell r="F365">
            <v>0</v>
          </cell>
        </row>
        <row r="366">
          <cell r="A366">
            <v>45341</v>
          </cell>
          <cell r="B366">
            <v>0</v>
          </cell>
          <cell r="C366">
            <v>0</v>
          </cell>
          <cell r="E366">
            <v>0</v>
          </cell>
          <cell r="F366">
            <v>0</v>
          </cell>
        </row>
        <row r="367">
          <cell r="A367">
            <v>45342</v>
          </cell>
          <cell r="B367">
            <v>0</v>
          </cell>
          <cell r="C367">
            <v>0</v>
          </cell>
          <cell r="E367">
            <v>0</v>
          </cell>
          <cell r="F367">
            <v>0</v>
          </cell>
        </row>
        <row r="368">
          <cell r="A368">
            <v>45343</v>
          </cell>
          <cell r="B368">
            <v>0</v>
          </cell>
          <cell r="C368">
            <v>0</v>
          </cell>
          <cell r="E368">
            <v>0</v>
          </cell>
          <cell r="F368">
            <v>0</v>
          </cell>
        </row>
        <row r="369">
          <cell r="A369">
            <v>45344</v>
          </cell>
          <cell r="B369">
            <v>0</v>
          </cell>
          <cell r="C369">
            <v>0</v>
          </cell>
          <cell r="E369">
            <v>0</v>
          </cell>
          <cell r="F369">
            <v>0</v>
          </cell>
        </row>
        <row r="370">
          <cell r="A370">
            <v>45345</v>
          </cell>
          <cell r="B370">
            <v>0</v>
          </cell>
          <cell r="C370">
            <v>0</v>
          </cell>
          <cell r="E370">
            <v>50000</v>
          </cell>
          <cell r="F370">
            <v>0</v>
          </cell>
        </row>
        <row r="371">
          <cell r="A371">
            <v>45348</v>
          </cell>
          <cell r="B371">
            <v>400000</v>
          </cell>
          <cell r="C371">
            <v>0</v>
          </cell>
          <cell r="E371">
            <v>400000</v>
          </cell>
          <cell r="F371">
            <v>0</v>
          </cell>
        </row>
        <row r="372">
          <cell r="A372">
            <v>45349</v>
          </cell>
          <cell r="B372">
            <v>0</v>
          </cell>
          <cell r="C372">
            <v>0</v>
          </cell>
          <cell r="E372">
            <v>0</v>
          </cell>
          <cell r="F372">
            <v>0</v>
          </cell>
        </row>
        <row r="373">
          <cell r="A373">
            <v>45350</v>
          </cell>
          <cell r="B373">
            <v>0</v>
          </cell>
          <cell r="C373">
            <v>0</v>
          </cell>
          <cell r="E373">
            <v>0</v>
          </cell>
          <cell r="F373">
            <v>0</v>
          </cell>
        </row>
        <row r="374">
          <cell r="A374">
            <v>45351</v>
          </cell>
          <cell r="B374">
            <v>0</v>
          </cell>
          <cell r="C374">
            <v>0</v>
          </cell>
          <cell r="E374">
            <v>0</v>
          </cell>
          <cell r="F374">
            <v>0</v>
          </cell>
        </row>
        <row r="375">
          <cell r="A375">
            <v>45352</v>
          </cell>
          <cell r="B375">
            <v>0</v>
          </cell>
          <cell r="C375">
            <v>0</v>
          </cell>
          <cell r="E375">
            <v>0</v>
          </cell>
          <cell r="F375">
            <v>0</v>
          </cell>
        </row>
        <row r="376">
          <cell r="A376">
            <v>45355</v>
          </cell>
          <cell r="B376">
            <v>0</v>
          </cell>
          <cell r="C376">
            <v>0</v>
          </cell>
          <cell r="E376">
            <v>0</v>
          </cell>
          <cell r="F376">
            <v>0</v>
          </cell>
        </row>
        <row r="377">
          <cell r="A377">
            <v>45356</v>
          </cell>
          <cell r="B377">
            <v>0</v>
          </cell>
          <cell r="C377">
            <v>0</v>
          </cell>
          <cell r="E377">
            <v>0</v>
          </cell>
          <cell r="F377">
            <v>-38000</v>
          </cell>
        </row>
        <row r="378">
          <cell r="A378">
            <v>45357</v>
          </cell>
          <cell r="B378">
            <v>0</v>
          </cell>
          <cell r="C378">
            <v>0</v>
          </cell>
          <cell r="E378">
            <v>0</v>
          </cell>
          <cell r="F378">
            <v>0</v>
          </cell>
        </row>
        <row r="379">
          <cell r="A379">
            <v>45358</v>
          </cell>
          <cell r="B379">
            <v>0</v>
          </cell>
          <cell r="C379">
            <v>0</v>
          </cell>
          <cell r="E379">
            <v>0</v>
          </cell>
          <cell r="F379">
            <v>0</v>
          </cell>
        </row>
        <row r="380">
          <cell r="A380">
            <v>45359</v>
          </cell>
          <cell r="B380">
            <v>0</v>
          </cell>
          <cell r="C380">
            <v>0</v>
          </cell>
          <cell r="E380">
            <v>0</v>
          </cell>
          <cell r="F380">
            <v>0</v>
          </cell>
        </row>
        <row r="381">
          <cell r="A381">
            <v>45362</v>
          </cell>
          <cell r="B381">
            <v>0</v>
          </cell>
          <cell r="C381">
            <v>0</v>
          </cell>
          <cell r="E381">
            <v>0</v>
          </cell>
          <cell r="F381">
            <v>0</v>
          </cell>
        </row>
        <row r="382">
          <cell r="A382">
            <v>45363</v>
          </cell>
          <cell r="B382">
            <v>0</v>
          </cell>
          <cell r="C382">
            <v>0</v>
          </cell>
          <cell r="E382">
            <v>0</v>
          </cell>
          <cell r="F382">
            <v>0</v>
          </cell>
        </row>
        <row r="383">
          <cell r="A383">
            <v>45364</v>
          </cell>
          <cell r="B383">
            <v>0</v>
          </cell>
          <cell r="C383">
            <v>0</v>
          </cell>
          <cell r="E383">
            <v>0</v>
          </cell>
          <cell r="F383">
            <v>0</v>
          </cell>
        </row>
        <row r="384">
          <cell r="A384">
            <v>45365</v>
          </cell>
          <cell r="B384">
            <v>0</v>
          </cell>
          <cell r="C384">
            <v>0</v>
          </cell>
          <cell r="E384">
            <v>0</v>
          </cell>
          <cell r="F384">
            <v>0</v>
          </cell>
        </row>
        <row r="385">
          <cell r="A385">
            <v>45366</v>
          </cell>
          <cell r="B385">
            <v>0</v>
          </cell>
          <cell r="C385">
            <v>0</v>
          </cell>
          <cell r="E385">
            <v>0</v>
          </cell>
          <cell r="F385">
            <v>0</v>
          </cell>
        </row>
        <row r="386">
          <cell r="A386">
            <v>45369</v>
          </cell>
          <cell r="B386">
            <v>0</v>
          </cell>
          <cell r="C386">
            <v>0</v>
          </cell>
          <cell r="E386">
            <v>0</v>
          </cell>
          <cell r="F386">
            <v>0</v>
          </cell>
        </row>
        <row r="387">
          <cell r="A387">
            <v>45370</v>
          </cell>
          <cell r="B387">
            <v>0</v>
          </cell>
          <cell r="C387">
            <v>0</v>
          </cell>
          <cell r="E387">
            <v>0</v>
          </cell>
          <cell r="F387">
            <v>0</v>
          </cell>
        </row>
        <row r="388">
          <cell r="A388">
            <v>45371</v>
          </cell>
          <cell r="B388">
            <v>0</v>
          </cell>
          <cell r="C388">
            <v>0</v>
          </cell>
          <cell r="E388">
            <v>0</v>
          </cell>
          <cell r="F388">
            <v>0</v>
          </cell>
        </row>
        <row r="389">
          <cell r="A389">
            <v>45372</v>
          </cell>
          <cell r="B389">
            <v>0</v>
          </cell>
          <cell r="C389">
            <v>0</v>
          </cell>
          <cell r="E389">
            <v>0</v>
          </cell>
          <cell r="F389">
            <v>0</v>
          </cell>
        </row>
        <row r="390">
          <cell r="A390">
            <v>45373</v>
          </cell>
          <cell r="B390">
            <v>0</v>
          </cell>
          <cell r="C390">
            <v>0</v>
          </cell>
          <cell r="E390">
            <v>0</v>
          </cell>
          <cell r="F390">
            <v>0</v>
          </cell>
        </row>
        <row r="391">
          <cell r="A391">
            <v>45376</v>
          </cell>
          <cell r="B391">
            <v>0</v>
          </cell>
          <cell r="C391">
            <v>0</v>
          </cell>
          <cell r="E391">
            <v>0</v>
          </cell>
          <cell r="F391">
            <v>0</v>
          </cell>
        </row>
        <row r="392">
          <cell r="A392">
            <v>45377</v>
          </cell>
          <cell r="B392">
            <v>0</v>
          </cell>
          <cell r="C392">
            <v>0</v>
          </cell>
          <cell r="E392">
            <v>0</v>
          </cell>
          <cell r="F392">
            <v>0</v>
          </cell>
        </row>
        <row r="393">
          <cell r="A393">
            <v>45378</v>
          </cell>
          <cell r="B393">
            <v>0</v>
          </cell>
          <cell r="C393">
            <v>0</v>
          </cell>
          <cell r="E393">
            <v>0</v>
          </cell>
          <cell r="F393">
            <v>0</v>
          </cell>
        </row>
        <row r="394">
          <cell r="A394">
            <v>45379</v>
          </cell>
          <cell r="B394">
            <v>0</v>
          </cell>
          <cell r="C394">
            <v>0</v>
          </cell>
          <cell r="E394">
            <v>0</v>
          </cell>
          <cell r="F394">
            <v>0</v>
          </cell>
        </row>
        <row r="395">
          <cell r="A395">
            <v>45380</v>
          </cell>
          <cell r="B395">
            <v>0</v>
          </cell>
          <cell r="C395">
            <v>0</v>
          </cell>
          <cell r="E395">
            <v>0</v>
          </cell>
          <cell r="F395">
            <v>0</v>
          </cell>
        </row>
        <row r="396">
          <cell r="A396">
            <v>45383</v>
          </cell>
          <cell r="B396">
            <v>0</v>
          </cell>
          <cell r="C396">
            <v>0</v>
          </cell>
          <cell r="E396">
            <v>0</v>
          </cell>
          <cell r="F396">
            <v>0</v>
          </cell>
        </row>
        <row r="397">
          <cell r="A397">
            <v>45384</v>
          </cell>
          <cell r="B397">
            <v>0</v>
          </cell>
          <cell r="C397">
            <v>0</v>
          </cell>
          <cell r="E397">
            <v>0</v>
          </cell>
          <cell r="F397">
            <v>0</v>
          </cell>
        </row>
        <row r="398">
          <cell r="A398">
            <v>45385</v>
          </cell>
          <cell r="B398">
            <v>0</v>
          </cell>
          <cell r="C398">
            <v>0</v>
          </cell>
          <cell r="E398">
            <v>0</v>
          </cell>
          <cell r="F398">
            <v>-41000</v>
          </cell>
        </row>
        <row r="399">
          <cell r="A399">
            <v>45386</v>
          </cell>
          <cell r="B399">
            <v>0</v>
          </cell>
          <cell r="C399">
            <v>0</v>
          </cell>
          <cell r="E399">
            <v>0</v>
          </cell>
          <cell r="F399">
            <v>0</v>
          </cell>
        </row>
        <row r="400">
          <cell r="A400">
            <v>45387</v>
          </cell>
          <cell r="B400">
            <v>0</v>
          </cell>
          <cell r="C400">
            <v>0</v>
          </cell>
          <cell r="E400">
            <v>0</v>
          </cell>
          <cell r="F400">
            <v>0</v>
          </cell>
        </row>
        <row r="401">
          <cell r="A401">
            <v>45390</v>
          </cell>
          <cell r="B401">
            <v>0</v>
          </cell>
          <cell r="C401">
            <v>0</v>
          </cell>
          <cell r="E401">
            <v>0</v>
          </cell>
          <cell r="F401">
            <v>0</v>
          </cell>
        </row>
        <row r="402">
          <cell r="A402">
            <v>45391</v>
          </cell>
          <cell r="B402">
            <v>0</v>
          </cell>
          <cell r="C402">
            <v>0</v>
          </cell>
          <cell r="E402">
            <v>0</v>
          </cell>
          <cell r="F402">
            <v>0</v>
          </cell>
        </row>
        <row r="403">
          <cell r="A403">
            <v>45392</v>
          </cell>
          <cell r="B403">
            <v>0</v>
          </cell>
          <cell r="C403">
            <v>0</v>
          </cell>
          <cell r="E403">
            <v>0</v>
          </cell>
          <cell r="F403">
            <v>0</v>
          </cell>
        </row>
        <row r="404">
          <cell r="A404">
            <v>45393</v>
          </cell>
          <cell r="B404">
            <v>0</v>
          </cell>
          <cell r="C404">
            <v>0</v>
          </cell>
          <cell r="E404">
            <v>0</v>
          </cell>
          <cell r="F404">
            <v>0</v>
          </cell>
        </row>
        <row r="405">
          <cell r="A405">
            <v>45394</v>
          </cell>
          <cell r="B405">
            <v>0</v>
          </cell>
          <cell r="C405">
            <v>0</v>
          </cell>
          <cell r="E405">
            <v>0</v>
          </cell>
          <cell r="F405">
            <v>0</v>
          </cell>
        </row>
        <row r="406">
          <cell r="A406">
            <v>45397</v>
          </cell>
          <cell r="B406">
            <v>0</v>
          </cell>
          <cell r="C406">
            <v>0</v>
          </cell>
          <cell r="E406">
            <v>0</v>
          </cell>
          <cell r="F406">
            <v>0</v>
          </cell>
        </row>
        <row r="407">
          <cell r="A407">
            <v>45398</v>
          </cell>
          <cell r="B407">
            <v>0</v>
          </cell>
          <cell r="C407">
            <v>0</v>
          </cell>
          <cell r="E407">
            <v>0</v>
          </cell>
          <cell r="F407">
            <v>0</v>
          </cell>
        </row>
        <row r="408">
          <cell r="A408">
            <v>45399</v>
          </cell>
          <cell r="B408">
            <v>0</v>
          </cell>
          <cell r="C408">
            <v>0</v>
          </cell>
          <cell r="E408">
            <v>0</v>
          </cell>
          <cell r="F408">
            <v>0</v>
          </cell>
        </row>
        <row r="409">
          <cell r="A409">
            <v>45400</v>
          </cell>
          <cell r="B409">
            <v>0</v>
          </cell>
          <cell r="C409">
            <v>0</v>
          </cell>
          <cell r="E409">
            <v>0</v>
          </cell>
          <cell r="F409">
            <v>0</v>
          </cell>
        </row>
        <row r="410">
          <cell r="A410">
            <v>45401</v>
          </cell>
          <cell r="B410">
            <v>0</v>
          </cell>
          <cell r="C410">
            <v>0</v>
          </cell>
          <cell r="E410">
            <v>0</v>
          </cell>
          <cell r="F410">
            <v>0</v>
          </cell>
        </row>
        <row r="411">
          <cell r="A411">
            <v>45404</v>
          </cell>
          <cell r="B411">
            <v>0</v>
          </cell>
          <cell r="C411">
            <v>0</v>
          </cell>
          <cell r="E411">
            <v>0</v>
          </cell>
          <cell r="F411">
            <v>0</v>
          </cell>
        </row>
        <row r="412">
          <cell r="A412">
            <v>45405</v>
          </cell>
          <cell r="B412">
            <v>0</v>
          </cell>
          <cell r="C412">
            <v>0</v>
          </cell>
          <cell r="E412">
            <v>0</v>
          </cell>
          <cell r="F412">
            <v>0</v>
          </cell>
        </row>
        <row r="413">
          <cell r="A413">
            <v>45406</v>
          </cell>
          <cell r="B413">
            <v>0</v>
          </cell>
          <cell r="C413">
            <v>0</v>
          </cell>
          <cell r="E413">
            <v>0</v>
          </cell>
          <cell r="F413">
            <v>0</v>
          </cell>
        </row>
        <row r="414">
          <cell r="A414">
            <v>45407</v>
          </cell>
          <cell r="B414">
            <v>0</v>
          </cell>
          <cell r="C414">
            <v>0</v>
          </cell>
          <cell r="E414">
            <v>0</v>
          </cell>
          <cell r="F414">
            <v>0</v>
          </cell>
        </row>
        <row r="415">
          <cell r="A415">
            <v>45408</v>
          </cell>
          <cell r="B415">
            <v>0</v>
          </cell>
          <cell r="C415">
            <v>0</v>
          </cell>
          <cell r="E415">
            <v>0</v>
          </cell>
          <cell r="F415">
            <v>0</v>
          </cell>
        </row>
        <row r="416">
          <cell r="A416">
            <v>45411</v>
          </cell>
          <cell r="B416">
            <v>0</v>
          </cell>
          <cell r="C416">
            <v>0</v>
          </cell>
          <cell r="E416">
            <v>0</v>
          </cell>
          <cell r="F416">
            <v>0</v>
          </cell>
        </row>
        <row r="417">
          <cell r="A417">
            <v>45412</v>
          </cell>
          <cell r="B417">
            <v>0</v>
          </cell>
          <cell r="C417">
            <v>0</v>
          </cell>
          <cell r="E417">
            <v>0</v>
          </cell>
          <cell r="F417">
            <v>0</v>
          </cell>
        </row>
        <row r="418">
          <cell r="A418">
            <v>45413</v>
          </cell>
          <cell r="B418">
            <v>0</v>
          </cell>
          <cell r="C418">
            <v>0</v>
          </cell>
          <cell r="E418">
            <v>0</v>
          </cell>
          <cell r="F418">
            <v>0</v>
          </cell>
        </row>
        <row r="419">
          <cell r="A419">
            <v>45414</v>
          </cell>
          <cell r="B419">
            <v>0</v>
          </cell>
          <cell r="C419">
            <v>0</v>
          </cell>
          <cell r="E419">
            <v>0</v>
          </cell>
          <cell r="F419">
            <v>0</v>
          </cell>
        </row>
        <row r="420">
          <cell r="A420">
            <v>45415</v>
          </cell>
          <cell r="B420">
            <v>0</v>
          </cell>
          <cell r="C420">
            <v>0</v>
          </cell>
          <cell r="E420">
            <v>0</v>
          </cell>
          <cell r="F420">
            <v>0</v>
          </cell>
        </row>
        <row r="421">
          <cell r="A421">
            <v>45418</v>
          </cell>
          <cell r="B421">
            <v>0</v>
          </cell>
          <cell r="C421">
            <v>0</v>
          </cell>
          <cell r="E421">
            <v>0</v>
          </cell>
          <cell r="F421">
            <v>-49500</v>
          </cell>
        </row>
        <row r="422">
          <cell r="A422">
            <v>45419</v>
          </cell>
          <cell r="B422">
            <v>0</v>
          </cell>
          <cell r="C422">
            <v>0</v>
          </cell>
          <cell r="E422">
            <v>0</v>
          </cell>
          <cell r="F422">
            <v>0</v>
          </cell>
        </row>
        <row r="423">
          <cell r="A423">
            <v>45420</v>
          </cell>
          <cell r="B423">
            <v>0</v>
          </cell>
          <cell r="C423">
            <v>0</v>
          </cell>
          <cell r="E423">
            <v>0</v>
          </cell>
          <cell r="F423">
            <v>0</v>
          </cell>
        </row>
        <row r="424">
          <cell r="A424">
            <v>45421</v>
          </cell>
          <cell r="B424">
            <v>0</v>
          </cell>
          <cell r="C424">
            <v>0</v>
          </cell>
          <cell r="E424">
            <v>0</v>
          </cell>
          <cell r="F424">
            <v>0</v>
          </cell>
        </row>
        <row r="425">
          <cell r="A425">
            <v>45422</v>
          </cell>
          <cell r="B425">
            <v>0</v>
          </cell>
          <cell r="C425">
            <v>0</v>
          </cell>
          <cell r="E425">
            <v>0</v>
          </cell>
          <cell r="F425">
            <v>0</v>
          </cell>
        </row>
        <row r="426">
          <cell r="A426">
            <v>45425</v>
          </cell>
          <cell r="B426">
            <v>0</v>
          </cell>
          <cell r="C426">
            <v>0</v>
          </cell>
          <cell r="E426">
            <v>0</v>
          </cell>
          <cell r="F426">
            <v>0</v>
          </cell>
        </row>
        <row r="427">
          <cell r="A427">
            <v>45426</v>
          </cell>
          <cell r="B427">
            <v>0</v>
          </cell>
          <cell r="C427">
            <v>0</v>
          </cell>
          <cell r="E427">
            <v>0</v>
          </cell>
          <cell r="F427">
            <v>0</v>
          </cell>
        </row>
        <row r="428">
          <cell r="A428">
            <v>45427</v>
          </cell>
          <cell r="B428">
            <v>0</v>
          </cell>
          <cell r="C428">
            <v>0</v>
          </cell>
          <cell r="E428">
            <v>0</v>
          </cell>
          <cell r="F428">
            <v>0</v>
          </cell>
        </row>
        <row r="429">
          <cell r="A429">
            <v>45428</v>
          </cell>
          <cell r="B429">
            <v>0</v>
          </cell>
          <cell r="C429">
            <v>0</v>
          </cell>
          <cell r="E429">
            <v>0</v>
          </cell>
          <cell r="F429">
            <v>0</v>
          </cell>
        </row>
        <row r="430">
          <cell r="A430">
            <v>45429</v>
          </cell>
          <cell r="B430">
            <v>0</v>
          </cell>
          <cell r="C430">
            <v>0</v>
          </cell>
          <cell r="E430">
            <v>0</v>
          </cell>
          <cell r="F430">
            <v>0</v>
          </cell>
        </row>
        <row r="431">
          <cell r="A431">
            <v>45432</v>
          </cell>
          <cell r="B431">
            <v>0</v>
          </cell>
          <cell r="C431">
            <v>0</v>
          </cell>
          <cell r="E431">
            <v>0</v>
          </cell>
          <cell r="F431">
            <v>0</v>
          </cell>
        </row>
        <row r="432">
          <cell r="A432">
            <v>45433</v>
          </cell>
          <cell r="B432">
            <v>0</v>
          </cell>
          <cell r="C432">
            <v>0</v>
          </cell>
          <cell r="E432">
            <v>0</v>
          </cell>
          <cell r="F432">
            <v>0</v>
          </cell>
        </row>
        <row r="433">
          <cell r="A433">
            <v>45434</v>
          </cell>
          <cell r="B433">
            <v>0</v>
          </cell>
          <cell r="C433">
            <v>0</v>
          </cell>
          <cell r="E433">
            <v>0</v>
          </cell>
          <cell r="F433">
            <v>0</v>
          </cell>
        </row>
        <row r="434">
          <cell r="A434">
            <v>45435</v>
          </cell>
          <cell r="B434">
            <v>0</v>
          </cell>
          <cell r="C434">
            <v>0</v>
          </cell>
          <cell r="E434">
            <v>0</v>
          </cell>
          <cell r="F434">
            <v>0</v>
          </cell>
        </row>
        <row r="435">
          <cell r="A435">
            <v>45436</v>
          </cell>
          <cell r="B435">
            <v>0</v>
          </cell>
          <cell r="C435">
            <v>0</v>
          </cell>
          <cell r="E435">
            <v>0</v>
          </cell>
          <cell r="F435">
            <v>0</v>
          </cell>
        </row>
        <row r="436">
          <cell r="A436">
            <v>45439</v>
          </cell>
          <cell r="B436">
            <v>0</v>
          </cell>
          <cell r="C436">
            <v>0</v>
          </cell>
          <cell r="E436">
            <v>0</v>
          </cell>
          <cell r="F436">
            <v>0</v>
          </cell>
        </row>
        <row r="437">
          <cell r="A437">
            <v>45440</v>
          </cell>
          <cell r="B437">
            <v>0</v>
          </cell>
          <cell r="C437">
            <v>0</v>
          </cell>
          <cell r="E437">
            <v>0</v>
          </cell>
          <cell r="F437">
            <v>0</v>
          </cell>
        </row>
        <row r="438">
          <cell r="A438">
            <v>45441</v>
          </cell>
          <cell r="B438">
            <v>50000</v>
          </cell>
          <cell r="C438">
            <v>0</v>
          </cell>
          <cell r="E438">
            <v>50000</v>
          </cell>
          <cell r="F438">
            <v>0</v>
          </cell>
        </row>
        <row r="439">
          <cell r="A439">
            <v>45442</v>
          </cell>
          <cell r="B439">
            <v>0</v>
          </cell>
          <cell r="C439">
            <v>0</v>
          </cell>
          <cell r="E439">
            <v>0</v>
          </cell>
          <cell r="F439">
            <v>0</v>
          </cell>
        </row>
        <row r="440">
          <cell r="A440">
            <v>45443</v>
          </cell>
          <cell r="B440">
            <v>0</v>
          </cell>
          <cell r="C440">
            <v>-50000</v>
          </cell>
          <cell r="E440">
            <v>0</v>
          </cell>
          <cell r="F440">
            <v>-50000</v>
          </cell>
        </row>
        <row r="441">
          <cell r="A441">
            <v>45446</v>
          </cell>
          <cell r="B441">
            <v>0</v>
          </cell>
          <cell r="C441">
            <v>0</v>
          </cell>
          <cell r="E441">
            <v>0</v>
          </cell>
          <cell r="F441">
            <v>0</v>
          </cell>
        </row>
        <row r="442">
          <cell r="A442">
            <v>45447</v>
          </cell>
          <cell r="B442">
            <v>0</v>
          </cell>
          <cell r="C442">
            <v>0</v>
          </cell>
          <cell r="E442">
            <v>0</v>
          </cell>
          <cell r="F442">
            <v>0</v>
          </cell>
        </row>
        <row r="443">
          <cell r="A443">
            <v>45448</v>
          </cell>
          <cell r="B443">
            <v>0</v>
          </cell>
          <cell r="C443">
            <v>0</v>
          </cell>
          <cell r="E443">
            <v>0</v>
          </cell>
          <cell r="F443">
            <v>-39000</v>
          </cell>
        </row>
        <row r="444">
          <cell r="A444">
            <v>45449</v>
          </cell>
          <cell r="B444">
            <v>0</v>
          </cell>
          <cell r="C444">
            <v>0</v>
          </cell>
          <cell r="E444">
            <v>0</v>
          </cell>
          <cell r="F444">
            <v>0</v>
          </cell>
        </row>
        <row r="445">
          <cell r="A445">
            <v>45450</v>
          </cell>
          <cell r="B445">
            <v>0</v>
          </cell>
          <cell r="C445">
            <v>0</v>
          </cell>
          <cell r="E445">
            <v>0</v>
          </cell>
          <cell r="F445">
            <v>0</v>
          </cell>
        </row>
        <row r="446">
          <cell r="A446">
            <v>45453</v>
          </cell>
          <cell r="B446">
            <v>0</v>
          </cell>
          <cell r="C446">
            <v>0</v>
          </cell>
          <cell r="E446">
            <v>0</v>
          </cell>
          <cell r="F446">
            <v>0</v>
          </cell>
        </row>
        <row r="447">
          <cell r="A447">
            <v>45454</v>
          </cell>
          <cell r="B447">
            <v>0</v>
          </cell>
          <cell r="C447">
            <v>0</v>
          </cell>
          <cell r="E447">
            <v>0</v>
          </cell>
          <cell r="F447">
            <v>0</v>
          </cell>
        </row>
        <row r="448">
          <cell r="A448">
            <v>45455</v>
          </cell>
          <cell r="B448">
            <v>0</v>
          </cell>
          <cell r="C448">
            <v>0</v>
          </cell>
          <cell r="E448">
            <v>0</v>
          </cell>
          <cell r="F448">
            <v>0</v>
          </cell>
        </row>
        <row r="449">
          <cell r="A449">
            <v>45456</v>
          </cell>
          <cell r="B449">
            <v>0</v>
          </cell>
          <cell r="C449">
            <v>0</v>
          </cell>
          <cell r="E449">
            <v>0</v>
          </cell>
          <cell r="F449">
            <v>0</v>
          </cell>
        </row>
        <row r="450">
          <cell r="A450">
            <v>45457</v>
          </cell>
          <cell r="B450">
            <v>0</v>
          </cell>
          <cell r="C450">
            <v>0</v>
          </cell>
          <cell r="E450">
            <v>0</v>
          </cell>
          <cell r="F450">
            <v>0</v>
          </cell>
        </row>
        <row r="451">
          <cell r="A451">
            <v>45460</v>
          </cell>
          <cell r="B451">
            <v>0</v>
          </cell>
          <cell r="C451">
            <v>0</v>
          </cell>
          <cell r="E451">
            <v>0</v>
          </cell>
          <cell r="F451">
            <v>0</v>
          </cell>
        </row>
        <row r="452">
          <cell r="A452">
            <v>45461</v>
          </cell>
          <cell r="B452">
            <v>0</v>
          </cell>
          <cell r="C452">
            <v>0</v>
          </cell>
          <cell r="E452">
            <v>0</v>
          </cell>
          <cell r="F452">
            <v>0</v>
          </cell>
        </row>
        <row r="453">
          <cell r="A453">
            <v>45462</v>
          </cell>
          <cell r="B453">
            <v>0</v>
          </cell>
          <cell r="C453">
            <v>0</v>
          </cell>
          <cell r="E453">
            <v>0</v>
          </cell>
          <cell r="F453">
            <v>0</v>
          </cell>
        </row>
        <row r="454">
          <cell r="A454">
            <v>45463</v>
          </cell>
          <cell r="B454">
            <v>0</v>
          </cell>
          <cell r="C454">
            <v>0</v>
          </cell>
          <cell r="E454">
            <v>0</v>
          </cell>
          <cell r="F454">
            <v>0</v>
          </cell>
        </row>
        <row r="455">
          <cell r="A455">
            <v>45464</v>
          </cell>
          <cell r="B455">
            <v>0</v>
          </cell>
          <cell r="C455">
            <v>0</v>
          </cell>
          <cell r="E455">
            <v>0</v>
          </cell>
          <cell r="F455">
            <v>0</v>
          </cell>
        </row>
        <row r="456">
          <cell r="A456">
            <v>45467</v>
          </cell>
          <cell r="B456">
            <v>0</v>
          </cell>
          <cell r="C456">
            <v>0</v>
          </cell>
          <cell r="E456">
            <v>0</v>
          </cell>
          <cell r="F456">
            <v>0</v>
          </cell>
        </row>
        <row r="457">
          <cell r="A457">
            <v>45468</v>
          </cell>
          <cell r="B457">
            <v>0</v>
          </cell>
          <cell r="C457">
            <v>0</v>
          </cell>
          <cell r="E457">
            <v>0</v>
          </cell>
          <cell r="F457">
            <v>0</v>
          </cell>
        </row>
        <row r="458">
          <cell r="A458">
            <v>45469</v>
          </cell>
          <cell r="B458">
            <v>0</v>
          </cell>
          <cell r="C458">
            <v>0</v>
          </cell>
          <cell r="E458">
            <v>0</v>
          </cell>
          <cell r="F458">
            <v>0</v>
          </cell>
        </row>
        <row r="459">
          <cell r="A459">
            <v>45470</v>
          </cell>
          <cell r="B459">
            <v>0</v>
          </cell>
          <cell r="C459">
            <v>0</v>
          </cell>
          <cell r="E459">
            <v>0</v>
          </cell>
          <cell r="F459">
            <v>0</v>
          </cell>
        </row>
        <row r="460">
          <cell r="A460">
            <v>45471</v>
          </cell>
          <cell r="B460">
            <v>0</v>
          </cell>
          <cell r="C460">
            <v>0</v>
          </cell>
          <cell r="E460">
            <v>0</v>
          </cell>
          <cell r="F460">
            <v>0</v>
          </cell>
        </row>
        <row r="461">
          <cell r="A461">
            <v>45474</v>
          </cell>
          <cell r="B461">
            <v>0</v>
          </cell>
          <cell r="C461">
            <v>0</v>
          </cell>
          <cell r="E461">
            <v>0</v>
          </cell>
          <cell r="F461">
            <v>0</v>
          </cell>
        </row>
        <row r="462">
          <cell r="A462">
            <v>45475</v>
          </cell>
          <cell r="B462">
            <v>0</v>
          </cell>
          <cell r="C462">
            <v>0</v>
          </cell>
          <cell r="E462">
            <v>0</v>
          </cell>
          <cell r="F462">
            <v>0</v>
          </cell>
        </row>
        <row r="463">
          <cell r="A463">
            <v>45476</v>
          </cell>
          <cell r="B463">
            <v>0</v>
          </cell>
          <cell r="C463">
            <v>0</v>
          </cell>
          <cell r="E463">
            <v>0</v>
          </cell>
          <cell r="F463">
            <v>-36000</v>
          </cell>
        </row>
        <row r="464">
          <cell r="A464">
            <v>45477</v>
          </cell>
          <cell r="B464">
            <v>0</v>
          </cell>
          <cell r="C464">
            <v>0</v>
          </cell>
          <cell r="E464">
            <v>200000</v>
          </cell>
          <cell r="F464">
            <v>0</v>
          </cell>
        </row>
        <row r="465">
          <cell r="A465">
            <v>45478</v>
          </cell>
          <cell r="B465">
            <v>0</v>
          </cell>
          <cell r="C465">
            <v>0</v>
          </cell>
          <cell r="E465">
            <v>0</v>
          </cell>
          <cell r="F465">
            <v>0</v>
          </cell>
        </row>
        <row r="466">
          <cell r="A466">
            <v>45481</v>
          </cell>
          <cell r="B466">
            <v>0</v>
          </cell>
          <cell r="C466">
            <v>0</v>
          </cell>
          <cell r="E466">
            <v>0</v>
          </cell>
          <cell r="F466">
            <v>0</v>
          </cell>
        </row>
        <row r="467">
          <cell r="A467">
            <v>45482</v>
          </cell>
          <cell r="B467">
            <v>0</v>
          </cell>
          <cell r="C467">
            <v>0</v>
          </cell>
          <cell r="E467">
            <v>0</v>
          </cell>
          <cell r="F467">
            <v>0</v>
          </cell>
        </row>
        <row r="468">
          <cell r="A468">
            <v>45483</v>
          </cell>
          <cell r="B468">
            <v>0</v>
          </cell>
          <cell r="C468">
            <v>0</v>
          </cell>
          <cell r="E468">
            <v>0</v>
          </cell>
          <cell r="F468">
            <v>0</v>
          </cell>
        </row>
        <row r="469">
          <cell r="A469">
            <v>45484</v>
          </cell>
          <cell r="B469">
            <v>0</v>
          </cell>
          <cell r="C469">
            <v>0</v>
          </cell>
          <cell r="E469">
            <v>0</v>
          </cell>
          <cell r="F469">
            <v>0</v>
          </cell>
        </row>
        <row r="470">
          <cell r="A470">
            <v>45485</v>
          </cell>
          <cell r="B470">
            <v>0</v>
          </cell>
          <cell r="C470">
            <v>0</v>
          </cell>
          <cell r="E470">
            <v>0</v>
          </cell>
          <cell r="F470">
            <v>0</v>
          </cell>
        </row>
        <row r="471">
          <cell r="A471">
            <v>45488</v>
          </cell>
          <cell r="B471">
            <v>0</v>
          </cell>
          <cell r="C471">
            <v>0</v>
          </cell>
          <cell r="E471">
            <v>0</v>
          </cell>
          <cell r="F471">
            <v>0</v>
          </cell>
        </row>
        <row r="472">
          <cell r="A472">
            <v>45489</v>
          </cell>
          <cell r="B472">
            <v>0</v>
          </cell>
          <cell r="C472">
            <v>0</v>
          </cell>
          <cell r="E472">
            <v>0</v>
          </cell>
          <cell r="F472">
            <v>0</v>
          </cell>
        </row>
        <row r="473">
          <cell r="A473">
            <v>45490</v>
          </cell>
          <cell r="B473">
            <v>0</v>
          </cell>
          <cell r="C473">
            <v>0</v>
          </cell>
          <cell r="E473">
            <v>0</v>
          </cell>
          <cell r="F473">
            <v>0</v>
          </cell>
        </row>
        <row r="474">
          <cell r="A474">
            <v>45491</v>
          </cell>
          <cell r="B474">
            <v>0</v>
          </cell>
          <cell r="C474">
            <v>0</v>
          </cell>
          <cell r="E474">
            <v>0</v>
          </cell>
          <cell r="F474">
            <v>0</v>
          </cell>
        </row>
        <row r="475">
          <cell r="A475">
            <v>45492</v>
          </cell>
          <cell r="B475">
            <v>0</v>
          </cell>
          <cell r="C475">
            <v>0</v>
          </cell>
          <cell r="E475">
            <v>0</v>
          </cell>
          <cell r="F475">
            <v>0</v>
          </cell>
        </row>
        <row r="476">
          <cell r="A476">
            <v>45495</v>
          </cell>
          <cell r="B476">
            <v>0</v>
          </cell>
          <cell r="C476">
            <v>0</v>
          </cell>
          <cell r="E476">
            <v>0</v>
          </cell>
          <cell r="F476">
            <v>0</v>
          </cell>
        </row>
        <row r="477">
          <cell r="A477">
            <v>45496</v>
          </cell>
          <cell r="B477">
            <v>0</v>
          </cell>
          <cell r="C477">
            <v>0</v>
          </cell>
          <cell r="E477">
            <v>0</v>
          </cell>
          <cell r="F477">
            <v>0</v>
          </cell>
        </row>
        <row r="478">
          <cell r="A478">
            <v>45497</v>
          </cell>
          <cell r="B478">
            <v>0</v>
          </cell>
          <cell r="C478">
            <v>0</v>
          </cell>
          <cell r="E478">
            <v>0</v>
          </cell>
          <cell r="F478">
            <v>0</v>
          </cell>
        </row>
        <row r="479">
          <cell r="A479">
            <v>45498</v>
          </cell>
          <cell r="B479">
            <v>0</v>
          </cell>
          <cell r="C479">
            <v>0</v>
          </cell>
          <cell r="E479">
            <v>0</v>
          </cell>
          <cell r="F479">
            <v>0</v>
          </cell>
        </row>
        <row r="480">
          <cell r="A480">
            <v>45499</v>
          </cell>
          <cell r="B480">
            <v>0</v>
          </cell>
          <cell r="C480">
            <v>0</v>
          </cell>
          <cell r="E480">
            <v>0</v>
          </cell>
          <cell r="F480">
            <v>0</v>
          </cell>
        </row>
        <row r="481">
          <cell r="A481">
            <v>45502</v>
          </cell>
          <cell r="B481">
            <v>0</v>
          </cell>
          <cell r="C481">
            <v>0</v>
          </cell>
          <cell r="E481">
            <v>0</v>
          </cell>
          <cell r="F481">
            <v>0</v>
          </cell>
        </row>
        <row r="482">
          <cell r="A482">
            <v>45503</v>
          </cell>
          <cell r="B482">
            <v>0</v>
          </cell>
          <cell r="C482">
            <v>0</v>
          </cell>
          <cell r="E482">
            <v>0</v>
          </cell>
          <cell r="F482">
            <v>0</v>
          </cell>
        </row>
        <row r="483">
          <cell r="A483">
            <v>45504</v>
          </cell>
          <cell r="B483">
            <v>0</v>
          </cell>
          <cell r="C483">
            <v>0</v>
          </cell>
          <cell r="E483">
            <v>0</v>
          </cell>
          <cell r="F483">
            <v>0</v>
          </cell>
        </row>
        <row r="484">
          <cell r="A484">
            <v>45505</v>
          </cell>
          <cell r="B484">
            <v>0</v>
          </cell>
          <cell r="C484">
            <v>0</v>
          </cell>
          <cell r="E484">
            <v>0</v>
          </cell>
          <cell r="F484">
            <v>0</v>
          </cell>
        </row>
        <row r="485">
          <cell r="A485">
            <v>45506</v>
          </cell>
          <cell r="B485">
            <v>0</v>
          </cell>
          <cell r="C485">
            <v>0</v>
          </cell>
          <cell r="E485">
            <v>0</v>
          </cell>
          <cell r="F485">
            <v>0</v>
          </cell>
        </row>
        <row r="486">
          <cell r="A486">
            <v>45509</v>
          </cell>
          <cell r="B486">
            <v>0</v>
          </cell>
          <cell r="C486">
            <v>0</v>
          </cell>
          <cell r="E486">
            <v>0</v>
          </cell>
          <cell r="F486">
            <v>-41000</v>
          </cell>
        </row>
        <row r="487">
          <cell r="A487">
            <v>45510</v>
          </cell>
          <cell r="B487">
            <v>0</v>
          </cell>
          <cell r="C487">
            <v>0</v>
          </cell>
          <cell r="E487">
            <v>0</v>
          </cell>
          <cell r="F487">
            <v>0</v>
          </cell>
        </row>
        <row r="488">
          <cell r="A488">
            <v>45511</v>
          </cell>
          <cell r="B488">
            <v>0</v>
          </cell>
          <cell r="C488">
            <v>0</v>
          </cell>
          <cell r="E488">
            <v>0</v>
          </cell>
          <cell r="F488">
            <v>0</v>
          </cell>
        </row>
        <row r="489">
          <cell r="A489">
            <v>45512</v>
          </cell>
          <cell r="B489">
            <v>0</v>
          </cell>
          <cell r="C489">
            <v>0</v>
          </cell>
          <cell r="E489">
            <v>0</v>
          </cell>
          <cell r="F489">
            <v>0</v>
          </cell>
        </row>
        <row r="490">
          <cell r="A490">
            <v>45513</v>
          </cell>
          <cell r="B490">
            <v>0</v>
          </cell>
          <cell r="C490">
            <v>0</v>
          </cell>
          <cell r="E490">
            <v>0</v>
          </cell>
          <cell r="F490">
            <v>0</v>
          </cell>
        </row>
        <row r="491">
          <cell r="A491">
            <v>45516</v>
          </cell>
          <cell r="B491">
            <v>0</v>
          </cell>
          <cell r="C491">
            <v>0</v>
          </cell>
          <cell r="E491">
            <v>0</v>
          </cell>
          <cell r="F491">
            <v>0</v>
          </cell>
        </row>
        <row r="492">
          <cell r="A492">
            <v>45517</v>
          </cell>
          <cell r="B492">
            <v>0</v>
          </cell>
          <cell r="C492">
            <v>0</v>
          </cell>
          <cell r="E492">
            <v>0</v>
          </cell>
          <cell r="F492">
            <v>0</v>
          </cell>
        </row>
        <row r="493">
          <cell r="A493">
            <v>45518</v>
          </cell>
          <cell r="B493">
            <v>0</v>
          </cell>
          <cell r="C493">
            <v>0</v>
          </cell>
          <cell r="E493">
            <v>0</v>
          </cell>
          <cell r="F493">
            <v>0</v>
          </cell>
        </row>
        <row r="494">
          <cell r="A494">
            <v>45519</v>
          </cell>
          <cell r="B494">
            <v>0</v>
          </cell>
          <cell r="C494">
            <v>0</v>
          </cell>
          <cell r="E494">
            <v>0</v>
          </cell>
          <cell r="F494">
            <v>0</v>
          </cell>
        </row>
        <row r="495">
          <cell r="A495">
            <v>45520</v>
          </cell>
          <cell r="B495">
            <v>0</v>
          </cell>
          <cell r="C495">
            <v>0</v>
          </cell>
          <cell r="E495">
            <v>0</v>
          </cell>
          <cell r="F495">
            <v>0</v>
          </cell>
        </row>
        <row r="496">
          <cell r="A496">
            <v>45523</v>
          </cell>
          <cell r="B496">
            <v>0</v>
          </cell>
          <cell r="C496">
            <v>0</v>
          </cell>
          <cell r="E496">
            <v>0</v>
          </cell>
          <cell r="F496">
            <v>0</v>
          </cell>
        </row>
        <row r="497">
          <cell r="A497">
            <v>45524</v>
          </cell>
          <cell r="B497">
            <v>0</v>
          </cell>
          <cell r="C497">
            <v>0</v>
          </cell>
          <cell r="E497">
            <v>0</v>
          </cell>
          <cell r="F497">
            <v>0</v>
          </cell>
        </row>
        <row r="498">
          <cell r="A498">
            <v>45525</v>
          </cell>
          <cell r="B498">
            <v>50000</v>
          </cell>
          <cell r="C498">
            <v>0</v>
          </cell>
          <cell r="E498">
            <v>50000</v>
          </cell>
          <cell r="F498">
            <v>0</v>
          </cell>
        </row>
        <row r="499">
          <cell r="A499">
            <v>45526</v>
          </cell>
          <cell r="B499">
            <v>100000</v>
          </cell>
          <cell r="C499">
            <v>0</v>
          </cell>
          <cell r="E499">
            <v>100000</v>
          </cell>
          <cell r="F499">
            <v>0</v>
          </cell>
        </row>
        <row r="500">
          <cell r="A500">
            <v>45527</v>
          </cell>
          <cell r="B500">
            <v>0</v>
          </cell>
          <cell r="C500">
            <v>0</v>
          </cell>
          <cell r="E500">
            <v>0</v>
          </cell>
          <cell r="F500">
            <v>0</v>
          </cell>
        </row>
        <row r="501">
          <cell r="A501">
            <v>45530</v>
          </cell>
          <cell r="B501">
            <v>0</v>
          </cell>
          <cell r="C501">
            <v>0</v>
          </cell>
          <cell r="E501">
            <v>0</v>
          </cell>
          <cell r="F501">
            <v>0</v>
          </cell>
        </row>
        <row r="502">
          <cell r="A502">
            <v>45531</v>
          </cell>
          <cell r="B502">
            <v>0</v>
          </cell>
          <cell r="C502">
            <v>0</v>
          </cell>
          <cell r="E502">
            <v>0</v>
          </cell>
          <cell r="F502">
            <v>0</v>
          </cell>
        </row>
        <row r="503">
          <cell r="A503">
            <v>45532</v>
          </cell>
          <cell r="B503">
            <v>0</v>
          </cell>
          <cell r="C503">
            <v>0</v>
          </cell>
          <cell r="E503">
            <v>0</v>
          </cell>
          <cell r="F503">
            <v>0</v>
          </cell>
        </row>
        <row r="504">
          <cell r="A504">
            <v>45533</v>
          </cell>
          <cell r="B504">
            <v>0</v>
          </cell>
          <cell r="C504">
            <v>0</v>
          </cell>
          <cell r="E504">
            <v>0</v>
          </cell>
          <cell r="F504">
            <v>0</v>
          </cell>
        </row>
        <row r="505">
          <cell r="A505">
            <v>45534</v>
          </cell>
          <cell r="B505">
            <v>0</v>
          </cell>
          <cell r="C505">
            <v>0</v>
          </cell>
          <cell r="E505">
            <v>0</v>
          </cell>
          <cell r="F505">
            <v>0</v>
          </cell>
        </row>
        <row r="506">
          <cell r="A506">
            <v>45537</v>
          </cell>
          <cell r="B506">
            <v>0</v>
          </cell>
          <cell r="C506">
            <v>0</v>
          </cell>
          <cell r="E506">
            <v>0</v>
          </cell>
          <cell r="F506">
            <v>0</v>
          </cell>
        </row>
        <row r="507">
          <cell r="A507">
            <v>45538</v>
          </cell>
          <cell r="B507">
            <v>0</v>
          </cell>
          <cell r="C507">
            <v>0</v>
          </cell>
          <cell r="E507">
            <v>0</v>
          </cell>
          <cell r="F507">
            <v>0</v>
          </cell>
        </row>
        <row r="508">
          <cell r="A508">
            <v>45539</v>
          </cell>
          <cell r="B508">
            <v>0</v>
          </cell>
          <cell r="C508">
            <v>0</v>
          </cell>
          <cell r="E508">
            <v>0</v>
          </cell>
          <cell r="F508">
            <v>-42500</v>
          </cell>
        </row>
        <row r="509">
          <cell r="A509">
            <v>45540</v>
          </cell>
          <cell r="B509">
            <v>0</v>
          </cell>
          <cell r="C509">
            <v>0</v>
          </cell>
          <cell r="E509">
            <v>0</v>
          </cell>
          <cell r="F509">
            <v>0</v>
          </cell>
        </row>
        <row r="510">
          <cell r="A510">
            <v>45541</v>
          </cell>
          <cell r="B510">
            <v>0</v>
          </cell>
          <cell r="C510">
            <v>0</v>
          </cell>
          <cell r="E510">
            <v>0</v>
          </cell>
          <cell r="F510">
            <v>0</v>
          </cell>
        </row>
        <row r="511">
          <cell r="A511">
            <v>45544</v>
          </cell>
          <cell r="B511">
            <v>0</v>
          </cell>
          <cell r="C511">
            <v>0</v>
          </cell>
          <cell r="E511">
            <v>0</v>
          </cell>
          <cell r="F511">
            <v>0</v>
          </cell>
        </row>
        <row r="512">
          <cell r="A512">
            <v>45545</v>
          </cell>
          <cell r="B512">
            <v>0</v>
          </cell>
          <cell r="C512">
            <v>0</v>
          </cell>
          <cell r="E512">
            <v>0</v>
          </cell>
          <cell r="F512">
            <v>0</v>
          </cell>
        </row>
        <row r="513">
          <cell r="A513">
            <v>45546</v>
          </cell>
          <cell r="B513">
            <v>0</v>
          </cell>
          <cell r="C513">
            <v>0</v>
          </cell>
          <cell r="E513">
            <v>0</v>
          </cell>
          <cell r="F513">
            <v>0</v>
          </cell>
        </row>
        <row r="514">
          <cell r="A514">
            <v>45547</v>
          </cell>
          <cell r="B514">
            <v>0</v>
          </cell>
          <cell r="C514">
            <v>0</v>
          </cell>
          <cell r="E514">
            <v>0</v>
          </cell>
          <cell r="F514">
            <v>0</v>
          </cell>
        </row>
        <row r="515">
          <cell r="A515">
            <v>45548</v>
          </cell>
          <cell r="B515">
            <v>0</v>
          </cell>
          <cell r="C515">
            <v>0</v>
          </cell>
          <cell r="E515">
            <v>0</v>
          </cell>
          <cell r="F515">
            <v>0</v>
          </cell>
        </row>
        <row r="516">
          <cell r="A516">
            <v>45551</v>
          </cell>
          <cell r="B516">
            <v>0</v>
          </cell>
          <cell r="C516">
            <v>0</v>
          </cell>
          <cell r="E516">
            <v>0</v>
          </cell>
          <cell r="F516">
            <v>0</v>
          </cell>
        </row>
        <row r="517">
          <cell r="A517">
            <v>45552</v>
          </cell>
          <cell r="B517">
            <v>0</v>
          </cell>
          <cell r="C517">
            <v>0</v>
          </cell>
          <cell r="E517">
            <v>0</v>
          </cell>
          <cell r="F517">
            <v>0</v>
          </cell>
        </row>
        <row r="518">
          <cell r="A518">
            <v>45553</v>
          </cell>
          <cell r="B518">
            <v>0</v>
          </cell>
          <cell r="C518">
            <v>0</v>
          </cell>
          <cell r="E518">
            <v>0</v>
          </cell>
          <cell r="F518">
            <v>0</v>
          </cell>
        </row>
        <row r="519">
          <cell r="A519">
            <v>45554</v>
          </cell>
          <cell r="B519">
            <v>0</v>
          </cell>
          <cell r="C519">
            <v>0</v>
          </cell>
          <cell r="E519">
            <v>0</v>
          </cell>
          <cell r="F519">
            <v>0</v>
          </cell>
        </row>
        <row r="520">
          <cell r="A520">
            <v>45555</v>
          </cell>
          <cell r="B520">
            <v>0</v>
          </cell>
          <cell r="C520">
            <v>0</v>
          </cell>
          <cell r="E520">
            <v>0</v>
          </cell>
          <cell r="F520">
            <v>0</v>
          </cell>
        </row>
        <row r="521">
          <cell r="A521">
            <v>45558</v>
          </cell>
          <cell r="B521">
            <v>0</v>
          </cell>
          <cell r="C521">
            <v>-32000</v>
          </cell>
          <cell r="E521">
            <v>0</v>
          </cell>
          <cell r="F521">
            <v>-32000</v>
          </cell>
        </row>
        <row r="522">
          <cell r="A522">
            <v>45559</v>
          </cell>
          <cell r="B522">
            <v>0</v>
          </cell>
          <cell r="C522">
            <v>0</v>
          </cell>
          <cell r="E522">
            <v>0</v>
          </cell>
          <cell r="F522">
            <v>0</v>
          </cell>
        </row>
        <row r="523">
          <cell r="A523">
            <v>45560</v>
          </cell>
          <cell r="B523">
            <v>0</v>
          </cell>
          <cell r="C523">
            <v>0</v>
          </cell>
          <cell r="E523">
            <v>0</v>
          </cell>
          <cell r="F523">
            <v>0</v>
          </cell>
        </row>
        <row r="524">
          <cell r="A524">
            <v>45561</v>
          </cell>
          <cell r="B524">
            <v>0</v>
          </cell>
          <cell r="C524">
            <v>0</v>
          </cell>
          <cell r="E524">
            <v>0</v>
          </cell>
          <cell r="F524">
            <v>0</v>
          </cell>
        </row>
        <row r="525">
          <cell r="A525">
            <v>45562</v>
          </cell>
          <cell r="B525">
            <v>0</v>
          </cell>
          <cell r="C525">
            <v>0</v>
          </cell>
          <cell r="E525">
            <v>0</v>
          </cell>
          <cell r="F525">
            <v>0</v>
          </cell>
        </row>
        <row r="526">
          <cell r="A526">
            <v>45565</v>
          </cell>
          <cell r="B526">
            <v>0</v>
          </cell>
          <cell r="C526">
            <v>0</v>
          </cell>
          <cell r="E526">
            <v>0</v>
          </cell>
          <cell r="F526">
            <v>0</v>
          </cell>
        </row>
        <row r="527">
          <cell r="A527">
            <v>45566</v>
          </cell>
          <cell r="B527">
            <v>0</v>
          </cell>
          <cell r="C527">
            <v>0</v>
          </cell>
          <cell r="E527">
            <v>0</v>
          </cell>
          <cell r="F527">
            <v>0</v>
          </cell>
        </row>
        <row r="528">
          <cell r="A528">
            <v>45567</v>
          </cell>
          <cell r="B528">
            <v>0</v>
          </cell>
          <cell r="C528">
            <v>0</v>
          </cell>
          <cell r="E528">
            <v>0</v>
          </cell>
          <cell r="F528">
            <v>0</v>
          </cell>
        </row>
        <row r="529">
          <cell r="A529">
            <v>45568</v>
          </cell>
          <cell r="B529">
            <v>0</v>
          </cell>
          <cell r="C529">
            <v>0</v>
          </cell>
          <cell r="E529">
            <v>0</v>
          </cell>
          <cell r="F529">
            <v>-39200</v>
          </cell>
        </row>
        <row r="530">
          <cell r="A530">
            <v>45569</v>
          </cell>
          <cell r="B530">
            <v>0</v>
          </cell>
          <cell r="C530">
            <v>0</v>
          </cell>
          <cell r="E530">
            <v>0</v>
          </cell>
          <cell r="F530">
            <v>0</v>
          </cell>
        </row>
        <row r="531">
          <cell r="A531">
            <v>45572</v>
          </cell>
          <cell r="B531">
            <v>0</v>
          </cell>
          <cell r="C531">
            <v>0</v>
          </cell>
          <cell r="E531">
            <v>0</v>
          </cell>
          <cell r="F531">
            <v>0</v>
          </cell>
        </row>
        <row r="532">
          <cell r="A532">
            <v>45573</v>
          </cell>
          <cell r="B532">
            <v>0</v>
          </cell>
          <cell r="C532">
            <v>0</v>
          </cell>
          <cell r="E532">
            <v>0</v>
          </cell>
          <cell r="F532">
            <v>0</v>
          </cell>
        </row>
        <row r="533">
          <cell r="A533">
            <v>45574</v>
          </cell>
          <cell r="B533">
            <v>0</v>
          </cell>
          <cell r="C533">
            <v>0</v>
          </cell>
          <cell r="E533">
            <v>0</v>
          </cell>
          <cell r="F533">
            <v>0</v>
          </cell>
        </row>
        <row r="534">
          <cell r="A534">
            <v>45575</v>
          </cell>
          <cell r="B534">
            <v>0</v>
          </cell>
          <cell r="C534">
            <v>0</v>
          </cell>
          <cell r="E534">
            <v>0</v>
          </cell>
          <cell r="F534">
            <v>0</v>
          </cell>
        </row>
        <row r="535">
          <cell r="A535">
            <v>45576</v>
          </cell>
          <cell r="B535">
            <v>0</v>
          </cell>
          <cell r="C535">
            <v>0</v>
          </cell>
          <cell r="E535">
            <v>0</v>
          </cell>
          <cell r="F535">
            <v>0</v>
          </cell>
        </row>
        <row r="536">
          <cell r="A536">
            <v>45579</v>
          </cell>
          <cell r="B536">
            <v>0</v>
          </cell>
          <cell r="C536">
            <v>0</v>
          </cell>
          <cell r="E536">
            <v>0</v>
          </cell>
          <cell r="F536">
            <v>0</v>
          </cell>
        </row>
        <row r="537">
          <cell r="A537">
            <v>45580</v>
          </cell>
          <cell r="B537">
            <v>0</v>
          </cell>
          <cell r="C537">
            <v>0</v>
          </cell>
          <cell r="E537">
            <v>0</v>
          </cell>
          <cell r="F537">
            <v>0</v>
          </cell>
        </row>
        <row r="538">
          <cell r="A538">
            <v>45581</v>
          </cell>
          <cell r="B538">
            <v>0</v>
          </cell>
          <cell r="C538">
            <v>0</v>
          </cell>
          <cell r="E538">
            <v>0</v>
          </cell>
          <cell r="F538">
            <v>0</v>
          </cell>
        </row>
        <row r="539">
          <cell r="A539">
            <v>45582</v>
          </cell>
          <cell r="B539">
            <v>0</v>
          </cell>
          <cell r="C539">
            <v>0</v>
          </cell>
          <cell r="E539">
            <v>0</v>
          </cell>
          <cell r="F539">
            <v>0</v>
          </cell>
        </row>
        <row r="540">
          <cell r="A540">
            <v>45583</v>
          </cell>
          <cell r="B540">
            <v>0</v>
          </cell>
          <cell r="C540">
            <v>-35777.30814053482</v>
          </cell>
          <cell r="E540">
            <v>0</v>
          </cell>
          <cell r="F540">
            <v>-42000</v>
          </cell>
        </row>
        <row r="541">
          <cell r="A541">
            <v>45586</v>
          </cell>
          <cell r="B541">
            <v>0</v>
          </cell>
          <cell r="C541">
            <v>0</v>
          </cell>
          <cell r="E541">
            <v>0</v>
          </cell>
          <cell r="F541">
            <v>0</v>
          </cell>
        </row>
        <row r="542">
          <cell r="A542">
            <v>45587</v>
          </cell>
          <cell r="B542">
            <v>0</v>
          </cell>
          <cell r="C542">
            <v>0</v>
          </cell>
          <cell r="E542">
            <v>0</v>
          </cell>
          <cell r="F542">
            <v>0</v>
          </cell>
        </row>
        <row r="543">
          <cell r="A543">
            <v>45588</v>
          </cell>
          <cell r="B543">
            <v>0</v>
          </cell>
          <cell r="C543">
            <v>0</v>
          </cell>
          <cell r="E543">
            <v>0</v>
          </cell>
          <cell r="F543">
            <v>0</v>
          </cell>
        </row>
        <row r="544">
          <cell r="A544">
            <v>45589</v>
          </cell>
          <cell r="B544">
            <v>0</v>
          </cell>
          <cell r="C544">
            <v>0</v>
          </cell>
          <cell r="E544">
            <v>0</v>
          </cell>
          <cell r="F544">
            <v>0</v>
          </cell>
        </row>
        <row r="545">
          <cell r="A545">
            <v>45590</v>
          </cell>
          <cell r="B545">
            <v>0</v>
          </cell>
          <cell r="C545">
            <v>0</v>
          </cell>
          <cell r="E545">
            <v>0</v>
          </cell>
          <cell r="F545">
            <v>0</v>
          </cell>
        </row>
        <row r="546">
          <cell r="A546">
            <v>45593</v>
          </cell>
          <cell r="B546">
            <v>0</v>
          </cell>
          <cell r="C546">
            <v>0</v>
          </cell>
          <cell r="E546">
            <v>0</v>
          </cell>
          <cell r="F546">
            <v>0</v>
          </cell>
        </row>
        <row r="547">
          <cell r="A547">
            <v>45594</v>
          </cell>
          <cell r="B547">
            <v>0</v>
          </cell>
          <cell r="C547">
            <v>0</v>
          </cell>
          <cell r="E547">
            <v>0</v>
          </cell>
          <cell r="F547">
            <v>0</v>
          </cell>
        </row>
        <row r="548">
          <cell r="A548">
            <v>45595</v>
          </cell>
          <cell r="B548">
            <v>0</v>
          </cell>
          <cell r="C548">
            <v>0</v>
          </cell>
          <cell r="E548">
            <v>0</v>
          </cell>
          <cell r="F548">
            <v>0</v>
          </cell>
        </row>
        <row r="549">
          <cell r="A549">
            <v>45596</v>
          </cell>
          <cell r="B549">
            <v>0</v>
          </cell>
          <cell r="C549">
            <v>0</v>
          </cell>
          <cell r="E549">
            <v>0</v>
          </cell>
          <cell r="F549">
            <v>0</v>
          </cell>
        </row>
        <row r="550">
          <cell r="A550">
            <v>45597</v>
          </cell>
          <cell r="B550">
            <v>0</v>
          </cell>
          <cell r="C550">
            <v>0</v>
          </cell>
          <cell r="E550">
            <v>0</v>
          </cell>
          <cell r="F550">
            <v>0</v>
          </cell>
        </row>
        <row r="551">
          <cell r="A551">
            <v>45600</v>
          </cell>
          <cell r="B551">
            <v>0</v>
          </cell>
          <cell r="C551">
            <v>0</v>
          </cell>
          <cell r="E551">
            <v>0</v>
          </cell>
          <cell r="F551">
            <v>0</v>
          </cell>
        </row>
        <row r="552">
          <cell r="A552">
            <v>45601</v>
          </cell>
          <cell r="B552">
            <v>0</v>
          </cell>
          <cell r="C552">
            <v>0</v>
          </cell>
          <cell r="E552">
            <v>0</v>
          </cell>
          <cell r="F552">
            <v>-41000</v>
          </cell>
        </row>
        <row r="553">
          <cell r="A553">
            <v>45602</v>
          </cell>
          <cell r="B553">
            <v>0</v>
          </cell>
          <cell r="C553">
            <v>0</v>
          </cell>
          <cell r="E553">
            <v>0</v>
          </cell>
          <cell r="F553">
            <v>0</v>
          </cell>
        </row>
        <row r="554">
          <cell r="A554">
            <v>45603</v>
          </cell>
          <cell r="B554">
            <v>0</v>
          </cell>
          <cell r="C554">
            <v>0</v>
          </cell>
          <cell r="E554">
            <v>0</v>
          </cell>
          <cell r="F554">
            <v>0</v>
          </cell>
        </row>
        <row r="555">
          <cell r="A555">
            <v>45604</v>
          </cell>
          <cell r="B555">
            <v>0</v>
          </cell>
          <cell r="C555">
            <v>0</v>
          </cell>
          <cell r="E555">
            <v>0</v>
          </cell>
          <cell r="F555">
            <v>0</v>
          </cell>
        </row>
        <row r="556">
          <cell r="A556">
            <v>45607</v>
          </cell>
          <cell r="B556">
            <v>0</v>
          </cell>
          <cell r="C556">
            <v>0</v>
          </cell>
          <cell r="E556">
            <v>0</v>
          </cell>
          <cell r="F556">
            <v>0</v>
          </cell>
        </row>
        <row r="557">
          <cell r="A557">
            <v>45608</v>
          </cell>
          <cell r="B557">
            <v>0</v>
          </cell>
          <cell r="C557">
            <v>0</v>
          </cell>
          <cell r="E557">
            <v>0</v>
          </cell>
          <cell r="F557">
            <v>0</v>
          </cell>
        </row>
        <row r="558">
          <cell r="A558">
            <v>45609</v>
          </cell>
          <cell r="B558">
            <v>0</v>
          </cell>
          <cell r="C558">
            <v>0</v>
          </cell>
          <cell r="E558">
            <v>0</v>
          </cell>
          <cell r="F558">
            <v>0</v>
          </cell>
        </row>
        <row r="559">
          <cell r="A559">
            <v>45610</v>
          </cell>
          <cell r="B559">
            <v>0</v>
          </cell>
          <cell r="C559">
            <v>0</v>
          </cell>
          <cell r="E559">
            <v>0</v>
          </cell>
          <cell r="F559">
            <v>0</v>
          </cell>
        </row>
        <row r="560">
          <cell r="A560">
            <v>45611</v>
          </cell>
          <cell r="B560">
            <v>0</v>
          </cell>
          <cell r="C560">
            <v>0</v>
          </cell>
          <cell r="E560">
            <v>0</v>
          </cell>
          <cell r="F560">
            <v>0</v>
          </cell>
        </row>
        <row r="561">
          <cell r="A561">
            <v>45614</v>
          </cell>
          <cell r="B561">
            <v>0</v>
          </cell>
          <cell r="C561">
            <v>0</v>
          </cell>
          <cell r="E561">
            <v>0</v>
          </cell>
          <cell r="F561">
            <v>0</v>
          </cell>
        </row>
        <row r="562">
          <cell r="A562">
            <v>45615</v>
          </cell>
          <cell r="B562">
            <v>0</v>
          </cell>
          <cell r="C562">
            <v>0</v>
          </cell>
          <cell r="E562">
            <v>0</v>
          </cell>
          <cell r="F562">
            <v>0</v>
          </cell>
        </row>
        <row r="563">
          <cell r="A563">
            <v>45616</v>
          </cell>
          <cell r="B563">
            <v>0</v>
          </cell>
          <cell r="C563">
            <v>0</v>
          </cell>
          <cell r="E563">
            <v>0</v>
          </cell>
          <cell r="F563">
            <v>0</v>
          </cell>
        </row>
        <row r="564">
          <cell r="A564">
            <v>45617</v>
          </cell>
          <cell r="B564">
            <v>0</v>
          </cell>
          <cell r="C564">
            <v>0</v>
          </cell>
          <cell r="E564">
            <v>0</v>
          </cell>
          <cell r="F564">
            <v>0</v>
          </cell>
        </row>
        <row r="565">
          <cell r="A565">
            <v>45618</v>
          </cell>
          <cell r="B565">
            <v>0</v>
          </cell>
          <cell r="C565">
            <v>0</v>
          </cell>
          <cell r="E565">
            <v>0</v>
          </cell>
          <cell r="F565">
            <v>0</v>
          </cell>
        </row>
        <row r="566">
          <cell r="A566">
            <v>45621</v>
          </cell>
          <cell r="B566">
            <v>0</v>
          </cell>
          <cell r="C566">
            <v>0</v>
          </cell>
          <cell r="E566">
            <v>0</v>
          </cell>
          <cell r="F566">
            <v>0</v>
          </cell>
        </row>
        <row r="567">
          <cell r="A567">
            <v>45622</v>
          </cell>
          <cell r="B567">
            <v>0</v>
          </cell>
          <cell r="C567">
            <v>0</v>
          </cell>
          <cell r="E567">
            <v>0</v>
          </cell>
          <cell r="F567">
            <v>0</v>
          </cell>
        </row>
        <row r="568">
          <cell r="A568">
            <v>45623</v>
          </cell>
          <cell r="B568">
            <v>0</v>
          </cell>
          <cell r="C568">
            <v>0</v>
          </cell>
          <cell r="E568">
            <v>0</v>
          </cell>
          <cell r="F568">
            <v>0</v>
          </cell>
        </row>
        <row r="569">
          <cell r="A569">
            <v>45624</v>
          </cell>
          <cell r="B569">
            <v>0</v>
          </cell>
          <cell r="C569">
            <v>0</v>
          </cell>
          <cell r="E569">
            <v>0</v>
          </cell>
          <cell r="F569">
            <v>0</v>
          </cell>
        </row>
        <row r="570">
          <cell r="A570">
            <v>45625</v>
          </cell>
          <cell r="B570">
            <v>0</v>
          </cell>
          <cell r="C570">
            <v>0</v>
          </cell>
          <cell r="E570">
            <v>0</v>
          </cell>
          <cell r="F570">
            <v>0</v>
          </cell>
        </row>
        <row r="571">
          <cell r="A571">
            <v>45628</v>
          </cell>
          <cell r="B571">
            <v>0</v>
          </cell>
          <cell r="C571">
            <v>0</v>
          </cell>
          <cell r="E571">
            <v>0</v>
          </cell>
          <cell r="F571">
            <v>0</v>
          </cell>
        </row>
        <row r="572">
          <cell r="A572">
            <v>45629</v>
          </cell>
          <cell r="B572">
            <v>0</v>
          </cell>
          <cell r="C572">
            <v>0</v>
          </cell>
          <cell r="E572">
            <v>0</v>
          </cell>
          <cell r="F572">
            <v>0</v>
          </cell>
        </row>
        <row r="573">
          <cell r="A573">
            <v>45630</v>
          </cell>
          <cell r="B573">
            <v>0</v>
          </cell>
          <cell r="C573">
            <v>0</v>
          </cell>
          <cell r="E573">
            <v>0</v>
          </cell>
          <cell r="F573">
            <v>-33200</v>
          </cell>
        </row>
        <row r="574">
          <cell r="A574">
            <v>45631</v>
          </cell>
          <cell r="B574">
            <v>0</v>
          </cell>
          <cell r="C574">
            <v>0</v>
          </cell>
          <cell r="E574">
            <v>0</v>
          </cell>
          <cell r="F574">
            <v>0</v>
          </cell>
        </row>
        <row r="575">
          <cell r="A575">
            <v>45632</v>
          </cell>
          <cell r="B575">
            <v>0</v>
          </cell>
          <cell r="C575">
            <v>0</v>
          </cell>
          <cell r="E575">
            <v>0</v>
          </cell>
          <cell r="F575">
            <v>0</v>
          </cell>
        </row>
        <row r="576">
          <cell r="A576">
            <v>45635</v>
          </cell>
          <cell r="B576">
            <v>0</v>
          </cell>
          <cell r="C576">
            <v>0</v>
          </cell>
          <cell r="E576">
            <v>0</v>
          </cell>
          <cell r="F576">
            <v>0</v>
          </cell>
        </row>
        <row r="577">
          <cell r="A577">
            <v>45636</v>
          </cell>
          <cell r="B577">
            <v>0</v>
          </cell>
          <cell r="C577">
            <v>0</v>
          </cell>
          <cell r="E577">
            <v>0</v>
          </cell>
          <cell r="F577">
            <v>0</v>
          </cell>
        </row>
        <row r="578">
          <cell r="A578">
            <v>45637</v>
          </cell>
          <cell r="B578">
            <v>0</v>
          </cell>
          <cell r="C578">
            <v>0</v>
          </cell>
          <cell r="E578">
            <v>0</v>
          </cell>
          <cell r="F578">
            <v>0</v>
          </cell>
        </row>
        <row r="579">
          <cell r="A579">
            <v>45638</v>
          </cell>
          <cell r="B579">
            <v>0</v>
          </cell>
          <cell r="C579">
            <v>0</v>
          </cell>
          <cell r="E579">
            <v>0</v>
          </cell>
          <cell r="F579">
            <v>0</v>
          </cell>
        </row>
        <row r="580">
          <cell r="A580">
            <v>45639</v>
          </cell>
          <cell r="B580">
            <v>0</v>
          </cell>
          <cell r="C580">
            <v>0</v>
          </cell>
          <cell r="E580">
            <v>0</v>
          </cell>
          <cell r="F580">
            <v>0</v>
          </cell>
        </row>
        <row r="581">
          <cell r="A581">
            <v>45642</v>
          </cell>
          <cell r="B581">
            <v>0</v>
          </cell>
          <cell r="C581">
            <v>0</v>
          </cell>
          <cell r="E581">
            <v>0</v>
          </cell>
          <cell r="F581">
            <v>0</v>
          </cell>
        </row>
        <row r="582">
          <cell r="A582">
            <v>45643</v>
          </cell>
          <cell r="B582">
            <v>0</v>
          </cell>
          <cell r="C582">
            <v>0</v>
          </cell>
          <cell r="E582">
            <v>0</v>
          </cell>
          <cell r="F582">
            <v>0</v>
          </cell>
        </row>
        <row r="583">
          <cell r="A583">
            <v>45644</v>
          </cell>
          <cell r="B583">
            <v>0</v>
          </cell>
          <cell r="C583">
            <v>0</v>
          </cell>
          <cell r="E583">
            <v>0</v>
          </cell>
          <cell r="F583">
            <v>0</v>
          </cell>
        </row>
        <row r="584">
          <cell r="A584">
            <v>45645</v>
          </cell>
          <cell r="B584">
            <v>0</v>
          </cell>
          <cell r="C584">
            <v>0</v>
          </cell>
          <cell r="E584">
            <v>0</v>
          </cell>
          <cell r="F584">
            <v>0</v>
          </cell>
        </row>
        <row r="585">
          <cell r="A585">
            <v>45646</v>
          </cell>
          <cell r="B585">
            <v>0</v>
          </cell>
          <cell r="C585">
            <v>0</v>
          </cell>
          <cell r="E585">
            <v>0</v>
          </cell>
          <cell r="F585">
            <v>0</v>
          </cell>
        </row>
        <row r="586">
          <cell r="A586">
            <v>45649</v>
          </cell>
          <cell r="B586">
            <v>0</v>
          </cell>
          <cell r="C586">
            <v>0</v>
          </cell>
          <cell r="E586">
            <v>0</v>
          </cell>
          <cell r="F586">
            <v>0</v>
          </cell>
        </row>
        <row r="587">
          <cell r="A587">
            <v>45650</v>
          </cell>
          <cell r="B587">
            <v>0</v>
          </cell>
          <cell r="C587">
            <v>0</v>
          </cell>
          <cell r="E587">
            <v>0</v>
          </cell>
          <cell r="F587">
            <v>0</v>
          </cell>
        </row>
        <row r="588">
          <cell r="A588">
            <v>45651</v>
          </cell>
          <cell r="B588">
            <v>0</v>
          </cell>
          <cell r="C588">
            <v>0</v>
          </cell>
          <cell r="E588">
            <v>0</v>
          </cell>
          <cell r="F588">
            <v>0</v>
          </cell>
        </row>
        <row r="589">
          <cell r="A589">
            <v>45652</v>
          </cell>
          <cell r="B589">
            <v>0</v>
          </cell>
          <cell r="C589">
            <v>0</v>
          </cell>
          <cell r="E589">
            <v>0</v>
          </cell>
          <cell r="F589">
            <v>0</v>
          </cell>
        </row>
        <row r="590">
          <cell r="A590">
            <v>45653</v>
          </cell>
          <cell r="B590">
            <v>0</v>
          </cell>
          <cell r="C590">
            <v>0</v>
          </cell>
          <cell r="E590">
            <v>0</v>
          </cell>
          <cell r="F590">
            <v>0</v>
          </cell>
        </row>
        <row r="591">
          <cell r="A591">
            <v>45656</v>
          </cell>
          <cell r="B591">
            <v>0</v>
          </cell>
          <cell r="C591">
            <v>0</v>
          </cell>
          <cell r="E591">
            <v>0</v>
          </cell>
          <cell r="F591">
            <v>0</v>
          </cell>
        </row>
        <row r="592">
          <cell r="A592">
            <v>45657</v>
          </cell>
          <cell r="B592">
            <v>0</v>
          </cell>
          <cell r="C592">
            <v>0</v>
          </cell>
          <cell r="E592">
            <v>0</v>
          </cell>
          <cell r="F592">
            <v>0</v>
          </cell>
        </row>
        <row r="593">
          <cell r="A593">
            <v>45658</v>
          </cell>
          <cell r="B593">
            <v>0</v>
          </cell>
          <cell r="C593">
            <v>0</v>
          </cell>
          <cell r="E593">
            <v>0</v>
          </cell>
          <cell r="F593">
            <v>0</v>
          </cell>
        </row>
        <row r="594">
          <cell r="A594">
            <v>45659</v>
          </cell>
          <cell r="B594">
            <v>0</v>
          </cell>
          <cell r="C594">
            <v>0</v>
          </cell>
          <cell r="E594">
            <v>0</v>
          </cell>
          <cell r="F594">
            <v>0</v>
          </cell>
        </row>
        <row r="595">
          <cell r="A595">
            <v>45660</v>
          </cell>
          <cell r="B595">
            <v>0</v>
          </cell>
          <cell r="C595">
            <v>0</v>
          </cell>
          <cell r="E595">
            <v>0</v>
          </cell>
          <cell r="F595">
            <v>0</v>
          </cell>
        </row>
        <row r="596">
          <cell r="A596">
            <v>45663</v>
          </cell>
          <cell r="B596">
            <v>0</v>
          </cell>
          <cell r="C596">
            <v>-452758.60197269602</v>
          </cell>
          <cell r="E596">
            <v>0</v>
          </cell>
          <cell r="F596">
            <v>0</v>
          </cell>
        </row>
        <row r="597">
          <cell r="A597">
            <v>45664</v>
          </cell>
          <cell r="B597">
            <v>0</v>
          </cell>
          <cell r="C597">
            <v>0</v>
          </cell>
          <cell r="E597">
            <v>0</v>
          </cell>
          <cell r="F597">
            <v>0</v>
          </cell>
        </row>
        <row r="598">
          <cell r="A598">
            <v>45665</v>
          </cell>
          <cell r="B598">
            <v>0</v>
          </cell>
          <cell r="C598">
            <v>0</v>
          </cell>
          <cell r="E598">
            <v>0</v>
          </cell>
          <cell r="F598">
            <v>0</v>
          </cell>
        </row>
        <row r="599">
          <cell r="A599">
            <v>45666</v>
          </cell>
          <cell r="B599">
            <v>0</v>
          </cell>
          <cell r="C599">
            <v>0</v>
          </cell>
          <cell r="E599">
            <v>0</v>
          </cell>
          <cell r="F599">
            <v>0</v>
          </cell>
        </row>
        <row r="600">
          <cell r="A600">
            <v>45667</v>
          </cell>
          <cell r="B600">
            <v>0</v>
          </cell>
          <cell r="C600">
            <v>0</v>
          </cell>
          <cell r="E600">
            <v>0</v>
          </cell>
          <cell r="F600">
            <v>0</v>
          </cell>
        </row>
        <row r="601">
          <cell r="A601">
            <v>45670</v>
          </cell>
          <cell r="B601">
            <v>0</v>
          </cell>
          <cell r="C601">
            <v>0</v>
          </cell>
          <cell r="E601">
            <v>0</v>
          </cell>
          <cell r="F601">
            <v>0</v>
          </cell>
        </row>
        <row r="602">
          <cell r="A602">
            <v>45671</v>
          </cell>
          <cell r="B602">
            <v>0</v>
          </cell>
          <cell r="C602">
            <v>0</v>
          </cell>
          <cell r="E602">
            <v>0</v>
          </cell>
          <cell r="F602">
            <v>0</v>
          </cell>
        </row>
        <row r="603">
          <cell r="A603">
            <v>45672</v>
          </cell>
          <cell r="B603">
            <v>0</v>
          </cell>
          <cell r="C603">
            <v>0</v>
          </cell>
          <cell r="E603">
            <v>0</v>
          </cell>
          <cell r="F603">
            <v>0</v>
          </cell>
        </row>
        <row r="604">
          <cell r="A604">
            <v>45673</v>
          </cell>
          <cell r="B604">
            <v>0</v>
          </cell>
          <cell r="C604">
            <v>0</v>
          </cell>
          <cell r="E604">
            <v>0</v>
          </cell>
          <cell r="F604">
            <v>0</v>
          </cell>
        </row>
        <row r="605">
          <cell r="A605">
            <v>45674</v>
          </cell>
          <cell r="B605">
            <v>0</v>
          </cell>
          <cell r="C605">
            <v>0</v>
          </cell>
          <cell r="E605">
            <v>0</v>
          </cell>
          <cell r="F605">
            <v>0</v>
          </cell>
        </row>
        <row r="606">
          <cell r="A606">
            <v>45677</v>
          </cell>
          <cell r="B606">
            <v>0</v>
          </cell>
          <cell r="C606">
            <v>-50000</v>
          </cell>
          <cell r="E606">
            <v>0</v>
          </cell>
          <cell r="F606">
            <v>0</v>
          </cell>
        </row>
        <row r="607">
          <cell r="A607">
            <v>45678</v>
          </cell>
          <cell r="B607">
            <v>0</v>
          </cell>
          <cell r="C607">
            <v>0</v>
          </cell>
          <cell r="E607">
            <v>0</v>
          </cell>
          <cell r="F607">
            <v>0</v>
          </cell>
        </row>
        <row r="608">
          <cell r="A608">
            <v>45679</v>
          </cell>
          <cell r="B608">
            <v>0</v>
          </cell>
          <cell r="C608">
            <v>0</v>
          </cell>
          <cell r="E608">
            <v>0</v>
          </cell>
          <cell r="F608">
            <v>0</v>
          </cell>
        </row>
        <row r="609">
          <cell r="A609">
            <v>45680</v>
          </cell>
          <cell r="B609">
            <v>0</v>
          </cell>
          <cell r="C609">
            <v>0</v>
          </cell>
          <cell r="E609">
            <v>0</v>
          </cell>
          <cell r="F609">
            <v>0</v>
          </cell>
        </row>
        <row r="610">
          <cell r="A610">
            <v>45681</v>
          </cell>
          <cell r="B610">
            <v>0</v>
          </cell>
          <cell r="C610">
            <v>0</v>
          </cell>
          <cell r="E610">
            <v>0</v>
          </cell>
          <cell r="F610">
            <v>0</v>
          </cell>
        </row>
        <row r="611">
          <cell r="A611">
            <v>45684</v>
          </cell>
          <cell r="B611">
            <v>0</v>
          </cell>
          <cell r="C611">
            <v>0</v>
          </cell>
          <cell r="E611">
            <v>0</v>
          </cell>
          <cell r="F611">
            <v>0</v>
          </cell>
        </row>
        <row r="612">
          <cell r="A612">
            <v>45685</v>
          </cell>
          <cell r="B612">
            <v>0</v>
          </cell>
          <cell r="C612">
            <v>0</v>
          </cell>
          <cell r="E612">
            <v>0</v>
          </cell>
          <cell r="F612">
            <v>0</v>
          </cell>
        </row>
        <row r="613">
          <cell r="A613">
            <v>45686</v>
          </cell>
          <cell r="B613">
            <v>0</v>
          </cell>
          <cell r="C613">
            <v>0</v>
          </cell>
          <cell r="E613">
            <v>0</v>
          </cell>
          <cell r="F613">
            <v>0</v>
          </cell>
        </row>
        <row r="614">
          <cell r="A614">
            <v>45687</v>
          </cell>
          <cell r="B614">
            <v>0</v>
          </cell>
          <cell r="C614">
            <v>0</v>
          </cell>
          <cell r="E614">
            <v>0</v>
          </cell>
          <cell r="F614">
            <v>0</v>
          </cell>
        </row>
        <row r="615">
          <cell r="A615">
            <v>45688</v>
          </cell>
          <cell r="B615">
            <v>0</v>
          </cell>
          <cell r="C615">
            <v>0</v>
          </cell>
          <cell r="E615">
            <v>0</v>
          </cell>
          <cell r="F615">
            <v>0</v>
          </cell>
        </row>
        <row r="616">
          <cell r="A616">
            <v>45691</v>
          </cell>
          <cell r="B616">
            <v>0</v>
          </cell>
          <cell r="C616">
            <v>0</v>
          </cell>
          <cell r="E616">
            <v>0</v>
          </cell>
          <cell r="F616">
            <v>0</v>
          </cell>
        </row>
        <row r="617">
          <cell r="A617">
            <v>45692</v>
          </cell>
          <cell r="B617">
            <v>0</v>
          </cell>
          <cell r="C617">
            <v>0</v>
          </cell>
          <cell r="E617">
            <v>0</v>
          </cell>
          <cell r="F617">
            <v>0</v>
          </cell>
        </row>
        <row r="618">
          <cell r="A618">
            <v>45693</v>
          </cell>
          <cell r="B618">
            <v>0</v>
          </cell>
          <cell r="C618">
            <v>0</v>
          </cell>
          <cell r="E618">
            <v>0</v>
          </cell>
          <cell r="F618">
            <v>0</v>
          </cell>
        </row>
        <row r="619">
          <cell r="A619">
            <v>45694</v>
          </cell>
          <cell r="B619">
            <v>0</v>
          </cell>
          <cell r="C619">
            <v>0</v>
          </cell>
          <cell r="E619">
            <v>0</v>
          </cell>
          <cell r="F619">
            <v>0</v>
          </cell>
        </row>
        <row r="620">
          <cell r="A620">
            <v>45695</v>
          </cell>
          <cell r="B620">
            <v>0</v>
          </cell>
          <cell r="C620">
            <v>0</v>
          </cell>
          <cell r="E620">
            <v>0</v>
          </cell>
          <cell r="F620">
            <v>0</v>
          </cell>
        </row>
        <row r="621">
          <cell r="A621">
            <v>45698</v>
          </cell>
          <cell r="B621">
            <v>0</v>
          </cell>
          <cell r="C621">
            <v>0</v>
          </cell>
          <cell r="E621">
            <v>0</v>
          </cell>
          <cell r="F621">
            <v>0</v>
          </cell>
        </row>
        <row r="622">
          <cell r="A622">
            <v>45699</v>
          </cell>
          <cell r="B622">
            <v>0</v>
          </cell>
          <cell r="C622">
            <v>0</v>
          </cell>
          <cell r="E622">
            <v>0</v>
          </cell>
          <cell r="F622">
            <v>0</v>
          </cell>
        </row>
        <row r="623">
          <cell r="A623">
            <v>45700</v>
          </cell>
          <cell r="B623">
            <v>0</v>
          </cell>
          <cell r="C623">
            <v>0</v>
          </cell>
          <cell r="E623">
            <v>0</v>
          </cell>
          <cell r="F623">
            <v>0</v>
          </cell>
        </row>
        <row r="624">
          <cell r="A624">
            <v>45701</v>
          </cell>
          <cell r="B624">
            <v>0</v>
          </cell>
          <cell r="C624">
            <v>0</v>
          </cell>
          <cell r="E624">
            <v>0</v>
          </cell>
          <cell r="F624">
            <v>0</v>
          </cell>
        </row>
        <row r="625">
          <cell r="A625">
            <v>45702</v>
          </cell>
          <cell r="B625">
            <v>0</v>
          </cell>
          <cell r="C625">
            <v>0</v>
          </cell>
          <cell r="E625">
            <v>0</v>
          </cell>
          <cell r="F625">
            <v>0</v>
          </cell>
        </row>
        <row r="626">
          <cell r="A626">
            <v>45705</v>
          </cell>
          <cell r="B626">
            <v>0</v>
          </cell>
          <cell r="C626">
            <v>0</v>
          </cell>
          <cell r="E626">
            <v>0</v>
          </cell>
          <cell r="F626">
            <v>0</v>
          </cell>
        </row>
        <row r="627">
          <cell r="A627">
            <v>45706</v>
          </cell>
          <cell r="B627">
            <v>0</v>
          </cell>
          <cell r="C627">
            <v>0</v>
          </cell>
          <cell r="E627">
            <v>0</v>
          </cell>
          <cell r="F627">
            <v>0</v>
          </cell>
        </row>
        <row r="628">
          <cell r="A628">
            <v>45707</v>
          </cell>
          <cell r="B628">
            <v>0</v>
          </cell>
          <cell r="C628">
            <v>0</v>
          </cell>
          <cell r="E628">
            <v>0</v>
          </cell>
          <cell r="F628">
            <v>0</v>
          </cell>
        </row>
        <row r="629">
          <cell r="A629">
            <v>45708</v>
          </cell>
          <cell r="B629">
            <v>0</v>
          </cell>
          <cell r="C629">
            <v>0</v>
          </cell>
          <cell r="E629">
            <v>0</v>
          </cell>
          <cell r="F629">
            <v>0</v>
          </cell>
        </row>
        <row r="630">
          <cell r="A630">
            <v>45709</v>
          </cell>
          <cell r="B630">
            <v>0</v>
          </cell>
          <cell r="C630">
            <v>0</v>
          </cell>
          <cell r="E630">
            <v>0</v>
          </cell>
          <cell r="F630">
            <v>0</v>
          </cell>
        </row>
        <row r="631">
          <cell r="A631">
            <v>45712</v>
          </cell>
          <cell r="B631">
            <v>0</v>
          </cell>
          <cell r="C631">
            <v>0</v>
          </cell>
          <cell r="E631">
            <v>0</v>
          </cell>
          <cell r="F631">
            <v>0</v>
          </cell>
        </row>
        <row r="632">
          <cell r="A632">
            <v>45713</v>
          </cell>
          <cell r="B632">
            <v>0</v>
          </cell>
          <cell r="C632">
            <v>0</v>
          </cell>
          <cell r="E632">
            <v>0</v>
          </cell>
          <cell r="F632">
            <v>0</v>
          </cell>
        </row>
        <row r="633">
          <cell r="A633">
            <v>45714</v>
          </cell>
          <cell r="B633">
            <v>0</v>
          </cell>
          <cell r="C633">
            <v>0</v>
          </cell>
          <cell r="E633">
            <v>0</v>
          </cell>
          <cell r="F633">
            <v>0</v>
          </cell>
        </row>
        <row r="634">
          <cell r="A634">
            <v>45715</v>
          </cell>
          <cell r="B634">
            <v>0</v>
          </cell>
          <cell r="C634">
            <v>0</v>
          </cell>
          <cell r="E634">
            <v>0</v>
          </cell>
          <cell r="F634">
            <v>0</v>
          </cell>
        </row>
        <row r="635">
          <cell r="A635">
            <v>45716</v>
          </cell>
          <cell r="B635">
            <v>0</v>
          </cell>
          <cell r="C635">
            <v>0</v>
          </cell>
          <cell r="E635">
            <v>0</v>
          </cell>
          <cell r="F635">
            <v>0</v>
          </cell>
        </row>
        <row r="636">
          <cell r="A636">
            <v>45719</v>
          </cell>
          <cell r="B636">
            <v>0</v>
          </cell>
          <cell r="C636">
            <v>0</v>
          </cell>
          <cell r="E636">
            <v>0</v>
          </cell>
          <cell r="F636">
            <v>0</v>
          </cell>
        </row>
        <row r="637">
          <cell r="A637">
            <v>45720</v>
          </cell>
          <cell r="B637">
            <v>0</v>
          </cell>
          <cell r="C637">
            <v>0</v>
          </cell>
          <cell r="E637">
            <v>0</v>
          </cell>
          <cell r="F637">
            <v>0</v>
          </cell>
        </row>
        <row r="638">
          <cell r="A638">
            <v>45721</v>
          </cell>
          <cell r="B638">
            <v>0</v>
          </cell>
          <cell r="C638">
            <v>0</v>
          </cell>
          <cell r="E638">
            <v>0</v>
          </cell>
          <cell r="F638">
            <v>0</v>
          </cell>
        </row>
        <row r="639">
          <cell r="A639">
            <v>45722</v>
          </cell>
          <cell r="B639">
            <v>0</v>
          </cell>
          <cell r="C639">
            <v>0</v>
          </cell>
          <cell r="E639">
            <v>0</v>
          </cell>
          <cell r="F639">
            <v>0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PCAIMAB5+"/>
      <sheetName val="PL"/>
      <sheetName val="Cotas"/>
      <sheetName val="Índices"/>
      <sheetName val="Retornos"/>
      <sheetName val="Lâmina"/>
      <sheetName val="Envio_Diário"/>
      <sheetName val="Aplicacao_dolar"/>
      <sheetName val="Lista_Envio_Clientes"/>
      <sheetName val="Feriados"/>
    </sheetNames>
    <sheetDataSet>
      <sheetData sheetId="0"/>
      <sheetData sheetId="1"/>
      <sheetData sheetId="2"/>
      <sheetData sheetId="3">
        <row r="13">
          <cell r="C13" t="str">
            <v>Data</v>
          </cell>
          <cell r="D13" t="str">
            <v>IPCA + Yield Imab 5+</v>
          </cell>
          <cell r="E13" t="str">
            <v>Ibov Index</v>
          </cell>
        </row>
        <row r="14">
          <cell r="C14">
            <v>44833</v>
          </cell>
          <cell r="D14">
            <v>1</v>
          </cell>
          <cell r="E14">
            <v>107664.35</v>
          </cell>
        </row>
        <row r="15">
          <cell r="C15">
            <v>44834</v>
          </cell>
          <cell r="D15">
            <v>1.0000828429691861</v>
          </cell>
          <cell r="E15">
            <v>110036.79</v>
          </cell>
        </row>
        <row r="16">
          <cell r="C16">
            <v>44837</v>
          </cell>
          <cell r="D16">
            <v>1.0001647437710586</v>
          </cell>
          <cell r="E16">
            <v>116134.46</v>
          </cell>
        </row>
        <row r="17">
          <cell r="C17">
            <v>44838</v>
          </cell>
          <cell r="D17">
            <v>1.0002466294458403</v>
          </cell>
          <cell r="E17">
            <v>116230.12</v>
          </cell>
        </row>
        <row r="18">
          <cell r="C18">
            <v>44839</v>
          </cell>
          <cell r="D18">
            <v>1.0003285105588575</v>
          </cell>
          <cell r="E18">
            <v>117197.82</v>
          </cell>
        </row>
        <row r="19">
          <cell r="C19">
            <v>44840</v>
          </cell>
          <cell r="D19">
            <v>1.0004118064837066</v>
          </cell>
          <cell r="E19">
            <v>117560.83</v>
          </cell>
        </row>
        <row r="20">
          <cell r="C20">
            <v>44841</v>
          </cell>
          <cell r="D20">
            <v>1.0004963068840997</v>
          </cell>
          <cell r="E20">
            <v>116375.25</v>
          </cell>
        </row>
        <row r="21">
          <cell r="C21">
            <v>44844</v>
          </cell>
          <cell r="D21">
            <v>1.000581212304374</v>
          </cell>
          <cell r="E21">
            <v>115940.64</v>
          </cell>
        </row>
        <row r="22">
          <cell r="C22">
            <v>44845</v>
          </cell>
          <cell r="D22">
            <v>1.0006670257257617</v>
          </cell>
          <cell r="E22">
            <v>114827.12</v>
          </cell>
        </row>
        <row r="23">
          <cell r="C23">
            <v>44847</v>
          </cell>
          <cell r="D23">
            <v>1.0007527864549464</v>
          </cell>
          <cell r="E23">
            <v>114300.09</v>
          </cell>
        </row>
        <row r="24">
          <cell r="C24">
            <v>44848</v>
          </cell>
          <cell r="D24">
            <v>1.0008388397968981</v>
          </cell>
          <cell r="E24">
            <v>112072.34</v>
          </cell>
        </row>
        <row r="25">
          <cell r="C25">
            <v>44851</v>
          </cell>
          <cell r="D25">
            <v>1.0009235039376341</v>
          </cell>
          <cell r="E25">
            <v>113623.98</v>
          </cell>
        </row>
        <row r="26">
          <cell r="C26">
            <v>44852</v>
          </cell>
          <cell r="D26">
            <v>1.0014408743084291</v>
          </cell>
          <cell r="E26">
            <v>115743.07</v>
          </cell>
        </row>
        <row r="27">
          <cell r="C27">
            <v>44853</v>
          </cell>
          <cell r="D27">
            <v>1.001958748923286</v>
          </cell>
          <cell r="E27">
            <v>116274.24000000001</v>
          </cell>
        </row>
        <row r="28">
          <cell r="C28">
            <v>44854</v>
          </cell>
          <cell r="D28">
            <v>1.0024768499766745</v>
          </cell>
          <cell r="E28">
            <v>117171.11</v>
          </cell>
        </row>
        <row r="29">
          <cell r="C29">
            <v>44855</v>
          </cell>
          <cell r="D29">
            <v>1.0029940598091407</v>
          </cell>
          <cell r="E29">
            <v>119928.79</v>
          </cell>
        </row>
        <row r="30">
          <cell r="C30">
            <v>44858</v>
          </cell>
          <cell r="D30">
            <v>1.0035134603885121</v>
          </cell>
          <cell r="E30">
            <v>116012.7</v>
          </cell>
        </row>
        <row r="31">
          <cell r="C31">
            <v>44859</v>
          </cell>
          <cell r="D31">
            <v>1.0040331901953579</v>
          </cell>
          <cell r="E31">
            <v>114625.59</v>
          </cell>
        </row>
        <row r="32">
          <cell r="C32">
            <v>44860</v>
          </cell>
          <cell r="D32">
            <v>1.0045547751519728</v>
          </cell>
          <cell r="E32">
            <v>112763.79</v>
          </cell>
        </row>
        <row r="33">
          <cell r="C33">
            <v>44861</v>
          </cell>
          <cell r="D33">
            <v>1.0050758057074038</v>
          </cell>
          <cell r="E33">
            <v>114640.76</v>
          </cell>
        </row>
        <row r="34">
          <cell r="C34">
            <v>44862</v>
          </cell>
          <cell r="D34">
            <v>1.0055963823868121</v>
          </cell>
          <cell r="E34">
            <v>114539.05</v>
          </cell>
        </row>
        <row r="35">
          <cell r="C35">
            <v>44865</v>
          </cell>
          <cell r="D35">
            <v>1.0061136722552995</v>
          </cell>
          <cell r="E35">
            <v>116037.08</v>
          </cell>
        </row>
        <row r="36">
          <cell r="C36">
            <v>44866</v>
          </cell>
          <cell r="D36">
            <v>1.0066314020552374</v>
          </cell>
          <cell r="E36">
            <v>116928.66</v>
          </cell>
        </row>
        <row r="37">
          <cell r="C37">
            <v>44868</v>
          </cell>
          <cell r="D37">
            <v>1.0071508800766318</v>
          </cell>
          <cell r="E37">
            <v>116896.36</v>
          </cell>
        </row>
        <row r="38">
          <cell r="C38">
            <v>44869</v>
          </cell>
          <cell r="D38">
            <v>1.0076713256702161</v>
          </cell>
          <cell r="E38">
            <v>118155.46</v>
          </cell>
        </row>
        <row r="39">
          <cell r="C39">
            <v>44872</v>
          </cell>
          <cell r="D39">
            <v>1.008195462058074</v>
          </cell>
          <cell r="E39">
            <v>115342.39999999999</v>
          </cell>
        </row>
        <row r="40">
          <cell r="C40">
            <v>44873</v>
          </cell>
          <cell r="D40">
            <v>1.0087196668721579</v>
          </cell>
          <cell r="E40">
            <v>116160.35</v>
          </cell>
        </row>
        <row r="41">
          <cell r="C41">
            <v>44874</v>
          </cell>
          <cell r="D41">
            <v>1.0092446928231467</v>
          </cell>
          <cell r="E41">
            <v>113580.09</v>
          </cell>
        </row>
        <row r="42">
          <cell r="C42">
            <v>44875</v>
          </cell>
          <cell r="D42">
            <v>1.0097797342370503</v>
          </cell>
          <cell r="E42">
            <v>109775.46</v>
          </cell>
        </row>
        <row r="43">
          <cell r="C43">
            <v>44876</v>
          </cell>
          <cell r="D43">
            <v>1.0103151952989846</v>
          </cell>
          <cell r="E43">
            <v>112253.49</v>
          </cell>
        </row>
        <row r="44">
          <cell r="C44">
            <v>44879</v>
          </cell>
          <cell r="D44">
            <v>1.0108463944863302</v>
          </cell>
          <cell r="E44">
            <v>113161.28</v>
          </cell>
        </row>
        <row r="45">
          <cell r="C45">
            <v>44881</v>
          </cell>
          <cell r="D45">
            <v>1.0113815474971262</v>
          </cell>
          <cell r="E45">
            <v>110243.33</v>
          </cell>
        </row>
        <row r="46">
          <cell r="C46">
            <v>44882</v>
          </cell>
          <cell r="D46">
            <v>1.011816263854914</v>
          </cell>
          <cell r="E46">
            <v>109702.78</v>
          </cell>
        </row>
        <row r="47">
          <cell r="C47">
            <v>44883</v>
          </cell>
          <cell r="D47">
            <v>1.0122538996171271</v>
          </cell>
          <cell r="E47">
            <v>108870.17</v>
          </cell>
        </row>
        <row r="48">
          <cell r="C48">
            <v>44886</v>
          </cell>
          <cell r="D48">
            <v>1.0126909107991029</v>
          </cell>
          <cell r="E48">
            <v>109748.18</v>
          </cell>
        </row>
        <row r="49">
          <cell r="C49">
            <v>44887</v>
          </cell>
          <cell r="D49">
            <v>1.0131314422301083</v>
          </cell>
          <cell r="E49">
            <v>109036.54</v>
          </cell>
        </row>
        <row r="50">
          <cell r="C50">
            <v>44888</v>
          </cell>
          <cell r="D50">
            <v>1.0135744854318536</v>
          </cell>
          <cell r="E50">
            <v>108841.15</v>
          </cell>
        </row>
        <row r="51">
          <cell r="C51">
            <v>44889</v>
          </cell>
          <cell r="D51">
            <v>1.014014029873016</v>
          </cell>
          <cell r="E51">
            <v>111831.16</v>
          </cell>
        </row>
        <row r="52">
          <cell r="C52">
            <v>44890</v>
          </cell>
          <cell r="D52">
            <v>1.0144570992410455</v>
          </cell>
          <cell r="E52">
            <v>108976.7</v>
          </cell>
        </row>
        <row r="53">
          <cell r="C53">
            <v>44893</v>
          </cell>
          <cell r="D53">
            <v>1.0148983345367357</v>
          </cell>
          <cell r="E53">
            <v>108782.15</v>
          </cell>
        </row>
        <row r="54">
          <cell r="C54">
            <v>44894</v>
          </cell>
          <cell r="D54">
            <v>1.0153329862196336</v>
          </cell>
          <cell r="E54">
            <v>110909.61</v>
          </cell>
        </row>
        <row r="55">
          <cell r="C55">
            <v>44895</v>
          </cell>
          <cell r="D55">
            <v>1.0157637249064437</v>
          </cell>
          <cell r="E55">
            <v>112486.01</v>
          </cell>
        </row>
        <row r="56">
          <cell r="C56">
            <v>44896</v>
          </cell>
          <cell r="D56">
            <v>1.0161968114115403</v>
          </cell>
          <cell r="E56">
            <v>110925.6</v>
          </cell>
        </row>
        <row r="57">
          <cell r="C57">
            <v>44897</v>
          </cell>
          <cell r="D57">
            <v>1.0166288379231909</v>
          </cell>
          <cell r="E57">
            <v>111923.93</v>
          </cell>
        </row>
        <row r="58">
          <cell r="C58">
            <v>44900</v>
          </cell>
          <cell r="D58">
            <v>1.0170649537059051</v>
          </cell>
          <cell r="E58">
            <v>109401.41</v>
          </cell>
        </row>
        <row r="59">
          <cell r="C59">
            <v>44901</v>
          </cell>
          <cell r="D59">
            <v>1.0175043157856725</v>
          </cell>
          <cell r="E59">
            <v>110188.57</v>
          </cell>
        </row>
        <row r="60">
          <cell r="C60">
            <v>44902</v>
          </cell>
          <cell r="D60">
            <v>1.0179434376555274</v>
          </cell>
          <cell r="E60">
            <v>109068.55</v>
          </cell>
        </row>
        <row r="61">
          <cell r="C61">
            <v>44903</v>
          </cell>
          <cell r="D61">
            <v>1.0183838567924797</v>
          </cell>
          <cell r="E61">
            <v>107249.04</v>
          </cell>
        </row>
        <row r="62">
          <cell r="C62">
            <v>44904</v>
          </cell>
          <cell r="D62">
            <v>1.0188259664950148</v>
          </cell>
          <cell r="E62">
            <v>107519.56</v>
          </cell>
        </row>
        <row r="63">
          <cell r="C63">
            <v>44907</v>
          </cell>
          <cell r="D63">
            <v>1.0192718651867576</v>
          </cell>
          <cell r="E63">
            <v>105343.33</v>
          </cell>
        </row>
        <row r="64">
          <cell r="C64">
            <v>44908</v>
          </cell>
          <cell r="D64">
            <v>1.0197197590534002</v>
          </cell>
          <cell r="E64">
            <v>103539.67</v>
          </cell>
        </row>
        <row r="65">
          <cell r="C65">
            <v>44909</v>
          </cell>
          <cell r="D65">
            <v>1.0201681770709981</v>
          </cell>
          <cell r="E65">
            <v>103745.77</v>
          </cell>
        </row>
        <row r="66">
          <cell r="C66">
            <v>44910</v>
          </cell>
          <cell r="D66">
            <v>1.0206161182525875</v>
          </cell>
          <cell r="E66">
            <v>103737.69</v>
          </cell>
        </row>
        <row r="67">
          <cell r="C67">
            <v>44911</v>
          </cell>
          <cell r="D67">
            <v>1.0211549222172123</v>
          </cell>
          <cell r="E67">
            <v>102855.7</v>
          </cell>
        </row>
        <row r="68">
          <cell r="C68">
            <v>44914</v>
          </cell>
          <cell r="D68">
            <v>1.0216948791743734</v>
          </cell>
          <cell r="E68">
            <v>104739.75</v>
          </cell>
        </row>
        <row r="69">
          <cell r="C69">
            <v>44915</v>
          </cell>
          <cell r="D69">
            <v>1.0222325483908536</v>
          </cell>
          <cell r="E69">
            <v>106864.11</v>
          </cell>
        </row>
        <row r="70">
          <cell r="C70">
            <v>44916</v>
          </cell>
          <cell r="D70">
            <v>1.0227711033518703</v>
          </cell>
          <cell r="E70">
            <v>107433.14</v>
          </cell>
        </row>
        <row r="71">
          <cell r="C71">
            <v>44917</v>
          </cell>
          <cell r="D71">
            <v>1.0233081362596121</v>
          </cell>
          <cell r="E71">
            <v>107551.52</v>
          </cell>
        </row>
        <row r="72">
          <cell r="C72">
            <v>44918</v>
          </cell>
          <cell r="D72">
            <v>1.0238425923542402</v>
          </cell>
          <cell r="E72">
            <v>109697.57</v>
          </cell>
        </row>
        <row r="73">
          <cell r="C73">
            <v>44921</v>
          </cell>
          <cell r="D73">
            <v>1.0243771363187002</v>
          </cell>
          <cell r="E73">
            <v>108737.75</v>
          </cell>
        </row>
        <row r="74">
          <cell r="C74">
            <v>44922</v>
          </cell>
          <cell r="D74">
            <v>1.02491144263016</v>
          </cell>
          <cell r="E74">
            <v>108578.2</v>
          </cell>
        </row>
        <row r="75">
          <cell r="C75">
            <v>44923</v>
          </cell>
          <cell r="D75">
            <v>1.0254423109242654</v>
          </cell>
          <cell r="E75">
            <v>110236.71</v>
          </cell>
        </row>
        <row r="76">
          <cell r="C76">
            <v>44924</v>
          </cell>
          <cell r="D76">
            <v>1.0259735155552965</v>
          </cell>
          <cell r="E76">
            <v>109734.6</v>
          </cell>
        </row>
        <row r="77">
          <cell r="C77">
            <v>44925</v>
          </cell>
          <cell r="D77">
            <v>1.0265049953635432</v>
          </cell>
          <cell r="E77">
            <v>109734.6</v>
          </cell>
        </row>
        <row r="78">
          <cell r="C78">
            <v>44928</v>
          </cell>
          <cell r="D78">
            <v>1.0270410635937817</v>
          </cell>
          <cell r="E78">
            <v>106376.02</v>
          </cell>
        </row>
        <row r="79">
          <cell r="C79">
            <v>44929</v>
          </cell>
          <cell r="D79">
            <v>1.0275813814127979</v>
          </cell>
          <cell r="E79">
            <v>104165.74</v>
          </cell>
        </row>
        <row r="80">
          <cell r="C80">
            <v>44930</v>
          </cell>
          <cell r="D80">
            <v>1.0281237858045134</v>
          </cell>
          <cell r="E80">
            <v>105334.46</v>
          </cell>
        </row>
        <row r="81">
          <cell r="C81">
            <v>44931</v>
          </cell>
          <cell r="D81">
            <v>1.0286649456940877</v>
          </cell>
          <cell r="E81">
            <v>107641.32</v>
          </cell>
        </row>
        <row r="82">
          <cell r="C82">
            <v>44932</v>
          </cell>
          <cell r="D82">
            <v>1.0292040708047361</v>
          </cell>
          <cell r="E82">
            <v>108963.7</v>
          </cell>
        </row>
        <row r="83">
          <cell r="C83">
            <v>44935</v>
          </cell>
          <cell r="D83">
            <v>1.0297435591852193</v>
          </cell>
          <cell r="E83">
            <v>109129.57</v>
          </cell>
        </row>
        <row r="84">
          <cell r="C84">
            <v>44936</v>
          </cell>
          <cell r="D84">
            <v>1.0302804952625135</v>
          </cell>
          <cell r="E84">
            <v>110816.71</v>
          </cell>
        </row>
        <row r="85">
          <cell r="C85">
            <v>44937</v>
          </cell>
          <cell r="D85">
            <v>1.0308135317888925</v>
          </cell>
          <cell r="E85">
            <v>112517.08</v>
          </cell>
        </row>
        <row r="86">
          <cell r="C86">
            <v>44938</v>
          </cell>
          <cell r="D86">
            <v>1.0313454286782422</v>
          </cell>
          <cell r="E86">
            <v>111850.22</v>
          </cell>
        </row>
        <row r="87">
          <cell r="C87">
            <v>44939</v>
          </cell>
          <cell r="D87">
            <v>1.0318780013797231</v>
          </cell>
          <cell r="E87">
            <v>110916.08</v>
          </cell>
        </row>
        <row r="88">
          <cell r="C88">
            <v>44942</v>
          </cell>
          <cell r="D88">
            <v>1.0324139945945414</v>
          </cell>
          <cell r="E88">
            <v>109212.66</v>
          </cell>
        </row>
        <row r="89">
          <cell r="C89">
            <v>44943</v>
          </cell>
          <cell r="D89">
            <v>1.032907073518772</v>
          </cell>
          <cell r="E89">
            <v>111439.12</v>
          </cell>
        </row>
        <row r="90">
          <cell r="C90">
            <v>44944</v>
          </cell>
          <cell r="D90">
            <v>1.0334012762906302</v>
          </cell>
          <cell r="E90">
            <v>112228.39</v>
          </cell>
        </row>
        <row r="91">
          <cell r="C91">
            <v>44945</v>
          </cell>
          <cell r="D91">
            <v>1.0338956266485315</v>
          </cell>
          <cell r="E91">
            <v>112921.88</v>
          </cell>
        </row>
        <row r="92">
          <cell r="C92">
            <v>44946</v>
          </cell>
          <cell r="D92">
            <v>1.0343951355428338</v>
          </cell>
          <cell r="E92">
            <v>112040.64</v>
          </cell>
        </row>
        <row r="93">
          <cell r="C93">
            <v>44949</v>
          </cell>
          <cell r="D93">
            <v>1.0348975812750691</v>
          </cell>
          <cell r="E93">
            <v>111737.28</v>
          </cell>
        </row>
        <row r="94">
          <cell r="C94">
            <v>44950</v>
          </cell>
          <cell r="D94">
            <v>1.035397757942621</v>
          </cell>
          <cell r="E94">
            <v>113028.15</v>
          </cell>
        </row>
        <row r="95">
          <cell r="C95">
            <v>44951</v>
          </cell>
          <cell r="D95">
            <v>1.0358976543742489</v>
          </cell>
          <cell r="E95">
            <v>114270.07</v>
          </cell>
        </row>
        <row r="96">
          <cell r="C96">
            <v>44952</v>
          </cell>
          <cell r="D96">
            <v>1.0363994106684715</v>
          </cell>
          <cell r="E96">
            <v>114177.55</v>
          </cell>
        </row>
        <row r="97">
          <cell r="C97">
            <v>44953</v>
          </cell>
          <cell r="D97">
            <v>1.0369034632620238</v>
          </cell>
          <cell r="E97">
            <v>112316.16</v>
          </cell>
        </row>
        <row r="98">
          <cell r="C98">
            <v>44956</v>
          </cell>
          <cell r="D98">
            <v>1.0374080125551162</v>
          </cell>
          <cell r="E98">
            <v>112273.01</v>
          </cell>
        </row>
        <row r="99">
          <cell r="C99">
            <v>44957</v>
          </cell>
          <cell r="D99">
            <v>1.0379124662522343</v>
          </cell>
          <cell r="E99">
            <v>113430.54</v>
          </cell>
        </row>
        <row r="100">
          <cell r="C100">
            <v>44958</v>
          </cell>
          <cell r="D100">
            <v>1.0384167134540294</v>
          </cell>
          <cell r="E100">
            <v>112073.55</v>
          </cell>
        </row>
        <row r="101">
          <cell r="C101">
            <v>44959</v>
          </cell>
          <cell r="D101">
            <v>1.0389217791558416</v>
          </cell>
          <cell r="E101">
            <v>110140.64</v>
          </cell>
        </row>
        <row r="102">
          <cell r="C102">
            <v>44960</v>
          </cell>
          <cell r="D102">
            <v>1.0394306129954449</v>
          </cell>
          <cell r="E102">
            <v>108523.47</v>
          </cell>
        </row>
        <row r="103">
          <cell r="C103">
            <v>44963</v>
          </cell>
          <cell r="D103">
            <v>1.0399371336360113</v>
          </cell>
          <cell r="E103">
            <v>108721.58</v>
          </cell>
        </row>
        <row r="104">
          <cell r="C104">
            <v>44964</v>
          </cell>
          <cell r="D104">
            <v>1.0404433191177769</v>
          </cell>
          <cell r="E104">
            <v>107829.73</v>
          </cell>
        </row>
        <row r="105">
          <cell r="C105">
            <v>44965</v>
          </cell>
          <cell r="D105">
            <v>1.040947230741645</v>
          </cell>
          <cell r="E105">
            <v>109951.49</v>
          </cell>
        </row>
        <row r="106">
          <cell r="C106">
            <v>44966</v>
          </cell>
          <cell r="D106">
            <v>1.0414540632402545</v>
          </cell>
          <cell r="E106">
            <v>108008.05</v>
          </cell>
        </row>
        <row r="107">
          <cell r="C107">
            <v>44967</v>
          </cell>
          <cell r="D107">
            <v>1.0419600465969268</v>
          </cell>
          <cell r="E107">
            <v>108078.27</v>
          </cell>
        </row>
        <row r="108">
          <cell r="C108">
            <v>44970</v>
          </cell>
          <cell r="D108">
            <v>1.0424661824540022</v>
          </cell>
          <cell r="E108">
            <v>108836.47</v>
          </cell>
        </row>
        <row r="109">
          <cell r="C109">
            <v>44971</v>
          </cell>
          <cell r="D109">
            <v>1.0429716069690724</v>
          </cell>
          <cell r="E109">
            <v>107848.81</v>
          </cell>
        </row>
        <row r="110">
          <cell r="C110">
            <v>44972</v>
          </cell>
          <cell r="D110">
            <v>1.0434726564060517</v>
          </cell>
          <cell r="E110">
            <v>109600.14</v>
          </cell>
        </row>
        <row r="111">
          <cell r="C111">
            <v>44973</v>
          </cell>
          <cell r="D111">
            <v>1.0442082003688786</v>
          </cell>
          <cell r="E111">
            <v>109941.46</v>
          </cell>
        </row>
        <row r="112">
          <cell r="C112">
            <v>44974</v>
          </cell>
          <cell r="D112">
            <v>1.0449422833675923</v>
          </cell>
          <cell r="E112">
            <v>109176.92</v>
          </cell>
        </row>
        <row r="113">
          <cell r="C113">
            <v>44979</v>
          </cell>
          <cell r="D113">
            <v>1.0456796170709823</v>
          </cell>
          <cell r="E113">
            <v>107152.05</v>
          </cell>
        </row>
        <row r="114">
          <cell r="C114">
            <v>44980</v>
          </cell>
          <cell r="D114">
            <v>1.0464188738261329</v>
          </cell>
          <cell r="E114">
            <v>107592.87</v>
          </cell>
        </row>
        <row r="115">
          <cell r="C115">
            <v>44981</v>
          </cell>
          <cell r="D115">
            <v>1.047160447306555</v>
          </cell>
          <cell r="E115">
            <v>105798.43</v>
          </cell>
        </row>
        <row r="116">
          <cell r="C116">
            <v>44984</v>
          </cell>
          <cell r="D116">
            <v>1.047901224317918</v>
          </cell>
          <cell r="E116">
            <v>105711.05</v>
          </cell>
        </row>
        <row r="117">
          <cell r="C117">
            <v>44985</v>
          </cell>
          <cell r="D117">
            <v>1.0486449634786172</v>
          </cell>
          <cell r="E117">
            <v>104931.93</v>
          </cell>
        </row>
        <row r="118">
          <cell r="C118">
            <v>44986</v>
          </cell>
          <cell r="D118">
            <v>1.0493900056275292</v>
          </cell>
          <cell r="E118">
            <v>104384.67</v>
          </cell>
        </row>
        <row r="119">
          <cell r="C119">
            <v>44987</v>
          </cell>
          <cell r="D119">
            <v>1.0501378837057538</v>
          </cell>
          <cell r="E119">
            <v>103325.61</v>
          </cell>
        </row>
        <row r="120">
          <cell r="C120">
            <v>44988</v>
          </cell>
          <cell r="D120">
            <v>1.0508864358201975</v>
          </cell>
          <cell r="E120">
            <v>103865.99</v>
          </cell>
        </row>
        <row r="121">
          <cell r="C121">
            <v>44991</v>
          </cell>
          <cell r="D121">
            <v>1.0516352078618705</v>
          </cell>
          <cell r="E121">
            <v>104700.32</v>
          </cell>
        </row>
        <row r="122">
          <cell r="C122">
            <v>44992</v>
          </cell>
          <cell r="D122">
            <v>1.0523829397667548</v>
          </cell>
          <cell r="E122">
            <v>104227.93</v>
          </cell>
        </row>
        <row r="123">
          <cell r="C123">
            <v>44993</v>
          </cell>
          <cell r="D123">
            <v>1.0531294707892855</v>
          </cell>
          <cell r="E123">
            <v>106540.32</v>
          </cell>
        </row>
        <row r="124">
          <cell r="C124">
            <v>44994</v>
          </cell>
          <cell r="D124">
            <v>1.0538733056996161</v>
          </cell>
          <cell r="E124">
            <v>105071.19</v>
          </cell>
        </row>
        <row r="125">
          <cell r="C125">
            <v>44995</v>
          </cell>
          <cell r="D125">
            <v>1.0546189180998471</v>
          </cell>
          <cell r="E125">
            <v>103618.2</v>
          </cell>
        </row>
        <row r="126">
          <cell r="C126">
            <v>44998</v>
          </cell>
          <cell r="D126">
            <v>1.0553634069772924</v>
          </cell>
          <cell r="E126">
            <v>103121.36</v>
          </cell>
        </row>
        <row r="127">
          <cell r="C127">
            <v>44999</v>
          </cell>
          <cell r="D127">
            <v>1.0561102746796571</v>
          </cell>
          <cell r="E127">
            <v>102932.38</v>
          </cell>
        </row>
        <row r="128">
          <cell r="C128">
            <v>45000</v>
          </cell>
          <cell r="D128">
            <v>1.056857019948831</v>
          </cell>
          <cell r="E128">
            <v>102675.45</v>
          </cell>
        </row>
        <row r="129">
          <cell r="C129">
            <v>45001</v>
          </cell>
          <cell r="D129">
            <v>1.0574515754753926</v>
          </cell>
          <cell r="E129">
            <v>103434.66</v>
          </cell>
        </row>
        <row r="130">
          <cell r="C130">
            <v>45002</v>
          </cell>
          <cell r="D130">
            <v>1.0580449992614032</v>
          </cell>
          <cell r="E130">
            <v>101981.53</v>
          </cell>
        </row>
        <row r="131">
          <cell r="C131">
            <v>45005</v>
          </cell>
          <cell r="D131">
            <v>1.0586386334605771</v>
          </cell>
          <cell r="E131">
            <v>100922.89</v>
          </cell>
        </row>
        <row r="132">
          <cell r="C132">
            <v>45006</v>
          </cell>
          <cell r="D132">
            <v>1.0592332021971211</v>
          </cell>
          <cell r="E132">
            <v>100998.13</v>
          </cell>
        </row>
        <row r="133">
          <cell r="C133">
            <v>45007</v>
          </cell>
          <cell r="D133">
            <v>1.0598265209787021</v>
          </cell>
          <cell r="E133">
            <v>100220.63</v>
          </cell>
        </row>
        <row r="134">
          <cell r="C134">
            <v>45008</v>
          </cell>
          <cell r="D134">
            <v>1.0604204257054228</v>
          </cell>
          <cell r="E134">
            <v>97926.34</v>
          </cell>
        </row>
        <row r="135">
          <cell r="C135">
            <v>45009</v>
          </cell>
          <cell r="D135">
            <v>1.0610125178196486</v>
          </cell>
          <cell r="E135">
            <v>98829.27</v>
          </cell>
        </row>
        <row r="136">
          <cell r="C136">
            <v>45012</v>
          </cell>
          <cell r="D136">
            <v>1.0616039362848007</v>
          </cell>
          <cell r="E136">
            <v>99670.47</v>
          </cell>
        </row>
        <row r="137">
          <cell r="C137">
            <v>45013</v>
          </cell>
          <cell r="D137">
            <v>1.0621966852481675</v>
          </cell>
          <cell r="E137">
            <v>101185.09</v>
          </cell>
        </row>
        <row r="138">
          <cell r="C138">
            <v>45014</v>
          </cell>
          <cell r="D138">
            <v>1.0627905319553677</v>
          </cell>
          <cell r="E138">
            <v>101792.52</v>
          </cell>
        </row>
        <row r="139">
          <cell r="C139">
            <v>45015</v>
          </cell>
          <cell r="D139">
            <v>1.0633831085113954</v>
          </cell>
          <cell r="E139">
            <v>103713.45</v>
          </cell>
        </row>
        <row r="140">
          <cell r="C140">
            <v>45016</v>
          </cell>
          <cell r="D140">
            <v>1.0639766082294926</v>
          </cell>
          <cell r="E140">
            <v>101882.2</v>
          </cell>
        </row>
        <row r="141">
          <cell r="C141">
            <v>45019</v>
          </cell>
          <cell r="D141">
            <v>1.0645694559695351</v>
          </cell>
          <cell r="E141">
            <v>101506.18</v>
          </cell>
        </row>
        <row r="142">
          <cell r="C142">
            <v>45020</v>
          </cell>
          <cell r="D142">
            <v>1.0651617137916563</v>
          </cell>
          <cell r="E142">
            <v>101869.45</v>
          </cell>
        </row>
        <row r="143">
          <cell r="C143">
            <v>45021</v>
          </cell>
          <cell r="D143">
            <v>1.0657537389845337</v>
          </cell>
          <cell r="E143">
            <v>100977.85</v>
          </cell>
        </row>
        <row r="144">
          <cell r="C144">
            <v>45022</v>
          </cell>
          <cell r="D144">
            <v>1.0663475928928683</v>
          </cell>
          <cell r="E144">
            <v>100821.73</v>
          </cell>
        </row>
        <row r="145">
          <cell r="C145">
            <v>45026</v>
          </cell>
          <cell r="D145">
            <v>1.0669429984653356</v>
          </cell>
          <cell r="E145">
            <v>101846.64</v>
          </cell>
        </row>
        <row r="146">
          <cell r="C146">
            <v>45027</v>
          </cell>
          <cell r="D146">
            <v>1.0675356582629656</v>
          </cell>
          <cell r="E146">
            <v>106213.75999999999</v>
          </cell>
        </row>
        <row r="147">
          <cell r="C147">
            <v>45028</v>
          </cell>
          <cell r="D147">
            <v>1.0681279798547254</v>
          </cell>
          <cell r="E147">
            <v>106889.71</v>
          </cell>
        </row>
        <row r="148">
          <cell r="C148">
            <v>45029</v>
          </cell>
          <cell r="D148">
            <v>1.0687175177223329</v>
          </cell>
          <cell r="E148">
            <v>106457.85</v>
          </cell>
        </row>
        <row r="149">
          <cell r="C149">
            <v>45030</v>
          </cell>
          <cell r="D149">
            <v>1.0693070846593793</v>
          </cell>
          <cell r="E149">
            <v>106279.37</v>
          </cell>
        </row>
        <row r="150">
          <cell r="C150">
            <v>45033</v>
          </cell>
          <cell r="D150">
            <v>1.0698963237037642</v>
          </cell>
          <cell r="E150">
            <v>106015.67</v>
          </cell>
        </row>
        <row r="151">
          <cell r="C151">
            <v>45034</v>
          </cell>
          <cell r="D151">
            <v>1.0705044504657133</v>
          </cell>
          <cell r="E151">
            <v>106163.23</v>
          </cell>
        </row>
        <row r="152">
          <cell r="C152">
            <v>45035</v>
          </cell>
          <cell r="D152">
            <v>1.0711159378840962</v>
          </cell>
          <cell r="E152">
            <v>103912.94</v>
          </cell>
        </row>
        <row r="153">
          <cell r="C153">
            <v>45036</v>
          </cell>
          <cell r="D153">
            <v>1.0717258492724668</v>
          </cell>
          <cell r="E153">
            <v>104366.82</v>
          </cell>
        </row>
        <row r="154">
          <cell r="C154">
            <v>45040</v>
          </cell>
          <cell r="D154">
            <v>1.0723353050245652</v>
          </cell>
          <cell r="E154">
            <v>103946.58</v>
          </cell>
        </row>
        <row r="155">
          <cell r="C155">
            <v>45041</v>
          </cell>
          <cell r="D155">
            <v>1.0729436247096342</v>
          </cell>
          <cell r="E155">
            <v>103220.09</v>
          </cell>
        </row>
        <row r="156">
          <cell r="C156">
            <v>45042</v>
          </cell>
          <cell r="D156">
            <v>1.073551038776398</v>
          </cell>
          <cell r="E156">
            <v>102312.1</v>
          </cell>
        </row>
        <row r="157">
          <cell r="C157">
            <v>45043</v>
          </cell>
          <cell r="D157">
            <v>1.0741580722519715</v>
          </cell>
          <cell r="E157">
            <v>102923.31</v>
          </cell>
        </row>
        <row r="158">
          <cell r="C158">
            <v>45044</v>
          </cell>
          <cell r="D158">
            <v>1.0747668663794796</v>
          </cell>
          <cell r="E158">
            <v>104431.63</v>
          </cell>
        </row>
        <row r="159">
          <cell r="C159">
            <v>45048</v>
          </cell>
          <cell r="D159">
            <v>1.0753766580915103</v>
          </cell>
          <cell r="E159">
            <v>101926.95</v>
          </cell>
        </row>
        <row r="160">
          <cell r="C160">
            <v>45049</v>
          </cell>
          <cell r="D160">
            <v>1.0759850060815361</v>
          </cell>
          <cell r="E160">
            <v>101797.09</v>
          </cell>
        </row>
        <row r="161">
          <cell r="C161">
            <v>45050</v>
          </cell>
          <cell r="D161">
            <v>1.0765913861253822</v>
          </cell>
          <cell r="E161">
            <v>102174.34</v>
          </cell>
        </row>
        <row r="162">
          <cell r="C162">
            <v>45051</v>
          </cell>
          <cell r="D162">
            <v>1.0771968073286162</v>
          </cell>
          <cell r="E162">
            <v>105148.48</v>
          </cell>
        </row>
        <row r="163">
          <cell r="C163">
            <v>45054</v>
          </cell>
          <cell r="D163">
            <v>1.0778038622114399</v>
          </cell>
          <cell r="E163">
            <v>106042.15</v>
          </cell>
        </row>
        <row r="164">
          <cell r="C164">
            <v>45055</v>
          </cell>
          <cell r="D164">
            <v>1.0784123062057009</v>
          </cell>
          <cell r="E164">
            <v>107113.66</v>
          </cell>
        </row>
        <row r="165">
          <cell r="C165">
            <v>45056</v>
          </cell>
          <cell r="D165">
            <v>1.0790194837548002</v>
          </cell>
          <cell r="E165">
            <v>107448.21</v>
          </cell>
        </row>
        <row r="166">
          <cell r="C166">
            <v>45057</v>
          </cell>
          <cell r="D166">
            <v>1.0796245736323908</v>
          </cell>
          <cell r="E166">
            <v>108256.4</v>
          </cell>
        </row>
        <row r="167">
          <cell r="C167">
            <v>45058</v>
          </cell>
          <cell r="D167">
            <v>1.0802273921440524</v>
          </cell>
          <cell r="E167">
            <v>108463.84</v>
          </cell>
        </row>
        <row r="168">
          <cell r="C168">
            <v>45061</v>
          </cell>
          <cell r="D168">
            <v>1.0808283638344238</v>
          </cell>
          <cell r="E168">
            <v>109029.12</v>
          </cell>
        </row>
        <row r="169">
          <cell r="C169">
            <v>45062</v>
          </cell>
          <cell r="D169">
            <v>1.0811793057995487</v>
          </cell>
          <cell r="E169">
            <v>108193.68</v>
          </cell>
        </row>
        <row r="170">
          <cell r="C170">
            <v>45063</v>
          </cell>
          <cell r="D170">
            <v>1.0815302439710037</v>
          </cell>
          <cell r="E170">
            <v>109459.95</v>
          </cell>
        </row>
        <row r="171">
          <cell r="C171">
            <v>45064</v>
          </cell>
          <cell r="D171">
            <v>1.0818817834048302</v>
          </cell>
          <cell r="E171">
            <v>110108.46</v>
          </cell>
        </row>
        <row r="172">
          <cell r="C172">
            <v>45065</v>
          </cell>
          <cell r="D172">
            <v>1.0822332830570514</v>
          </cell>
          <cell r="E172">
            <v>110744.51</v>
          </cell>
        </row>
        <row r="173">
          <cell r="C173">
            <v>45068</v>
          </cell>
          <cell r="D173">
            <v>1.0825861033697495</v>
          </cell>
          <cell r="E173">
            <v>110213.12</v>
          </cell>
        </row>
        <row r="174">
          <cell r="C174">
            <v>45069</v>
          </cell>
          <cell r="D174">
            <v>1.082938148595971</v>
          </cell>
          <cell r="E174">
            <v>109928.53</v>
          </cell>
        </row>
        <row r="175">
          <cell r="C175">
            <v>45070</v>
          </cell>
          <cell r="D175">
            <v>1.0832893973852944</v>
          </cell>
          <cell r="E175">
            <v>108799.54</v>
          </cell>
        </row>
        <row r="176">
          <cell r="C176">
            <v>45071</v>
          </cell>
          <cell r="D176">
            <v>1.083638904536371</v>
          </cell>
          <cell r="E176">
            <v>110054.38</v>
          </cell>
        </row>
        <row r="177">
          <cell r="C177">
            <v>45072</v>
          </cell>
          <cell r="D177">
            <v>1.0839875064783915</v>
          </cell>
          <cell r="E177">
            <v>110905.51</v>
          </cell>
        </row>
        <row r="178">
          <cell r="C178">
            <v>45075</v>
          </cell>
          <cell r="D178">
            <v>1.0843360209492505</v>
          </cell>
          <cell r="E178">
            <v>110333.4</v>
          </cell>
        </row>
        <row r="179">
          <cell r="C179">
            <v>45076</v>
          </cell>
          <cell r="D179">
            <v>1.0846844111047786</v>
          </cell>
          <cell r="E179">
            <v>108967.03</v>
          </cell>
        </row>
        <row r="180">
          <cell r="C180">
            <v>45077</v>
          </cell>
          <cell r="D180">
            <v>1.0850332597022414</v>
          </cell>
          <cell r="E180">
            <v>108335.07</v>
          </cell>
        </row>
        <row r="181">
          <cell r="C181">
            <v>45078</v>
          </cell>
          <cell r="D181">
            <v>1.0853818086272504</v>
          </cell>
          <cell r="E181">
            <v>110564.66</v>
          </cell>
        </row>
        <row r="182">
          <cell r="C182">
            <v>45079</v>
          </cell>
          <cell r="D182">
            <v>1.0857282905736265</v>
          </cell>
          <cell r="E182">
            <v>112558.15</v>
          </cell>
        </row>
        <row r="183">
          <cell r="C183">
            <v>45082</v>
          </cell>
          <cell r="D183">
            <v>1.0860725308223609</v>
          </cell>
          <cell r="E183">
            <v>112696.32000000001</v>
          </cell>
        </row>
        <row r="184">
          <cell r="C184">
            <v>45083</v>
          </cell>
          <cell r="D184">
            <v>1.0864157359099562</v>
          </cell>
          <cell r="E184">
            <v>114610.1</v>
          </cell>
        </row>
        <row r="185">
          <cell r="C185">
            <v>45084</v>
          </cell>
          <cell r="D185">
            <v>1.0867617511989087</v>
          </cell>
          <cell r="E185">
            <v>115488.16</v>
          </cell>
        </row>
        <row r="186">
          <cell r="C186">
            <v>45086</v>
          </cell>
          <cell r="D186">
            <v>1.0871068097512402</v>
          </cell>
          <cell r="E186">
            <v>117019.48</v>
          </cell>
        </row>
        <row r="187">
          <cell r="C187">
            <v>45089</v>
          </cell>
          <cell r="D187">
            <v>1.0874530124324275</v>
          </cell>
          <cell r="E187">
            <v>117336.34</v>
          </cell>
        </row>
        <row r="188">
          <cell r="C188">
            <v>45090</v>
          </cell>
          <cell r="D188">
            <v>1.0878021342991753</v>
          </cell>
          <cell r="E188">
            <v>116742.71</v>
          </cell>
        </row>
        <row r="189">
          <cell r="C189">
            <v>45091</v>
          </cell>
          <cell r="D189">
            <v>1.0881490575289707</v>
          </cell>
          <cell r="E189">
            <v>119068.77</v>
          </cell>
        </row>
        <row r="190">
          <cell r="C190">
            <v>45092</v>
          </cell>
          <cell r="D190">
            <v>1.0884954120471322</v>
          </cell>
          <cell r="E190">
            <v>119221</v>
          </cell>
        </row>
        <row r="191">
          <cell r="C191">
            <v>45093</v>
          </cell>
          <cell r="D191">
            <v>1.0886877070783305</v>
          </cell>
          <cell r="E191">
            <v>118758.42</v>
          </cell>
        </row>
        <row r="192">
          <cell r="C192">
            <v>45096</v>
          </cell>
          <cell r="D192">
            <v>1.0888800524610978</v>
          </cell>
          <cell r="E192">
            <v>119857.76</v>
          </cell>
        </row>
        <row r="193">
          <cell r="C193">
            <v>45097</v>
          </cell>
          <cell r="D193">
            <v>1.0890725014553806</v>
          </cell>
          <cell r="E193">
            <v>119622.39999999999</v>
          </cell>
        </row>
        <row r="194">
          <cell r="C194">
            <v>45098</v>
          </cell>
          <cell r="D194">
            <v>1.0892635873341834</v>
          </cell>
          <cell r="E194">
            <v>120420.26</v>
          </cell>
        </row>
        <row r="195">
          <cell r="C195">
            <v>45099</v>
          </cell>
          <cell r="D195">
            <v>1.0894545141051946</v>
          </cell>
          <cell r="E195">
            <v>118934.2</v>
          </cell>
        </row>
        <row r="196">
          <cell r="C196">
            <v>45100</v>
          </cell>
          <cell r="D196">
            <v>1.0896442730423888</v>
          </cell>
          <cell r="E196">
            <v>118977.1</v>
          </cell>
        </row>
        <row r="197">
          <cell r="C197">
            <v>45103</v>
          </cell>
          <cell r="D197">
            <v>1.0898338435566286</v>
          </cell>
          <cell r="E197">
            <v>118242.95</v>
          </cell>
        </row>
        <row r="198">
          <cell r="C198">
            <v>45104</v>
          </cell>
          <cell r="D198">
            <v>1.0900243084285071</v>
          </cell>
          <cell r="E198">
            <v>117522.87</v>
          </cell>
        </row>
        <row r="199">
          <cell r="C199">
            <v>45105</v>
          </cell>
          <cell r="D199">
            <v>1.0902159960348679</v>
          </cell>
          <cell r="E199">
            <v>116681.32</v>
          </cell>
        </row>
        <row r="200">
          <cell r="C200">
            <v>45106</v>
          </cell>
          <cell r="D200">
            <v>1.0904058835019779</v>
          </cell>
          <cell r="E200">
            <v>118382.65</v>
          </cell>
        </row>
        <row r="201">
          <cell r="C201">
            <v>45107</v>
          </cell>
          <cell r="D201">
            <v>1.0905912706962244</v>
          </cell>
          <cell r="E201">
            <v>118087</v>
          </cell>
        </row>
        <row r="202">
          <cell r="C202">
            <v>45110</v>
          </cell>
          <cell r="D202">
            <v>1.0907758592851629</v>
          </cell>
          <cell r="E202">
            <v>119672.78</v>
          </cell>
        </row>
        <row r="203">
          <cell r="C203">
            <v>45111</v>
          </cell>
          <cell r="D203">
            <v>1.090962665413443</v>
          </cell>
          <cell r="E203">
            <v>119076.37</v>
          </cell>
        </row>
        <row r="204">
          <cell r="C204">
            <v>45112</v>
          </cell>
          <cell r="D204">
            <v>1.091150953857587</v>
          </cell>
          <cell r="E204">
            <v>119549.21</v>
          </cell>
        </row>
        <row r="205">
          <cell r="C205">
            <v>45113</v>
          </cell>
          <cell r="D205">
            <v>1.0913406756013908</v>
          </cell>
          <cell r="E205">
            <v>117425.7</v>
          </cell>
        </row>
        <row r="206">
          <cell r="C206">
            <v>45114</v>
          </cell>
          <cell r="D206">
            <v>1.0915280840435895</v>
          </cell>
          <cell r="E206">
            <v>118897.99</v>
          </cell>
        </row>
        <row r="207">
          <cell r="C207">
            <v>45117</v>
          </cell>
          <cell r="D207">
            <v>1.0917175138898949</v>
          </cell>
          <cell r="E207">
            <v>117942.44</v>
          </cell>
        </row>
        <row r="208">
          <cell r="C208">
            <v>45118</v>
          </cell>
          <cell r="D208">
            <v>1.0919064546431634</v>
          </cell>
          <cell r="E208">
            <v>117219.95</v>
          </cell>
        </row>
        <row r="209">
          <cell r="C209">
            <v>45119</v>
          </cell>
          <cell r="D209">
            <v>1.0920952595441122</v>
          </cell>
          <cell r="E209">
            <v>117666.49</v>
          </cell>
        </row>
        <row r="210">
          <cell r="C210">
            <v>45120</v>
          </cell>
          <cell r="D210">
            <v>1.0922847425982343</v>
          </cell>
          <cell r="E210">
            <v>119263.89</v>
          </cell>
        </row>
        <row r="211">
          <cell r="C211">
            <v>45121</v>
          </cell>
          <cell r="D211">
            <v>1.0924756481334401</v>
          </cell>
          <cell r="E211">
            <v>117710.54</v>
          </cell>
        </row>
        <row r="212">
          <cell r="C212">
            <v>45124</v>
          </cell>
          <cell r="D212">
            <v>1.092665978516592</v>
          </cell>
          <cell r="E212">
            <v>118219.46</v>
          </cell>
        </row>
        <row r="213">
          <cell r="C213">
            <v>45125</v>
          </cell>
          <cell r="D213">
            <v>1.0929570182595956</v>
          </cell>
          <cell r="E213">
            <v>117841.19</v>
          </cell>
        </row>
        <row r="214">
          <cell r="C214">
            <v>45126</v>
          </cell>
          <cell r="D214">
            <v>1.0932485552813764</v>
          </cell>
          <cell r="E214">
            <v>117552.07</v>
          </cell>
        </row>
        <row r="215">
          <cell r="C215">
            <v>45127</v>
          </cell>
          <cell r="D215">
            <v>1.0935401947651699</v>
          </cell>
          <cell r="E215">
            <v>118082.9</v>
          </cell>
        </row>
        <row r="216">
          <cell r="C216">
            <v>45128</v>
          </cell>
          <cell r="D216">
            <v>1.093830285430534</v>
          </cell>
          <cell r="E216">
            <v>120216.77</v>
          </cell>
        </row>
        <row r="217">
          <cell r="C217">
            <v>45131</v>
          </cell>
          <cell r="D217">
            <v>1.0941200245616014</v>
          </cell>
          <cell r="E217">
            <v>121341.69</v>
          </cell>
        </row>
        <row r="218">
          <cell r="C218">
            <v>45132</v>
          </cell>
          <cell r="D218">
            <v>1.094409741526037</v>
          </cell>
          <cell r="E218">
            <v>122007.77</v>
          </cell>
        </row>
        <row r="219">
          <cell r="C219">
            <v>45133</v>
          </cell>
          <cell r="D219">
            <v>1.0946988260677606</v>
          </cell>
          <cell r="E219">
            <v>122560.38</v>
          </cell>
        </row>
        <row r="220">
          <cell r="C220">
            <v>45134</v>
          </cell>
          <cell r="D220">
            <v>1.0949887045429438</v>
          </cell>
          <cell r="E220">
            <v>119989.64</v>
          </cell>
        </row>
        <row r="221">
          <cell r="C221">
            <v>45135</v>
          </cell>
          <cell r="D221">
            <v>1.0952778306281752</v>
          </cell>
          <cell r="E221">
            <v>120187.11</v>
          </cell>
        </row>
        <row r="222">
          <cell r="C222">
            <v>45138</v>
          </cell>
          <cell r="D222">
            <v>1.095565497687673</v>
          </cell>
          <cell r="E222">
            <v>121942.98</v>
          </cell>
        </row>
        <row r="223">
          <cell r="C223">
            <v>45139</v>
          </cell>
          <cell r="D223">
            <v>1.0958528521441704</v>
          </cell>
          <cell r="E223">
            <v>121248.39</v>
          </cell>
        </row>
        <row r="224">
          <cell r="C224">
            <v>45140</v>
          </cell>
          <cell r="D224">
            <v>1.0961390839340019</v>
          </cell>
          <cell r="E224">
            <v>120858.72</v>
          </cell>
        </row>
        <row r="225">
          <cell r="C225">
            <v>45141</v>
          </cell>
          <cell r="D225">
            <v>1.0964259277180493</v>
          </cell>
          <cell r="E225">
            <v>120585.77</v>
          </cell>
        </row>
        <row r="226">
          <cell r="C226">
            <v>45142</v>
          </cell>
          <cell r="D226">
            <v>1.096712168638176</v>
          </cell>
          <cell r="E226">
            <v>119507.68</v>
          </cell>
        </row>
        <row r="227">
          <cell r="C227">
            <v>45145</v>
          </cell>
          <cell r="D227">
            <v>1.0969990300855499</v>
          </cell>
          <cell r="E227">
            <v>119379.5</v>
          </cell>
        </row>
        <row r="228">
          <cell r="C228">
            <v>45146</v>
          </cell>
          <cell r="D228">
            <v>1.0972834223916397</v>
          </cell>
          <cell r="E228">
            <v>119090.24000000001</v>
          </cell>
        </row>
        <row r="229">
          <cell r="C229">
            <v>45147</v>
          </cell>
          <cell r="D229">
            <v>1.0975679132600198</v>
          </cell>
          <cell r="E229">
            <v>118408.77</v>
          </cell>
        </row>
        <row r="230">
          <cell r="C230">
            <v>45148</v>
          </cell>
          <cell r="D230">
            <v>1.0978517822798091</v>
          </cell>
          <cell r="E230">
            <v>118349.6</v>
          </cell>
        </row>
        <row r="231">
          <cell r="C231">
            <v>45149</v>
          </cell>
          <cell r="D231">
            <v>1.0981354720532561</v>
          </cell>
          <cell r="E231">
            <v>118065.14</v>
          </cell>
        </row>
        <row r="232">
          <cell r="C232">
            <v>45152</v>
          </cell>
          <cell r="D232">
            <v>1.0984206311805644</v>
          </cell>
          <cell r="E232">
            <v>116809.55</v>
          </cell>
        </row>
        <row r="233">
          <cell r="C233">
            <v>45153</v>
          </cell>
          <cell r="D233">
            <v>1.0987056447729024</v>
          </cell>
          <cell r="E233">
            <v>116171.42</v>
          </cell>
        </row>
        <row r="234">
          <cell r="C234">
            <v>45154</v>
          </cell>
          <cell r="D234">
            <v>1.0990435606899496</v>
          </cell>
          <cell r="E234">
            <v>115591.52</v>
          </cell>
        </row>
        <row r="235">
          <cell r="C235">
            <v>45155</v>
          </cell>
          <cell r="D235">
            <v>1.0993828404346939</v>
          </cell>
          <cell r="E235">
            <v>114982.3</v>
          </cell>
        </row>
        <row r="236">
          <cell r="C236">
            <v>45156</v>
          </cell>
          <cell r="D236">
            <v>1.0997229212359949</v>
          </cell>
          <cell r="E236">
            <v>115408.52</v>
          </cell>
        </row>
        <row r="237">
          <cell r="C237">
            <v>45159</v>
          </cell>
          <cell r="D237">
            <v>1.1000657472596445</v>
          </cell>
          <cell r="E237">
            <v>114429.35</v>
          </cell>
        </row>
        <row r="238">
          <cell r="C238">
            <v>45160</v>
          </cell>
          <cell r="D238">
            <v>1.1004097161594275</v>
          </cell>
          <cell r="E238">
            <v>116156.01</v>
          </cell>
        </row>
        <row r="239">
          <cell r="C239">
            <v>45161</v>
          </cell>
          <cell r="D239">
            <v>1.1007525075283666</v>
          </cell>
          <cell r="E239">
            <v>118134.59</v>
          </cell>
        </row>
        <row r="240">
          <cell r="C240">
            <v>45162</v>
          </cell>
          <cell r="D240">
            <v>1.1010961811629767</v>
          </cell>
          <cell r="E240">
            <v>117025.60000000001</v>
          </cell>
        </row>
        <row r="241">
          <cell r="C241">
            <v>45163</v>
          </cell>
          <cell r="D241">
            <v>1.1014409160093548</v>
          </cell>
          <cell r="E241">
            <v>115837.2</v>
          </cell>
        </row>
        <row r="242">
          <cell r="C242">
            <v>45166</v>
          </cell>
          <cell r="D242">
            <v>1.1017855181792329</v>
          </cell>
          <cell r="E242">
            <v>117120.98</v>
          </cell>
        </row>
        <row r="243">
          <cell r="C243">
            <v>45167</v>
          </cell>
          <cell r="D243">
            <v>1.1021293026573895</v>
          </cell>
          <cell r="E243">
            <v>118403.61</v>
          </cell>
        </row>
        <row r="244">
          <cell r="C244">
            <v>45168</v>
          </cell>
          <cell r="D244">
            <v>1.10247451868746</v>
          </cell>
          <cell r="E244">
            <v>117535.1</v>
          </cell>
        </row>
        <row r="245">
          <cell r="C245">
            <v>45169</v>
          </cell>
          <cell r="D245">
            <v>1.1028240343991451</v>
          </cell>
          <cell r="E245">
            <v>115741.81</v>
          </cell>
        </row>
        <row r="246">
          <cell r="C246">
            <v>45170</v>
          </cell>
          <cell r="D246">
            <v>1.1031740136009289</v>
          </cell>
          <cell r="E246">
            <v>117892.96</v>
          </cell>
        </row>
        <row r="247">
          <cell r="C247">
            <v>45173</v>
          </cell>
          <cell r="D247">
            <v>1.1035249836584256</v>
          </cell>
          <cell r="E247">
            <v>117776.62</v>
          </cell>
        </row>
        <row r="248">
          <cell r="C248">
            <v>45174</v>
          </cell>
          <cell r="D248">
            <v>1.1038776922116895</v>
          </cell>
          <cell r="E248">
            <v>117331.3</v>
          </cell>
        </row>
        <row r="249">
          <cell r="C249">
            <v>45175</v>
          </cell>
          <cell r="D249">
            <v>1.1042304014286255</v>
          </cell>
          <cell r="E249">
            <v>115985.34</v>
          </cell>
        </row>
        <row r="250">
          <cell r="C250">
            <v>45177</v>
          </cell>
          <cell r="D250">
            <v>1.1045830115813164</v>
          </cell>
          <cell r="E250">
            <v>115313.4</v>
          </cell>
        </row>
        <row r="251">
          <cell r="C251">
            <v>45180</v>
          </cell>
          <cell r="D251">
            <v>1.1049357177173462</v>
          </cell>
          <cell r="E251">
            <v>116883.34</v>
          </cell>
        </row>
        <row r="252">
          <cell r="C252">
            <v>45181</v>
          </cell>
          <cell r="D252">
            <v>1.1052875308636554</v>
          </cell>
          <cell r="E252">
            <v>117968.12</v>
          </cell>
        </row>
        <row r="253">
          <cell r="C253">
            <v>45182</v>
          </cell>
          <cell r="D253">
            <v>1.1056393978262797</v>
          </cell>
          <cell r="E253">
            <v>118175.97</v>
          </cell>
        </row>
        <row r="254">
          <cell r="C254">
            <v>45183</v>
          </cell>
          <cell r="D254">
            <v>1.1059914599765703</v>
          </cell>
          <cell r="E254">
            <v>119391.55</v>
          </cell>
        </row>
        <row r="255">
          <cell r="C255">
            <v>45184</v>
          </cell>
          <cell r="D255">
            <v>1.1063452853818339</v>
          </cell>
          <cell r="E255">
            <v>118757.53</v>
          </cell>
        </row>
        <row r="256">
          <cell r="C256">
            <v>45187</v>
          </cell>
          <cell r="D256">
            <v>1.106728015368442</v>
          </cell>
          <cell r="E256">
            <v>118288.21</v>
          </cell>
        </row>
        <row r="257">
          <cell r="C257">
            <v>45188</v>
          </cell>
          <cell r="D257">
            <v>1.1071118096168173</v>
          </cell>
          <cell r="E257">
            <v>117845.78</v>
          </cell>
        </row>
        <row r="258">
          <cell r="C258">
            <v>45189</v>
          </cell>
          <cell r="D258">
            <v>1.1074949129853577</v>
          </cell>
          <cell r="E258">
            <v>118695.32</v>
          </cell>
        </row>
        <row r="259">
          <cell r="C259">
            <v>45190</v>
          </cell>
          <cell r="D259">
            <v>1.1078789898307366</v>
          </cell>
          <cell r="E259">
            <v>116145.05</v>
          </cell>
        </row>
        <row r="260">
          <cell r="C260">
            <v>45191</v>
          </cell>
          <cell r="D260">
            <v>1.1082636329036812</v>
          </cell>
          <cell r="E260">
            <v>116008.64</v>
          </cell>
        </row>
        <row r="261">
          <cell r="C261">
            <v>45194</v>
          </cell>
          <cell r="D261">
            <v>1.108651090964077</v>
          </cell>
          <cell r="E261">
            <v>115924.61</v>
          </cell>
        </row>
        <row r="262">
          <cell r="C262">
            <v>45195</v>
          </cell>
          <cell r="D262">
            <v>1.1090464475417359</v>
          </cell>
          <cell r="E262">
            <v>114193.43</v>
          </cell>
        </row>
        <row r="263">
          <cell r="C263">
            <v>45196</v>
          </cell>
          <cell r="D263">
            <v>1.109443678694144</v>
          </cell>
          <cell r="E263">
            <v>114327.05</v>
          </cell>
        </row>
        <row r="264">
          <cell r="C264">
            <v>45197</v>
          </cell>
          <cell r="D264">
            <v>1.1098376579303657</v>
          </cell>
          <cell r="E264">
            <v>115730.76</v>
          </cell>
        </row>
        <row r="265">
          <cell r="C265">
            <v>45198</v>
          </cell>
          <cell r="D265">
            <v>1.1102286456713544</v>
          </cell>
          <cell r="E265">
            <v>116565.17</v>
          </cell>
        </row>
        <row r="266">
          <cell r="C266">
            <v>45201</v>
          </cell>
          <cell r="D266">
            <v>1.1106233866688731</v>
          </cell>
          <cell r="E266">
            <v>115056.86</v>
          </cell>
        </row>
        <row r="267">
          <cell r="C267">
            <v>45202</v>
          </cell>
          <cell r="D267">
            <v>1.1110223937251174</v>
          </cell>
          <cell r="E267">
            <v>113419.04</v>
          </cell>
        </row>
        <row r="268">
          <cell r="C268">
            <v>45203</v>
          </cell>
          <cell r="D268">
            <v>1.1114198579024259</v>
          </cell>
          <cell r="E268">
            <v>113607.45</v>
          </cell>
        </row>
        <row r="269">
          <cell r="C269">
            <v>45204</v>
          </cell>
          <cell r="D269">
            <v>1.1118179433131135</v>
          </cell>
          <cell r="E269">
            <v>113284.08</v>
          </cell>
        </row>
        <row r="270">
          <cell r="C270">
            <v>45205</v>
          </cell>
          <cell r="D270">
            <v>1.1122142291315062</v>
          </cell>
          <cell r="E270">
            <v>114169.63</v>
          </cell>
        </row>
        <row r="271">
          <cell r="C271">
            <v>45208</v>
          </cell>
          <cell r="D271">
            <v>1.1126077027397341</v>
          </cell>
          <cell r="E271">
            <v>115156.07</v>
          </cell>
        </row>
        <row r="272">
          <cell r="C272">
            <v>45209</v>
          </cell>
          <cell r="D272">
            <v>1.1130005139884163</v>
          </cell>
          <cell r="E272">
            <v>116736.95</v>
          </cell>
        </row>
        <row r="273">
          <cell r="C273">
            <v>45210</v>
          </cell>
          <cell r="D273">
            <v>1.1133933803871916</v>
          </cell>
          <cell r="E273">
            <v>117050.74</v>
          </cell>
        </row>
        <row r="274">
          <cell r="C274">
            <v>45212</v>
          </cell>
          <cell r="D274">
            <v>1.1137887329868519</v>
          </cell>
          <cell r="E274">
            <v>115754.08</v>
          </cell>
        </row>
        <row r="275">
          <cell r="C275">
            <v>45215</v>
          </cell>
          <cell r="D275">
            <v>1.114182571383991</v>
          </cell>
          <cell r="E275">
            <v>116533.85</v>
          </cell>
        </row>
        <row r="276">
          <cell r="C276">
            <v>45216</v>
          </cell>
          <cell r="D276">
            <v>1.1145614691464756</v>
          </cell>
          <cell r="E276">
            <v>115908.43</v>
          </cell>
        </row>
        <row r="277">
          <cell r="C277">
            <v>45217</v>
          </cell>
          <cell r="D277">
            <v>1.1149403285741644</v>
          </cell>
          <cell r="E277">
            <v>114059.64</v>
          </cell>
        </row>
        <row r="278">
          <cell r="C278">
            <v>45218</v>
          </cell>
          <cell r="D278">
            <v>1.1153245276127361</v>
          </cell>
          <cell r="E278">
            <v>114004.3</v>
          </cell>
        </row>
        <row r="279">
          <cell r="C279">
            <v>45219</v>
          </cell>
          <cell r="D279">
            <v>1.1157075804883221</v>
          </cell>
          <cell r="E279">
            <v>113155.28</v>
          </cell>
        </row>
        <row r="280">
          <cell r="C280">
            <v>45222</v>
          </cell>
          <cell r="D280">
            <v>1.1160913710266231</v>
          </cell>
          <cell r="E280">
            <v>112784.52</v>
          </cell>
        </row>
        <row r="281">
          <cell r="C281">
            <v>45223</v>
          </cell>
          <cell r="D281">
            <v>1.1164739930449756</v>
          </cell>
          <cell r="E281">
            <v>113761.9</v>
          </cell>
        </row>
        <row r="282">
          <cell r="C282">
            <v>45224</v>
          </cell>
          <cell r="D282">
            <v>1.116857687500405</v>
          </cell>
          <cell r="E282">
            <v>112829.97</v>
          </cell>
        </row>
        <row r="283">
          <cell r="C283">
            <v>45225</v>
          </cell>
          <cell r="D283">
            <v>1.1172357900698091</v>
          </cell>
          <cell r="E283">
            <v>114776.86</v>
          </cell>
        </row>
        <row r="284">
          <cell r="C284">
            <v>45226</v>
          </cell>
          <cell r="D284">
            <v>1.1176161869655832</v>
          </cell>
          <cell r="E284">
            <v>113301.35</v>
          </cell>
        </row>
        <row r="285">
          <cell r="C285">
            <v>45229</v>
          </cell>
          <cell r="D285">
            <v>1.1179991390683313</v>
          </cell>
          <cell r="E285">
            <v>112531.52</v>
          </cell>
        </row>
        <row r="286">
          <cell r="C286">
            <v>45230</v>
          </cell>
          <cell r="D286">
            <v>1.1183829555342277</v>
          </cell>
          <cell r="E286">
            <v>113143.67</v>
          </cell>
        </row>
        <row r="287">
          <cell r="C287">
            <v>45231</v>
          </cell>
          <cell r="D287">
            <v>1.1187650595700116</v>
          </cell>
          <cell r="E287">
            <v>115052.96</v>
          </cell>
        </row>
        <row r="288">
          <cell r="C288">
            <v>45233</v>
          </cell>
          <cell r="D288">
            <v>1.1191449618719516</v>
          </cell>
          <cell r="E288">
            <v>118159.97</v>
          </cell>
        </row>
        <row r="289">
          <cell r="C289">
            <v>45236</v>
          </cell>
          <cell r="D289">
            <v>1.1195276073144962</v>
          </cell>
          <cell r="E289">
            <v>118431.25</v>
          </cell>
        </row>
        <row r="290">
          <cell r="C290">
            <v>45237</v>
          </cell>
          <cell r="D290">
            <v>1.1199080750522945</v>
          </cell>
          <cell r="E290">
            <v>119268.06</v>
          </cell>
        </row>
        <row r="291">
          <cell r="C291">
            <v>45238</v>
          </cell>
          <cell r="D291">
            <v>1.1202866557081381</v>
          </cell>
          <cell r="E291">
            <v>119176.67</v>
          </cell>
        </row>
        <row r="292">
          <cell r="C292">
            <v>45239</v>
          </cell>
          <cell r="D292">
            <v>1.1206664654355973</v>
          </cell>
          <cell r="E292">
            <v>119034.14</v>
          </cell>
        </row>
        <row r="293">
          <cell r="C293">
            <v>45240</v>
          </cell>
          <cell r="D293">
            <v>1.121046071836413</v>
          </cell>
          <cell r="E293">
            <v>120568.14</v>
          </cell>
        </row>
        <row r="294">
          <cell r="C294">
            <v>45243</v>
          </cell>
          <cell r="D294">
            <v>1.1214276147317925</v>
          </cell>
          <cell r="E294">
            <v>120410.17</v>
          </cell>
        </row>
        <row r="295">
          <cell r="C295">
            <v>45244</v>
          </cell>
          <cell r="D295">
            <v>1.1218052446306654</v>
          </cell>
          <cell r="E295">
            <v>123165.75999999999</v>
          </cell>
        </row>
        <row r="296">
          <cell r="C296">
            <v>45246</v>
          </cell>
          <cell r="D296">
            <v>1.1221807949806741</v>
          </cell>
          <cell r="E296">
            <v>124639.24</v>
          </cell>
        </row>
        <row r="297">
          <cell r="C297">
            <v>45247</v>
          </cell>
          <cell r="D297">
            <v>1.1225764992901788</v>
          </cell>
          <cell r="E297">
            <v>124773.21</v>
          </cell>
        </row>
        <row r="298">
          <cell r="C298">
            <v>45250</v>
          </cell>
          <cell r="D298">
            <v>1.1229737681028023</v>
          </cell>
          <cell r="E298">
            <v>125957.06</v>
          </cell>
        </row>
        <row r="299">
          <cell r="C299">
            <v>45251</v>
          </cell>
          <cell r="D299">
            <v>1.123372750060234</v>
          </cell>
          <cell r="E299">
            <v>125626.03</v>
          </cell>
        </row>
        <row r="300">
          <cell r="C300">
            <v>45252</v>
          </cell>
          <cell r="D300">
            <v>1.1237707857254677</v>
          </cell>
          <cell r="E300">
            <v>126035.3</v>
          </cell>
        </row>
        <row r="301">
          <cell r="C301">
            <v>45253</v>
          </cell>
          <cell r="D301">
            <v>1.1241688485025001</v>
          </cell>
          <cell r="E301">
            <v>126575.75</v>
          </cell>
        </row>
        <row r="302">
          <cell r="C302">
            <v>45254</v>
          </cell>
          <cell r="D302">
            <v>1.1245670902690097</v>
          </cell>
          <cell r="E302">
            <v>125517.27</v>
          </cell>
        </row>
        <row r="303">
          <cell r="C303">
            <v>45257</v>
          </cell>
          <cell r="D303">
            <v>1.1249648397241261</v>
          </cell>
          <cell r="E303">
            <v>125731.45</v>
          </cell>
        </row>
        <row r="304">
          <cell r="C304">
            <v>45258</v>
          </cell>
          <cell r="D304">
            <v>1.1253612933356669</v>
          </cell>
          <cell r="E304">
            <v>126538.32</v>
          </cell>
        </row>
        <row r="305">
          <cell r="C305">
            <v>45259</v>
          </cell>
          <cell r="D305">
            <v>1.1257582544176308</v>
          </cell>
          <cell r="E305">
            <v>126165.64</v>
          </cell>
        </row>
        <row r="306">
          <cell r="C306">
            <v>45260</v>
          </cell>
          <cell r="D306">
            <v>1.126154814258598</v>
          </cell>
          <cell r="E306">
            <v>127331.12</v>
          </cell>
        </row>
        <row r="307">
          <cell r="C307">
            <v>45261</v>
          </cell>
          <cell r="D307">
            <v>1.1265502064136712</v>
          </cell>
          <cell r="E307">
            <v>128184.91</v>
          </cell>
        </row>
        <row r="308">
          <cell r="C308">
            <v>45264</v>
          </cell>
          <cell r="D308">
            <v>1.126947608030767</v>
          </cell>
          <cell r="E308">
            <v>126802.79</v>
          </cell>
        </row>
        <row r="309">
          <cell r="C309">
            <v>45265</v>
          </cell>
          <cell r="D309">
            <v>1.1273446715000757</v>
          </cell>
          <cell r="E309">
            <v>126903.25</v>
          </cell>
        </row>
        <row r="310">
          <cell r="C310">
            <v>45266</v>
          </cell>
          <cell r="D310">
            <v>1.1277416758302345</v>
          </cell>
          <cell r="E310">
            <v>125622.65</v>
          </cell>
        </row>
        <row r="311">
          <cell r="C311">
            <v>45267</v>
          </cell>
          <cell r="D311">
            <v>1.1281398831921174</v>
          </cell>
          <cell r="E311">
            <v>126009.57</v>
          </cell>
        </row>
        <row r="312">
          <cell r="C312">
            <v>45268</v>
          </cell>
          <cell r="D312">
            <v>1.1285385065545346</v>
          </cell>
          <cell r="E312">
            <v>127093.57</v>
          </cell>
        </row>
        <row r="313">
          <cell r="C313">
            <v>45271</v>
          </cell>
          <cell r="D313">
            <v>1.1289376055726288</v>
          </cell>
          <cell r="E313">
            <v>126916.41</v>
          </cell>
        </row>
        <row r="314">
          <cell r="C314">
            <v>45272</v>
          </cell>
          <cell r="D314">
            <v>1.1293350775668134</v>
          </cell>
          <cell r="E314">
            <v>126403.03</v>
          </cell>
        </row>
        <row r="315">
          <cell r="C315">
            <v>45273</v>
          </cell>
          <cell r="D315">
            <v>1.1297276975263428</v>
          </cell>
          <cell r="E315">
            <v>129465.08</v>
          </cell>
        </row>
        <row r="316">
          <cell r="C316">
            <v>45274</v>
          </cell>
          <cell r="D316">
            <v>1.1301191069405203</v>
          </cell>
          <cell r="E316">
            <v>130842.09</v>
          </cell>
        </row>
        <row r="317">
          <cell r="C317">
            <v>45275</v>
          </cell>
          <cell r="D317">
            <v>1.130509261524379</v>
          </cell>
          <cell r="E317">
            <v>130197.1</v>
          </cell>
        </row>
        <row r="318">
          <cell r="C318">
            <v>45278</v>
          </cell>
          <cell r="D318">
            <v>1.1310804200996771</v>
          </cell>
          <cell r="E318">
            <v>131083.81</v>
          </cell>
        </row>
        <row r="319">
          <cell r="C319">
            <v>45279</v>
          </cell>
          <cell r="D319">
            <v>1.1316511731369818</v>
          </cell>
          <cell r="E319">
            <v>131850.91</v>
          </cell>
        </row>
        <row r="320">
          <cell r="C320">
            <v>45280</v>
          </cell>
          <cell r="D320">
            <v>1.1322218903518999</v>
          </cell>
          <cell r="E320">
            <v>130804.17</v>
          </cell>
        </row>
        <row r="321">
          <cell r="C321">
            <v>45281</v>
          </cell>
          <cell r="D321">
            <v>1.1327920128207318</v>
          </cell>
          <cell r="E321">
            <v>132182.01999999999</v>
          </cell>
        </row>
        <row r="322">
          <cell r="C322">
            <v>45282</v>
          </cell>
          <cell r="D322">
            <v>1.1333614794431826</v>
          </cell>
          <cell r="E322">
            <v>132750.72</v>
          </cell>
        </row>
        <row r="323">
          <cell r="C323">
            <v>45286</v>
          </cell>
          <cell r="D323">
            <v>1.1339317616962443</v>
          </cell>
          <cell r="E323">
            <v>133532.92000000001</v>
          </cell>
        </row>
        <row r="324">
          <cell r="C324">
            <v>45287</v>
          </cell>
          <cell r="D324">
            <v>1.1345019806769852</v>
          </cell>
          <cell r="E324">
            <v>134193.72</v>
          </cell>
        </row>
        <row r="325">
          <cell r="C325">
            <v>45288</v>
          </cell>
          <cell r="D325">
            <v>1.1350722470887287</v>
          </cell>
          <cell r="E325">
            <v>134185.24</v>
          </cell>
        </row>
        <row r="326">
          <cell r="C326">
            <v>45289</v>
          </cell>
          <cell r="D326">
            <v>1.1356428001494034</v>
          </cell>
          <cell r="E326">
            <v>134185.24</v>
          </cell>
        </row>
        <row r="327">
          <cell r="C327">
            <v>45293</v>
          </cell>
          <cell r="D327">
            <v>1.136213443216276</v>
          </cell>
          <cell r="E327">
            <v>132696.63</v>
          </cell>
        </row>
        <row r="328">
          <cell r="C328">
            <v>45294</v>
          </cell>
          <cell r="D328">
            <v>1.1367846597879863</v>
          </cell>
          <cell r="E328">
            <v>132833.95000000001</v>
          </cell>
        </row>
        <row r="329">
          <cell r="C329">
            <v>45295</v>
          </cell>
          <cell r="D329">
            <v>1.1373578204002679</v>
          </cell>
          <cell r="E329">
            <v>131225.91</v>
          </cell>
        </row>
        <row r="330">
          <cell r="C330">
            <v>45296</v>
          </cell>
          <cell r="D330">
            <v>1.1379320964809132</v>
          </cell>
          <cell r="E330">
            <v>132022.92000000001</v>
          </cell>
        </row>
        <row r="331">
          <cell r="C331">
            <v>45299</v>
          </cell>
          <cell r="D331">
            <v>1.1385084867028026</v>
          </cell>
          <cell r="E331">
            <v>132426.54999999999</v>
          </cell>
        </row>
        <row r="332">
          <cell r="C332">
            <v>45300</v>
          </cell>
          <cell r="D332">
            <v>1.1390874567070506</v>
          </cell>
          <cell r="E332">
            <v>131446.59</v>
          </cell>
        </row>
        <row r="333">
          <cell r="C333">
            <v>45301</v>
          </cell>
          <cell r="D333">
            <v>1.1396671367181317</v>
          </cell>
          <cell r="E333">
            <v>130841.09</v>
          </cell>
        </row>
        <row r="334">
          <cell r="C334">
            <v>45302</v>
          </cell>
          <cell r="D334">
            <v>1.1402462543817149</v>
          </cell>
          <cell r="E334">
            <v>130648.75</v>
          </cell>
        </row>
        <row r="335">
          <cell r="C335">
            <v>45303</v>
          </cell>
          <cell r="D335">
            <v>1.140824778347439</v>
          </cell>
          <cell r="E335">
            <v>130987.67</v>
          </cell>
        </row>
        <row r="336">
          <cell r="C336">
            <v>45306</v>
          </cell>
          <cell r="D336">
            <v>1.141404226765758</v>
          </cell>
          <cell r="E336">
            <v>131520.91</v>
          </cell>
        </row>
        <row r="337">
          <cell r="C337">
            <v>45307</v>
          </cell>
          <cell r="D337">
            <v>1.1418798323006245</v>
          </cell>
          <cell r="E337">
            <v>129294.04</v>
          </cell>
        </row>
        <row r="338">
          <cell r="C338">
            <v>45308</v>
          </cell>
          <cell r="D338">
            <v>1.1423567989750472</v>
          </cell>
          <cell r="E338">
            <v>128523.83</v>
          </cell>
        </row>
        <row r="339">
          <cell r="C339">
            <v>45309</v>
          </cell>
          <cell r="D339">
            <v>1.1428341837981022</v>
          </cell>
          <cell r="E339">
            <v>127315.74</v>
          </cell>
        </row>
        <row r="340">
          <cell r="C340">
            <v>45310</v>
          </cell>
          <cell r="D340">
            <v>1.1433114589245239</v>
          </cell>
          <cell r="E340">
            <v>127635.65</v>
          </cell>
        </row>
        <row r="341">
          <cell r="C341">
            <v>45313</v>
          </cell>
          <cell r="D341">
            <v>1.1437894660812957</v>
          </cell>
          <cell r="E341">
            <v>126601.55</v>
          </cell>
        </row>
        <row r="342">
          <cell r="C342">
            <v>45314</v>
          </cell>
          <cell r="D342">
            <v>1.1442671229642705</v>
          </cell>
          <cell r="E342">
            <v>128262.52</v>
          </cell>
        </row>
        <row r="343">
          <cell r="C343">
            <v>45315</v>
          </cell>
          <cell r="D343">
            <v>1.1447450266197223</v>
          </cell>
          <cell r="E343">
            <v>127815.7</v>
          </cell>
        </row>
        <row r="344">
          <cell r="C344">
            <v>45316</v>
          </cell>
          <cell r="D344">
            <v>1.1452226351555042</v>
          </cell>
          <cell r="E344">
            <v>128168.73</v>
          </cell>
        </row>
        <row r="345">
          <cell r="C345">
            <v>45317</v>
          </cell>
          <cell r="D345">
            <v>1.1457000986325572</v>
          </cell>
          <cell r="E345">
            <v>128967.32</v>
          </cell>
        </row>
        <row r="346">
          <cell r="C346">
            <v>45320</v>
          </cell>
          <cell r="D346">
            <v>1.146178540497198</v>
          </cell>
          <cell r="E346">
            <v>128502.66</v>
          </cell>
        </row>
        <row r="347">
          <cell r="C347">
            <v>45321</v>
          </cell>
          <cell r="D347">
            <v>1.1466582243553953</v>
          </cell>
          <cell r="E347">
            <v>127401.81</v>
          </cell>
        </row>
        <row r="348">
          <cell r="C348">
            <v>45322</v>
          </cell>
          <cell r="D348">
            <v>1.1471369672256104</v>
          </cell>
          <cell r="E348">
            <v>127752.28</v>
          </cell>
        </row>
        <row r="349">
          <cell r="C349">
            <v>45323</v>
          </cell>
          <cell r="D349">
            <v>1.1476149226997041</v>
          </cell>
          <cell r="E349">
            <v>128481.02</v>
          </cell>
        </row>
        <row r="350">
          <cell r="C350">
            <v>45324</v>
          </cell>
          <cell r="D350">
            <v>1.1480936984181547</v>
          </cell>
          <cell r="E350">
            <v>127182.25</v>
          </cell>
        </row>
        <row r="351">
          <cell r="C351">
            <v>45327</v>
          </cell>
          <cell r="D351">
            <v>1.1485729758989562</v>
          </cell>
          <cell r="E351">
            <v>127593.49</v>
          </cell>
        </row>
        <row r="352">
          <cell r="C352">
            <v>45328</v>
          </cell>
          <cell r="D352">
            <v>1.1490515512726607</v>
          </cell>
          <cell r="E352">
            <v>130416.31</v>
          </cell>
        </row>
        <row r="353">
          <cell r="C353">
            <v>45329</v>
          </cell>
          <cell r="D353">
            <v>1.1495301316998146</v>
          </cell>
          <cell r="E353">
            <v>129949.9</v>
          </cell>
        </row>
        <row r="354">
          <cell r="C354">
            <v>45330</v>
          </cell>
          <cell r="D354">
            <v>1.1500097323487442</v>
          </cell>
          <cell r="E354">
            <v>128216.92</v>
          </cell>
        </row>
        <row r="355">
          <cell r="C355">
            <v>45331</v>
          </cell>
          <cell r="D355">
            <v>1.150488768053171</v>
          </cell>
          <cell r="E355">
            <v>128025.7</v>
          </cell>
        </row>
        <row r="356">
          <cell r="C356">
            <v>45336</v>
          </cell>
          <cell r="D356">
            <v>1.1509690929254521</v>
          </cell>
          <cell r="E356">
            <v>127018.29</v>
          </cell>
        </row>
        <row r="357">
          <cell r="C357">
            <v>45337</v>
          </cell>
          <cell r="D357">
            <v>1.1514490343919752</v>
          </cell>
          <cell r="E357">
            <v>127804.13</v>
          </cell>
        </row>
        <row r="358">
          <cell r="C358">
            <v>45338</v>
          </cell>
          <cell r="D358">
            <v>1.1521532735833699</v>
          </cell>
          <cell r="E358">
            <v>128725.88</v>
          </cell>
        </row>
        <row r="359">
          <cell r="C359">
            <v>45341</v>
          </cell>
          <cell r="D359">
            <v>1.152858176054425</v>
          </cell>
          <cell r="E359">
            <v>129035.74</v>
          </cell>
        </row>
        <row r="360">
          <cell r="C360">
            <v>45342</v>
          </cell>
          <cell r="D360">
            <v>1.1535633148100608</v>
          </cell>
          <cell r="E360">
            <v>129916.11</v>
          </cell>
        </row>
        <row r="361">
          <cell r="C361">
            <v>45343</v>
          </cell>
          <cell r="D361">
            <v>1.1542685683411347</v>
          </cell>
          <cell r="E361">
            <v>130031.58</v>
          </cell>
        </row>
        <row r="362">
          <cell r="C362">
            <v>45344</v>
          </cell>
          <cell r="D362">
            <v>1.1549750252610642</v>
          </cell>
          <cell r="E362">
            <v>130240.55</v>
          </cell>
        </row>
        <row r="363">
          <cell r="C363">
            <v>45345</v>
          </cell>
          <cell r="D363">
            <v>1.1556829865623066</v>
          </cell>
          <cell r="E363">
            <v>129418.73</v>
          </cell>
        </row>
        <row r="364">
          <cell r="C364">
            <v>45348</v>
          </cell>
          <cell r="D364">
            <v>1.1563929317412134</v>
          </cell>
          <cell r="E364">
            <v>129609.05</v>
          </cell>
        </row>
        <row r="365">
          <cell r="C365">
            <v>45349</v>
          </cell>
          <cell r="D365">
            <v>1.1571027570497201</v>
          </cell>
          <cell r="E365">
            <v>131689.38</v>
          </cell>
        </row>
        <row r="366">
          <cell r="C366">
            <v>45350</v>
          </cell>
          <cell r="D366">
            <v>1.1578130311081376</v>
          </cell>
          <cell r="E366">
            <v>130155.43</v>
          </cell>
        </row>
        <row r="367">
          <cell r="C367">
            <v>45351</v>
          </cell>
          <cell r="D367">
            <v>1.1585232496632072</v>
          </cell>
          <cell r="E367">
            <v>129020.02</v>
          </cell>
        </row>
        <row r="368">
          <cell r="C368">
            <v>45352</v>
          </cell>
          <cell r="D368">
            <v>1.1592347133570469</v>
          </cell>
          <cell r="E368">
            <v>129180.37</v>
          </cell>
        </row>
        <row r="369">
          <cell r="C369">
            <v>45355</v>
          </cell>
          <cell r="D369">
            <v>1.159947410744981</v>
          </cell>
          <cell r="E369">
            <v>128340.54</v>
          </cell>
        </row>
        <row r="370">
          <cell r="C370">
            <v>45356</v>
          </cell>
          <cell r="D370">
            <v>1.1606605506554617</v>
          </cell>
          <cell r="E370">
            <v>128098.11</v>
          </cell>
        </row>
        <row r="371">
          <cell r="C371">
            <v>45357</v>
          </cell>
          <cell r="D371">
            <v>1.1613732527773135</v>
          </cell>
          <cell r="E371">
            <v>128890.23</v>
          </cell>
        </row>
        <row r="372">
          <cell r="C372">
            <v>45358</v>
          </cell>
          <cell r="D372">
            <v>1.1620862485701839</v>
          </cell>
          <cell r="E372">
            <v>128339.76</v>
          </cell>
        </row>
        <row r="373">
          <cell r="C373">
            <v>45359</v>
          </cell>
          <cell r="D373">
            <v>1.1628006292524058</v>
          </cell>
          <cell r="E373">
            <v>127070.79</v>
          </cell>
        </row>
        <row r="374">
          <cell r="C374">
            <v>45362</v>
          </cell>
          <cell r="D374">
            <v>1.163515265673317</v>
          </cell>
          <cell r="E374">
            <v>126123.56</v>
          </cell>
        </row>
        <row r="375">
          <cell r="C375">
            <v>45363</v>
          </cell>
          <cell r="D375">
            <v>1.164230660288891</v>
          </cell>
          <cell r="E375">
            <v>127667.84</v>
          </cell>
        </row>
        <row r="376">
          <cell r="C376">
            <v>45364</v>
          </cell>
          <cell r="D376">
            <v>1.1649463023846065</v>
          </cell>
          <cell r="E376">
            <v>128006.05</v>
          </cell>
        </row>
        <row r="377">
          <cell r="C377">
            <v>45365</v>
          </cell>
          <cell r="D377">
            <v>1.1656640685094359</v>
          </cell>
          <cell r="E377">
            <v>127689.97</v>
          </cell>
        </row>
        <row r="378">
          <cell r="C378">
            <v>45366</v>
          </cell>
          <cell r="D378">
            <v>1.1663838870632648</v>
          </cell>
          <cell r="E378">
            <v>126741.81</v>
          </cell>
        </row>
        <row r="379">
          <cell r="C379">
            <v>45369</v>
          </cell>
          <cell r="D379">
            <v>1.1667399715399149</v>
          </cell>
          <cell r="E379">
            <v>126954.18</v>
          </cell>
        </row>
        <row r="380">
          <cell r="C380">
            <v>45370</v>
          </cell>
          <cell r="D380">
            <v>1.1670958802974019</v>
          </cell>
          <cell r="E380">
            <v>127528.85</v>
          </cell>
        </row>
        <row r="381">
          <cell r="C381">
            <v>45371</v>
          </cell>
          <cell r="D381">
            <v>1.1674506367948656</v>
          </cell>
          <cell r="E381">
            <v>129124.83</v>
          </cell>
        </row>
        <row r="382">
          <cell r="C382">
            <v>45372</v>
          </cell>
          <cell r="D382">
            <v>1.1678077430436473</v>
          </cell>
          <cell r="E382">
            <v>128158.57</v>
          </cell>
        </row>
        <row r="383">
          <cell r="C383">
            <v>45373</v>
          </cell>
          <cell r="D383">
            <v>1.16816548397997</v>
          </cell>
          <cell r="E383">
            <v>127027.1</v>
          </cell>
        </row>
        <row r="384">
          <cell r="C384">
            <v>45376</v>
          </cell>
          <cell r="D384">
            <v>1.1685227344232507</v>
          </cell>
          <cell r="E384">
            <v>126931.47</v>
          </cell>
        </row>
        <row r="385">
          <cell r="C385">
            <v>45377</v>
          </cell>
          <cell r="D385">
            <v>1.1688805541857674</v>
          </cell>
          <cell r="E385">
            <v>126863.02</v>
          </cell>
        </row>
        <row r="386">
          <cell r="C386">
            <v>45378</v>
          </cell>
          <cell r="D386">
            <v>1.1692373131930887</v>
          </cell>
          <cell r="E386">
            <v>127690.62</v>
          </cell>
        </row>
        <row r="387">
          <cell r="C387">
            <v>45379</v>
          </cell>
          <cell r="D387">
            <v>1.1695946064264362</v>
          </cell>
          <cell r="E387">
            <v>128106.1</v>
          </cell>
        </row>
        <row r="388">
          <cell r="C388">
            <v>45383</v>
          </cell>
          <cell r="D388">
            <v>1.1699533990171427</v>
          </cell>
          <cell r="E388">
            <v>126990.45</v>
          </cell>
        </row>
        <row r="389">
          <cell r="C389">
            <v>45384</v>
          </cell>
          <cell r="D389">
            <v>1.1703126876347678</v>
          </cell>
          <cell r="E389">
            <v>127548.52</v>
          </cell>
        </row>
        <row r="390">
          <cell r="C390">
            <v>45385</v>
          </cell>
          <cell r="D390">
            <v>1.1706721304593659</v>
          </cell>
          <cell r="E390">
            <v>127318.39</v>
          </cell>
        </row>
        <row r="391">
          <cell r="C391">
            <v>45386</v>
          </cell>
          <cell r="D391">
            <v>1.1710326841280088</v>
          </cell>
          <cell r="E391">
            <v>127427.53</v>
          </cell>
        </row>
        <row r="392">
          <cell r="C392">
            <v>45387</v>
          </cell>
          <cell r="D392">
            <v>1.1713946784618599</v>
          </cell>
          <cell r="E392">
            <v>126795.41</v>
          </cell>
        </row>
        <row r="393">
          <cell r="C393">
            <v>45390</v>
          </cell>
          <cell r="D393">
            <v>1.1717564160136831</v>
          </cell>
          <cell r="E393">
            <v>128857.16</v>
          </cell>
        </row>
        <row r="394">
          <cell r="C394">
            <v>45391</v>
          </cell>
          <cell r="D394">
            <v>1.172117439765</v>
          </cell>
          <cell r="E394">
            <v>129890.37</v>
          </cell>
        </row>
        <row r="395">
          <cell r="C395">
            <v>45392</v>
          </cell>
          <cell r="D395">
            <v>1.172481710115759</v>
          </cell>
          <cell r="E395">
            <v>128053.74</v>
          </cell>
        </row>
        <row r="396">
          <cell r="C396">
            <v>45393</v>
          </cell>
          <cell r="D396">
            <v>1.1728464186089178</v>
          </cell>
          <cell r="E396">
            <v>127396.35</v>
          </cell>
        </row>
        <row r="397">
          <cell r="C397">
            <v>45394</v>
          </cell>
          <cell r="D397">
            <v>1.1732108056970882</v>
          </cell>
          <cell r="E397">
            <v>125946.09</v>
          </cell>
        </row>
        <row r="398">
          <cell r="C398">
            <v>45397</v>
          </cell>
          <cell r="D398">
            <v>1.1735769973769994</v>
          </cell>
          <cell r="E398">
            <v>125333.89</v>
          </cell>
        </row>
        <row r="399">
          <cell r="C399">
            <v>45398</v>
          </cell>
          <cell r="D399">
            <v>1.1740650957178056</v>
          </cell>
          <cell r="E399">
            <v>124388.62</v>
          </cell>
        </row>
        <row r="400">
          <cell r="C400">
            <v>45399</v>
          </cell>
          <cell r="D400">
            <v>1.1745535332325672</v>
          </cell>
          <cell r="E400">
            <v>124171.15</v>
          </cell>
        </row>
        <row r="401">
          <cell r="C401">
            <v>45400</v>
          </cell>
          <cell r="D401">
            <v>1.1750411807163426</v>
          </cell>
          <cell r="E401">
            <v>124196.18</v>
          </cell>
        </row>
        <row r="402">
          <cell r="C402">
            <v>45401</v>
          </cell>
          <cell r="D402">
            <v>1.1755283270675743</v>
          </cell>
          <cell r="E402">
            <v>125124.3</v>
          </cell>
        </row>
        <row r="403">
          <cell r="C403">
            <v>45404</v>
          </cell>
          <cell r="D403">
            <v>1.1760158425610929</v>
          </cell>
          <cell r="E403">
            <v>125573.16</v>
          </cell>
        </row>
        <row r="404">
          <cell r="C404">
            <v>45405</v>
          </cell>
          <cell r="D404">
            <v>1.1765043347974737</v>
          </cell>
          <cell r="E404">
            <v>125148.07</v>
          </cell>
        </row>
        <row r="405">
          <cell r="C405">
            <v>45406</v>
          </cell>
          <cell r="D405">
            <v>1.1769943064582247</v>
          </cell>
          <cell r="E405">
            <v>124740.69</v>
          </cell>
        </row>
        <row r="406">
          <cell r="C406">
            <v>45407</v>
          </cell>
          <cell r="D406">
            <v>1.1774852658447685</v>
          </cell>
          <cell r="E406">
            <v>124645.58</v>
          </cell>
        </row>
        <row r="407">
          <cell r="C407">
            <v>45408</v>
          </cell>
          <cell r="D407">
            <v>1.1779759631661677</v>
          </cell>
          <cell r="E407">
            <v>126526.27</v>
          </cell>
        </row>
        <row r="408">
          <cell r="C408">
            <v>45411</v>
          </cell>
          <cell r="D408">
            <v>1.178466900228422</v>
          </cell>
          <cell r="E408">
            <v>127351.79</v>
          </cell>
        </row>
        <row r="409">
          <cell r="C409">
            <v>45412</v>
          </cell>
          <cell r="D409">
            <v>1.178962972068603</v>
          </cell>
          <cell r="E409">
            <v>125924.19</v>
          </cell>
        </row>
        <row r="410">
          <cell r="C410">
            <v>45414</v>
          </cell>
          <cell r="D410">
            <v>1.1794574461606042</v>
          </cell>
          <cell r="E410">
            <v>127122.25</v>
          </cell>
        </row>
        <row r="411">
          <cell r="C411">
            <v>45415</v>
          </cell>
          <cell r="D411">
            <v>1.1799502137644426</v>
          </cell>
          <cell r="E411">
            <v>128508.67</v>
          </cell>
        </row>
        <row r="412">
          <cell r="C412">
            <v>45418</v>
          </cell>
          <cell r="D412">
            <v>1.1804453445076637</v>
          </cell>
          <cell r="E412">
            <v>128465.69</v>
          </cell>
        </row>
        <row r="413">
          <cell r="C413">
            <v>45419</v>
          </cell>
          <cell r="D413">
            <v>1.1809391075184423</v>
          </cell>
          <cell r="E413">
            <v>129210.48</v>
          </cell>
        </row>
        <row r="414">
          <cell r="C414">
            <v>45420</v>
          </cell>
          <cell r="D414">
            <v>1.1814330284895795</v>
          </cell>
          <cell r="E414">
            <v>129480.89</v>
          </cell>
        </row>
        <row r="415">
          <cell r="C415">
            <v>45421</v>
          </cell>
          <cell r="D415">
            <v>1.1819256272884746</v>
          </cell>
          <cell r="E415">
            <v>128188.34</v>
          </cell>
        </row>
        <row r="416">
          <cell r="C416">
            <v>45422</v>
          </cell>
          <cell r="D416">
            <v>1.1824198017617518</v>
          </cell>
          <cell r="E416">
            <v>127599.57</v>
          </cell>
        </row>
        <row r="417">
          <cell r="C417">
            <v>45425</v>
          </cell>
          <cell r="D417">
            <v>1.1829145232957832</v>
          </cell>
          <cell r="E417">
            <v>128154.79</v>
          </cell>
        </row>
        <row r="418">
          <cell r="C418">
            <v>45426</v>
          </cell>
          <cell r="D418">
            <v>1.1834084653856072</v>
          </cell>
          <cell r="E418">
            <v>128515.49</v>
          </cell>
        </row>
        <row r="419">
          <cell r="C419">
            <v>45427</v>
          </cell>
          <cell r="D419">
            <v>1.1839021622762107</v>
          </cell>
          <cell r="E419">
            <v>128027.59</v>
          </cell>
        </row>
        <row r="420">
          <cell r="C420">
            <v>45428</v>
          </cell>
          <cell r="D420">
            <v>1.1844271288752575</v>
          </cell>
          <cell r="E420">
            <v>128283.62</v>
          </cell>
        </row>
        <row r="421">
          <cell r="C421">
            <v>45429</v>
          </cell>
          <cell r="D421">
            <v>1.1849529708732811</v>
          </cell>
          <cell r="E421">
            <v>128150.71</v>
          </cell>
        </row>
        <row r="422">
          <cell r="C422">
            <v>45432</v>
          </cell>
          <cell r="D422">
            <v>1.1854797689332641</v>
          </cell>
          <cell r="E422">
            <v>127750.92</v>
          </cell>
        </row>
        <row r="423">
          <cell r="C423">
            <v>45433</v>
          </cell>
          <cell r="D423">
            <v>1.1860068632803065</v>
          </cell>
          <cell r="E423">
            <v>127411.55</v>
          </cell>
        </row>
        <row r="424">
          <cell r="C424">
            <v>45434</v>
          </cell>
          <cell r="D424">
            <v>1.186535309908076</v>
          </cell>
          <cell r="E424">
            <v>125650.03</v>
          </cell>
        </row>
        <row r="425">
          <cell r="C425">
            <v>45435</v>
          </cell>
          <cell r="D425">
            <v>1.1870629401553674</v>
          </cell>
          <cell r="E425">
            <v>124729.4</v>
          </cell>
        </row>
        <row r="426">
          <cell r="C426">
            <v>45436</v>
          </cell>
          <cell r="D426">
            <v>1.1875914533144081</v>
          </cell>
          <cell r="E426">
            <v>124305.57</v>
          </cell>
        </row>
        <row r="427">
          <cell r="C427">
            <v>45439</v>
          </cell>
          <cell r="D427">
            <v>1.1881210723294187</v>
          </cell>
          <cell r="E427">
            <v>124495.67999999999</v>
          </cell>
        </row>
        <row r="428">
          <cell r="C428">
            <v>45440</v>
          </cell>
          <cell r="D428">
            <v>1.1886507187014561</v>
          </cell>
          <cell r="E428">
            <v>123779.54</v>
          </cell>
        </row>
        <row r="429">
          <cell r="C429">
            <v>45441</v>
          </cell>
          <cell r="D429">
            <v>1.1891824500728569</v>
          </cell>
          <cell r="E429">
            <v>122707.28</v>
          </cell>
        </row>
        <row r="430">
          <cell r="C430">
            <v>45443</v>
          </cell>
          <cell r="D430">
            <v>1.1897129609377386</v>
          </cell>
          <cell r="E430">
            <v>122098.09</v>
          </cell>
        </row>
        <row r="431">
          <cell r="C431">
            <v>45446</v>
          </cell>
          <cell r="D431">
            <v>1.190244126651155</v>
          </cell>
          <cell r="E431">
            <v>122031.58</v>
          </cell>
        </row>
        <row r="432">
          <cell r="C432">
            <v>45447</v>
          </cell>
          <cell r="D432">
            <v>1.1907768822756699</v>
          </cell>
          <cell r="E432">
            <v>121802.06</v>
          </cell>
        </row>
        <row r="433">
          <cell r="C433">
            <v>45448</v>
          </cell>
          <cell r="D433">
            <v>1.1913113672933888</v>
          </cell>
          <cell r="E433">
            <v>121407.33</v>
          </cell>
        </row>
        <row r="434">
          <cell r="C434">
            <v>45449</v>
          </cell>
          <cell r="D434">
            <v>1.191844845538619</v>
          </cell>
          <cell r="E434">
            <v>122898.8</v>
          </cell>
        </row>
        <row r="435">
          <cell r="C435">
            <v>45450</v>
          </cell>
          <cell r="D435">
            <v>1.1923827485356389</v>
          </cell>
          <cell r="E435">
            <v>120767.19</v>
          </cell>
        </row>
        <row r="436">
          <cell r="C436">
            <v>45453</v>
          </cell>
          <cell r="D436">
            <v>1.1929209967187264</v>
          </cell>
          <cell r="E436">
            <v>120759.51</v>
          </cell>
        </row>
        <row r="437">
          <cell r="C437">
            <v>45454</v>
          </cell>
          <cell r="D437">
            <v>1.1934608152747885</v>
          </cell>
          <cell r="E437">
            <v>121635.06</v>
          </cell>
        </row>
        <row r="438">
          <cell r="C438">
            <v>45455</v>
          </cell>
          <cell r="D438">
            <v>1.1940055988838343</v>
          </cell>
          <cell r="E438">
            <v>119936.02</v>
          </cell>
        </row>
        <row r="439">
          <cell r="C439">
            <v>45456</v>
          </cell>
          <cell r="D439">
            <v>1.1945488182996602</v>
          </cell>
          <cell r="E439">
            <v>119567.53</v>
          </cell>
        </row>
        <row r="440">
          <cell r="C440">
            <v>45457</v>
          </cell>
          <cell r="D440">
            <v>1.1950911526161194</v>
          </cell>
          <cell r="E440">
            <v>119662.38</v>
          </cell>
        </row>
        <row r="441">
          <cell r="C441">
            <v>45460</v>
          </cell>
          <cell r="D441">
            <v>1.1956334387747456</v>
          </cell>
          <cell r="E441">
            <v>119137.86</v>
          </cell>
        </row>
        <row r="442">
          <cell r="C442">
            <v>45461</v>
          </cell>
          <cell r="D442">
            <v>1.1960518019884105</v>
          </cell>
          <cell r="E442">
            <v>119630.44</v>
          </cell>
        </row>
        <row r="443">
          <cell r="C443">
            <v>45462</v>
          </cell>
          <cell r="D443">
            <v>1.1964706954542421</v>
          </cell>
          <cell r="E443">
            <v>120261.34</v>
          </cell>
        </row>
        <row r="444">
          <cell r="C444">
            <v>45463</v>
          </cell>
          <cell r="D444">
            <v>1.1968893159095091</v>
          </cell>
          <cell r="E444">
            <v>120445.91</v>
          </cell>
        </row>
        <row r="445">
          <cell r="C445">
            <v>45464</v>
          </cell>
          <cell r="D445">
            <v>1.1973058175945925</v>
          </cell>
          <cell r="E445">
            <v>121341.13</v>
          </cell>
        </row>
        <row r="446">
          <cell r="C446">
            <v>45467</v>
          </cell>
          <cell r="D446">
            <v>1.1977222093892399</v>
          </cell>
          <cell r="E446">
            <v>122637</v>
          </cell>
        </row>
        <row r="447">
          <cell r="C447">
            <v>45468</v>
          </cell>
          <cell r="D447">
            <v>1.1981407581196182</v>
          </cell>
          <cell r="E447">
            <v>122331.39</v>
          </cell>
        </row>
        <row r="448">
          <cell r="C448">
            <v>45469</v>
          </cell>
          <cell r="D448">
            <v>1.1985609420606511</v>
          </cell>
          <cell r="E448">
            <v>122641.3</v>
          </cell>
        </row>
        <row r="449">
          <cell r="C449">
            <v>45470</v>
          </cell>
          <cell r="D449">
            <v>1.1989817205562059</v>
          </cell>
          <cell r="E449">
            <v>124307.83</v>
          </cell>
        </row>
        <row r="450">
          <cell r="C450">
            <v>45471</v>
          </cell>
          <cell r="D450">
            <v>1.1994067694101651</v>
          </cell>
          <cell r="E450">
            <v>123906.55</v>
          </cell>
        </row>
        <row r="451">
          <cell r="C451">
            <v>45474</v>
          </cell>
          <cell r="D451">
            <v>1.1998352093685309</v>
          </cell>
          <cell r="E451">
            <v>124718.07</v>
          </cell>
        </row>
        <row r="452">
          <cell r="C452">
            <v>45475</v>
          </cell>
          <cell r="D452">
            <v>1.2002635207750441</v>
          </cell>
          <cell r="E452">
            <v>124787.08</v>
          </cell>
        </row>
        <row r="453">
          <cell r="C453">
            <v>45476</v>
          </cell>
          <cell r="D453">
            <v>1.2006880977771681</v>
          </cell>
          <cell r="E453">
            <v>125661.89</v>
          </cell>
        </row>
        <row r="454">
          <cell r="C454">
            <v>45477</v>
          </cell>
          <cell r="D454">
            <v>1.2011090406561598</v>
          </cell>
          <cell r="E454">
            <v>126163.98</v>
          </cell>
        </row>
        <row r="455">
          <cell r="C455">
            <v>45478</v>
          </cell>
          <cell r="D455">
            <v>1.2015278089668513</v>
          </cell>
          <cell r="E455">
            <v>126267.05</v>
          </cell>
        </row>
        <row r="456">
          <cell r="C456">
            <v>45481</v>
          </cell>
          <cell r="D456">
            <v>1.2019470552012659</v>
          </cell>
          <cell r="E456">
            <v>126548.34</v>
          </cell>
        </row>
        <row r="457">
          <cell r="C457">
            <v>45482</v>
          </cell>
          <cell r="D457">
            <v>1.2023664970769177</v>
          </cell>
          <cell r="E457">
            <v>127108.22</v>
          </cell>
        </row>
        <row r="458">
          <cell r="C458">
            <v>45483</v>
          </cell>
          <cell r="D458">
            <v>1.2027816083701635</v>
          </cell>
          <cell r="E458">
            <v>127218.24000000001</v>
          </cell>
        </row>
        <row r="459">
          <cell r="C459">
            <v>45484</v>
          </cell>
          <cell r="D459">
            <v>1.2031935407061298</v>
          </cell>
          <cell r="E459">
            <v>128293.61</v>
          </cell>
        </row>
        <row r="460">
          <cell r="C460">
            <v>45485</v>
          </cell>
          <cell r="D460">
            <v>1.2036053486894698</v>
          </cell>
          <cell r="E460">
            <v>128896.98</v>
          </cell>
        </row>
        <row r="461">
          <cell r="C461">
            <v>45488</v>
          </cell>
          <cell r="D461">
            <v>1.2040188365501387</v>
          </cell>
          <cell r="E461">
            <v>129320.96000000001</v>
          </cell>
        </row>
        <row r="462">
          <cell r="C462">
            <v>45489</v>
          </cell>
          <cell r="D462">
            <v>1.2045037222137378</v>
          </cell>
          <cell r="E462">
            <v>129110.38</v>
          </cell>
        </row>
        <row r="463">
          <cell r="C463">
            <v>45490</v>
          </cell>
          <cell r="D463">
            <v>1.2049891454176767</v>
          </cell>
          <cell r="E463">
            <v>129450.32</v>
          </cell>
        </row>
        <row r="464">
          <cell r="C464">
            <v>45491</v>
          </cell>
          <cell r="D464">
            <v>1.2054781734409967</v>
          </cell>
          <cell r="E464">
            <v>127652.06</v>
          </cell>
        </row>
        <row r="465">
          <cell r="C465">
            <v>45492</v>
          </cell>
          <cell r="D465">
            <v>1.205968867938549</v>
          </cell>
          <cell r="E465">
            <v>127616.46</v>
          </cell>
        </row>
        <row r="466">
          <cell r="C466">
            <v>45495</v>
          </cell>
          <cell r="D466">
            <v>1.2064589333235416</v>
          </cell>
          <cell r="E466">
            <v>127859.63</v>
          </cell>
        </row>
        <row r="467">
          <cell r="C467">
            <v>45496</v>
          </cell>
          <cell r="D467">
            <v>1.2069525497807196</v>
          </cell>
          <cell r="E467">
            <v>126589.84</v>
          </cell>
        </row>
        <row r="468">
          <cell r="C468">
            <v>45497</v>
          </cell>
          <cell r="D468">
            <v>1.2074463096260257</v>
          </cell>
          <cell r="E468">
            <v>126422.73</v>
          </cell>
        </row>
        <row r="469">
          <cell r="C469">
            <v>45498</v>
          </cell>
          <cell r="D469">
            <v>1.2079406816269345</v>
          </cell>
          <cell r="E469">
            <v>125954.09</v>
          </cell>
        </row>
        <row r="470">
          <cell r="C470">
            <v>45499</v>
          </cell>
          <cell r="D470">
            <v>1.2084330416580695</v>
          </cell>
          <cell r="E470">
            <v>127492.49</v>
          </cell>
        </row>
        <row r="471">
          <cell r="C471">
            <v>45502</v>
          </cell>
          <cell r="D471">
            <v>1.2089259092386622</v>
          </cell>
          <cell r="E471">
            <v>126954</v>
          </cell>
        </row>
        <row r="472">
          <cell r="C472">
            <v>45503</v>
          </cell>
          <cell r="D472">
            <v>1.209417939420504</v>
          </cell>
          <cell r="E472">
            <v>126139</v>
          </cell>
        </row>
        <row r="473">
          <cell r="C473">
            <v>45504</v>
          </cell>
          <cell r="D473">
            <v>1.2099080643892655</v>
          </cell>
          <cell r="E473">
            <v>127651.81</v>
          </cell>
        </row>
        <row r="474">
          <cell r="C474">
            <v>45505</v>
          </cell>
          <cell r="D474">
            <v>1.2103967058827196</v>
          </cell>
          <cell r="E474">
            <v>127395.1</v>
          </cell>
        </row>
        <row r="475">
          <cell r="C475">
            <v>45506</v>
          </cell>
          <cell r="D475">
            <v>1.2108788983349472</v>
          </cell>
          <cell r="E475">
            <v>125854.09</v>
          </cell>
        </row>
        <row r="476">
          <cell r="C476">
            <v>45509</v>
          </cell>
          <cell r="D476">
            <v>1.2113610517210422</v>
          </cell>
          <cell r="E476">
            <v>125269.54</v>
          </cell>
        </row>
        <row r="477">
          <cell r="C477">
            <v>45510</v>
          </cell>
          <cell r="D477">
            <v>1.2118466018916902</v>
          </cell>
          <cell r="E477">
            <v>126266.7</v>
          </cell>
        </row>
        <row r="478">
          <cell r="C478">
            <v>45511</v>
          </cell>
          <cell r="D478">
            <v>1.2123319477416388</v>
          </cell>
          <cell r="E478">
            <v>127513.88</v>
          </cell>
        </row>
        <row r="479">
          <cell r="C479">
            <v>45512</v>
          </cell>
          <cell r="D479">
            <v>1.2128151380353656</v>
          </cell>
          <cell r="E479">
            <v>128660.88</v>
          </cell>
        </row>
        <row r="480">
          <cell r="C480">
            <v>45513</v>
          </cell>
          <cell r="D480">
            <v>1.2132950469672219</v>
          </cell>
          <cell r="E480">
            <v>130614.59</v>
          </cell>
        </row>
        <row r="481">
          <cell r="C481">
            <v>45516</v>
          </cell>
          <cell r="D481">
            <v>1.2137737822463197</v>
          </cell>
          <cell r="E481">
            <v>131115.9</v>
          </cell>
        </row>
        <row r="482">
          <cell r="C482">
            <v>45517</v>
          </cell>
          <cell r="D482">
            <v>1.2142507596544341</v>
          </cell>
          <cell r="E482">
            <v>132397.97</v>
          </cell>
        </row>
        <row r="483">
          <cell r="C483">
            <v>45518</v>
          </cell>
          <cell r="D483">
            <v>1.2147279836662193</v>
          </cell>
          <cell r="E483">
            <v>133317.66</v>
          </cell>
        </row>
        <row r="484">
          <cell r="C484">
            <v>45519</v>
          </cell>
          <cell r="D484">
            <v>1.2152070431268982</v>
          </cell>
          <cell r="E484">
            <v>134153.42000000001</v>
          </cell>
        </row>
        <row r="485">
          <cell r="C485">
            <v>45520</v>
          </cell>
          <cell r="D485">
            <v>1.215476375906996</v>
          </cell>
          <cell r="E485">
            <v>133953.25</v>
          </cell>
        </row>
        <row r="486">
          <cell r="C486">
            <v>45523</v>
          </cell>
          <cell r="D486">
            <v>1.2157477708187694</v>
          </cell>
          <cell r="E486">
            <v>135777.98000000001</v>
          </cell>
        </row>
        <row r="487">
          <cell r="C487">
            <v>45524</v>
          </cell>
          <cell r="D487">
            <v>1.216022183621625</v>
          </cell>
          <cell r="E487">
            <v>136087.41</v>
          </cell>
        </row>
        <row r="488">
          <cell r="C488">
            <v>45525</v>
          </cell>
          <cell r="D488">
            <v>1.2162963217022384</v>
          </cell>
          <cell r="E488">
            <v>136463.65</v>
          </cell>
        </row>
        <row r="489">
          <cell r="C489">
            <v>45526</v>
          </cell>
          <cell r="D489">
            <v>1.2165713679333339</v>
          </cell>
          <cell r="E489">
            <v>135173.39000000001</v>
          </cell>
        </row>
        <row r="490">
          <cell r="C490">
            <v>45527</v>
          </cell>
          <cell r="D490">
            <v>1.2168445099758438</v>
          </cell>
          <cell r="E490">
            <v>135608.47</v>
          </cell>
        </row>
        <row r="491">
          <cell r="C491">
            <v>45530</v>
          </cell>
          <cell r="D491">
            <v>1.2171194070482949</v>
          </cell>
          <cell r="E491">
            <v>136888.70000000001</v>
          </cell>
        </row>
        <row r="492">
          <cell r="C492">
            <v>45531</v>
          </cell>
          <cell r="D492">
            <v>1.2173951993872418</v>
          </cell>
          <cell r="E492">
            <v>136775.91</v>
          </cell>
        </row>
        <row r="493">
          <cell r="C493">
            <v>45532</v>
          </cell>
          <cell r="D493">
            <v>1.2176731984212896</v>
          </cell>
          <cell r="E493">
            <v>137343.96</v>
          </cell>
        </row>
        <row r="494">
          <cell r="C494">
            <v>45533</v>
          </cell>
          <cell r="D494">
            <v>1.2179519983836273</v>
          </cell>
          <cell r="E494">
            <v>136041.35</v>
          </cell>
        </row>
        <row r="495">
          <cell r="C495">
            <v>45534</v>
          </cell>
          <cell r="D495">
            <v>1.2182334338478316</v>
          </cell>
          <cell r="E495">
            <v>136004.01</v>
          </cell>
        </row>
        <row r="496">
          <cell r="C496">
            <v>45537</v>
          </cell>
          <cell r="D496">
            <v>1.2185164906972241</v>
          </cell>
          <cell r="E496">
            <v>134906.07</v>
          </cell>
        </row>
        <row r="497">
          <cell r="C497">
            <v>45538</v>
          </cell>
          <cell r="D497">
            <v>1.2188002322207481</v>
          </cell>
          <cell r="E497">
            <v>134353.48000000001</v>
          </cell>
        </row>
        <row r="498">
          <cell r="C498">
            <v>45539</v>
          </cell>
          <cell r="D498">
            <v>1.2190823873229546</v>
          </cell>
          <cell r="E498">
            <v>136110.73000000001</v>
          </cell>
        </row>
        <row r="499">
          <cell r="C499">
            <v>45540</v>
          </cell>
          <cell r="D499">
            <v>1.2193625032714506</v>
          </cell>
          <cell r="E499">
            <v>136502.49</v>
          </cell>
        </row>
        <row r="500">
          <cell r="C500">
            <v>45541</v>
          </cell>
          <cell r="D500">
            <v>1.2196419361504209</v>
          </cell>
          <cell r="E500">
            <v>134572.45000000001</v>
          </cell>
        </row>
        <row r="501">
          <cell r="C501">
            <v>45544</v>
          </cell>
          <cell r="D501">
            <v>1.2199222216936041</v>
          </cell>
          <cell r="E501">
            <v>134737.21</v>
          </cell>
        </row>
        <row r="502">
          <cell r="C502">
            <v>45545</v>
          </cell>
          <cell r="D502">
            <v>1.2202035791332222</v>
          </cell>
          <cell r="E502">
            <v>134319.57999999999</v>
          </cell>
        </row>
        <row r="503">
          <cell r="C503">
            <v>45546</v>
          </cell>
          <cell r="D503">
            <v>1.2204854072273565</v>
          </cell>
          <cell r="E503">
            <v>134676.75</v>
          </cell>
        </row>
        <row r="504">
          <cell r="C504">
            <v>45547</v>
          </cell>
          <cell r="D504">
            <v>1.2207703318718806</v>
          </cell>
          <cell r="E504">
            <v>134029.43</v>
          </cell>
        </row>
        <row r="505">
          <cell r="C505">
            <v>45548</v>
          </cell>
          <cell r="D505">
            <v>1.2210539599321988</v>
          </cell>
          <cell r="E505">
            <v>134881.95000000001</v>
          </cell>
        </row>
        <row r="506">
          <cell r="C506">
            <v>45551</v>
          </cell>
          <cell r="D506">
            <v>1.2213393683586891</v>
          </cell>
          <cell r="E506">
            <v>135118.22</v>
          </cell>
        </row>
        <row r="507">
          <cell r="C507">
            <v>45552</v>
          </cell>
          <cell r="D507">
            <v>1.2218914093373674</v>
          </cell>
          <cell r="E507">
            <v>134960.19</v>
          </cell>
        </row>
        <row r="508">
          <cell r="C508">
            <v>45553</v>
          </cell>
          <cell r="D508">
            <v>1.2224435948864263</v>
          </cell>
          <cell r="E508">
            <v>133747.69</v>
          </cell>
        </row>
        <row r="509">
          <cell r="C509">
            <v>45554</v>
          </cell>
          <cell r="D509">
            <v>1.2230002554803625</v>
          </cell>
          <cell r="E509">
            <v>133122.67000000001</v>
          </cell>
        </row>
        <row r="510">
          <cell r="C510">
            <v>45555</v>
          </cell>
          <cell r="D510">
            <v>1.2235607640989361</v>
          </cell>
          <cell r="E510">
            <v>131065.44</v>
          </cell>
        </row>
        <row r="511">
          <cell r="C511">
            <v>45558</v>
          </cell>
          <cell r="D511">
            <v>1.2241210231930186</v>
          </cell>
          <cell r="E511">
            <v>130568.37</v>
          </cell>
        </row>
        <row r="512">
          <cell r="C512">
            <v>45559</v>
          </cell>
          <cell r="D512">
            <v>1.2246792057725198</v>
          </cell>
          <cell r="E512">
            <v>132155.76</v>
          </cell>
        </row>
        <row r="513">
          <cell r="C513">
            <v>45560</v>
          </cell>
          <cell r="D513">
            <v>1.2252372179555169</v>
          </cell>
          <cell r="E513">
            <v>131586.45000000001</v>
          </cell>
        </row>
        <row r="514">
          <cell r="C514">
            <v>45561</v>
          </cell>
          <cell r="D514">
            <v>1.2257958317984767</v>
          </cell>
          <cell r="E514">
            <v>133009.78</v>
          </cell>
        </row>
        <row r="515">
          <cell r="C515">
            <v>45562</v>
          </cell>
          <cell r="D515">
            <v>1.2263551347490502</v>
          </cell>
          <cell r="E515">
            <v>132730.35999999999</v>
          </cell>
        </row>
        <row r="516">
          <cell r="C516">
            <v>45565</v>
          </cell>
          <cell r="D516">
            <v>1.2269167602483706</v>
          </cell>
          <cell r="E516">
            <v>131816.44</v>
          </cell>
        </row>
        <row r="517">
          <cell r="C517">
            <v>45566</v>
          </cell>
          <cell r="D517">
            <v>1.2274780436010984</v>
          </cell>
          <cell r="E517">
            <v>132495.16</v>
          </cell>
        </row>
        <row r="518">
          <cell r="C518">
            <v>45567</v>
          </cell>
          <cell r="D518">
            <v>1.2280397485163987</v>
          </cell>
          <cell r="E518">
            <v>133514.94</v>
          </cell>
        </row>
        <row r="519">
          <cell r="C519">
            <v>45568</v>
          </cell>
          <cell r="D519">
            <v>1.2286023607198104</v>
          </cell>
          <cell r="E519">
            <v>131671.51999999999</v>
          </cell>
        </row>
        <row r="520">
          <cell r="C520">
            <v>45569</v>
          </cell>
          <cell r="D520">
            <v>1.2291671497393029</v>
          </cell>
          <cell r="E520">
            <v>131791.54999999999</v>
          </cell>
        </row>
        <row r="521">
          <cell r="C521">
            <v>45572</v>
          </cell>
          <cell r="D521">
            <v>1.2297301913688068</v>
          </cell>
          <cell r="E521">
            <v>132017.84</v>
          </cell>
        </row>
        <row r="522">
          <cell r="C522">
            <v>45573</v>
          </cell>
          <cell r="D522">
            <v>1.2302922252076225</v>
          </cell>
          <cell r="E522">
            <v>131511.73000000001</v>
          </cell>
        </row>
        <row r="523">
          <cell r="C523">
            <v>45574</v>
          </cell>
          <cell r="D523">
            <v>1.2308581395442115</v>
          </cell>
          <cell r="E523">
            <v>129962.06</v>
          </cell>
        </row>
        <row r="524">
          <cell r="C524">
            <v>45575</v>
          </cell>
          <cell r="D524">
            <v>1.2314229378138655</v>
          </cell>
          <cell r="E524">
            <v>130352.86</v>
          </cell>
        </row>
        <row r="525">
          <cell r="C525">
            <v>45576</v>
          </cell>
          <cell r="D525">
            <v>1.2319880136126022</v>
          </cell>
          <cell r="E525">
            <v>129992.29</v>
          </cell>
        </row>
        <row r="526">
          <cell r="C526">
            <v>45579</v>
          </cell>
          <cell r="D526">
            <v>1.2325544141196938</v>
          </cell>
          <cell r="E526">
            <v>131005.25</v>
          </cell>
        </row>
        <row r="527">
          <cell r="C527">
            <v>45580</v>
          </cell>
          <cell r="D527">
            <v>1.2331231877575255</v>
          </cell>
          <cell r="E527">
            <v>131043.27</v>
          </cell>
        </row>
        <row r="528">
          <cell r="C528">
            <v>45581</v>
          </cell>
          <cell r="D528">
            <v>1.2337357218639504</v>
          </cell>
          <cell r="E528">
            <v>131749.72</v>
          </cell>
        </row>
        <row r="529">
          <cell r="C529">
            <v>45582</v>
          </cell>
          <cell r="D529">
            <v>1.2343493274913306</v>
          </cell>
          <cell r="E529">
            <v>130793.41</v>
          </cell>
        </row>
        <row r="530">
          <cell r="C530">
            <v>45583</v>
          </cell>
          <cell r="D530">
            <v>1.234966436259777</v>
          </cell>
          <cell r="E530">
            <v>130499.26</v>
          </cell>
        </row>
        <row r="531">
          <cell r="C531">
            <v>45586</v>
          </cell>
          <cell r="D531">
            <v>1.2355846531147179</v>
          </cell>
          <cell r="E531">
            <v>130361.56</v>
          </cell>
        </row>
        <row r="532">
          <cell r="C532">
            <v>45587</v>
          </cell>
          <cell r="D532">
            <v>1.2362035885727778</v>
          </cell>
          <cell r="E532">
            <v>129951.37</v>
          </cell>
        </row>
        <row r="533">
          <cell r="C533">
            <v>45588</v>
          </cell>
          <cell r="D533">
            <v>1.2368252295934417</v>
          </cell>
          <cell r="E533">
            <v>129233.11</v>
          </cell>
        </row>
        <row r="534">
          <cell r="C534">
            <v>45589</v>
          </cell>
          <cell r="D534">
            <v>1.2374425773389004</v>
          </cell>
          <cell r="E534">
            <v>130066.95</v>
          </cell>
        </row>
        <row r="535">
          <cell r="C535">
            <v>45590</v>
          </cell>
          <cell r="D535">
            <v>1.238062825566842</v>
          </cell>
          <cell r="E535">
            <v>129893.32</v>
          </cell>
        </row>
        <row r="536">
          <cell r="C536">
            <v>45593</v>
          </cell>
          <cell r="D536">
            <v>1.2386849181138986</v>
          </cell>
          <cell r="E536">
            <v>131212.57999999999</v>
          </cell>
        </row>
        <row r="537">
          <cell r="C537">
            <v>45594</v>
          </cell>
          <cell r="D537">
            <v>1.2393090319581785</v>
          </cell>
          <cell r="E537">
            <v>130729.93</v>
          </cell>
        </row>
        <row r="538">
          <cell r="C538">
            <v>45595</v>
          </cell>
          <cell r="D538">
            <v>1.2399327645245055</v>
          </cell>
          <cell r="E538">
            <v>130639.33</v>
          </cell>
        </row>
        <row r="539">
          <cell r="C539">
            <v>45596</v>
          </cell>
          <cell r="D539">
            <v>1.2405563038630523</v>
          </cell>
          <cell r="E539">
            <v>129713.33</v>
          </cell>
        </row>
        <row r="540">
          <cell r="C540">
            <v>45597</v>
          </cell>
          <cell r="D540">
            <v>1.2411828822867614</v>
          </cell>
          <cell r="E540">
            <v>128120.75</v>
          </cell>
        </row>
        <row r="541">
          <cell r="C541">
            <v>45600</v>
          </cell>
          <cell r="D541">
            <v>1.2418045712451755</v>
          </cell>
          <cell r="E541">
            <v>130514.79</v>
          </cell>
        </row>
        <row r="542">
          <cell r="C542">
            <v>45601</v>
          </cell>
          <cell r="D542">
            <v>1.2424261465456237</v>
          </cell>
          <cell r="E542">
            <v>130660.75</v>
          </cell>
        </row>
        <row r="543">
          <cell r="C543">
            <v>45602</v>
          </cell>
          <cell r="D543">
            <v>1.2430476030461002</v>
          </cell>
          <cell r="E543">
            <v>130340.92</v>
          </cell>
        </row>
        <row r="544">
          <cell r="C544">
            <v>45603</v>
          </cell>
          <cell r="D544">
            <v>1.2436665157290672</v>
          </cell>
          <cell r="E544">
            <v>129681.7</v>
          </cell>
        </row>
        <row r="545">
          <cell r="C545">
            <v>45604</v>
          </cell>
          <cell r="D545">
            <v>1.2442844676963243</v>
          </cell>
          <cell r="E545">
            <v>127829.8</v>
          </cell>
        </row>
        <row r="546">
          <cell r="C546">
            <v>45607</v>
          </cell>
          <cell r="D546">
            <v>1.2449039267235829</v>
          </cell>
          <cell r="E546">
            <v>127873.7</v>
          </cell>
        </row>
        <row r="547">
          <cell r="C547">
            <v>45608</v>
          </cell>
          <cell r="D547">
            <v>1.2455308685690756</v>
          </cell>
          <cell r="E547">
            <v>127698.32</v>
          </cell>
        </row>
        <row r="548">
          <cell r="C548">
            <v>45609</v>
          </cell>
          <cell r="D548">
            <v>1.246158204866769</v>
          </cell>
          <cell r="E548">
            <v>127733.88</v>
          </cell>
        </row>
        <row r="549">
          <cell r="C549">
            <v>45610</v>
          </cell>
          <cell r="D549">
            <v>1.246784981440997</v>
          </cell>
          <cell r="E549">
            <v>127791.6</v>
          </cell>
        </row>
        <row r="550">
          <cell r="C550">
            <v>45614</v>
          </cell>
          <cell r="D550">
            <v>1.2474115586361711</v>
          </cell>
          <cell r="E550">
            <v>127768.19</v>
          </cell>
        </row>
        <row r="551">
          <cell r="C551">
            <v>45615</v>
          </cell>
          <cell r="D551">
            <v>1.2480367526114455</v>
          </cell>
          <cell r="E551">
            <v>128197.25</v>
          </cell>
        </row>
        <row r="552">
          <cell r="C552">
            <v>45617</v>
          </cell>
          <cell r="D552">
            <v>1.2486599798119016</v>
          </cell>
          <cell r="E552">
            <v>126922.11</v>
          </cell>
        </row>
        <row r="553">
          <cell r="C553">
            <v>45618</v>
          </cell>
          <cell r="D553">
            <v>1.249286194303183</v>
          </cell>
          <cell r="E553">
            <v>129125.51</v>
          </cell>
        </row>
        <row r="554">
          <cell r="C554">
            <v>45621</v>
          </cell>
          <cell r="D554">
            <v>1.2499117515208278</v>
          </cell>
          <cell r="E554">
            <v>129036.1</v>
          </cell>
        </row>
        <row r="555">
          <cell r="C555">
            <v>45622</v>
          </cell>
          <cell r="D555">
            <v>1.2505383287662282</v>
          </cell>
          <cell r="E555">
            <v>129922.38</v>
          </cell>
        </row>
        <row r="556">
          <cell r="C556">
            <v>45623</v>
          </cell>
          <cell r="D556">
            <v>1.2511712360975495</v>
          </cell>
          <cell r="E556">
            <v>127668.61</v>
          </cell>
        </row>
        <row r="557">
          <cell r="C557">
            <v>45624</v>
          </cell>
          <cell r="D557">
            <v>1.2518082324076671</v>
          </cell>
          <cell r="E557">
            <v>124610.41</v>
          </cell>
        </row>
        <row r="558">
          <cell r="C558">
            <v>45625</v>
          </cell>
          <cell r="D558">
            <v>1.2524443352216366</v>
          </cell>
          <cell r="E558">
            <v>125667.83</v>
          </cell>
        </row>
        <row r="559">
          <cell r="C559">
            <v>45628</v>
          </cell>
          <cell r="D559">
            <v>1.2530791889719759</v>
          </cell>
          <cell r="E559">
            <v>125235.54</v>
          </cell>
        </row>
        <row r="560">
          <cell r="C560">
            <v>45629</v>
          </cell>
          <cell r="D560">
            <v>1.2537182219123875</v>
          </cell>
          <cell r="E560">
            <v>126139.2</v>
          </cell>
        </row>
        <row r="561">
          <cell r="C561">
            <v>45630</v>
          </cell>
          <cell r="D561">
            <v>1.2543560075635436</v>
          </cell>
          <cell r="E561">
            <v>126087.02</v>
          </cell>
        </row>
        <row r="562">
          <cell r="C562">
            <v>45631</v>
          </cell>
          <cell r="D562">
            <v>1.2549950537299646</v>
          </cell>
          <cell r="E562">
            <v>127857.58</v>
          </cell>
        </row>
        <row r="563">
          <cell r="C563">
            <v>45632</v>
          </cell>
          <cell r="D563">
            <v>1.2556378998513942</v>
          </cell>
          <cell r="E563">
            <v>125945.67</v>
          </cell>
        </row>
        <row r="564">
          <cell r="C564">
            <v>45635</v>
          </cell>
          <cell r="D564">
            <v>1.2562832221912159</v>
          </cell>
          <cell r="E564">
            <v>127210.19</v>
          </cell>
        </row>
        <row r="565">
          <cell r="C565">
            <v>45636</v>
          </cell>
          <cell r="D565">
            <v>1.2569242044437063</v>
          </cell>
          <cell r="E565">
            <v>128228.49</v>
          </cell>
        </row>
        <row r="566">
          <cell r="C566">
            <v>45637</v>
          </cell>
          <cell r="D566">
            <v>1.2575584286265664</v>
          </cell>
          <cell r="E566">
            <v>129593.31</v>
          </cell>
        </row>
        <row r="567">
          <cell r="C567">
            <v>45638</v>
          </cell>
          <cell r="D567">
            <v>1.2581970143847474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Danny Adler" id="{17B9249B-4548-4D03-9C02-997702D30AAC}" userId="S::dadler@neuler.com.br::fb1b72db-d1e5-40a2-af7e-03c70fb249f8" providerId="AD"/>
  <person displayName="Nathan Vieira" id="{C889D936-7E08-4F10-B4D5-C6BACF515034}" userId="S::nvieira@neuler.com.br::57a1749c-a595-487c-ab5d-c71675dfaf73" providerId="AD"/>
</personList>
</file>

<file path=xl/theme/theme1.xml><?xml version="1.0" encoding="utf-8"?>
<a:theme xmlns:a="http://schemas.openxmlformats.org/drawingml/2006/main" name="Neuler I">
  <a:themeElements>
    <a:clrScheme name="Neule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2327"/>
      </a:accent1>
      <a:accent2>
        <a:srgbClr val="FFBD8D"/>
      </a:accent2>
      <a:accent3>
        <a:srgbClr val="99CCCC"/>
      </a:accent3>
      <a:accent4>
        <a:srgbClr val="669999"/>
      </a:accent4>
      <a:accent5>
        <a:srgbClr val="336666"/>
      </a:accent5>
      <a:accent6>
        <a:srgbClr val="FFD965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Neuler I" id="{29532A57-1511-4737-A11C-7BE1AB2F60D2}" vid="{97189674-3EF1-462B-BEF2-71871C009BAD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3" dT="2022-10-03T17:08:02.08" personId="{17B9249B-4548-4D03-9C02-997702D30AAC}" id="{6D27C3B1-77D1-430A-AEA6-70FF67B567F7}">
    <text>Pegar da Carteira BTG.</text>
  </threadedComment>
  <threadedComment ref="E13" dT="2022-10-03T17:08:15.71" personId="{17B9249B-4548-4D03-9C02-997702D30AAC}" id="{81AEBBAC-5022-41C3-992D-AA4CE0A4BA95}">
    <text>Pegar da Carteira BTG.</text>
  </threadedComment>
  <threadedComment ref="H13" dT="2022-10-03T17:08:38.95" personId="{17B9249B-4548-4D03-9C02-997702D30AAC}" id="{A860CAEE-3388-4BB3-9106-4CA3BE26D7CE}">
    <text>Pegar da Carteira BTG Master.</text>
  </threadedComment>
  <threadedComment ref="M13" dT="2022-10-03T17:09:09.81" personId="{17B9249B-4548-4D03-9C02-997702D30AAC}" id="{3C28294F-7513-4EDC-A6CD-72C9A452F4FD}">
    <text>Pegar do Caixa.</text>
  </threadedComment>
  <threadedComment ref="Q13" dT="2022-10-03T17:09:34.80" personId="{17B9249B-4548-4D03-9C02-997702D30AAC}" id="{ED227ABE-1CCE-4D86-ADD7-298BB1E40B48}">
    <text>Pegar da Carteira BTG.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3" dT="2022-10-03T15:40:05.45" personId="{17B9249B-4548-4D03-9C02-997702D30AAC}" id="{AA451C90-ABBB-41C1-B1DC-2F70EBA4B452}">
    <text>No 5o dia útil, lembrar que cai o pagamento de taxa de administração.</text>
  </threadedComment>
  <threadedComment ref="R13" dT="2022-10-03T15:47:47.37" personId="{17B9249B-4548-4D03-9C02-997702D30AAC}" id="{E67FDC17-9B1E-47E5-B5EC-A5A25E5D6600}">
    <text>Conferir no Caixa do Fundo no Portal do BTG o valor que foi aplicado no dia.</text>
  </threadedComment>
  <threadedComment ref="S13" dT="2022-10-03T15:47:47.37" personId="{17B9249B-4548-4D03-9C02-997702D30AAC}" id="{49D71B50-4C37-4DFC-90BD-CB1371ECEE8B}">
    <text>Conferir no Caixa do Fundo no Portal do BTG o valor que foi resgatado no dia.</text>
  </threadedComment>
  <threadedComment ref="V13" dT="2022-10-03T15:37:26.40" personId="{17B9249B-4548-4D03-9C02-997702D30AAC}" id="{B28540B4-44D7-4405-A87D-8F8510C65AAF}">
    <text>Pegar da carteira BTG.</text>
  </threadedComment>
  <threadedComment ref="Q20" dT="2023-12-06T18:26:33.26" personId="{C889D936-7E08-4F10-B4D5-C6BACF515034}" id="{0E7B3302-8197-4E79-AF86-A90E334810AE}">
    <text>Tx. Reg. Fundos</text>
  </threadedComment>
  <threadedComment ref="Q115" dT="2023-02-17T10:57:51.00" personId="{17B9249B-4548-4D03-9C02-997702D30AAC}" id="{0871C481-7A7B-4736-BB2F-F45499DAFD5D}">
    <text>Anbima</text>
  </threadedComment>
  <threadedComment ref="Q194" dT="2023-06-16T11:27:55.20" personId="{C889D936-7E08-4F10-B4D5-C6BACF515034}" id="{87E4F468-2B06-45D4-97A5-9CB30048290C}">
    <text>CETIP</text>
  </threadedComment>
  <threadedComment ref="Q232" dT="2023-08-09T10:58:11.35" personId="{C889D936-7E08-4F10-B4D5-C6BACF515034}" id="{2EFA19BB-F360-454E-B97C-229C544A81A6}">
    <text>Repasse</text>
  </threadedComment>
  <threadedComment ref="Q233" dT="2023-08-09T10:58:11.35" personId="{C889D936-7E08-4F10-B4D5-C6BACF515034}" id="{322CDCFE-C280-4F2E-98B8-7119689CD0E0}">
    <text>Repasse</text>
  </threadedComment>
  <threadedComment ref="Q234" dT="2023-08-09T10:58:11.35" personId="{C889D936-7E08-4F10-B4D5-C6BACF515034}" id="{474DDCC9-1F89-4228-860B-855DAD26A938}">
    <text>Repasse</text>
  </threadedComment>
  <threadedComment ref="Q235" dT="2023-08-09T10:58:11.35" personId="{C889D936-7E08-4F10-B4D5-C6BACF515034}" id="{6F45E554-3689-417F-AF29-373EC62620C4}">
    <text>Repasse</text>
  </threadedComment>
  <threadedComment ref="Q236" dT="2023-08-09T10:58:11.35" personId="{C889D936-7E08-4F10-B4D5-C6BACF515034}" id="{F526724B-CF87-4620-8FDA-765C75B3B10B}">
    <text>Repasse</text>
  </threadedComment>
  <threadedComment ref="Q237" dT="2023-08-09T10:58:11.35" personId="{C889D936-7E08-4F10-B4D5-C6BACF515034}" id="{2EE8896F-D02F-4CB8-B37B-3732664BF828}">
    <text>Repasse</text>
  </threadedComment>
  <threadedComment ref="Q238" dT="2023-08-09T10:58:11.35" personId="{C889D936-7E08-4F10-B4D5-C6BACF515034}" id="{990643C8-A113-45C8-B531-41FB1B531334}">
    <text>Repasse</text>
  </threadedComment>
  <threadedComment ref="Q239" dT="2023-08-09T10:58:11.35" personId="{C889D936-7E08-4F10-B4D5-C6BACF515034}" id="{DB365A31-820E-4538-BAC9-F9EFA15CE4C6}">
    <text>Repasse</text>
  </threadedComment>
  <threadedComment ref="Q240" dT="2023-08-09T10:58:11.35" personId="{C889D936-7E08-4F10-B4D5-C6BACF515034}" id="{566E4B0C-AB1C-45B0-8B56-5006FBEB8174}">
    <text>Repasse</text>
  </threadedComment>
  <threadedComment ref="Q241" dT="2023-08-09T10:58:11.35" personId="{C889D936-7E08-4F10-B4D5-C6BACF515034}" id="{14A24B88-7979-49FE-8A0A-D166ECF12E01}">
    <text>Repasse</text>
  </threadedComment>
  <threadedComment ref="Q242" dT="2023-08-09T10:58:11.35" personId="{C889D936-7E08-4F10-B4D5-C6BACF515034}" id="{BF500C5B-DB40-440C-8BA0-6D99FEFDB44D}">
    <text>Repasse</text>
  </threadedComment>
  <threadedComment ref="Q243" dT="2023-08-09T10:58:11.35" personId="{C889D936-7E08-4F10-B4D5-C6BACF515034}" id="{0AD6D643-9D5C-4DF0-877E-549F982E6986}">
    <text>Repasse</text>
  </threadedComment>
  <threadedComment ref="Q244" dT="2023-08-09T10:58:11.35" personId="{C889D936-7E08-4F10-B4D5-C6BACF515034}" id="{C7D4F3C0-C991-4E09-B5F2-3CC7AF93C63F}">
    <text>Repasse</text>
  </threadedComment>
  <threadedComment ref="Q245" dT="2023-08-09T10:58:11.35" personId="{C889D936-7E08-4F10-B4D5-C6BACF515034}" id="{3E2E5098-0439-43C2-857B-C62CDA0871AC}">
    <text>Repasse</text>
  </threadedComment>
  <threadedComment ref="Q246" dT="2023-08-09T10:58:11.35" personId="{C889D936-7E08-4F10-B4D5-C6BACF515034}" id="{C1A5F25B-539A-47AB-8F9E-CB207FD18CC6}">
    <text>Repasse</text>
  </threadedComment>
  <threadedComment ref="Q247" dT="2023-08-09T10:58:11.35" personId="{C889D936-7E08-4F10-B4D5-C6BACF515034}" id="{450EE9D9-45DC-4B65-86E6-59B9D697FB66}">
    <text>Repasse</text>
  </threadedComment>
  <threadedComment ref="Q248" dT="2023-08-09T10:58:11.35" personId="{C889D936-7E08-4F10-B4D5-C6BACF515034}" id="{73904E52-08FE-4855-9E8D-44F1889A8C45}">
    <text>Repasse</text>
  </threadedComment>
  <threadedComment ref="Q249" dT="2023-08-09T10:58:11.35" personId="{C889D936-7E08-4F10-B4D5-C6BACF515034}" id="{378E6854-3024-4604-B155-428E2FD52348}">
    <text>Repasse</text>
  </threadedComment>
  <threadedComment ref="Q250" dT="2023-08-09T10:58:11.35" personId="{C889D936-7E08-4F10-B4D5-C6BACF515034}" id="{D34F3042-751A-4A62-8CB7-CDAB37F274E1}">
    <text>Repasse</text>
  </threadedComment>
  <threadedComment ref="Q251" dT="2023-08-09T10:58:11.35" personId="{C889D936-7E08-4F10-B4D5-C6BACF515034}" id="{F341393A-705D-45EA-BD6E-73E1DD8F3A38}">
    <text>Repasse</text>
  </threadedComment>
  <threadedComment ref="Q252" dT="2023-08-09T10:58:11.35" personId="{C889D936-7E08-4F10-B4D5-C6BACF515034}" id="{AAEBF80A-36FE-41A8-BA2A-BD34E0E43A3E}">
    <text>Repasse</text>
  </threadedComment>
  <threadedComment ref="Q253" dT="2023-08-09T10:58:11.35" personId="{C889D936-7E08-4F10-B4D5-C6BACF515034}" id="{187F5F22-40E0-4722-882F-717D785ACEAA}">
    <text>Repasse</text>
  </threadedComment>
  <threadedComment ref="Q254" dT="2023-08-09T10:58:11.35" personId="{C889D936-7E08-4F10-B4D5-C6BACF515034}" id="{8CB8A253-956F-4717-BD46-16D8C65872FB}">
    <text>Repasse</text>
  </threadedComment>
  <threadedComment ref="Q255" dT="2023-08-09T10:58:11.35" personId="{C889D936-7E08-4F10-B4D5-C6BACF515034}" id="{F8839E58-AC8B-4D76-A9D7-412278792AB3}">
    <text>Repasse</text>
  </threadedComment>
  <threadedComment ref="Q256" dT="2023-08-09T10:58:11.35" personId="{C889D936-7E08-4F10-B4D5-C6BACF515034}" id="{73C00460-85C4-48EA-9ADF-699173F77C84}">
    <text>Repasse</text>
  </threadedComment>
  <threadedComment ref="Q257" dT="2023-08-09T10:58:11.35" personId="{C889D936-7E08-4F10-B4D5-C6BACF515034}" id="{242FBFA1-6DFE-40B0-BD5F-629A121B4970}">
    <text>Repasse</text>
  </threadedComment>
  <threadedComment ref="Q258" dT="2023-08-09T10:58:11.35" personId="{C889D936-7E08-4F10-B4D5-C6BACF515034}" id="{505D94EF-409B-4CA9-91B3-4E10A48DB58F}">
    <text>Repasse</text>
  </threadedComment>
  <threadedComment ref="Q259" dT="2023-08-09T10:58:11.35" personId="{C889D936-7E08-4F10-B4D5-C6BACF515034}" id="{42C18D2E-094B-4E08-AD0F-1FE2DAC6A0A8}">
    <text>Repasse</text>
  </threadedComment>
  <threadedComment ref="Q260" dT="2023-08-09T10:58:11.35" personId="{C889D936-7E08-4F10-B4D5-C6BACF515034}" id="{7855FE3A-4E59-4F60-915C-37121B89D671}">
    <text>Repasse</text>
  </threadedComment>
  <threadedComment ref="Q261" dT="2023-08-09T10:58:11.35" personId="{C889D936-7E08-4F10-B4D5-C6BACF515034}" id="{DD3BFCE8-9719-4443-AF57-563A34EAEF06}">
    <text>CETIP</text>
  </threadedComment>
  <threadedComment ref="Q262" dT="2023-08-09T10:58:11.35" personId="{C889D936-7E08-4F10-B4D5-C6BACF515034}" id="{E76B0478-EC1E-4B11-A820-64F02A304441}">
    <text>Repasse</text>
  </threadedComment>
  <threadedComment ref="Q263" dT="2023-08-09T10:58:11.35" personId="{C889D936-7E08-4F10-B4D5-C6BACF515034}" id="{02AC11DF-214D-42A6-94D3-E8F163D11892}">
    <text>Repasse</text>
  </threadedComment>
  <threadedComment ref="Q264" dT="2023-08-09T10:58:11.35" personId="{C889D936-7E08-4F10-B4D5-C6BACF515034}" id="{987C6D2C-58FE-493C-9703-F52DDF614707}">
    <text>Repasse</text>
  </threadedComment>
  <threadedComment ref="Q265" dT="2023-08-09T10:58:11.35" personId="{C889D936-7E08-4F10-B4D5-C6BACF515034}" id="{7D9F8CE9-44E1-47AA-88BB-A91721383A48}">
    <text>Repasse</text>
  </threadedComment>
  <threadedComment ref="Q266" dT="2023-08-09T10:58:11.35" personId="{C889D936-7E08-4F10-B4D5-C6BACF515034}" id="{62F3A069-B15D-4E50-8106-2D13656BB2BD}">
    <text>Repasse</text>
  </threadedComment>
  <threadedComment ref="Q267" dT="2023-08-09T10:58:11.35" personId="{C889D936-7E08-4F10-B4D5-C6BACF515034}" id="{77970F01-9C08-40C2-8866-A4E23EFD0F18}">
    <text>Repasse</text>
  </threadedComment>
  <threadedComment ref="Q268" dT="2023-08-09T10:58:11.35" personId="{C889D936-7E08-4F10-B4D5-C6BACF515034}" id="{E67E1AA4-33E4-4446-A775-99DF7EAF5EED}">
    <text>Repasse</text>
  </threadedComment>
  <threadedComment ref="Q269" dT="2023-08-09T10:58:11.35" personId="{C889D936-7E08-4F10-B4D5-C6BACF515034}" id="{A8335EEE-D063-448C-8F4C-6DD563D2832E}">
    <text>Repasse</text>
  </threadedComment>
  <threadedComment ref="Q270" dT="2023-08-09T10:58:11.35" personId="{C889D936-7E08-4F10-B4D5-C6BACF515034}" id="{E5F17DF9-2CFB-45FE-A668-5B1DEF05526A}">
    <text>Repasse</text>
  </threadedComment>
  <threadedComment ref="Q271" dT="2023-08-09T10:58:11.35" personId="{C889D936-7E08-4F10-B4D5-C6BACF515034}" id="{DBEC00F7-80D9-42C9-B795-C69887580F1C}">
    <text>Repasse</text>
  </threadedComment>
  <threadedComment ref="Q272" dT="2023-08-09T10:58:11.35" personId="{C889D936-7E08-4F10-B4D5-C6BACF515034}" id="{18070B8C-51AA-429F-B7A8-11CB7CDDB2AC}">
    <text>Repasse</text>
  </threadedComment>
  <threadedComment ref="Q273" dT="2023-08-09T10:58:11.35" personId="{C889D936-7E08-4F10-B4D5-C6BACF515034}" id="{1D23D807-83F5-4A80-92BA-468D4884F3DD}">
    <text>Repasse</text>
  </threadedComment>
  <threadedComment ref="Q274" dT="2023-08-09T10:58:11.35" personId="{C889D936-7E08-4F10-B4D5-C6BACF515034}" id="{2FE6ADD8-5077-4C2E-AD01-90838BE034D9}">
    <text>Repasse</text>
  </threadedComment>
  <threadedComment ref="Q275" dT="2023-08-09T10:58:11.35" personId="{C889D936-7E08-4F10-B4D5-C6BACF515034}" id="{BC9146A7-BD64-4A55-97E2-A1969950A6D3}">
    <text>Repasse</text>
  </threadedComment>
  <threadedComment ref="Q276" dT="2023-08-09T10:58:11.35" personId="{C889D936-7E08-4F10-B4D5-C6BACF515034}" id="{C92005DD-0634-4ADC-AB2D-7DD18AC1217C}">
    <text>Repasse</text>
  </threadedComment>
  <threadedComment ref="Q277" dT="2023-08-09T10:58:11.35" personId="{C889D936-7E08-4F10-B4D5-C6BACF515034}" id="{7EEDDCA8-1919-4675-A340-450D2A00373D}">
    <text>Repasse</text>
  </threadedComment>
  <threadedComment ref="Q278" dT="2023-08-09T10:58:11.35" personId="{C889D936-7E08-4F10-B4D5-C6BACF515034}" id="{09C77BA3-05B0-4E1A-928C-4F8E886CC5A2}">
    <text>Repasse</text>
  </threadedComment>
  <threadedComment ref="Q359" dT="2024-02-14T12:36:03.53" personId="{C889D936-7E08-4F10-B4D5-C6BACF515034}" id="{8910BBA5-609E-43FC-8502-C766EE9BDEAA}">
    <text>Gráfica</text>
  </threadedComment>
  <threadedComment ref="Q362" dT="2024-02-19T12:36:15.18" personId="{C889D936-7E08-4F10-B4D5-C6BACF515034}" id="{FB95629D-A2CF-48C9-8134-082C439C3B88}">
    <text>cetip</text>
  </threadedComment>
  <threadedComment ref="Q381" dT="2024-03-15T12:30:37.96" personId="{C889D936-7E08-4F10-B4D5-C6BACF515034}" id="{8C3FD641-35BC-4C8C-B33B-A84290938216}">
    <text>cetip</text>
  </threadedComment>
  <threadedComment ref="Q438" dT="2024-06-07T12:10:41.07" personId="{C889D936-7E08-4F10-B4D5-C6BACF515034}" id="{E7BCE8F8-607F-47E2-B46E-8C929FD8C578}">
    <text>Ajuste de Caixa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3" dT="2023-02-02T20:52:38.36" personId="{17B9249B-4548-4D03-9C02-997702D30AAC}" id="{197DEBEF-203A-4381-9E5E-A61418C4E5BD}">
    <text>Atualizar com as movimentações</text>
  </threadedComment>
  <threadedComment ref="N3" dT="2023-02-02T20:47:53.31" personId="{17B9249B-4548-4D03-9C02-997702D30AAC}" id="{A4E5347F-1298-4D9E-A3B3-85056A3B0BA3}">
    <text>Única coluna da sheet que pega referência de fora da planilha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hyperlink" Target="https://neulercapital.sharepoint.com/sites/Comercial/Documentos%20Compartilhados/General/" TargetMode="External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E70D3-CD1E-4E67-ACF3-2ECF4C4441D8}">
  <sheetPr codeName="Sheet1"/>
  <dimension ref="B2:C3"/>
  <sheetViews>
    <sheetView workbookViewId="0">
      <selection activeCell="B1" sqref="B1"/>
    </sheetView>
  </sheetViews>
  <sheetFormatPr defaultRowHeight="15" x14ac:dyDescent="0.25"/>
  <cols>
    <col min="3" max="3" width="9.5703125" bestFit="1" customWidth="1"/>
  </cols>
  <sheetData>
    <row r="2" spans="2:3" x14ac:dyDescent="0.25">
      <c r="B2" s="46" t="s">
        <v>81</v>
      </c>
      <c r="C2" s="47" t="str">
        <f>"N:\Operacional\Carteiras Neuler\Carteira_NEULER_ACOES_FIC_FIA0"&amp;DAY(Controle!C1)&amp;"0"&amp;MONTH(Controle!C1)&amp;""&amp;YEAR(Controle!C1)&amp;".xlsm"</f>
        <v>N:\Operacional\Carteiras Neuler\Carteira_NEULER_ACOES_FIC_FIA0120122024.xlsm</v>
      </c>
    </row>
    <row r="3" spans="2:3" x14ac:dyDescent="0.25">
      <c r="B3" t="s">
        <v>111</v>
      </c>
      <c r="C3" s="48">
        <f>Controle!C1</f>
        <v>45638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603B-5286-4FE7-B08B-713DC21EEED9}">
  <sheetPr codeName="Planilha1"/>
  <dimension ref="A1:S36"/>
  <sheetViews>
    <sheetView showGridLines="0" tabSelected="1" zoomScale="70" zoomScaleNormal="70" workbookViewId="0">
      <selection activeCell="J20" sqref="J20"/>
    </sheetView>
  </sheetViews>
  <sheetFormatPr defaultRowHeight="15" x14ac:dyDescent="0.25"/>
  <cols>
    <col min="1" max="1" width="7.42578125" bestFit="1" customWidth="1"/>
    <col min="3" max="3" width="10.28515625" bestFit="1" customWidth="1"/>
    <col min="8" max="8" width="23.7109375" bestFit="1" customWidth="1"/>
    <col min="9" max="9" width="21.140625" bestFit="1" customWidth="1"/>
    <col min="10" max="10" width="18.85546875" customWidth="1"/>
    <col min="11" max="11" width="17.85546875" bestFit="1" customWidth="1"/>
    <col min="12" max="12" width="15.85546875" customWidth="1"/>
  </cols>
  <sheetData>
    <row r="1" spans="1:19" ht="18.75" x14ac:dyDescent="0.25">
      <c r="A1" s="92" t="s">
        <v>35</v>
      </c>
      <c r="B1" s="92"/>
      <c r="C1" s="93">
        <v>45638</v>
      </c>
      <c r="D1" s="93"/>
    </row>
    <row r="2" spans="1:19" ht="18.75" x14ac:dyDescent="0.25">
      <c r="A2" s="5"/>
      <c r="B2" s="5"/>
      <c r="F2" s="6"/>
      <c r="G2" s="7" t="s">
        <v>36</v>
      </c>
      <c r="H2" s="7" t="s">
        <v>37</v>
      </c>
      <c r="I2" s="8" t="s">
        <v>38</v>
      </c>
      <c r="J2" s="8"/>
      <c r="K2" s="8" t="s">
        <v>160</v>
      </c>
      <c r="L2" s="8"/>
      <c r="M2" s="9"/>
      <c r="N2" s="9"/>
      <c r="O2" s="10"/>
    </row>
    <row r="3" spans="1:19" x14ac:dyDescent="0.25">
      <c r="A3" t="s">
        <v>39</v>
      </c>
      <c r="F3" s="11"/>
      <c r="G3" s="12"/>
      <c r="H3" s="12"/>
      <c r="I3" s="13"/>
      <c r="J3" s="14" t="s">
        <v>40</v>
      </c>
      <c r="K3" s="14" t="s">
        <v>41</v>
      </c>
      <c r="L3" s="14" t="s">
        <v>42</v>
      </c>
      <c r="O3" s="15"/>
    </row>
    <row r="4" spans="1:19" ht="18" x14ac:dyDescent="0.25">
      <c r="A4">
        <v>1</v>
      </c>
      <c r="B4" t="s">
        <v>43</v>
      </c>
      <c r="F4" s="11"/>
      <c r="G4" s="12" t="str">
        <f>IF(IFERROR(VLOOKUP($H4,CarteiraBTG!$A$13:$D$21,1,FALSE),"Não")="Não","Não","Sim")</f>
        <v>Sim</v>
      </c>
      <c r="H4" s="16" t="s">
        <v>44</v>
      </c>
      <c r="I4" s="17" t="s">
        <v>44</v>
      </c>
      <c r="J4" s="19">
        <f>VLOOKUP($C$1,Resumo_Master!$C$13:$Q$10000,6,FALSE)*VLOOKUP($C$1,Resumo_Master!$C$13:$Q$10000,7,FALSE)</f>
        <v>15736900.512377519</v>
      </c>
      <c r="K4" s="19">
        <f>VLOOKUP($H4,CarteiraBTG!$A$13:$D$21,2,FALSE)</f>
        <v>15736900.512399999</v>
      </c>
      <c r="L4" s="19">
        <f>J4-K4</f>
        <v>-2.248026430606842E-5</v>
      </c>
      <c r="M4" s="20" t="str">
        <f t="shared" ref="M4:M27" si="0">IF(ROUND(L4,4)&lt;1,IF(ROUND(L4,4)&gt;-1,"ü","N"),"N")</f>
        <v>ü</v>
      </c>
      <c r="O4" s="15"/>
      <c r="R4" t="s">
        <v>198</v>
      </c>
      <c r="S4" t="s">
        <v>199</v>
      </c>
    </row>
    <row r="5" spans="1:19" ht="18" x14ac:dyDescent="0.25">
      <c r="A5">
        <f>A4+1</f>
        <v>2</v>
      </c>
      <c r="B5" t="s">
        <v>45</v>
      </c>
      <c r="C5" t="s">
        <v>46</v>
      </c>
      <c r="F5" s="11"/>
      <c r="G5" s="12" t="str">
        <f>IF(IFERROR(VLOOKUP($H5,CarteiraBTG!$A$13:$D$21,1,FALSE),"Não")="Não","Não","Sim")</f>
        <v>Sim</v>
      </c>
      <c r="H5" s="16" t="s">
        <v>8</v>
      </c>
      <c r="I5" s="21" t="s">
        <v>55</v>
      </c>
      <c r="J5" s="19">
        <f>VLOOKUP($C$1,Resumo_Master!$C$13:$Q$10000,11,FALSE)</f>
        <v>18192.101573489439</v>
      </c>
      <c r="K5" s="19">
        <f>VLOOKUP($H5,CarteiraBTG!$A$13:$D$21,2,FALSE)</f>
        <v>18192.68</v>
      </c>
      <c r="L5" s="19">
        <f t="shared" ref="L5:L17" si="1">J5-K5</f>
        <v>-0.5784265105612576</v>
      </c>
      <c r="M5" s="20" t="str">
        <f t="shared" si="0"/>
        <v>ü</v>
      </c>
      <c r="O5" s="15"/>
      <c r="R5" t="s">
        <v>198</v>
      </c>
    </row>
    <row r="6" spans="1:19" ht="18" x14ac:dyDescent="0.25">
      <c r="A6">
        <f t="shared" ref="A6:A13" si="2">A5+1</f>
        <v>3</v>
      </c>
      <c r="B6" t="s">
        <v>47</v>
      </c>
      <c r="C6" t="s">
        <v>48</v>
      </c>
      <c r="F6" s="11"/>
      <c r="G6" s="12" t="str">
        <f>IF(IFERROR(VLOOKUP($H6,CarteiraBTG!$A$13:$D$21,1,FALSE),"Não")="Não","Não","Sim")</f>
        <v>Sim</v>
      </c>
      <c r="H6" s="16" t="s">
        <v>56</v>
      </c>
      <c r="I6" s="21" t="s">
        <v>57</v>
      </c>
      <c r="J6" s="19">
        <f>VLOOKUP($C$1,Resumo_Master!$C$13:$Q$10000,15,FALSE)</f>
        <v>7045.6610000000001</v>
      </c>
      <c r="K6" s="19">
        <f>VLOOKUP($H6,CarteiraBTG!$A$13:$D$21,2,FALSE)</f>
        <v>7045.6610000000001</v>
      </c>
      <c r="L6" s="19">
        <f>J6-K6</f>
        <v>0</v>
      </c>
      <c r="M6" s="20" t="str">
        <f t="shared" si="0"/>
        <v>ü</v>
      </c>
      <c r="O6" s="15"/>
    </row>
    <row r="7" spans="1:19" ht="18" x14ac:dyDescent="0.25">
      <c r="A7">
        <f t="shared" si="2"/>
        <v>4</v>
      </c>
      <c r="B7" t="s">
        <v>49</v>
      </c>
      <c r="F7" s="11"/>
      <c r="G7" s="12" t="str">
        <f>IF(IFERROR(VLOOKUP($H7,CarteiraBTG!$A$13:$D$21,1,FALSE),"Não")="Não","Não","Sim")</f>
        <v>Sim</v>
      </c>
      <c r="H7" s="16" t="s">
        <v>58</v>
      </c>
      <c r="I7" s="21" t="s">
        <v>59</v>
      </c>
      <c r="J7" s="19">
        <f>-VLOOKUP($C$1,Resumo_Master!$C$13:$Q$10000,8,FALSE)</f>
        <v>-10457.058143792268</v>
      </c>
      <c r="K7" s="19">
        <f>VLOOKUP($H7,CarteiraBTG!$A$13:$D$21,2,FALSE)</f>
        <v>-10457.030000000001</v>
      </c>
      <c r="L7" s="19">
        <f t="shared" si="1"/>
        <v>-2.8143792267655954E-2</v>
      </c>
      <c r="M7" s="20" t="str">
        <f t="shared" si="0"/>
        <v>ü</v>
      </c>
      <c r="O7" s="15"/>
      <c r="R7" t="s">
        <v>200</v>
      </c>
    </row>
    <row r="8" spans="1:19" ht="18" x14ac:dyDescent="0.25">
      <c r="A8">
        <f t="shared" si="2"/>
        <v>5</v>
      </c>
      <c r="B8" t="s">
        <v>50</v>
      </c>
      <c r="F8" s="11"/>
      <c r="G8" s="12" t="str">
        <f>IF(IFERROR(VLOOKUP($H8,CarteiraBTG!$A$13:$D$21,1,FALSE),"Não")="Não","Não","Sim")</f>
        <v>Não</v>
      </c>
      <c r="H8" s="16" t="s">
        <v>91</v>
      </c>
      <c r="I8" s="21" t="s">
        <v>69</v>
      </c>
      <c r="J8" s="19">
        <f>-VLOOKUP($C$1,Resumo_Master!$C$13:$Q$10000,9,FALSE)</f>
        <v>0</v>
      </c>
      <c r="K8" s="19">
        <f>IFERROR(VLOOKUP($H8,CarteiraBTG!$A$13:$D$21,2,FALSE),0)</f>
        <v>0</v>
      </c>
      <c r="L8" s="19">
        <f t="shared" ref="L8" si="3">J8-K8</f>
        <v>0</v>
      </c>
      <c r="M8" s="20" t="str">
        <f t="shared" si="0"/>
        <v>ü</v>
      </c>
      <c r="O8" s="15"/>
      <c r="P8" s="19" t="e">
        <f>VLOOKUP($H8,CarteiraBTG!$A$13:$D$21,2,FALSE)</f>
        <v>#N/A</v>
      </c>
      <c r="R8" t="s">
        <v>201</v>
      </c>
    </row>
    <row r="9" spans="1:19" ht="18" x14ac:dyDescent="0.25">
      <c r="A9">
        <f t="shared" si="2"/>
        <v>6</v>
      </c>
      <c r="B9" t="s">
        <v>51</v>
      </c>
      <c r="F9" s="11"/>
      <c r="G9" s="12" t="str">
        <f>IF(IFERROR(VLOOKUP($H9,CarteiraBTG!$A$13:$D$21,1,FALSE),"Não")="Não","Não","Sim")</f>
        <v>Não</v>
      </c>
      <c r="H9" s="16" t="s">
        <v>60</v>
      </c>
      <c r="I9" s="21" t="s">
        <v>61</v>
      </c>
      <c r="J9" s="18">
        <v>0</v>
      </c>
      <c r="K9" s="18">
        <v>0</v>
      </c>
      <c r="L9" s="19">
        <f t="shared" si="1"/>
        <v>0</v>
      </c>
      <c r="M9" s="20" t="str">
        <f t="shared" si="0"/>
        <v>ü</v>
      </c>
      <c r="O9" s="15"/>
    </row>
    <row r="10" spans="1:19" ht="18" x14ac:dyDescent="0.25">
      <c r="A10">
        <f t="shared" si="2"/>
        <v>7</v>
      </c>
      <c r="B10" t="s">
        <v>52</v>
      </c>
      <c r="F10" s="11"/>
      <c r="G10" s="12" t="str">
        <f>IF(IFERROR(VLOOKUP($H10,CarteiraBTG!$A$13:$D$21,1,FALSE),"Não")="Não","Não","Sim")</f>
        <v>Não</v>
      </c>
      <c r="H10" s="16" t="s">
        <v>76</v>
      </c>
      <c r="I10" s="21" t="s">
        <v>66</v>
      </c>
      <c r="J10" s="19">
        <f>Performance!V1</f>
        <v>0</v>
      </c>
      <c r="K10" s="19">
        <f>IFERROR(VLOOKUP($H10,CarteiraBTG!$A$13:$D$21,2,FALSE),0)</f>
        <v>0</v>
      </c>
      <c r="L10" s="19">
        <f>J10-K10</f>
        <v>0</v>
      </c>
      <c r="M10" s="20" t="str">
        <f t="shared" si="0"/>
        <v>ü</v>
      </c>
      <c r="O10" s="15"/>
      <c r="P10" t="e">
        <f>VLOOKUP($H10,CarteiraBTG!$A$13:$D$21,2,FALSE)</f>
        <v>#N/A</v>
      </c>
      <c r="R10" t="s">
        <v>198</v>
      </c>
      <c r="S10" t="s">
        <v>199</v>
      </c>
    </row>
    <row r="11" spans="1:19" ht="18" x14ac:dyDescent="0.25">
      <c r="F11" s="11"/>
      <c r="G11" s="16" t="s">
        <v>164</v>
      </c>
      <c r="H11" s="16" t="s">
        <v>161</v>
      </c>
      <c r="I11" s="21" t="s">
        <v>162</v>
      </c>
      <c r="J11" s="19">
        <f>VLOOKUP($C$1,Resumo_Master!C13:S3000,17,FALSE)</f>
        <v>0</v>
      </c>
      <c r="K11" s="18">
        <v>0</v>
      </c>
      <c r="L11" s="19">
        <f t="shared" ref="L11" si="4">J11-K11</f>
        <v>0</v>
      </c>
      <c r="M11" s="20" t="str">
        <f t="shared" ref="M11" si="5">IF(ROUND(L11,4)&lt;1,IF(ROUND(L11,4)&gt;-1,"ü","N"),"N")</f>
        <v>ü</v>
      </c>
      <c r="O11" s="15"/>
      <c r="R11" t="s">
        <v>201</v>
      </c>
    </row>
    <row r="12" spans="1:19" ht="18" x14ac:dyDescent="0.25">
      <c r="A12">
        <f>A10+1</f>
        <v>8</v>
      </c>
      <c r="B12" t="s">
        <v>53</v>
      </c>
      <c r="F12" s="11"/>
      <c r="G12" s="12" t="str">
        <f>IF(IFERROR(VLOOKUP($H12,CarteiraBTG!$A$13:$D$21,1,FALSE),"Não")="Não","Não","Sim")</f>
        <v>Não</v>
      </c>
      <c r="H12" s="16" t="s">
        <v>77</v>
      </c>
      <c r="I12" s="21" t="s">
        <v>85</v>
      </c>
      <c r="J12" s="19">
        <f ca="1">VLOOKUP($C$1,Resumo_Master!$C$13:$Q$10000,13,FALSE)</f>
        <v>0</v>
      </c>
      <c r="K12" s="19">
        <f>IFERROR(VLOOKUP($H12,CarteiraBTG!$A$13:$D$21,2,FALSE),0)</f>
        <v>0</v>
      </c>
      <c r="L12" s="19">
        <f t="shared" ca="1" si="1"/>
        <v>0</v>
      </c>
      <c r="M12" s="20" t="str">
        <f t="shared" ca="1" si="0"/>
        <v>ü</v>
      </c>
      <c r="O12" s="15"/>
      <c r="P12" t="e">
        <f>VLOOKUP($H12,CarteiraBTG!$A$13:$D$21,2,FALSE)</f>
        <v>#N/A</v>
      </c>
      <c r="R12" t="s">
        <v>198</v>
      </c>
    </row>
    <row r="13" spans="1:19" ht="18" x14ac:dyDescent="0.25">
      <c r="A13">
        <f t="shared" si="2"/>
        <v>9</v>
      </c>
      <c r="B13" t="s">
        <v>54</v>
      </c>
      <c r="F13" s="11"/>
      <c r="G13" s="12" t="str">
        <f>IF(IFERROR(VLOOKUP($H13,CarteiraBTG!$A$13:$D$21,1,FALSE),"Não")="Não","Não","Sim")</f>
        <v>Não</v>
      </c>
      <c r="H13" s="16" t="s">
        <v>106</v>
      </c>
      <c r="I13" s="21" t="s">
        <v>107</v>
      </c>
      <c r="J13" s="19">
        <f>VLOOKUP($C$1,Resumo_Master!$C$14:$Q$10000,14,FALSE)</f>
        <v>0</v>
      </c>
      <c r="K13" s="19">
        <f>IFERROR(VLOOKUP($H13,CarteiraBTG!$A$13:$D$21,2,FALSE),0)</f>
        <v>0</v>
      </c>
      <c r="L13" s="19">
        <f t="shared" ref="L13" si="6">J13-K13</f>
        <v>0</v>
      </c>
      <c r="M13" s="20" t="str">
        <f t="shared" si="0"/>
        <v>ü</v>
      </c>
      <c r="O13" s="15"/>
      <c r="P13" t="e">
        <f>VLOOKUP($H13,CarteiraBTG!$A$13:$D$21,2,FALSE)</f>
        <v>#N/A</v>
      </c>
    </row>
    <row r="14" spans="1:19" ht="18" x14ac:dyDescent="0.25">
      <c r="F14" s="11"/>
      <c r="G14" s="12" t="str">
        <f>IF(IFERROR(VLOOKUP($H14,CarteiraBTG!$A$13:$D$21,1,FALSE),"Não")="Não","Não","Sim")</f>
        <v>Não</v>
      </c>
      <c r="H14" s="16" t="s">
        <v>79</v>
      </c>
      <c r="I14" s="21" t="s">
        <v>86</v>
      </c>
      <c r="J14" s="19">
        <f>VLOOKUP($C$1,Resumo_Master!$C$13:$Q$10000,12,FALSE)</f>
        <v>0</v>
      </c>
      <c r="K14" s="19">
        <f>IFERROR(VLOOKUP($H14,CarteiraBTG!$A$13:$D$21,2,FALSE),0)</f>
        <v>0</v>
      </c>
      <c r="L14" s="19">
        <f t="shared" si="1"/>
        <v>0</v>
      </c>
      <c r="M14" s="20" t="str">
        <f t="shared" si="0"/>
        <v>ü</v>
      </c>
      <c r="O14" s="15"/>
      <c r="P14" t="e">
        <f>VLOOKUP($H14,CarteiraBTG!$A$13:$D$21,2,FALSE)</f>
        <v>#N/A</v>
      </c>
    </row>
    <row r="15" spans="1:19" ht="18" x14ac:dyDescent="0.25">
      <c r="F15" s="11"/>
      <c r="G15" s="12"/>
      <c r="H15" s="16" t="s">
        <v>170</v>
      </c>
      <c r="I15" s="21" t="s">
        <v>172</v>
      </c>
      <c r="J15" s="19">
        <f>VLOOKUP($C$1,Resumo_Master!$C$13:$V$10000,19,FALSE)</f>
        <v>0</v>
      </c>
      <c r="K15" s="19">
        <f>IFERROR(VLOOKUP($H15,CarteiraBTG!$A$13:$D$21,2,FALSE),0)</f>
        <v>0</v>
      </c>
      <c r="L15" s="19">
        <f t="shared" ref="L15" si="7">J15-K15</f>
        <v>0</v>
      </c>
      <c r="M15" s="20" t="str">
        <f t="shared" ref="M15" si="8">IF(ROUND(L15,4)&lt;1,IF(ROUND(L15,4)&gt;-1,"ü","N"),"N")</f>
        <v>ü</v>
      </c>
      <c r="O15" s="15"/>
    </row>
    <row r="16" spans="1:19" ht="18" x14ac:dyDescent="0.25">
      <c r="F16" s="11"/>
      <c r="G16" s="12"/>
      <c r="H16" s="16" t="s">
        <v>169</v>
      </c>
      <c r="I16" s="21" t="s">
        <v>171</v>
      </c>
      <c r="J16" s="19">
        <f>VLOOKUP($C$1,Resumo_Master!$C$13:$V$10000,20,FALSE)</f>
        <v>0</v>
      </c>
      <c r="K16" s="19">
        <f>IFERROR(VLOOKUP($H16,CarteiraBTG!$A$13:$D$21,2,FALSE),0)</f>
        <v>0</v>
      </c>
      <c r="L16" s="19">
        <f t="shared" ref="L16" si="9">J16-K16</f>
        <v>0</v>
      </c>
      <c r="M16" s="20" t="str">
        <f t="shared" ref="M16" si="10">IF(ROUND(L16,4)&lt;1,IF(ROUND(L16,4)&gt;-1,"ü","N"),"N")</f>
        <v>ü</v>
      </c>
      <c r="O16" s="15"/>
    </row>
    <row r="17" spans="6:19" ht="18" x14ac:dyDescent="0.25">
      <c r="F17" s="11"/>
      <c r="G17" s="12"/>
      <c r="H17" s="16" t="s">
        <v>158</v>
      </c>
      <c r="I17" s="21" t="s">
        <v>158</v>
      </c>
      <c r="J17" s="30">
        <v>0</v>
      </c>
      <c r="K17" s="30">
        <v>0</v>
      </c>
      <c r="L17" s="19">
        <f t="shared" si="1"/>
        <v>0</v>
      </c>
      <c r="M17" s="20" t="str">
        <f t="shared" si="0"/>
        <v>ü</v>
      </c>
      <c r="O17" s="15"/>
    </row>
    <row r="18" spans="6:19" x14ac:dyDescent="0.25">
      <c r="F18" s="11"/>
      <c r="G18" s="12"/>
      <c r="H18" s="16"/>
      <c r="O18" s="15"/>
    </row>
    <row r="19" spans="6:19" ht="18" x14ac:dyDescent="0.25">
      <c r="F19" s="11"/>
      <c r="G19" s="12"/>
      <c r="H19" s="12"/>
      <c r="I19" s="21" t="s">
        <v>62</v>
      </c>
      <c r="J19" s="19">
        <f ca="1">SUM(J4:J17)</f>
        <v>15751681.216807216</v>
      </c>
      <c r="K19" s="19">
        <f>SUM(K4:K17)</f>
        <v>15751681.8234</v>
      </c>
      <c r="L19" s="19">
        <f ca="1">ROUND(J19-K19,4)</f>
        <v>-0.60660000000000003</v>
      </c>
      <c r="M19" s="20" t="str">
        <f t="shared" ca="1" si="0"/>
        <v>ü</v>
      </c>
      <c r="O19" s="15"/>
    </row>
    <row r="20" spans="6:19" ht="18" x14ac:dyDescent="0.25">
      <c r="F20" s="11"/>
      <c r="G20" s="12"/>
      <c r="H20" s="16" t="s">
        <v>10</v>
      </c>
      <c r="I20" s="21" t="s">
        <v>63</v>
      </c>
      <c r="J20" s="19">
        <f ca="1">J19</f>
        <v>15751681.216807216</v>
      </c>
      <c r="K20" s="19" cm="1">
        <f t="array" ref="K20">INDEX(CarteiraBTG!$A$1:$A$30,MATCH($H20,CarteiraBTG!$A$1:$A$30,0)+1,1)</f>
        <v>15751681.821</v>
      </c>
      <c r="L20" s="19">
        <f t="shared" ref="L20:L22" ca="1" si="11">J20-K20</f>
        <v>-0.60419278405606747</v>
      </c>
      <c r="M20" s="20" t="str">
        <f t="shared" ca="1" si="0"/>
        <v>ü</v>
      </c>
      <c r="O20" s="15"/>
    </row>
    <row r="21" spans="6:19" x14ac:dyDescent="0.25">
      <c r="F21" s="11"/>
      <c r="O21" s="15"/>
    </row>
    <row r="22" spans="6:19" ht="18" x14ac:dyDescent="0.25">
      <c r="F22" s="11"/>
      <c r="I22" s="21" t="s">
        <v>64</v>
      </c>
      <c r="J22" s="19">
        <f ca="1">J19-J20</f>
        <v>0</v>
      </c>
      <c r="K22" s="19">
        <f>K19-K20</f>
        <v>2.3999996483325958E-3</v>
      </c>
      <c r="L22" s="19">
        <f t="shared" ca="1" si="11"/>
        <v>-2.3999996483325958E-3</v>
      </c>
      <c r="M22" s="20" t="str">
        <f t="shared" ca="1" si="0"/>
        <v>ü</v>
      </c>
      <c r="O22" s="15"/>
      <c r="R22" s="28">
        <f>WORKDAY(C1,-1,Feriados!$A$2:$A$842)</f>
        <v>45637</v>
      </c>
    </row>
    <row r="23" spans="6:19" x14ac:dyDescent="0.25">
      <c r="F23" s="11"/>
      <c r="O23" s="15"/>
      <c r="R23" s="29" t="s">
        <v>90</v>
      </c>
      <c r="S23" s="29">
        <f>VLOOKUP($R$22,Resumo_Master!$C$13:$Q$10000,3,FALSE)</f>
        <v>0.95193349999999999</v>
      </c>
    </row>
    <row r="24" spans="6:19" ht="18" x14ac:dyDescent="0.25">
      <c r="F24" s="11"/>
      <c r="G24" s="12" t="str">
        <f>IF(IFERROR(VLOOKUP($H24,CarteiraBTG!$A$13:$D$21,1,FALSE),"Não")="Não","Não","Sim")</f>
        <v>Não</v>
      </c>
      <c r="H24" s="16" t="s">
        <v>22</v>
      </c>
      <c r="I24" s="21" t="s">
        <v>88</v>
      </c>
      <c r="J24" s="19">
        <f>SUMIF([1]FIC!$F$2:$F$50,"&lt;="&amp;$C$1,[1]FIC!$K$2:$K$50)</f>
        <v>17131328.431654602</v>
      </c>
      <c r="K24" s="19">
        <f>VLOOKUP($C$1,Resumo_Master!$C$13:$Q$10000,4,FALSE)</f>
        <v>17131327.591597956</v>
      </c>
      <c r="L24" s="19">
        <f t="shared" ref="L24:L25" si="12">J24-K24</f>
        <v>0.8400566466152668</v>
      </c>
      <c r="M24" s="20" t="str">
        <f t="shared" si="0"/>
        <v>ü</v>
      </c>
      <c r="O24" s="15"/>
    </row>
    <row r="25" spans="6:19" ht="18" x14ac:dyDescent="0.25">
      <c r="F25" s="11"/>
      <c r="G25" s="12" t="str">
        <f>IF(IFERROR(VLOOKUP($H25,CarteiraBTG!$A$13:$D$21,1,FALSE),"Não")="Não","Não","Sim")</f>
        <v>Não</v>
      </c>
      <c r="H25" s="16" t="s">
        <v>11</v>
      </c>
      <c r="I25" s="21" t="s">
        <v>89</v>
      </c>
      <c r="J25" s="37">
        <f ca="1">J20/J24</f>
        <v>0.91946641964448439</v>
      </c>
      <c r="K25">
        <f>VLOOKUP($C$1,Resumo_Master!$C$13:$Q$10000,3,FALSE)</f>
        <v>0.91946649999999996</v>
      </c>
      <c r="L25" s="73">
        <f t="shared" ca="1" si="12"/>
        <v>-8.0355515574837E-8</v>
      </c>
      <c r="M25" s="20" t="str">
        <f t="shared" ca="1" si="0"/>
        <v>ü</v>
      </c>
      <c r="O25" s="15"/>
    </row>
    <row r="26" spans="6:19" ht="18" x14ac:dyDescent="0.25">
      <c r="F26" s="11"/>
      <c r="G26" s="12"/>
      <c r="H26" s="16"/>
      <c r="I26" s="21"/>
      <c r="K26" s="37"/>
      <c r="L26" s="19"/>
      <c r="M26" s="20"/>
      <c r="O26" s="15"/>
    </row>
    <row r="27" spans="6:19" ht="18.75" thickBot="1" x14ac:dyDescent="0.3">
      <c r="F27" s="11"/>
      <c r="I27" s="33" t="s">
        <v>65</v>
      </c>
      <c r="J27" s="34">
        <f ca="1">J25/$S$23-1</f>
        <v>-3.4106458440128051E-2</v>
      </c>
      <c r="K27" s="34">
        <f>K25/$S$23-1</f>
        <v>-3.4106374027177311E-2</v>
      </c>
      <c r="L27" s="35">
        <f t="shared" ref="L27" ca="1" si="13">J27-K27</f>
        <v>-8.441295074046451E-8</v>
      </c>
      <c r="M27" s="36" t="str">
        <f t="shared" ca="1" si="0"/>
        <v>ü</v>
      </c>
      <c r="O27" s="15"/>
    </row>
    <row r="28" spans="6:19" ht="15.75" thickTop="1" x14ac:dyDescent="0.25">
      <c r="F28" s="11"/>
      <c r="O28" s="15"/>
    </row>
    <row r="29" spans="6:19" x14ac:dyDescent="0.25">
      <c r="F29" s="22"/>
      <c r="G29" s="23"/>
      <c r="H29" s="23"/>
      <c r="I29" s="23"/>
      <c r="J29" s="23"/>
      <c r="K29" s="23"/>
      <c r="L29" s="23"/>
      <c r="M29" s="23"/>
      <c r="N29" s="23"/>
      <c r="O29" s="24"/>
    </row>
    <row r="34" spans="9:11" x14ac:dyDescent="0.25">
      <c r="K34" s="65"/>
    </row>
    <row r="35" spans="9:11" x14ac:dyDescent="0.25">
      <c r="I35" s="64"/>
    </row>
    <row r="36" spans="9:11" x14ac:dyDescent="0.25">
      <c r="J36" t="s">
        <v>188</v>
      </c>
    </row>
  </sheetData>
  <mergeCells count="2">
    <mergeCell ref="A1:B1"/>
    <mergeCell ref="C1:D1"/>
  </mergeCells>
  <conditionalFormatting sqref="M20 M5:M17">
    <cfRule type="cellIs" dxfId="11" priority="13" stopIfTrue="1" operator="equal">
      <formula>"ü"</formula>
    </cfRule>
    <cfRule type="cellIs" dxfId="10" priority="14" stopIfTrue="1" operator="equal">
      <formula>"N"</formula>
    </cfRule>
  </conditionalFormatting>
  <conditionalFormatting sqref="M19">
    <cfRule type="cellIs" dxfId="9" priority="11" stopIfTrue="1" operator="equal">
      <formula>"ü"</formula>
    </cfRule>
    <cfRule type="cellIs" dxfId="8" priority="12" stopIfTrue="1" operator="equal">
      <formula>"N"</formula>
    </cfRule>
  </conditionalFormatting>
  <conditionalFormatting sqref="M22">
    <cfRule type="cellIs" dxfId="7" priority="9" stopIfTrue="1" operator="equal">
      <formula>"ü"</formula>
    </cfRule>
    <cfRule type="cellIs" dxfId="6" priority="10" stopIfTrue="1" operator="equal">
      <formula>"N"</formula>
    </cfRule>
  </conditionalFormatting>
  <conditionalFormatting sqref="M27">
    <cfRule type="cellIs" dxfId="5" priority="7" stopIfTrue="1" operator="equal">
      <formula>"ü"</formula>
    </cfRule>
    <cfRule type="cellIs" dxfId="4" priority="8" stopIfTrue="1" operator="equal">
      <formula>"N"</formula>
    </cfRule>
  </conditionalFormatting>
  <conditionalFormatting sqref="M24:M26">
    <cfRule type="cellIs" dxfId="3" priority="3" stopIfTrue="1" operator="equal">
      <formula>"ü"</formula>
    </cfRule>
    <cfRule type="cellIs" dxfId="2" priority="4" stopIfTrue="1" operator="equal">
      <formula>"N"</formula>
    </cfRule>
  </conditionalFormatting>
  <conditionalFormatting sqref="M4">
    <cfRule type="cellIs" dxfId="1" priority="1" stopIfTrue="1" operator="equal">
      <formula>"ü"</formula>
    </cfRule>
    <cfRule type="cellIs" dxfId="0" priority="2" stopIfTrue="1" operator="equal">
      <formula>"N"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lvar_Fechar">
                <anchor moveWithCells="1" sizeWithCells="1">
                  <from>
                    <xdr:col>0</xdr:col>
                    <xdr:colOff>447675</xdr:colOff>
                    <xdr:row>28</xdr:row>
                    <xdr:rowOff>123825</xdr:rowOff>
                  </from>
                  <to>
                    <xdr:col>3</xdr:col>
                    <xdr:colOff>266700</xdr:colOff>
                    <xdr:row>32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CFEC4-C4B3-4EC1-90AE-36D99979C06E}">
  <sheetPr codeName="Planilha2"/>
  <dimension ref="C2:V568"/>
  <sheetViews>
    <sheetView showGridLines="0" zoomScaleNormal="100" workbookViewId="0">
      <pane xSplit="3" ySplit="13" topLeftCell="I565" activePane="bottomRight" state="frozen"/>
      <selection pane="topRight" activeCell="D1" sqref="D1"/>
      <selection pane="bottomLeft" activeCell="A14" sqref="A14"/>
      <selection pane="bottomRight" activeCell="S567" sqref="S567:V567"/>
    </sheetView>
  </sheetViews>
  <sheetFormatPr defaultRowHeight="15" x14ac:dyDescent="0.25"/>
  <cols>
    <col min="3" max="3" width="10.42578125" bestFit="1" customWidth="1"/>
    <col min="4" max="4" width="19.5703125" customWidth="1"/>
    <col min="5" max="5" width="16.7109375" customWidth="1"/>
    <col min="6" max="8" width="19.7109375" customWidth="1"/>
    <col min="9" max="9" width="16.140625" customWidth="1"/>
    <col min="10" max="13" width="16.7109375" customWidth="1"/>
    <col min="14" max="14" width="24.28515625" customWidth="1"/>
    <col min="15" max="16" width="18.42578125" customWidth="1"/>
    <col min="17" max="18" width="16.7109375" customWidth="1"/>
    <col min="19" max="19" width="10.85546875" bestFit="1" customWidth="1"/>
    <col min="20" max="21" width="10.85546875" customWidth="1"/>
  </cols>
  <sheetData>
    <row r="2" spans="3:22" x14ac:dyDescent="0.25">
      <c r="D2" t="s">
        <v>152</v>
      </c>
    </row>
    <row r="3" spans="3:22" x14ac:dyDescent="0.25">
      <c r="D3" t="s">
        <v>149</v>
      </c>
    </row>
    <row r="4" spans="3:22" x14ac:dyDescent="0.25">
      <c r="D4" t="s">
        <v>150</v>
      </c>
      <c r="L4" s="70"/>
    </row>
    <row r="5" spans="3:22" x14ac:dyDescent="0.25">
      <c r="D5" t="s">
        <v>151</v>
      </c>
      <c r="L5" s="70"/>
    </row>
    <row r="6" spans="3:22" x14ac:dyDescent="0.25">
      <c r="G6" s="30"/>
      <c r="L6" s="70"/>
    </row>
    <row r="7" spans="3:22" x14ac:dyDescent="0.25">
      <c r="L7" s="65"/>
    </row>
    <row r="8" spans="3:22" x14ac:dyDescent="0.25">
      <c r="E8" s="30"/>
      <c r="F8" s="32"/>
      <c r="L8" s="19"/>
    </row>
    <row r="9" spans="3:22" x14ac:dyDescent="0.25">
      <c r="I9" s="62" t="s">
        <v>154</v>
      </c>
      <c r="L9" s="19"/>
      <c r="P9" s="63" t="s">
        <v>155</v>
      </c>
    </row>
    <row r="12" spans="3:22" x14ac:dyDescent="0.25">
      <c r="I12" t="s">
        <v>72</v>
      </c>
      <c r="P12" t="s">
        <v>72</v>
      </c>
    </row>
    <row r="13" spans="3:22" ht="36.75" thickBot="1" x14ac:dyDescent="0.3">
      <c r="D13" s="25" t="s">
        <v>63</v>
      </c>
      <c r="E13" s="26" t="s">
        <v>67</v>
      </c>
      <c r="F13" s="26" t="s">
        <v>73</v>
      </c>
      <c r="G13" s="26" t="s">
        <v>87</v>
      </c>
      <c r="H13" s="26" t="s">
        <v>75</v>
      </c>
      <c r="I13" s="26" t="s">
        <v>74</v>
      </c>
      <c r="J13" s="27" t="s">
        <v>68</v>
      </c>
      <c r="K13" s="27" t="s">
        <v>69</v>
      </c>
      <c r="L13" s="27" t="s">
        <v>66</v>
      </c>
      <c r="M13" s="27" t="s">
        <v>70</v>
      </c>
      <c r="N13" s="25" t="s">
        <v>86</v>
      </c>
      <c r="O13" s="25" t="s">
        <v>85</v>
      </c>
      <c r="P13" s="25" t="s">
        <v>107</v>
      </c>
      <c r="Q13" s="25" t="s">
        <v>71</v>
      </c>
      <c r="R13" s="61" t="s">
        <v>23</v>
      </c>
      <c r="S13" s="61" t="s">
        <v>162</v>
      </c>
      <c r="T13" s="61" t="s">
        <v>106</v>
      </c>
      <c r="U13" s="61" t="s">
        <v>172</v>
      </c>
      <c r="V13" s="61" t="s">
        <v>171</v>
      </c>
    </row>
    <row r="14" spans="3:22" x14ac:dyDescent="0.25">
      <c r="C14" s="4">
        <v>44833</v>
      </c>
      <c r="D14" s="30">
        <v>5841299.0199999996</v>
      </c>
      <c r="E14" s="31">
        <v>1</v>
      </c>
      <c r="F14" s="38">
        <f t="shared" ref="F14:F19" si="0">D14/E14</f>
        <v>5841299.0199999996</v>
      </c>
      <c r="G14" s="19">
        <f t="shared" ref="G14:G19" si="1">H14*I14</f>
        <v>5716299.0199999996</v>
      </c>
      <c r="H14" s="31">
        <v>1</v>
      </c>
      <c r="I14" s="19">
        <f>SUMIFS([1]Master!$K$2:$K$10000,[1]Master!$A$2:$A$10000,$I$12,[1]Master!$F$2:$F$10000,"&lt;="&amp;$C14)</f>
        <v>5716299.0199999996</v>
      </c>
      <c r="J14" s="30">
        <v>0</v>
      </c>
      <c r="K14" s="19">
        <f>IF((NETWORKDAYS(DATE(YEAR(C14),MONTH(C14),1),C14,Feriados!$A$2:$A$842))&gt;=5,0,IF(NETWORKDAYS(DATE(YEAR(C14),MONTH(C14),1),C14,Feriados!$A$2:$A$842)=1,J13,K13))</f>
        <v>0</v>
      </c>
      <c r="L14" s="30">
        <v>0</v>
      </c>
      <c r="M14" s="30">
        <v>125000</v>
      </c>
      <c r="N14" s="19">
        <f>SUMIFS([1]Master!$J$2:$J$100,[1]Master!$A$2:$A$100,"="&amp;$I$12,[1]Master!$E$2:$E$100,"="&amp;C14,[1]Master!$J$2:$J$100,"&gt;"&amp;0)</f>
        <v>5716299.0199999996</v>
      </c>
      <c r="O14" s="19">
        <f ca="1">-SUMIF('[1]Fluxo de Movimentações'!$A$5:$F$10001,"="&amp;$C15,'[1]Fluxo de Movimentações'!$B$5:$B$10001)</f>
        <v>0</v>
      </c>
      <c r="R14" s="31">
        <v>1</v>
      </c>
      <c r="S14" s="30">
        <v>0</v>
      </c>
      <c r="T14" s="30">
        <v>0</v>
      </c>
      <c r="U14" s="30">
        <v>0</v>
      </c>
      <c r="V14" s="30">
        <v>0</v>
      </c>
    </row>
    <row r="15" spans="3:22" x14ac:dyDescent="0.25">
      <c r="C15" s="4">
        <v>44834</v>
      </c>
      <c r="D15" s="30">
        <v>5897546.2991000004</v>
      </c>
      <c r="E15" s="32">
        <v>1.0096292</v>
      </c>
      <c r="F15" s="38">
        <f t="shared" si="0"/>
        <v>5841299.2602630751</v>
      </c>
      <c r="G15" s="19">
        <f t="shared" si="1"/>
        <v>5782855.6043795655</v>
      </c>
      <c r="H15" s="31">
        <v>1.0116433</v>
      </c>
      <c r="I15" s="19">
        <f>SUMIFS([1]Master!$K$2:$K$10000,[1]Master!$A$2:$A$10000,$I$12,[1]Master!$F$2:$F$10000,"&lt;="&amp;$C15)</f>
        <v>5716299.0199999996</v>
      </c>
      <c r="J15" s="19">
        <f>(((1+1.85%)^(1/252))-1)*D14</f>
        <v>424.92259480074409</v>
      </c>
      <c r="K15" s="19">
        <f>IF((NETWORKDAYS(DATE(YEAR(C15),MONTH(C15),1),C15,Feriados!$A$2:$A$842))&gt;=5,0,IF(NETWORKDAYS(DATE(YEAR(C15),MONTH(C15),1),C15,Feriados!$A$2:$A$842)=1,J14,K14))</f>
        <v>0</v>
      </c>
      <c r="L15" s="30">
        <v>-9855.3700000000008</v>
      </c>
      <c r="M15" s="30">
        <v>25000</v>
      </c>
      <c r="N15" s="19">
        <f>SUMIFS([1]Master!$J$2:$J$100,[1]Master!$A$2:$A$100,"="&amp;$I$12,[1]Master!$E$2:$E$100,"="&amp;C15,[1]Master!$J$2:$J$100,"&gt;"&amp;0)</f>
        <v>200000</v>
      </c>
      <c r="O15" s="19">
        <f ca="1">-SUMIF('[1]Fluxo de Movimentações'!$A$5:$F$10001,"="&amp;$C16,'[1]Fluxo de Movimentações'!$B$5:$B$10001)</f>
        <v>-100000</v>
      </c>
      <c r="P15" s="19">
        <v>0</v>
      </c>
      <c r="Q15" s="30">
        <v>-29.01</v>
      </c>
      <c r="R15" s="32">
        <v>1.0113163999999999</v>
      </c>
      <c r="S15" s="30">
        <v>0</v>
      </c>
      <c r="T15" s="30">
        <v>0</v>
      </c>
      <c r="U15" s="30">
        <v>0</v>
      </c>
      <c r="V15" s="30">
        <v>0</v>
      </c>
    </row>
    <row r="16" spans="3:22" x14ac:dyDescent="0.25">
      <c r="C16" s="4">
        <v>44837</v>
      </c>
      <c r="D16" s="30">
        <v>6215925.3382000001</v>
      </c>
      <c r="E16" s="32">
        <v>1.0470146</v>
      </c>
      <c r="F16" s="38">
        <f t="shared" si="0"/>
        <v>5936808.6540531525</v>
      </c>
      <c r="G16" s="19">
        <f t="shared" si="1"/>
        <v>6240160.5140173156</v>
      </c>
      <c r="H16" s="31">
        <v>1.0566557999999999</v>
      </c>
      <c r="I16" s="19">
        <f>SUMIFS([1]Master!$K$2:$K$10000,[1]Master!$A$2:$A$10000,$I$12,[1]Master!$F$2:$F$10000,"&lt;="&amp;$C16)</f>
        <v>5905575.4144512489</v>
      </c>
      <c r="J16" s="19">
        <f>(((1+1.85%)^(1/252))-1)*D15</f>
        <v>429.01427709672322</v>
      </c>
      <c r="K16" s="19">
        <f>IF((NETWORKDAYS(DATE(YEAR(C16),MONTH(C16),1),C16,Feriados!$A$2:$A$842))&gt;=5,0,IF(NETWORKDAYS(DATE(YEAR(C16),MONTH(C16),1),C16,Feriados!$A$2:$A$842)=1,J15,K15))</f>
        <v>424.92259480074409</v>
      </c>
      <c r="L16" s="30">
        <v>-48323.22</v>
      </c>
      <c r="M16" s="30">
        <v>25000</v>
      </c>
      <c r="N16" s="19">
        <f>SUMIFS([1]Master!$J$2:$J$100,[1]Master!$A$2:$A$100,"="&amp;$I$12,[1]Master!$E$2:$E$100,"="&amp;C16,[1]Master!$J$2:$J$100,"&gt;"&amp;0)</f>
        <v>0</v>
      </c>
      <c r="O16" s="19">
        <f ca="1">-SUMIF('[1]Fluxo de Movimentações'!$A$5:$F$10001,"="&amp;$C17,'[1]Fluxo de Movimentações'!$B$5:$B$10001)</f>
        <v>0</v>
      </c>
      <c r="P16" s="19">
        <v>0</v>
      </c>
      <c r="Q16" s="30">
        <v>-58.021799999999999</v>
      </c>
      <c r="R16" s="32">
        <v>1.0552873</v>
      </c>
      <c r="S16" s="30">
        <v>0</v>
      </c>
      <c r="T16" s="30">
        <v>0</v>
      </c>
      <c r="U16" s="30">
        <v>0</v>
      </c>
      <c r="V16" s="30">
        <v>0</v>
      </c>
    </row>
    <row r="17" spans="3:22" x14ac:dyDescent="0.25">
      <c r="C17" s="4">
        <v>44838</v>
      </c>
      <c r="D17" s="30">
        <v>6183047.6772999996</v>
      </c>
      <c r="E17" s="32">
        <v>1.0414767</v>
      </c>
      <c r="F17" s="38">
        <f t="shared" si="0"/>
        <v>5936808.4540921552</v>
      </c>
      <c r="G17" s="19">
        <f t="shared" si="1"/>
        <v>6201891.2042165892</v>
      </c>
      <c r="H17" s="31">
        <v>1.0501756</v>
      </c>
      <c r="I17" s="19">
        <f>SUMIFS([1]Master!$K$2:$K$10000,[1]Master!$A$2:$A$10000,$I$12,[1]Master!$F$2:$F$10000,"&lt;="&amp;$C17)</f>
        <v>5905575.4144512489</v>
      </c>
      <c r="J17" s="19">
        <f t="shared" ref="J17:J23" si="2">((((1+1.85%)^(1/252))-1)*D16)+SUM(J16)</f>
        <v>881.18889009841087</v>
      </c>
      <c r="K17" s="19">
        <f>IF((NETWORKDAYS(DATE(YEAR(C17),MONTH(C17),1),C17,Feriados!$A$2:$A$842))&gt;=5,0,IF(NETWORKDAYS(DATE(YEAR(C17),MONTH(C17),1),C17,Feriados!$A$2:$A$842)=1,J16,K16))</f>
        <v>424.92259480074409</v>
      </c>
      <c r="L17" s="30">
        <v>-42450.39</v>
      </c>
      <c r="M17" s="30">
        <v>25000</v>
      </c>
      <c r="N17" s="19">
        <f>SUMIFS([1]Master!$J$2:$J$100,[1]Master!$A$2:$A$100,"="&amp;$I$12,[1]Master!$E$2:$E$100,"="&amp;C17,[1]Master!$J$2:$J$100,"&gt;"&amp;0)</f>
        <v>0</v>
      </c>
      <c r="O17" s="19">
        <f ca="1">-SUMIF('[1]Fluxo de Movimentações'!$A$5:$F$10001,"="&amp;$C18,'[1]Fluxo de Movimentações'!$B$5:$B$10001)</f>
        <v>0</v>
      </c>
      <c r="P17" s="19">
        <v>0</v>
      </c>
      <c r="Q17" s="30">
        <v>-87.032700000000006</v>
      </c>
      <c r="R17" s="32">
        <v>1.048627</v>
      </c>
      <c r="S17" s="30">
        <v>0</v>
      </c>
      <c r="T17" s="30">
        <v>0</v>
      </c>
      <c r="U17" s="30">
        <v>0</v>
      </c>
      <c r="V17" s="30">
        <v>0</v>
      </c>
    </row>
    <row r="18" spans="3:22" x14ac:dyDescent="0.25">
      <c r="C18" s="4">
        <v>44839</v>
      </c>
      <c r="D18" s="30">
        <v>6203784.7863999996</v>
      </c>
      <c r="E18" s="32">
        <v>1.0449695999999999</v>
      </c>
      <c r="F18" s="38">
        <f t="shared" si="0"/>
        <v>5936808.8664014721</v>
      </c>
      <c r="G18" s="19">
        <f t="shared" si="1"/>
        <v>6226695.8020723676</v>
      </c>
      <c r="H18" s="31">
        <v>1.0543758000000001</v>
      </c>
      <c r="I18" s="19">
        <f>SUMIFS([1]Master!$K$2:$K$10000,[1]Master!$A$2:$A$10000,$I$12,[1]Master!$F$2:$F$10000,"&lt;="&amp;$C18)</f>
        <v>5905575.4144512489</v>
      </c>
      <c r="J18" s="19">
        <f t="shared" si="2"/>
        <v>1330.9718328683959</v>
      </c>
      <c r="K18" s="19">
        <f>IF((NETWORKDAYS(DATE(YEAR(C18),MONTH(C18),1),C18,Feriados!$A$2:$A$842))&gt;=5,0,IF(NETWORKDAYS(DATE(YEAR(C18),MONTH(C18),1),C18,Feriados!$A$2:$A$842)=1,J17,K17))</f>
        <v>424.92259480074409</v>
      </c>
      <c r="L18" s="30">
        <v>-46039.09</v>
      </c>
      <c r="M18" s="30">
        <v>25000</v>
      </c>
      <c r="N18" s="19">
        <f>SUMIFS([1]Master!$J$2:$J$100,[1]Master!$A$2:$A$100,"="&amp;$I$12,[1]Master!$E$2:$E$100,"="&amp;C18,[1]Master!$J$2:$J$100,"&gt;"&amp;0)</f>
        <v>0</v>
      </c>
      <c r="O18" s="19">
        <f ca="1">-SUMIF('[1]Fluxo de Movimentações'!$A$5:$F$10001,"="&amp;$C19,'[1]Fluxo de Movimentações'!$B$5:$B$10001)</f>
        <v>0</v>
      </c>
      <c r="P18" s="19">
        <v>0</v>
      </c>
      <c r="Q18" s="30">
        <v>-116.0436</v>
      </c>
      <c r="R18" s="32">
        <v>1.0527245000000001</v>
      </c>
      <c r="S18" s="30">
        <v>0</v>
      </c>
      <c r="T18" s="30">
        <v>0</v>
      </c>
      <c r="U18" s="30">
        <v>0</v>
      </c>
      <c r="V18" s="30">
        <v>0</v>
      </c>
    </row>
    <row r="19" spans="3:22" x14ac:dyDescent="0.25">
      <c r="C19" s="4">
        <v>44840</v>
      </c>
      <c r="D19" s="30">
        <v>6311100.3255000003</v>
      </c>
      <c r="E19" s="32">
        <v>1.0630459000000001</v>
      </c>
      <c r="F19" s="38">
        <f t="shared" si="0"/>
        <v>5936808.8673311286</v>
      </c>
      <c r="G19" s="19">
        <f t="shared" si="1"/>
        <v>6353357.4024464348</v>
      </c>
      <c r="H19" s="31">
        <v>1.0758236000000001</v>
      </c>
      <c r="I19" s="19">
        <f>SUMIFS([1]Master!$K$2:$K$10000,[1]Master!$A$2:$A$10000,$I$12,[1]Master!$F$2:$F$10000,"&lt;="&amp;$C19)</f>
        <v>5905575.4144512489</v>
      </c>
      <c r="J19" s="19">
        <f t="shared" si="2"/>
        <v>1782.2632870460779</v>
      </c>
      <c r="K19" s="19">
        <f>IF((NETWORKDAYS(DATE(YEAR(C19),MONTH(C19),1),C19,Feriados!$A$2:$A$842))&gt;=5,0,IF(NETWORKDAYS(DATE(YEAR(C19),MONTH(C19),1),C19,Feriados!$A$2:$A$842)=1,J18,K18))</f>
        <v>424.92259480074409</v>
      </c>
      <c r="L19" s="30">
        <v>-64904.85</v>
      </c>
      <c r="M19" s="30">
        <v>25000</v>
      </c>
      <c r="N19" s="19">
        <f>SUMIFS([1]Master!$J$2:$J$100,[1]Master!$A$2:$A$100,"="&amp;$I$12,[1]Master!$E$2:$E$100,"="&amp;C19,[1]Master!$J$2:$J$100,"&gt;"&amp;0)</f>
        <v>0</v>
      </c>
      <c r="O19" s="19">
        <f ca="1">-SUMIF('[1]Fluxo de Movimentações'!$A$5:$F$10001,"="&amp;$C20,'[1]Fluxo de Movimentações'!$B$5:$B$10001)</f>
        <v>0</v>
      </c>
      <c r="P19" s="19">
        <v>0</v>
      </c>
      <c r="Q19" s="30">
        <v>-145.05000000000001</v>
      </c>
      <c r="R19" s="32">
        <v>1.0739786</v>
      </c>
      <c r="S19" s="30">
        <v>0</v>
      </c>
      <c r="T19" s="30">
        <v>0</v>
      </c>
      <c r="U19" s="30">
        <v>0</v>
      </c>
      <c r="V19" s="30">
        <v>0</v>
      </c>
    </row>
    <row r="20" spans="3:22" x14ac:dyDescent="0.25">
      <c r="C20" s="4">
        <v>44841</v>
      </c>
      <c r="D20" s="30">
        <v>6253541.5845999997</v>
      </c>
      <c r="E20" s="32">
        <v>1.0533507</v>
      </c>
      <c r="F20" s="38">
        <f t="shared" ref="F20" si="3">D20/E20</f>
        <v>5936808.6854643943</v>
      </c>
      <c r="G20" s="19">
        <f t="shared" ref="G20" si="4">H20*I20</f>
        <v>6286055.6933507239</v>
      </c>
      <c r="H20" s="31">
        <v>1.0644273</v>
      </c>
      <c r="I20" s="19">
        <f>SUMIFS([1]Master!$K$2:$K$10000,[1]Master!$A$2:$A$10000,$I$12,[1]Master!$F$2:$F$10000,"&lt;="&amp;$C20)</f>
        <v>5905575.4144512489</v>
      </c>
      <c r="J20" s="19">
        <f t="shared" si="2"/>
        <v>2241.3613604673014</v>
      </c>
      <c r="K20" s="19">
        <f>IF((NETWORKDAYS(DATE(YEAR(C20),MONTH(C20),1),C20,Feriados!$A$2:$A$842))&gt;=5,0,IF(NETWORKDAYS(DATE(YEAR(C20),MONTH(C20),1),C20,Feriados!$A$2:$A$842)=1,J19,K19))</f>
        <v>0</v>
      </c>
      <c r="L20" s="30">
        <v>-54673.78</v>
      </c>
      <c r="M20" s="30">
        <f>25000-1338-424.92</f>
        <v>23237.08</v>
      </c>
      <c r="N20" s="19">
        <f>SUMIFS([1]Master!$J$2:$J$100,[1]Master!$A$2:$A$100,"="&amp;$I$12,[1]Master!$E$2:$E$100,"="&amp;C20,[1]Master!$J$2:$J$100,"&gt;"&amp;0)</f>
        <v>100000</v>
      </c>
      <c r="O20" s="19">
        <f ca="1">-SUMIF('[1]Fluxo de Movimentações'!$A$5:$F$10001,"="&amp;$C21,'[1]Fluxo de Movimentações'!$B$5:$B$10001)</f>
        <v>-100000</v>
      </c>
      <c r="P20" s="19">
        <v>0</v>
      </c>
      <c r="Q20" s="30">
        <f>(174.07-1338)*-1</f>
        <v>1163.93</v>
      </c>
      <c r="R20" s="32">
        <v>1.0625599999999999</v>
      </c>
      <c r="S20" s="30">
        <v>0</v>
      </c>
      <c r="T20" s="30">
        <v>0</v>
      </c>
      <c r="U20" s="30">
        <v>0</v>
      </c>
      <c r="V20" s="30">
        <v>0</v>
      </c>
    </row>
    <row r="21" spans="3:22" x14ac:dyDescent="0.25">
      <c r="C21" s="4">
        <v>44844</v>
      </c>
      <c r="D21" s="30">
        <v>6329331.1726000002</v>
      </c>
      <c r="E21" s="32">
        <v>1.0492726999999999</v>
      </c>
      <c r="F21" s="38">
        <f t="shared" ref="F21" si="5">D21/E21</f>
        <v>6032112.6934875939</v>
      </c>
      <c r="G21" s="19">
        <f t="shared" ref="G21:G23" si="6">H21*I21</f>
        <v>6358053.2264080197</v>
      </c>
      <c r="H21" s="31">
        <v>1.0596855999999999</v>
      </c>
      <c r="I21" s="19">
        <f>SUMIFS([1]Master!$K$2:$K$10000,[1]Master!$A$2:$A$10000,$I$12,[1]Master!$F$2:$F$10000,"&lt;="&amp;$C21)</f>
        <v>5999943.0268827099</v>
      </c>
      <c r="J21" s="19">
        <f t="shared" si="2"/>
        <v>2696.2723499106373</v>
      </c>
      <c r="K21" s="19">
        <f>IF((NETWORKDAYS(DATE(YEAR(C21),MONTH(C21),1),C21,Feriados!$A$2:$A$842))&gt;=5,0,IF(NETWORKDAYS(DATE(YEAR(C21),MONTH(C21),1),C21,Feriados!$A$2:$A$842)=1,J20,K20))</f>
        <v>0</v>
      </c>
      <c r="L21" s="30">
        <v>-50327.39</v>
      </c>
      <c r="M21" s="30">
        <f>25000-1338-424.92</f>
        <v>23237.08</v>
      </c>
      <c r="N21" s="19">
        <f>SUMIFS([1]Master!$J$2:$J$100,[1]Master!$A$2:$A$100,"="&amp;$I$12,[1]Master!$E$2:$E$100,"="&amp;C21,[1]Master!$J$2:$J$100,"&gt;"&amp;0)</f>
        <v>0</v>
      </c>
      <c r="O21" s="19">
        <f ca="1">-SUMIF('[1]Fluxo de Movimentações'!$A$5:$F$10001,"="&amp;$C22,'[1]Fluxo de Movimentações'!$B$5:$B$10001)</f>
        <v>0</v>
      </c>
      <c r="P21" s="19">
        <v>0</v>
      </c>
      <c r="Q21" s="30">
        <f>(203.08-1267.5789)*-1</f>
        <v>1064.4989</v>
      </c>
      <c r="R21" s="32">
        <v>1.0577498999999999</v>
      </c>
      <c r="S21" s="30">
        <v>0</v>
      </c>
      <c r="T21" s="30">
        <v>0</v>
      </c>
      <c r="U21" s="30">
        <v>0</v>
      </c>
      <c r="V21" s="30">
        <v>0</v>
      </c>
    </row>
    <row r="22" spans="3:22" x14ac:dyDescent="0.25">
      <c r="C22" s="4">
        <v>44845</v>
      </c>
      <c r="D22" s="30">
        <v>6230480.5706000002</v>
      </c>
      <c r="E22" s="32">
        <v>1.0328853</v>
      </c>
      <c r="F22" s="38">
        <f>D22/TRUNC(E22,7)</f>
        <v>6032112.7337178681</v>
      </c>
      <c r="G22" s="19">
        <f t="shared" si="6"/>
        <v>6242461.9240179146</v>
      </c>
      <c r="H22" s="31">
        <v>1.0404202</v>
      </c>
      <c r="I22" s="19">
        <f>SUMIFS([1]Master!$K$2:$K$10000,[1]Master!$A$2:$A$10000,$I$12,[1]Master!$F$2:$F$10000,"&lt;="&amp;$C22)</f>
        <v>5999943.0268827099</v>
      </c>
      <c r="J22" s="19">
        <f t="shared" si="2"/>
        <v>3156.6966178698608</v>
      </c>
      <c r="K22" s="19">
        <f>IF((NETWORKDAYS(DATE(YEAR(C22),MONTH(C22),1),C22,Feriados!$A$2:$A$842))&gt;=5,0,IF(NETWORKDAYS(DATE(YEAR(C22),MONTH(C22),1),C22,Feriados!$A$2:$A$842)=1,J21,K21))</f>
        <v>0</v>
      </c>
      <c r="L22" s="30">
        <v>-33026.83</v>
      </c>
      <c r="M22" s="30">
        <v>23237.08</v>
      </c>
      <c r="N22" s="19">
        <f>SUMIFS([1]Master!$J$2:$J$100,[1]Master!$A$2:$A$100,"="&amp;$I$12,[1]Master!$E$2:$E$100,"="&amp;C22,[1]Master!$J$2:$J$100,"&gt;"&amp;0)</f>
        <v>0</v>
      </c>
      <c r="O22" s="19">
        <f ca="1">-SUMIF('[1]Fluxo de Movimentações'!$A$5:$F$10001,"="&amp;$C23,'[1]Fluxo de Movimentações'!$B$5:$B$10001)</f>
        <v>0</v>
      </c>
      <c r="P22" s="19">
        <v>0</v>
      </c>
      <c r="Q22" s="30">
        <v>965.07</v>
      </c>
      <c r="R22" s="32">
        <v>1.0383605</v>
      </c>
      <c r="S22" s="30">
        <v>0</v>
      </c>
      <c r="T22" s="30">
        <v>0</v>
      </c>
      <c r="U22" s="30">
        <v>0</v>
      </c>
      <c r="V22" s="30">
        <v>0</v>
      </c>
    </row>
    <row r="23" spans="3:22" x14ac:dyDescent="0.25">
      <c r="C23" s="4">
        <v>44847</v>
      </c>
      <c r="D23" s="30">
        <v>6232910.1185999997</v>
      </c>
      <c r="E23" s="32">
        <v>1.0332881</v>
      </c>
      <c r="F23" s="38">
        <f>D23/TRUNC(E23,7)</f>
        <v>6032112.5527333561</v>
      </c>
      <c r="G23" s="19">
        <f t="shared" si="6"/>
        <v>6245769.0926143331</v>
      </c>
      <c r="H23" s="31">
        <v>1.0409714000000001</v>
      </c>
      <c r="I23" s="19">
        <f>SUMIFS([1]Master!$K$2:$K$10000,[1]Master!$A$2:$A$10000,$I$12,[1]Master!$F$2:$F$10000,"&lt;="&amp;$C23)</f>
        <v>5999943.0268827099</v>
      </c>
      <c r="J23" s="19">
        <f t="shared" si="2"/>
        <v>3609.9300445186773</v>
      </c>
      <c r="K23" s="19">
        <f>IF((NETWORKDAYS(DATE(YEAR(C23),MONTH(C23),1),C23,Feriados!$A$2:$A$842))&gt;=5,0,IF(NETWORKDAYS(DATE(YEAR(C23),MONTH(C23),1),C23,Feriados!$A$2:$A$842)=1,J22,K22))</f>
        <v>0</v>
      </c>
      <c r="L23" s="30">
        <v>-33351.79</v>
      </c>
      <c r="M23" s="30">
        <v>23237.08</v>
      </c>
      <c r="N23" s="19">
        <f>SUMIFS([1]Master!$J$2:$J$100,[1]Master!$A$2:$A$100,"="&amp;$I$12,[1]Master!$E$2:$E$100,"="&amp;C23,[1]Master!$J$2:$J$100,"&gt;"&amp;0)</f>
        <v>0</v>
      </c>
      <c r="O23" s="19">
        <f ca="1">-SUMIF('[1]Fluxo de Movimentações'!$A$5:$F$10001,"="&amp;$C24,'[1]Fluxo de Movimentações'!$B$5:$B$10001)</f>
        <v>0</v>
      </c>
      <c r="P23" s="19">
        <v>0</v>
      </c>
      <c r="Q23" s="30">
        <v>865.64</v>
      </c>
      <c r="R23" s="32">
        <v>1.0388170999999999</v>
      </c>
      <c r="S23" s="30">
        <v>0</v>
      </c>
      <c r="T23" s="30">
        <v>0</v>
      </c>
      <c r="U23" s="30">
        <v>0</v>
      </c>
      <c r="V23" s="30">
        <v>0</v>
      </c>
    </row>
    <row r="24" spans="3:22" x14ac:dyDescent="0.25">
      <c r="C24" s="4">
        <v>44848</v>
      </c>
      <c r="D24" s="30">
        <v>6129544.5665999996</v>
      </c>
      <c r="E24" s="32">
        <v>1.0161522000000001</v>
      </c>
      <c r="F24" s="38">
        <f>D24/TRUNC(E24,7)</f>
        <v>6032112.676230981</v>
      </c>
      <c r="G24" s="19">
        <f t="shared" ref="G24:G25" si="7">H24*I24</f>
        <v>6125302.2365205819</v>
      </c>
      <c r="H24" s="31">
        <v>1.0208934000000001</v>
      </c>
      <c r="I24" s="19">
        <f>SUMIFS([1]Master!$K$2:$K$10000,[1]Master!$A$2:$A$10000,$I$12,[1]Master!$F$2:$F$10000,"&lt;="&amp;$C24)</f>
        <v>5999943.0268827099</v>
      </c>
      <c r="J24" s="19">
        <f t="shared" ref="J24:J26" si="8">((((1+1.85%)^(1/252))-1)*D23)+SUM(J23)</f>
        <v>4063.3402075127515</v>
      </c>
      <c r="K24" s="19">
        <f>IF((NETWORKDAYS(DATE(YEAR(C24),MONTH(C24),1),C24,Feriados!$A$2:$A$842))&gt;=5,0,IF(NETWORKDAYS(DATE(YEAR(C24),MONTH(C24),1),C24,Feriados!$A$2:$A$842)=1,J23,K23))</f>
        <v>0</v>
      </c>
      <c r="L24" s="30">
        <v>-15697.65</v>
      </c>
      <c r="M24" s="30">
        <v>23237.08</v>
      </c>
      <c r="N24" s="19">
        <f>SUMIFS([1]Master!$J$2:$J$100,[1]Master!$A$2:$A$100,"="&amp;$I$12,[1]Master!$E$2:$E$100,"="&amp;C24,[1]Master!$J$2:$J$100,"&gt;"&amp;0)</f>
        <v>500000</v>
      </c>
      <c r="O24" s="19">
        <f ca="1">-SUMIF('[1]Fluxo de Movimentações'!$A$5:$F$10001,"="&amp;$C25,'[1]Fluxo de Movimentações'!$B$5:$B$10001)</f>
        <v>-500000</v>
      </c>
      <c r="P24" s="19">
        <v>0</v>
      </c>
      <c r="Q24" s="30">
        <v>766.21</v>
      </c>
      <c r="R24" s="32">
        <v>1.0187545</v>
      </c>
      <c r="S24" s="30">
        <v>0</v>
      </c>
      <c r="T24" s="30">
        <v>0</v>
      </c>
      <c r="U24" s="30">
        <v>0</v>
      </c>
      <c r="V24" s="30">
        <v>0</v>
      </c>
    </row>
    <row r="25" spans="3:22" x14ac:dyDescent="0.25">
      <c r="C25" s="4">
        <v>44851</v>
      </c>
      <c r="D25" s="30">
        <v>6696031.2945999997</v>
      </c>
      <c r="E25" s="32">
        <v>1.0271743</v>
      </c>
      <c r="F25" s="38">
        <f t="shared" ref="F25:F31" si="9">D25/TRUNC(E25,6)</f>
        <v>6518887.0576942172</v>
      </c>
      <c r="G25" s="19">
        <f t="shared" si="7"/>
        <v>6703546.2935455535</v>
      </c>
      <c r="H25" s="31">
        <v>1.0339342</v>
      </c>
      <c r="I25" s="19">
        <f>SUMIFS([1]Master!$K$2:$K$10000,[1]Master!$A$2:$A$10000,$I$12,[1]Master!$F$2:$F$10000,"&lt;="&amp;$C25)</f>
        <v>6483532.7949743355</v>
      </c>
      <c r="J25" s="19">
        <f t="shared" si="8"/>
        <v>4509.2310912474577</v>
      </c>
      <c r="K25" s="19">
        <f>IF((NETWORKDAYS(DATE(YEAR(C25),MONTH(C25),1),C25,Feriados!$A$2:$A$842))&gt;=5,0,IF(NETWORKDAYS(DATE(YEAR(C25),MONTH(C25),1),C25,Feriados!$A$2:$A$842)=1,J24,K24))</f>
        <v>0</v>
      </c>
      <c r="L25" s="30">
        <v>-26909.65</v>
      </c>
      <c r="M25" s="30">
        <v>23237.08</v>
      </c>
      <c r="N25" s="19">
        <f>SUMIFS([1]Master!$J$2:$J$100,[1]Master!$A$2:$A$100,"="&amp;$I$12,[1]Master!$E$2:$E$100,"="&amp;C25,[1]Master!$J$2:$J$100,"&gt;"&amp;0)</f>
        <v>0</v>
      </c>
      <c r="O25" s="19">
        <f ca="1">-SUMIF('[1]Fluxo de Movimentações'!$A$5:$F$10001,"="&amp;$C26,'[1]Fluxo de Movimentações'!$B$5:$B$10001)</f>
        <v>0</v>
      </c>
      <c r="P25" s="19">
        <v>0</v>
      </c>
      <c r="Q25" s="30">
        <v>666.77</v>
      </c>
      <c r="R25" s="32">
        <v>1.0316354000000001</v>
      </c>
      <c r="S25" s="30">
        <v>0</v>
      </c>
      <c r="T25" s="30">
        <v>0</v>
      </c>
      <c r="U25" s="30">
        <v>0</v>
      </c>
      <c r="V25" s="30">
        <v>0</v>
      </c>
    </row>
    <row r="26" spans="3:22" x14ac:dyDescent="0.25">
      <c r="C26" s="4">
        <v>44852</v>
      </c>
      <c r="D26" s="30">
        <v>6757226.4025999997</v>
      </c>
      <c r="E26" s="32">
        <v>1.0365617</v>
      </c>
      <c r="F26" s="38">
        <f t="shared" si="9"/>
        <v>6518889.2912235744</v>
      </c>
      <c r="G26" s="19">
        <f t="shared" ref="G26:G27" si="10">H26*I26</f>
        <v>6775336.5071244659</v>
      </c>
      <c r="H26" s="31">
        <v>1.0450069</v>
      </c>
      <c r="I26" s="19">
        <f>SUMIFS([1]Master!$K$2:$K$10000,[1]Master!$A$2:$A$10000,$I$12,[1]Master!$F$2:$F$10000,"&lt;="&amp;$C26)</f>
        <v>6483532.7949743355</v>
      </c>
      <c r="J26" s="19">
        <f t="shared" si="8"/>
        <v>4996.330789932018</v>
      </c>
      <c r="K26" s="19">
        <f>IF((NETWORKDAYS(DATE(YEAR(C26),MONTH(C26),1),C26,Feriados!$A$2:$A$842))&gt;=5,0,IF(NETWORKDAYS(DATE(YEAR(C26),MONTH(C26),1),C26,Feriados!$A$2:$A$842)=1,J25,K25))</f>
        <v>0</v>
      </c>
      <c r="L26" s="30">
        <v>-36918.239999999998</v>
      </c>
      <c r="M26" s="30">
        <v>23237.08</v>
      </c>
      <c r="N26" s="19">
        <f>SUMIFS([1]Master!$J$2:$J$100,[1]Master!$A$2:$A$100,"="&amp;$I$12,[1]Master!$E$2:$E$100,"="&amp;C26,[1]Master!$J$2:$J$100,"&gt;"&amp;0)</f>
        <v>100000</v>
      </c>
      <c r="O26" s="19">
        <f ca="1">-SUMIF('[1]Fluxo de Movimentações'!$A$5:$F$10001,"="&amp;$C27,'[1]Fluxo de Movimentações'!$B$5:$B$10001)</f>
        <v>-100000</v>
      </c>
      <c r="P26" s="19">
        <v>0</v>
      </c>
      <c r="Q26" s="30">
        <v>567.34</v>
      </c>
      <c r="R26" s="32">
        <v>1.0422248999999999</v>
      </c>
      <c r="S26" s="30">
        <v>0</v>
      </c>
      <c r="T26" s="30">
        <v>0</v>
      </c>
      <c r="U26" s="30">
        <v>0</v>
      </c>
      <c r="V26" s="30">
        <v>0</v>
      </c>
    </row>
    <row r="27" spans="3:22" x14ac:dyDescent="0.25">
      <c r="C27" s="4">
        <v>44853</v>
      </c>
      <c r="D27" s="30">
        <v>6853731.4305999996</v>
      </c>
      <c r="E27" s="32">
        <v>1.0360255</v>
      </c>
      <c r="F27" s="38">
        <f t="shared" si="9"/>
        <v>6615411.2406553896</v>
      </c>
      <c r="G27" s="19">
        <f t="shared" si="10"/>
        <v>6871404.8928375943</v>
      </c>
      <c r="H27" s="31">
        <v>1.0444005000000001</v>
      </c>
      <c r="I27" s="19">
        <f>SUMIFS([1]Master!$K$2:$K$10000,[1]Master!$A$2:$A$10000,$I$12,[1]Master!$F$2:$F$10000,"&lt;="&amp;$C27)</f>
        <v>6579281.5044014184</v>
      </c>
      <c r="J27" s="19">
        <f t="shared" ref="J27" si="11">((((1+1.85%)^(1/252))-1)*D26)+SUM(J26)</f>
        <v>5487.8820984368322</v>
      </c>
      <c r="K27" s="19">
        <f>IF((NETWORKDAYS(DATE(YEAR(C27),MONTH(C27),1),C27,Feriados!$A$2:$A$842))&gt;=5,0,IF(NETWORKDAYS(DATE(YEAR(C27),MONTH(C27),1),C27,Feriados!$A$2:$A$842)=1,J26,K26))</f>
        <v>0</v>
      </c>
      <c r="L27" s="30">
        <v>-35890.61</v>
      </c>
      <c r="M27" s="30">
        <v>23237.08</v>
      </c>
      <c r="N27" s="19">
        <f>SUMIFS([1]Master!$J$2:$J$100,[1]Master!$A$2:$A$100,"="&amp;$I$12,[1]Master!$E$2:$E$100,"="&amp;C27,[1]Master!$J$2:$J$100,"&gt;"&amp;0)</f>
        <v>0</v>
      </c>
      <c r="O27" s="19">
        <f ca="1">-SUMIF('[1]Fluxo de Movimentações'!$A$5:$F$10001,"="&amp;$C28,'[1]Fluxo de Movimentações'!$B$5:$B$10001)</f>
        <v>0</v>
      </c>
      <c r="P27" s="19">
        <v>0</v>
      </c>
      <c r="Q27" s="30">
        <v>467.91</v>
      </c>
      <c r="R27" s="32">
        <v>1.0415312000000001</v>
      </c>
      <c r="S27" s="30">
        <v>0</v>
      </c>
      <c r="T27" s="30">
        <v>0</v>
      </c>
      <c r="U27" s="30">
        <v>0</v>
      </c>
      <c r="V27" s="30">
        <v>0</v>
      </c>
    </row>
    <row r="28" spans="3:22" x14ac:dyDescent="0.25">
      <c r="C28" s="4">
        <v>44854</v>
      </c>
      <c r="D28" s="30">
        <v>6844429.0586000001</v>
      </c>
      <c r="E28" s="32">
        <v>1.0346194</v>
      </c>
      <c r="F28" s="38">
        <f t="shared" si="9"/>
        <v>6615410.1737934453</v>
      </c>
      <c r="G28" s="19">
        <f t="shared" ref="G28" si="12">H28*I28</f>
        <v>6860678.0322728176</v>
      </c>
      <c r="H28" s="31">
        <v>1.0427701</v>
      </c>
      <c r="I28" s="19">
        <f>SUMIFS([1]Master!$K$2:$K$10000,[1]Master!$A$2:$A$10000,$I$12,[1]Master!$F$2:$F$10000,"&lt;="&amp;$C28)</f>
        <v>6579281.5044014184</v>
      </c>
      <c r="J28" s="19">
        <f t="shared" ref="J28" si="13">((((1+1.85%)^(1/252))-1)*D27)+SUM(J27)</f>
        <v>5986.4536205565764</v>
      </c>
      <c r="K28" s="19">
        <f>IF((NETWORKDAYS(DATE(YEAR(C28),MONTH(C28),1),C28,Feriados!$A$2:$A$842))&gt;=5,0,IF(NETWORKDAYS(DATE(YEAR(C28),MONTH(C28),1),C28,Feriados!$A$2:$A$842)=1,J27,K27))</f>
        <v>0</v>
      </c>
      <c r="L28" s="30">
        <v>-33868.120000000003</v>
      </c>
      <c r="M28" s="30">
        <v>23237.08</v>
      </c>
      <c r="N28" s="19">
        <f>SUMIFS([1]Master!$J$2:$J$100,[1]Master!$A$2:$A$100,"="&amp;$I$12,[1]Master!$E$2:$E$100,"="&amp;C28,[1]Master!$J$2:$J$100,"&gt;"&amp;0)</f>
        <v>2100000</v>
      </c>
      <c r="O28" s="19">
        <f ca="1">-SUMIF('[1]Fluxo de Movimentações'!$A$5:$F$10001,"="&amp;$C29,'[1]Fluxo de Movimentações'!$B$5:$B$10001)</f>
        <v>-2100000</v>
      </c>
      <c r="P28" s="19">
        <v>0</v>
      </c>
      <c r="Q28" s="30">
        <v>368.48</v>
      </c>
      <c r="R28" s="32">
        <v>1.039739</v>
      </c>
      <c r="S28" s="30">
        <v>0</v>
      </c>
      <c r="T28" s="30">
        <v>0</v>
      </c>
      <c r="U28" s="30">
        <v>0</v>
      </c>
      <c r="V28" s="30">
        <v>0</v>
      </c>
    </row>
    <row r="29" spans="3:22" x14ac:dyDescent="0.25">
      <c r="C29" s="4">
        <v>44855</v>
      </c>
      <c r="D29" s="30">
        <v>9046237.3966000006</v>
      </c>
      <c r="E29" s="32">
        <v>1.0500088999999999</v>
      </c>
      <c r="F29" s="38">
        <f t="shared" si="9"/>
        <v>8615398.5461063161</v>
      </c>
      <c r="G29" s="19">
        <f t="shared" ref="G29" si="14">H29*I29</f>
        <v>9080252.5260464102</v>
      </c>
      <c r="H29" s="31">
        <v>1.0609445</v>
      </c>
      <c r="I29" s="19">
        <f>SUMIFS([1]Master!$K$2:$K$10000,[1]Master!$A$2:$A$10000,$I$12,[1]Master!$F$2:$F$10000,"&lt;="&amp;$C29)</f>
        <v>8558649.8879502285</v>
      </c>
      <c r="J29" s="19">
        <f t="shared" ref="J29" si="15">((((1+1.85%)^(1/252))-1)*D28)+SUM(J28)</f>
        <v>6484.3484459288147</v>
      </c>
      <c r="K29" s="19">
        <f>IF((NETWORKDAYS(DATE(YEAR(C29),MONTH(C29),1),C29,Feriados!$A$2:$A$842))&gt;=5,0,IF(NETWORKDAYS(DATE(YEAR(C29),MONTH(C29),1),C29,Feriados!$A$2:$A$842)=1,J28,K28))</f>
        <v>0</v>
      </c>
      <c r="L29" s="30">
        <v>-51036.959999999999</v>
      </c>
      <c r="M29" s="30">
        <v>23237.08</v>
      </c>
      <c r="N29" s="19">
        <f>SUMIFS([1]Master!$J$2:$J$100,[1]Master!$A$2:$A$100,"="&amp;$I$12,[1]Master!$E$2:$E$100,"="&amp;C29,[1]Master!$J$2:$J$100,"&gt;"&amp;0)</f>
        <v>0</v>
      </c>
      <c r="O29" s="19">
        <f ca="1">-SUMIF('[1]Fluxo de Movimentações'!$A$5:$F$10001,"="&amp;$C30,'[1]Fluxo de Movimentações'!$B$5:$B$10001)</f>
        <v>0</v>
      </c>
      <c r="P29" s="19">
        <v>0</v>
      </c>
      <c r="Q29" s="30">
        <v>269.05</v>
      </c>
      <c r="R29" s="32">
        <v>1.0577238</v>
      </c>
      <c r="S29" s="30">
        <v>0</v>
      </c>
      <c r="T29" s="30">
        <v>0</v>
      </c>
      <c r="U29" s="30">
        <v>0</v>
      </c>
      <c r="V29" s="30">
        <v>0</v>
      </c>
    </row>
    <row r="30" spans="3:22" x14ac:dyDescent="0.25">
      <c r="C30" s="4">
        <v>44858</v>
      </c>
      <c r="D30" s="30">
        <v>8916947.5945999995</v>
      </c>
      <c r="E30" s="32">
        <v>1.0350021</v>
      </c>
      <c r="F30" s="38">
        <f t="shared" si="9"/>
        <v>8615391.6558615342</v>
      </c>
      <c r="G30" s="19">
        <f t="shared" ref="G30:G31" si="16">H30*I30</f>
        <v>8932832.3493214361</v>
      </c>
      <c r="H30" s="31">
        <v>1.0437198000000001</v>
      </c>
      <c r="I30" s="19">
        <f>SUMIFS([1]Master!$K$2:$K$10000,[1]Master!$A$2:$A$10000,$I$12,[1]Master!$F$2:$F$10000,"&lt;="&amp;$C30)</f>
        <v>8558649.8879502285</v>
      </c>
      <c r="J30" s="19">
        <f t="shared" ref="J30:J31" si="17">((((1+1.85%)^(1/252))-1)*D29)+SUM(J29)</f>
        <v>7142.412800207805</v>
      </c>
      <c r="K30" s="19">
        <f>IF((NETWORKDAYS(DATE(YEAR(C30),MONTH(C30),1),C30,Feriados!$A$2:$A$842))&gt;=5,0,IF(NETWORKDAYS(DATE(YEAR(C30),MONTH(C30),1),C30,Feriados!$A$2:$A$842)=1,J29,K29))</f>
        <v>0</v>
      </c>
      <c r="L30" s="30">
        <v>-32149.09</v>
      </c>
      <c r="M30" s="30">
        <v>23237.08</v>
      </c>
      <c r="N30" s="19">
        <f>SUMIFS([1]Master!$J$2:$J$100,[1]Master!$A$2:$A$100,"="&amp;$I$12,[1]Master!$E$2:$E$100,"="&amp;C30,[1]Master!$J$2:$J$100,"&gt;"&amp;0)</f>
        <v>0</v>
      </c>
      <c r="O30" s="19">
        <f ca="1">-SUMIF('[1]Fluxo de Movimentações'!$A$5:$F$10001,"="&amp;$C31,'[1]Fluxo de Movimentações'!$B$5:$B$10001)</f>
        <v>0</v>
      </c>
      <c r="P30" s="19">
        <v>0</v>
      </c>
      <c r="Q30" s="30">
        <v>169.61</v>
      </c>
      <c r="R30" s="32">
        <v>1.0387337000000001</v>
      </c>
      <c r="S30" s="30">
        <v>0</v>
      </c>
      <c r="T30" s="30">
        <v>0</v>
      </c>
      <c r="U30" s="30">
        <v>0</v>
      </c>
      <c r="V30" s="30">
        <v>0</v>
      </c>
    </row>
    <row r="31" spans="3:22" x14ac:dyDescent="0.25">
      <c r="C31" s="4">
        <v>44859</v>
      </c>
      <c r="D31" s="30">
        <v>8837807.1725999992</v>
      </c>
      <c r="E31" s="32">
        <v>1.0258162</v>
      </c>
      <c r="F31" s="38">
        <f t="shared" si="9"/>
        <v>8615392.20737442</v>
      </c>
      <c r="G31" s="19">
        <f t="shared" si="16"/>
        <v>8844298.2514205221</v>
      </c>
      <c r="H31" s="31">
        <v>1.0333753999999999</v>
      </c>
      <c r="I31" s="19">
        <f>SUMIFS([1]Master!$K$2:$K$10000,[1]Master!$A$2:$A$10000,$I$12,[1]Master!$F$2:$F$10000,"&lt;="&amp;$C31)</f>
        <v>8558649.8879502285</v>
      </c>
      <c r="J31" s="19">
        <f t="shared" si="17"/>
        <v>7791.0720276547308</v>
      </c>
      <c r="K31" s="19">
        <f>IF((NETWORKDAYS(DATE(YEAR(C31),MONTH(C31),1),C31,Feriados!$A$2:$A$842))&gt;=5,0,IF(NETWORKDAYS(DATE(YEAR(C31),MONTH(C31),1),C31,Feriados!$A$2:$A$842)=1,J30,K30))</f>
        <v>0</v>
      </c>
      <c r="L31" s="30">
        <v>-22007.33</v>
      </c>
      <c r="M31" s="30">
        <v>23237.08</v>
      </c>
      <c r="N31" s="19">
        <f>SUMIFS([1]Master!$J$2:$J$100,[1]Master!$A$2:$A$100,"="&amp;$I$12,[1]Master!$E$2:$E$100,"="&amp;C31,[1]Master!$J$2:$J$100,"&gt;"&amp;0)</f>
        <v>0</v>
      </c>
      <c r="O31" s="19">
        <f ca="1">-SUMIF('[1]Fluxo de Movimentações'!$A$5:$F$10001,"="&amp;$C32,'[1]Fluxo de Movimentações'!$B$5:$B$10001)</f>
        <v>0</v>
      </c>
      <c r="P31" s="19">
        <v>0</v>
      </c>
      <c r="Q31" s="30">
        <v>70.180000000000007</v>
      </c>
      <c r="R31" s="32">
        <v>1.0283705999999999</v>
      </c>
      <c r="S31" s="30">
        <v>0</v>
      </c>
      <c r="T31" s="30">
        <v>0</v>
      </c>
      <c r="U31" s="30">
        <v>0</v>
      </c>
      <c r="V31" s="30">
        <v>0</v>
      </c>
    </row>
    <row r="32" spans="3:22" x14ac:dyDescent="0.25">
      <c r="C32" s="4">
        <v>44860</v>
      </c>
      <c r="D32" s="30">
        <v>8632107.0505999997</v>
      </c>
      <c r="E32" s="32">
        <v>1.0019403</v>
      </c>
      <c r="F32" s="38">
        <f t="shared" ref="F32" si="18">D32/TRUNC(E32,6)</f>
        <v>8615393.1878156364</v>
      </c>
      <c r="G32" s="19">
        <f t="shared" ref="G32:G33" si="19">H32*I32</f>
        <v>8617333.1267719492</v>
      </c>
      <c r="H32" s="31">
        <v>1.0068566000000001</v>
      </c>
      <c r="I32" s="19">
        <f>SUMIFS([1]Master!$K$2:$K$10000,[1]Master!$A$2:$A$10000,$I$12,[1]Master!$F$2:$F$10000,"&lt;="&amp;$C32)</f>
        <v>8558649.8879502285</v>
      </c>
      <c r="J32" s="19">
        <f t="shared" ref="J32" si="20">((((1+1.85%)^(1/252))-1)*D31)+SUM(J31)</f>
        <v>8433.974221716664</v>
      </c>
      <c r="K32" s="19">
        <f>IF((NETWORKDAYS(DATE(YEAR(C32),MONTH(C32),1),C32,Feriados!$A$2:$A$842))&gt;=5,0,IF(NETWORKDAYS(DATE(YEAR(C32),MONTH(C32),1),C32,Feriados!$A$2:$A$842)=1,J31,K31))</f>
        <v>0</v>
      </c>
      <c r="L32" s="30">
        <v>0</v>
      </c>
      <c r="M32" s="30">
        <v>23237.08</v>
      </c>
      <c r="N32" s="19">
        <f>SUMIFS([1]Master!$J$2:$J$100,[1]Master!$A$2:$A$100,"="&amp;$I$12,[1]Master!$E$2:$E$100,"="&amp;C32,[1]Master!$J$2:$J$100,"&gt;"&amp;0)</f>
        <v>0</v>
      </c>
      <c r="O32" s="19">
        <f ca="1">-SUMIF('[1]Fluxo de Movimentações'!$A$5:$F$10001,"="&amp;$C33,'[1]Fluxo de Movimentações'!$B$5:$B$10001)</f>
        <v>0</v>
      </c>
      <c r="P32" s="19">
        <v>0</v>
      </c>
      <c r="Q32" s="30">
        <v>-29.25</v>
      </c>
      <c r="R32" s="32">
        <v>1.0019403</v>
      </c>
      <c r="S32" s="30">
        <v>0</v>
      </c>
      <c r="T32" s="30">
        <v>0</v>
      </c>
      <c r="U32" s="30">
        <v>0</v>
      </c>
      <c r="V32" s="30">
        <v>0</v>
      </c>
    </row>
    <row r="33" spans="3:22" x14ac:dyDescent="0.25">
      <c r="C33" s="4">
        <v>44861</v>
      </c>
      <c r="D33" s="30">
        <v>8847729.1985999998</v>
      </c>
      <c r="E33" s="32">
        <v>1.0269678</v>
      </c>
      <c r="F33" s="38">
        <f t="shared" ref="F33" si="21">D33/TRUNC(E33,6)</f>
        <v>8615397.767016856</v>
      </c>
      <c r="G33" s="19">
        <f t="shared" si="19"/>
        <v>8855621.3452222794</v>
      </c>
      <c r="H33" s="31">
        <v>1.0346983999999999</v>
      </c>
      <c r="I33" s="19">
        <f>SUMIFS([1]Master!$K$2:$K$10000,[1]Master!$A$2:$A$10000,$I$12,[1]Master!$F$2:$F$10000,"&lt;="&amp;$C33)</f>
        <v>8558649.8879502285</v>
      </c>
      <c r="J33" s="19">
        <f t="shared" ref="J33" si="22">((((1+1.85%)^(1/252))-1)*D32)+SUM(J32)</f>
        <v>9061.9128555684802</v>
      </c>
      <c r="K33" s="19">
        <f>IF((NETWORKDAYS(DATE(YEAR(C33),MONTH(C33),1),C33,Feriados!$A$2:$A$842))&gt;=5,0,IF(NETWORKDAYS(DATE(YEAR(C33),MONTH(C33),1),C33,Feriados!$A$2:$A$842)=1,J32,K32))</f>
        <v>0</v>
      </c>
      <c r="L33" s="30">
        <v>-21938.71</v>
      </c>
      <c r="M33" s="30">
        <v>23237.08</v>
      </c>
      <c r="N33" s="19">
        <f>SUMIFS([1]Master!$J$2:$J$100,[1]Master!$A$2:$A$100,"="&amp;$I$12,[1]Master!$E$2:$E$100,"="&amp;C33,[1]Master!$J$2:$J$100,"&gt;"&amp;0)</f>
        <v>0</v>
      </c>
      <c r="O33" s="19">
        <f ca="1">-SUMIF('[1]Fluxo de Movimentações'!$A$5:$F$10001,"="&amp;$C34,'[1]Fluxo de Movimentações'!$B$5:$B$10001)</f>
        <v>0</v>
      </c>
      <c r="P33" s="19">
        <v>0</v>
      </c>
      <c r="Q33" s="30">
        <v>-128.68</v>
      </c>
      <c r="R33" s="32">
        <v>1.0295143</v>
      </c>
      <c r="S33" s="30">
        <v>0</v>
      </c>
      <c r="T33" s="30">
        <v>0</v>
      </c>
      <c r="U33" s="30">
        <v>0</v>
      </c>
      <c r="V33" s="30">
        <v>0</v>
      </c>
    </row>
    <row r="34" spans="3:22" x14ac:dyDescent="0.25">
      <c r="C34" s="4">
        <v>44862</v>
      </c>
      <c r="D34" s="30">
        <v>8961164.0365999993</v>
      </c>
      <c r="E34" s="32">
        <v>1.0401343999999999</v>
      </c>
      <c r="F34" s="38">
        <f t="shared" ref="F34" si="23">D34/TRUNC(E34,6)</f>
        <v>8615393.8209884502</v>
      </c>
      <c r="G34" s="19">
        <f t="shared" ref="G34" si="24">H34*I34</f>
        <v>8983342.9333651513</v>
      </c>
      <c r="H34" s="31">
        <v>1.0496215</v>
      </c>
      <c r="I34" s="19">
        <f>SUMIFS([1]Master!$K$2:$K$10000,[1]Master!$A$2:$A$10000,$I$12,[1]Master!$F$2:$F$10000,"&lt;="&amp;$C34)</f>
        <v>8558649.8879502285</v>
      </c>
      <c r="J34" s="19">
        <f t="shared" ref="J34" si="25">((((1+1.85%)^(1/252))-1)*D33)+SUM(J33)</f>
        <v>9705.5368228214738</v>
      </c>
      <c r="K34" s="19">
        <f>IF((NETWORKDAYS(DATE(YEAR(C34),MONTH(C34),1),C34,Feriados!$A$2:$A$842))&gt;=5,0,IF(NETWORKDAYS(DATE(YEAR(C34),MONTH(C34),1),C34,Feriados!$A$2:$A$842)=1,J33,K33))</f>
        <v>0</v>
      </c>
      <c r="L34" s="30">
        <v>-35482.400000000001</v>
      </c>
      <c r="M34" s="30">
        <v>23237.08</v>
      </c>
      <c r="N34" s="19">
        <f>SUMIFS([1]Master!$J$2:$J$100,[1]Master!$A$2:$A$100,"="&amp;$I$12,[1]Master!$E$2:$E$100,"="&amp;C34,[1]Master!$J$2:$J$100,"&gt;"&amp;0)</f>
        <v>0</v>
      </c>
      <c r="O34" s="19">
        <f ca="1">-SUMIF('[1]Fluxo de Movimentações'!$A$5:$F$10001,"="&amp;$C35,'[1]Fluxo de Movimentações'!$B$5:$B$10001)</f>
        <v>0</v>
      </c>
      <c r="P34" s="19">
        <v>0</v>
      </c>
      <c r="Q34" s="30">
        <v>-228.11</v>
      </c>
      <c r="R34" s="32">
        <v>1.0442528</v>
      </c>
      <c r="S34" s="30">
        <v>0</v>
      </c>
      <c r="T34" s="30">
        <v>0</v>
      </c>
      <c r="U34" s="30">
        <v>0</v>
      </c>
      <c r="V34" s="30">
        <v>0</v>
      </c>
    </row>
    <row r="35" spans="3:22" x14ac:dyDescent="0.25">
      <c r="C35" s="4">
        <v>44865</v>
      </c>
      <c r="D35" s="30">
        <v>9247473.5646000002</v>
      </c>
      <c r="E35" s="32">
        <v>1.0733667</v>
      </c>
      <c r="F35" s="38">
        <f t="shared" ref="F35" si="26">D35/TRUNC(E35,6)</f>
        <v>8615396.3928427026</v>
      </c>
      <c r="G35" s="19">
        <f t="shared" ref="G35" si="27">H35*I35</f>
        <v>9317102.0354505796</v>
      </c>
      <c r="H35" s="31">
        <v>1.0886182</v>
      </c>
      <c r="I35" s="19">
        <f>SUMIFS([1]Master!$K$2:$K$10000,[1]Master!$A$2:$A$10000,$I$12,[1]Master!$F$2:$F$10000,"&lt;="&amp;$C35)</f>
        <v>8558649.8879502285</v>
      </c>
      <c r="J35" s="19">
        <f t="shared" ref="J35:J37" si="28">((((1+1.85%)^(1/252))-1)*D34)+SUM(J34)</f>
        <v>10357.412554885466</v>
      </c>
      <c r="K35" s="19">
        <f>IF((NETWORKDAYS(DATE(YEAR(C35),MONTH(C35),1),C35,Feriados!$A$2:$A$842))&gt;=5,0,IF(NETWORKDAYS(DATE(YEAR(C35),MONTH(C35),1),C35,Feriados!$A$2:$A$842)=1,J34,K34))</f>
        <v>0</v>
      </c>
      <c r="L35" s="30">
        <v>-82180.679999999993</v>
      </c>
      <c r="M35" s="30">
        <v>23237.08</v>
      </c>
      <c r="N35" s="19">
        <f>SUMIFS([1]Master!$J$2:$J$100,[1]Master!$A$2:$A$100,"="&amp;$I$12,[1]Master!$E$2:$E$100,"="&amp;C35,[1]Master!$J$2:$J$100,"&gt;"&amp;0)</f>
        <v>0</v>
      </c>
      <c r="O35" s="19">
        <f ca="1">-SUMIF('[1]Fluxo de Movimentações'!$A$5:$F$10001,"="&amp;$C36,'[1]Fluxo de Movimentações'!$B$5:$B$10001)</f>
        <v>0</v>
      </c>
      <c r="P35" s="19">
        <v>0</v>
      </c>
      <c r="Q35" s="30">
        <v>-327.55</v>
      </c>
      <c r="R35" s="32">
        <v>1.0829055000000001</v>
      </c>
      <c r="S35" s="30">
        <v>0</v>
      </c>
      <c r="T35" s="30">
        <v>0</v>
      </c>
      <c r="U35" s="30">
        <v>0</v>
      </c>
      <c r="V35" s="30">
        <v>0</v>
      </c>
    </row>
    <row r="36" spans="3:22" x14ac:dyDescent="0.25">
      <c r="C36" s="4">
        <v>44866</v>
      </c>
      <c r="D36" s="30">
        <v>9327821.4496999998</v>
      </c>
      <c r="E36" s="32">
        <v>1.0826928</v>
      </c>
      <c r="F36" s="38">
        <f t="shared" ref="F36" si="29">D36/TRUNC(E36,6)</f>
        <v>8615397.0378464051</v>
      </c>
      <c r="G36" s="19">
        <f t="shared" ref="G36" si="30">H36*I36</f>
        <v>9411720.4775568359</v>
      </c>
      <c r="H36" s="31">
        <v>1.0996735</v>
      </c>
      <c r="I36" s="19">
        <f>SUMIFS([1]Master!$K$2:$K$10000,[1]Master!$A$2:$A$10000,$I$12,[1]Master!$F$2:$F$10000,"&lt;="&amp;$C36)</f>
        <v>8558649.8879502285</v>
      </c>
      <c r="J36" s="19">
        <f>((((1+1.85%)^(1/252))-1)*D35)</f>
        <v>672.70318622057448</v>
      </c>
      <c r="K36" s="19">
        <f>IF((NETWORKDAYS(DATE(YEAR(C36),MONTH(C36),1),C36,Feriados!$A$2:$A$842))&gt;=5,0,IF(NETWORKDAYS(DATE(YEAR(C36),MONTH(C36),1),C36,Feriados!$A$2:$A$842)=1,J35,K35))</f>
        <v>10357.412554885466</v>
      </c>
      <c r="L36" s="30">
        <v>-95677.96</v>
      </c>
      <c r="M36" s="30">
        <v>23237.08</v>
      </c>
      <c r="N36" s="19">
        <f>SUMIFS([1]Master!$J$2:$J$100,[1]Master!$A$2:$A$100,"="&amp;$I$12,[1]Master!$E$2:$E$100,"="&amp;C36,[1]Master!$J$2:$J$100,"&gt;"&amp;0)</f>
        <v>0</v>
      </c>
      <c r="O36" s="19">
        <f ca="1">-SUMIF('[1]Fluxo de Movimentações'!$A$5:$F$10001,"="&amp;$C37,'[1]Fluxo de Movimentações'!$B$5:$B$10001)</f>
        <v>0</v>
      </c>
      <c r="P36" s="19">
        <v>0</v>
      </c>
      <c r="Q36" s="30">
        <v>-428.12</v>
      </c>
      <c r="R36" s="32">
        <v>1.0937981999999999</v>
      </c>
      <c r="S36" s="30">
        <v>0</v>
      </c>
      <c r="T36" s="30">
        <v>0</v>
      </c>
      <c r="U36" s="30">
        <v>0</v>
      </c>
      <c r="V36" s="30">
        <v>0</v>
      </c>
    </row>
    <row r="37" spans="3:22" x14ac:dyDescent="0.25">
      <c r="C37" s="4">
        <v>44868</v>
      </c>
      <c r="D37" s="30">
        <v>9401056.1048000008</v>
      </c>
      <c r="E37" s="32">
        <v>1.0911932</v>
      </c>
      <c r="F37" s="38">
        <f t="shared" ref="F37" si="31">D37/TRUNC(E37,6)</f>
        <v>8615392.6068074126</v>
      </c>
      <c r="G37" s="19">
        <f t="shared" ref="G37" si="32">H37*I37</f>
        <v>9486973.6952626072</v>
      </c>
      <c r="H37" s="31">
        <v>1.1097513999999999</v>
      </c>
      <c r="I37" s="19">
        <f>SUMIFS([1]Master!$K$2:$K$10000,[1]Master!$A$2:$A$10000,$I$12,[1]Master!$F$2:$F$10000,"&lt;="&amp;$C37)</f>
        <v>8548737.758080421</v>
      </c>
      <c r="J37" s="19">
        <f t="shared" si="28"/>
        <v>1351.2512421707324</v>
      </c>
      <c r="K37" s="19">
        <f>IF((NETWORKDAYS(DATE(YEAR(C37),MONTH(C37),1),C37,Feriados!$A$2:$A$842))&gt;=5,0,IF(NETWORKDAYS(DATE(YEAR(C37),MONTH(C37),1),C37,Feriados!$A$2:$A$842)=1,J36,K36))</f>
        <v>10357.412554885466</v>
      </c>
      <c r="L37" s="30">
        <v>-107917.41</v>
      </c>
      <c r="M37" s="19">
        <f>VLOOKUP(C37,'Fluxo de Caixa'!$B$13:$U$10027,20,FALSE)</f>
        <v>23237.08</v>
      </c>
      <c r="N37" s="19">
        <f>SUMIFS([1]Master!$J$2:$J$100,[1]Master!$A$2:$A$100,"="&amp;$I$12,[1]Master!$E$2:$E$100,"="&amp;C37,[1]Master!$J$2:$J$100,"&gt;"&amp;0)</f>
        <v>0</v>
      </c>
      <c r="O37" s="19">
        <f ca="1">-SUMIF('[1]Fluxo de Movimentações'!$A$5:$F$10001,"="&amp;$C38,'[1]Fluxo de Movimentações'!$B$5:$B$10001)</f>
        <v>0</v>
      </c>
      <c r="P37" s="19">
        <f>-SUMIFS([1]Master!$J$1:$J$200,[1]Master!$A$1:$A$200,"="&amp;$I$12,[1]Master!$G$1:$G$200,"&gt;"&amp;C37,[1]Master!$E$1:$E$200,"&lt;="&amp;C37)</f>
        <v>11000</v>
      </c>
      <c r="Q37" s="30">
        <v>-528.70000000000005</v>
      </c>
      <c r="R37" s="32">
        <v>1.1037193000000001</v>
      </c>
      <c r="S37" s="30">
        <v>0</v>
      </c>
      <c r="T37" s="30">
        <v>0</v>
      </c>
      <c r="U37" s="30">
        <v>0</v>
      </c>
      <c r="V37" s="30">
        <v>0</v>
      </c>
    </row>
    <row r="38" spans="3:22" x14ac:dyDescent="0.25">
      <c r="C38" s="4">
        <v>44869</v>
      </c>
      <c r="D38" s="30">
        <v>9402573.5998999998</v>
      </c>
      <c r="E38" s="32">
        <v>1.0913694</v>
      </c>
      <c r="F38" s="38">
        <f t="shared" ref="F38" si="33">D38/TRUNC(E38,6)</f>
        <v>8615393.6935170405</v>
      </c>
      <c r="G38" s="19">
        <f t="shared" ref="G38" si="34">H38*I38</f>
        <v>9488857.8370644897</v>
      </c>
      <c r="H38" s="31">
        <v>1.1099718000000001</v>
      </c>
      <c r="I38" s="19">
        <f>SUMIFS([1]Master!$K$2:$K$10000,[1]Master!$A$2:$A$10000,$I$12,[1]Master!$F$2:$F$10000,"&lt;="&amp;$C38)</f>
        <v>8548737.758080421</v>
      </c>
      <c r="J38" s="19">
        <f t="shared" ref="J38" si="35">((((1+1.85%)^(1/252))-1)*D37)+SUM(J37)</f>
        <v>2035.1267192249773</v>
      </c>
      <c r="K38" s="19">
        <f>IF((NETWORKDAYS(DATE(YEAR(C38),MONTH(C38),1),C38,Feriados!$A$2:$A$842))&gt;=5,0,IF(NETWORKDAYS(DATE(YEAR(C38),MONTH(C38),1),C38,Feriados!$A$2:$A$842)=1,J37,K37))</f>
        <v>10357.412554885466</v>
      </c>
      <c r="L38" s="30">
        <v>-107499.61</v>
      </c>
      <c r="M38" s="19">
        <f>VLOOKUP(C38,'Fluxo de Caixa'!$B$13:$U$10027,20,FALSE)</f>
        <v>23237.08</v>
      </c>
      <c r="N38" s="19">
        <f>SUMIFS([1]Master!$J$2:$J$100,[1]Master!$A$2:$A$100,"="&amp;$I$12,[1]Master!$E$2:$E$100,"="&amp;C38,[1]Master!$J$2:$J$100,"&gt;"&amp;0)</f>
        <v>0</v>
      </c>
      <c r="O38" s="19">
        <f ca="1">-SUMIF('[1]Fluxo de Movimentações'!$A$5:$F$10001,"="&amp;$C39,'[1]Fluxo de Movimentações'!$B$5:$B$10001)</f>
        <v>0</v>
      </c>
      <c r="P38" s="19">
        <f>-SUMIFS([1]Master!$J$1:$J$200,[1]Master!$A$1:$A$200,"="&amp;$I$12,[1]Master!$G$1:$G$200,"&gt;"&amp;C38,[1]Master!$E$1:$E$200,"&lt;="&amp;C38)</f>
        <v>11000</v>
      </c>
      <c r="Q38" s="30">
        <v>-629.27</v>
      </c>
      <c r="R38" s="32">
        <v>1.103847</v>
      </c>
      <c r="S38" s="30">
        <v>0</v>
      </c>
      <c r="T38" s="30">
        <v>0</v>
      </c>
      <c r="U38" s="30">
        <v>0</v>
      </c>
      <c r="V38" s="30">
        <v>0</v>
      </c>
    </row>
    <row r="39" spans="3:22" x14ac:dyDescent="0.25">
      <c r="C39" s="4">
        <v>44872</v>
      </c>
      <c r="D39" s="30">
        <v>9161901.4659000002</v>
      </c>
      <c r="E39" s="32">
        <v>1.0634342000000001</v>
      </c>
      <c r="F39" s="38">
        <f t="shared" ref="F39" si="36">D39/TRUNC(E39,6)</f>
        <v>8615392.6486269962</v>
      </c>
      <c r="G39" s="19">
        <f t="shared" ref="G39" si="37">H39*I39</f>
        <v>9205807.4201468956</v>
      </c>
      <c r="H39" s="31">
        <v>1.0768616</v>
      </c>
      <c r="I39" s="19">
        <f>SUMIFS([1]Master!$K$2:$K$10000,[1]Master!$A$2:$A$10000,$I$12,[1]Master!$F$2:$F$10000,"&lt;="&amp;$C39)</f>
        <v>8548737.758080421</v>
      </c>
      <c r="J39" s="19">
        <f t="shared" ref="J39" si="38">((((1+1.85%)^(1/252))-1)*D38)+SUM(J38)</f>
        <v>2719.1125857582201</v>
      </c>
      <c r="K39" s="19">
        <f>IF((NETWORKDAYS(DATE(YEAR(C39),MONTH(C39),1),C39,Feriados!$A$2:$A$842))&gt;=5,0,IF(NETWORKDAYS(DATE(YEAR(C39),MONTH(C39),1),C39,Feriados!$A$2:$A$842)=1,J38,K38))</f>
        <v>10357.412554885466</v>
      </c>
      <c r="L39" s="30">
        <v>-64336.77</v>
      </c>
      <c r="M39" s="19">
        <f>VLOOKUP(C39,'Fluxo de Caixa'!$B$13:$U$10027,20,FALSE)</f>
        <v>23237.08</v>
      </c>
      <c r="N39" s="19">
        <f>SUMIFS([1]Master!$J$2:$J$100,[1]Master!$A$2:$A$100,"="&amp;$I$12,[1]Master!$E$2:$E$100,"="&amp;C39,[1]Master!$J$2:$J$100,"&gt;"&amp;0)</f>
        <v>0</v>
      </c>
      <c r="O39" s="19">
        <f ca="1">-SUMIF('[1]Fluxo de Movimentações'!$A$5:$F$10001,"="&amp;$C40,'[1]Fluxo de Movimentações'!$B$5:$B$10001)</f>
        <v>0</v>
      </c>
      <c r="P39" s="19">
        <f>-SUMIFS([1]Master!$J$1:$J$200,[1]Master!$A$1:$A$200,"="&amp;$I$12,[1]Master!$G$1:$G$200,"&gt;"&amp;C39,[1]Master!$E$1:$E$200,"&lt;="&amp;C39)</f>
        <v>0</v>
      </c>
      <c r="Q39" s="30">
        <v>-729.84</v>
      </c>
      <c r="R39" s="32">
        <v>1.0709019</v>
      </c>
      <c r="S39" s="30">
        <v>0</v>
      </c>
      <c r="T39" s="30">
        <v>0</v>
      </c>
      <c r="U39" s="30">
        <v>0</v>
      </c>
      <c r="V39" s="30">
        <v>0</v>
      </c>
    </row>
    <row r="40" spans="3:22" x14ac:dyDescent="0.25">
      <c r="C40" s="4">
        <v>44873</v>
      </c>
      <c r="D40" s="30">
        <v>9186070.8221000005</v>
      </c>
      <c r="E40" s="32">
        <v>1.0662396000000001</v>
      </c>
      <c r="F40" s="38">
        <f t="shared" ref="F40" si="39">D40/TRUNC(E40,6)</f>
        <v>8615395.6309045162</v>
      </c>
      <c r="G40" s="19">
        <f t="shared" ref="G40" si="40">H40*I40</f>
        <v>9234247.3609204758</v>
      </c>
      <c r="H40" s="31">
        <v>1.0801883999999999</v>
      </c>
      <c r="I40" s="19">
        <f>SUMIFS([1]Master!$K$2:$K$10000,[1]Master!$A$2:$A$10000,$I$12,[1]Master!$F$2:$F$10000,"&lt;="&amp;$C40)</f>
        <v>8548737.758080421</v>
      </c>
      <c r="J40" s="19">
        <f t="shared" ref="J40" si="41">((((1+1.85%)^(1/252))-1)*D39)+SUM(J39)</f>
        <v>3385.5908692478006</v>
      </c>
      <c r="K40" s="19">
        <f>IF((NETWORKDAYS(DATE(YEAR(C40),MONTH(C40),1),C40,Feriados!$A$2:$A$842))&gt;=5,0,IF(NETWORKDAYS(DATE(YEAR(C40),MONTH(C40),1),C40,Feriados!$A$2:$A$842)=1,J39,K39))</f>
        <v>0</v>
      </c>
      <c r="L40" s="30">
        <v>-67910.73</v>
      </c>
      <c r="M40" s="19">
        <f>VLOOKUP(C40,'Fluxo de Caixa'!$B$13:$U$10027,20,FALSE)</f>
        <v>23237.08</v>
      </c>
      <c r="N40" s="19">
        <f>SUMIFS([1]Master!$J$2:$J$100,[1]Master!$A$2:$A$100,"="&amp;$I$12,[1]Master!$E$2:$E$100,"="&amp;C40,[1]Master!$J$2:$J$100,"&gt;"&amp;0)</f>
        <v>0</v>
      </c>
      <c r="O40" s="19">
        <f ca="1">-SUMIF('[1]Fluxo de Movimentações'!$A$5:$F$10001,"="&amp;$C41,'[1]Fluxo de Movimentações'!$B$5:$B$10001)</f>
        <v>0</v>
      </c>
      <c r="P40" s="19">
        <f>-SUMIFS([1]Master!$J$1:$J$200,[1]Master!$A$1:$A$200,"="&amp;$I$12,[1]Master!$G$1:$G$200,"&gt;"&amp;C40,[1]Master!$E$1:$E$200,"&lt;="&amp;C40)</f>
        <v>0</v>
      </c>
      <c r="Q40" s="30">
        <v>-760</v>
      </c>
      <c r="R40" s="32">
        <v>1.0741221000000001</v>
      </c>
      <c r="S40" s="30">
        <v>0</v>
      </c>
      <c r="T40" s="30">
        <v>0</v>
      </c>
      <c r="U40" s="30">
        <v>0</v>
      </c>
      <c r="V40" s="30">
        <v>0</v>
      </c>
    </row>
    <row r="41" spans="3:22" x14ac:dyDescent="0.25">
      <c r="C41" s="4">
        <v>44874</v>
      </c>
      <c r="D41" s="30">
        <v>9148108.1582999993</v>
      </c>
      <c r="E41" s="32">
        <v>1.0618331999999999</v>
      </c>
      <c r="F41" s="38">
        <f t="shared" ref="F41" si="42">D41/TRUNC(E41,6)</f>
        <v>8615392.5883825421</v>
      </c>
      <c r="G41" s="19">
        <f t="shared" ref="G41" si="43">H41*I41</f>
        <v>9189591.3194935918</v>
      </c>
      <c r="H41" s="31">
        <v>1.0749647</v>
      </c>
      <c r="I41" s="19">
        <f>SUMIFS([1]Master!$K$2:$K$10000,[1]Master!$A$2:$A$10000,$I$12,[1]Master!$F$2:$F$10000,"&lt;="&amp;$C41)</f>
        <v>8548737.758080421</v>
      </c>
      <c r="J41" s="19">
        <f t="shared" ref="J41" si="44">((((1+1.85%)^(1/252))-1)*D40)+SUM(J40)</f>
        <v>4053.8273413724783</v>
      </c>
      <c r="K41" s="19">
        <f>IF((NETWORKDAYS(DATE(YEAR(C41),MONTH(C41),1),C41,Feriados!$A$2:$A$842))&gt;=5,0,IF(NETWORKDAYS(DATE(YEAR(C41),MONTH(C41),1),C41,Feriados!$A$2:$A$842)=1,J40,K40))</f>
        <v>0</v>
      </c>
      <c r="L41" s="30">
        <v>-60518.97</v>
      </c>
      <c r="M41" s="19">
        <f>VLOOKUP(C41,'Fluxo de Caixa'!$B$13:$U$10027,20,FALSE)</f>
        <v>23879.75</v>
      </c>
      <c r="N41" s="19">
        <f>SUMIFS([1]Master!$J$2:$J$100,[1]Master!$A$2:$A$100,"="&amp;$I$12,[1]Master!$E$2:$E$100,"="&amp;C41,[1]Master!$J$2:$J$100,"&gt;"&amp;0)</f>
        <v>0</v>
      </c>
      <c r="O41" s="19">
        <f ca="1">-SUMIF('[1]Fluxo de Movimentações'!$A$5:$F$10001,"="&amp;$C42,'[1]Fluxo de Movimentações'!$B$5:$B$10001)</f>
        <v>0</v>
      </c>
      <c r="P41" s="19">
        <f>-SUMIFS([1]Master!$J$1:$J$200,[1]Master!$A$1:$A$200,"="&amp;$I$12,[1]Master!$G$1:$G$200,"&gt;"&amp;C41,[1]Master!$E$1:$E$200,"&lt;="&amp;C41)</f>
        <v>0</v>
      </c>
      <c r="Q41" s="30">
        <v>-790.15</v>
      </c>
      <c r="R41" s="32">
        <v>1.0688576999999999</v>
      </c>
      <c r="S41" s="30">
        <v>0</v>
      </c>
      <c r="T41" s="30">
        <v>0</v>
      </c>
      <c r="U41" s="30">
        <v>0</v>
      </c>
      <c r="V41" s="30">
        <v>0</v>
      </c>
    </row>
    <row r="42" spans="3:22" x14ac:dyDescent="0.25">
      <c r="C42" s="4">
        <v>44875</v>
      </c>
      <c r="D42" s="30">
        <v>8774666.7644999996</v>
      </c>
      <c r="E42" s="32">
        <v>1.0184873999999999</v>
      </c>
      <c r="F42" s="38">
        <f t="shared" ref="F42" si="45">D42/TRUNC(E42,6)</f>
        <v>8615393.9760644957</v>
      </c>
      <c r="G42" s="19">
        <f t="shared" ref="G42" si="46">H42*I42</f>
        <v>8764819.9280225392</v>
      </c>
      <c r="H42" s="31">
        <v>1.0252764999999999</v>
      </c>
      <c r="I42" s="19">
        <f>SUMIFS([1]Master!$K$2:$K$10000,[1]Master!$A$2:$A$10000,$I$12,[1]Master!$F$2:$F$10000,"&lt;="&amp;$C42)</f>
        <v>8548737.758080421</v>
      </c>
      <c r="J42" s="19">
        <f t="shared" ref="J42" si="47">((((1+1.85%)^(1/252))-1)*D41)+SUM(J41)</f>
        <v>4719.3022370820108</v>
      </c>
      <c r="K42" s="19">
        <f>IF((NETWORKDAYS(DATE(YEAR(C42),MONTH(C42),1),C42,Feriados!$A$2:$A$842))&gt;=5,0,IF(NETWORKDAYS(DATE(YEAR(C42),MONTH(C42),1),C42,Feriados!$A$2:$A$842)=1,J41,K41))</f>
        <v>0</v>
      </c>
      <c r="L42" s="30">
        <v>-8493.35</v>
      </c>
      <c r="M42" s="19">
        <f>VLOOKUP(C42,'Fluxo de Caixa'!$B$13:$U$10027,20,FALSE)</f>
        <v>23879.75</v>
      </c>
      <c r="N42" s="19">
        <f>SUMIFS([1]Master!$J$2:$J$100,[1]Master!$A$2:$A$100,"="&amp;$I$12,[1]Master!$E$2:$E$100,"="&amp;C42,[1]Master!$J$2:$J$100,"&gt;"&amp;0)</f>
        <v>0</v>
      </c>
      <c r="O42" s="19">
        <f ca="1">-SUMIF('[1]Fluxo de Movimentações'!$A$5:$F$10001,"="&amp;$C43,'[1]Fluxo de Movimentações'!$B$5:$B$10001)</f>
        <v>0</v>
      </c>
      <c r="P42" s="19">
        <f>-SUMIFS([1]Master!$J$1:$J$200,[1]Master!$A$1:$A$200,"="&amp;$I$12,[1]Master!$G$1:$G$200,"&gt;"&amp;C42,[1]Master!$E$1:$E$200,"&lt;="&amp;C42)</f>
        <v>0</v>
      </c>
      <c r="Q42" s="30">
        <v>-820.31</v>
      </c>
      <c r="R42" s="32">
        <v>1.0194732</v>
      </c>
      <c r="S42" s="30">
        <v>0</v>
      </c>
      <c r="T42" s="30">
        <v>0</v>
      </c>
      <c r="U42" s="30">
        <v>0</v>
      </c>
      <c r="V42" s="30">
        <v>0</v>
      </c>
    </row>
    <row r="43" spans="3:22" x14ac:dyDescent="0.25">
      <c r="C43" s="4">
        <v>44876</v>
      </c>
      <c r="D43" s="30">
        <v>8656788.4506999999</v>
      </c>
      <c r="E43" s="32">
        <v>1.0048051</v>
      </c>
      <c r="F43" s="38">
        <f t="shared" ref="F43" si="48">D43/TRUNC(E43,6)</f>
        <v>8615391.4945685975</v>
      </c>
      <c r="G43" s="19">
        <f t="shared" ref="G43" si="49">H43*I43</f>
        <v>8639116.7234063987</v>
      </c>
      <c r="H43" s="31">
        <v>1.0105721999999999</v>
      </c>
      <c r="I43" s="19">
        <f>SUMIFS([1]Master!$K$2:$K$10000,[1]Master!$A$2:$A$10000,$I$12,[1]Master!$F$2:$F$10000,"&lt;="&amp;$C43)</f>
        <v>8548737.758080421</v>
      </c>
      <c r="J43" s="19">
        <f t="shared" ref="J43" si="50">((((1+1.85%)^(1/252))-1)*D42)+SUM(J42)</f>
        <v>5357.6113113678857</v>
      </c>
      <c r="K43" s="19">
        <f>IF((NETWORKDAYS(DATE(YEAR(C43),MONTH(C43),1),C43,Feriados!$A$2:$A$842))&gt;=5,0,IF(NETWORKDAYS(DATE(YEAR(C43),MONTH(C43),1),C43,Feriados!$A$2:$A$842)=1,J42,K42))</f>
        <v>0</v>
      </c>
      <c r="L43" s="30">
        <v>0</v>
      </c>
      <c r="M43" s="19">
        <f>VLOOKUP(C43,'Fluxo de Caixa'!$B$13:$U$10027,20,FALSE)</f>
        <v>23879.75</v>
      </c>
      <c r="N43" s="19">
        <f>SUMIFS([1]Master!$J$2:$J$100,[1]Master!$A$2:$A$100,"="&amp;$I$12,[1]Master!$E$2:$E$100,"="&amp;C43,[1]Master!$J$2:$J$100,"&gt;"&amp;0)</f>
        <v>0</v>
      </c>
      <c r="O43" s="19">
        <f ca="1">-SUMIF('[1]Fluxo de Movimentações'!$A$5:$F$10001,"="&amp;$C44,'[1]Fluxo de Movimentações'!$B$5:$B$10001)</f>
        <v>0</v>
      </c>
      <c r="P43" s="19">
        <f>-SUMIFS([1]Master!$J$1:$J$200,[1]Master!$A$1:$A$200,"="&amp;$I$12,[1]Master!$G$1:$G$200,"&gt;"&amp;C43,[1]Master!$E$1:$E$200,"&lt;="&amp;C43)</f>
        <v>0</v>
      </c>
      <c r="Q43" s="30">
        <v>-850.46</v>
      </c>
      <c r="R43" s="32">
        <v>1.0048051</v>
      </c>
      <c r="S43" s="30">
        <v>0</v>
      </c>
      <c r="T43" s="30">
        <v>0</v>
      </c>
      <c r="U43" s="30">
        <v>0</v>
      </c>
      <c r="V43" s="30">
        <v>0</v>
      </c>
    </row>
    <row r="44" spans="3:22" x14ac:dyDescent="0.25">
      <c r="C44" s="4">
        <v>44879</v>
      </c>
      <c r="D44" s="30">
        <v>8708837.4469000008</v>
      </c>
      <c r="E44" s="32">
        <v>1.0108465</v>
      </c>
      <c r="F44" s="38">
        <f t="shared" ref="F44" si="51">D44/TRUNC(E44,6)</f>
        <v>8615394.874095561</v>
      </c>
      <c r="G44" s="19">
        <f t="shared" ref="G44" si="52">H44*I44</f>
        <v>8691825.6758013964</v>
      </c>
      <c r="H44" s="31">
        <v>1.0167379000000001</v>
      </c>
      <c r="I44" s="19">
        <f>SUMIFS([1]Master!$K$2:$K$10000,[1]Master!$A$2:$A$10000,$I$12,[1]Master!$F$2:$F$10000,"&lt;="&amp;$C44)</f>
        <v>8548737.758080421</v>
      </c>
      <c r="J44" s="19">
        <f t="shared" ref="J44:J45" si="53">((((1+1.85%)^(1/252))-1)*D43)+SUM(J43)</f>
        <v>5987.345382251413</v>
      </c>
      <c r="K44" s="19">
        <f>IF((NETWORKDAYS(DATE(YEAR(C44),MONTH(C44),1),C44,Feriados!$A$2:$A$842))&gt;=5,0,IF(NETWORKDAYS(DATE(YEAR(C44),MONTH(C44),1),C44,Feriados!$A$2:$A$842)=1,J43,K43))</f>
        <v>0</v>
      </c>
      <c r="L44" s="30">
        <v>0.08</v>
      </c>
      <c r="M44" s="19">
        <f>VLOOKUP(C44,'Fluxo de Caixa'!$B$13:$U$10027,20,FALSE)</f>
        <v>123879.75</v>
      </c>
      <c r="N44" s="19">
        <f>SUMIFS([1]Master!$J$2:$J$100,[1]Master!$A$2:$A$100,"="&amp;$I$12,[1]Master!$E$2:$E$100,"="&amp;C44,[1]Master!$J$2:$J$100,"&gt;"&amp;0)</f>
        <v>100000</v>
      </c>
      <c r="O44" s="19">
        <f ca="1">-SUMIF('[1]Fluxo de Movimentações'!$A$5:$F$10001,"="&amp;$C45,'[1]Fluxo de Movimentações'!$B$5:$B$10001)</f>
        <v>-200000</v>
      </c>
      <c r="P44" s="19">
        <f>-SUMIFS([1]Master!$J$1:$J$200,[1]Master!$A$1:$A$200,"="&amp;$I$12,[1]Master!$G$1:$G$200,"&gt;"&amp;C44,[1]Master!$E$1:$E$200,"&lt;="&amp;C44)</f>
        <v>0</v>
      </c>
      <c r="Q44" s="30">
        <v>-880.61</v>
      </c>
      <c r="R44" s="32">
        <v>1.0108465</v>
      </c>
      <c r="S44" s="30">
        <v>0</v>
      </c>
      <c r="T44" s="30">
        <v>0</v>
      </c>
      <c r="U44" s="30">
        <v>0</v>
      </c>
      <c r="V44" s="30">
        <v>0</v>
      </c>
    </row>
    <row r="45" spans="3:22" x14ac:dyDescent="0.25">
      <c r="C45" s="4">
        <v>44881</v>
      </c>
      <c r="D45" s="30">
        <v>8649807.0530999992</v>
      </c>
      <c r="E45" s="32">
        <v>0.98078050000000006</v>
      </c>
      <c r="F45" s="38">
        <f t="shared" ref="F45" si="54">D45/TRUNC(E45,6)</f>
        <v>8819314.2734354287</v>
      </c>
      <c r="G45" s="19">
        <f t="shared" ref="G45" si="55">H45*I45</f>
        <v>8533458.8842864819</v>
      </c>
      <c r="H45" s="31">
        <v>0.98651509999999998</v>
      </c>
      <c r="I45" s="19">
        <f>SUMIFS([1]Master!$K$2:$K$10000,[1]Master!$A$2:$A$10000,$I$12,[1]Master!$F$2:$F$10000,"&lt;="&amp;$C45)</f>
        <v>8650104.6808979232</v>
      </c>
      <c r="J45" s="19">
        <f t="shared" si="53"/>
        <v>6620.8657332836456</v>
      </c>
      <c r="K45" s="19">
        <f>IF((NETWORKDAYS(DATE(YEAR(C45),MONTH(C45),1),C45,Feriados!$A$2:$A$842))&gt;=5,0,IF(NETWORKDAYS(DATE(YEAR(C45),MONTH(C45),1),C45,Feriados!$A$2:$A$842)=1,J44,K44))</f>
        <v>0</v>
      </c>
      <c r="L45" s="30">
        <v>0</v>
      </c>
      <c r="M45" s="19">
        <f>VLOOKUP(C45,'Fluxo de Caixa'!$B$13:$U$10027,20,FALSE)</f>
        <v>23879.75</v>
      </c>
      <c r="N45" s="19">
        <f>SUMIFS([1]Master!$J$2:$J$100,[1]Master!$A$2:$A$100,"="&amp;$I$12,[1]Master!$E$2:$E$100,"="&amp;C45,[1]Master!$J$2:$J$100,"&gt;"&amp;0)</f>
        <v>1100000</v>
      </c>
      <c r="O45" s="19">
        <f ca="1">-SUMIF('[1]Fluxo de Movimentações'!$A$5:$F$10001,"="&amp;$C46,'[1]Fluxo de Movimentações'!$B$5:$B$10001)</f>
        <v>-1000000</v>
      </c>
      <c r="P45" s="19">
        <f>-SUMIFS([1]Master!$J$1:$J$200,[1]Master!$A$1:$A$200,"="&amp;$I$12,[1]Master!$G$1:$G$200,"&gt;"&amp;C45,[1]Master!$E$1:$E$200,"&lt;="&amp;C45)</f>
        <v>0</v>
      </c>
      <c r="Q45" s="30">
        <v>-910.77</v>
      </c>
      <c r="R45" s="32">
        <v>0.98078050000000006</v>
      </c>
      <c r="S45" s="30">
        <v>0</v>
      </c>
      <c r="T45" s="30">
        <v>0</v>
      </c>
      <c r="U45" s="30">
        <v>0</v>
      </c>
      <c r="V45" s="30">
        <v>0</v>
      </c>
    </row>
    <row r="46" spans="3:22" x14ac:dyDescent="0.25">
      <c r="C46" s="4">
        <v>44882</v>
      </c>
      <c r="D46" s="30">
        <v>9638754.5792999994</v>
      </c>
      <c r="E46" s="32">
        <v>0.97952729999999999</v>
      </c>
      <c r="F46" s="38">
        <f t="shared" ref="F46" si="56">D46/TRUNC(E46,6)</f>
        <v>9840213.2654842585</v>
      </c>
      <c r="G46" s="19">
        <f t="shared" ref="G46" si="57">H46*I46</f>
        <v>9623065.7835123856</v>
      </c>
      <c r="H46" s="31">
        <v>0.98531360000000001</v>
      </c>
      <c r="I46" s="19">
        <f>SUMIFS([1]Master!$K$2:$K$10000,[1]Master!$A$2:$A$10000,$I$12,[1]Master!$F$2:$F$10000,"&lt;="&amp;$C46)</f>
        <v>9766500.5167008601</v>
      </c>
      <c r="J46" s="19">
        <f t="shared" ref="J46" si="58">((((1+1.85%)^(1/252))-1)*D45)+SUM(J45)</f>
        <v>7250.0919456286229</v>
      </c>
      <c r="K46" s="19">
        <f>IF((NETWORKDAYS(DATE(YEAR(C46),MONTH(C46),1),C46,Feriados!$A$2:$A$842))&gt;=5,0,IF(NETWORKDAYS(DATE(YEAR(C46),MONTH(C46),1),C46,Feriados!$A$2:$A$842)=1,J45,K45))</f>
        <v>0</v>
      </c>
      <c r="L46" s="30">
        <v>0</v>
      </c>
      <c r="M46" s="19">
        <f>VLOOKUP(C46,'Fluxo de Caixa'!$B$13:$U$10027,20,FALSE)</f>
        <v>23879.75</v>
      </c>
      <c r="N46" s="19">
        <f>SUMIFS([1]Master!$J$2:$J$100,[1]Master!$A$2:$A$100,"="&amp;$I$12,[1]Master!$E$2:$E$100,"="&amp;C46,[1]Master!$J$2:$J$100,"&gt;"&amp;0)</f>
        <v>0</v>
      </c>
      <c r="O46" s="19">
        <f ca="1">-SUMIF('[1]Fluxo de Movimentações'!$A$5:$F$10001,"="&amp;$C47,'[1]Fluxo de Movimentações'!$B$5:$B$10001)</f>
        <v>0</v>
      </c>
      <c r="P46" s="19">
        <f>-SUMIFS([1]Master!$J$1:$J$200,[1]Master!$A$1:$A$200,"="&amp;$I$12,[1]Master!$G$1:$G$200,"&gt;"&amp;C46,[1]Master!$E$1:$E$200,"&lt;="&amp;C46)</f>
        <v>0</v>
      </c>
      <c r="Q46" s="30">
        <v>-940.92070000000001</v>
      </c>
      <c r="R46" s="32">
        <v>0.97952729999999999</v>
      </c>
      <c r="S46" s="30">
        <v>0</v>
      </c>
      <c r="T46" s="30">
        <v>0</v>
      </c>
      <c r="U46" s="30">
        <v>0</v>
      </c>
      <c r="V46" s="30">
        <v>0</v>
      </c>
    </row>
    <row r="47" spans="3:22" x14ac:dyDescent="0.25">
      <c r="C47" s="4">
        <v>44883</v>
      </c>
      <c r="D47" s="30">
        <v>9628505.8155000005</v>
      </c>
      <c r="E47" s="32">
        <v>0.97848570000000001</v>
      </c>
      <c r="F47" s="38">
        <f t="shared" ref="F47" si="59">D47/TRUNC(E47,6)</f>
        <v>9840218.1080956794</v>
      </c>
      <c r="G47" s="19">
        <f t="shared" ref="G47" si="60">H47*I47</f>
        <v>9613548.32875886</v>
      </c>
      <c r="H47" s="31">
        <v>0.98433910000000002</v>
      </c>
      <c r="I47" s="19">
        <f>SUMIFS([1]Master!$K$2:$K$10000,[1]Master!$A$2:$A$10000,$I$12,[1]Master!$F$2:$F$10000,"&lt;="&amp;$C47)</f>
        <v>9766500.5167008601</v>
      </c>
      <c r="J47" s="19">
        <f t="shared" ref="J47" si="61">((((1+1.85%)^(1/252))-1)*D46)+SUM(J46)</f>
        <v>7951.2586882419309</v>
      </c>
      <c r="K47" s="19">
        <f>IF((NETWORKDAYS(DATE(YEAR(C47),MONTH(C47),1),C47,Feriados!$A$2:$A$842))&gt;=5,0,IF(NETWORKDAYS(DATE(YEAR(C47),MONTH(C47),1),C47,Feriados!$A$2:$A$842)=1,J46,K46))</f>
        <v>0</v>
      </c>
      <c r="L47" s="30">
        <v>0</v>
      </c>
      <c r="M47" s="19">
        <f>VLOOKUP(C47,'Fluxo de Caixa'!$B$13:$U$10027,20,FALSE)</f>
        <v>23879.75</v>
      </c>
      <c r="N47" s="19">
        <f>SUMIFS([1]Master!$J$2:$J$100,[1]Master!$A$2:$A$100,"="&amp;$I$12,[1]Master!$E$2:$E$100,"="&amp;C47,[1]Master!$J$2:$J$100,"&gt;"&amp;0)</f>
        <v>0</v>
      </c>
      <c r="O47" s="19">
        <f ca="1">-SUMIF('[1]Fluxo de Movimentações'!$A$5:$F$10001,"="&amp;$C48,'[1]Fluxo de Movimentações'!$B$5:$B$10001)</f>
        <v>0</v>
      </c>
      <c r="P47" s="19">
        <f>-SUMIFS([1]Master!$J$1:$J$200,[1]Master!$A$1:$A$200,"="&amp;$I$12,[1]Master!$G$1:$G$200,"&gt;"&amp;C47,[1]Master!$E$1:$E$200,"&lt;="&amp;C47)</f>
        <v>0</v>
      </c>
      <c r="Q47" s="30">
        <v>-971.07</v>
      </c>
      <c r="R47" s="32">
        <v>0.97848570000000001</v>
      </c>
      <c r="S47" s="30">
        <v>0</v>
      </c>
      <c r="T47" s="30">
        <v>0</v>
      </c>
      <c r="U47" s="30">
        <v>0</v>
      </c>
      <c r="V47" s="30">
        <v>0</v>
      </c>
    </row>
    <row r="48" spans="3:22" x14ac:dyDescent="0.25">
      <c r="C48" s="4">
        <v>44886</v>
      </c>
      <c r="D48" s="30">
        <v>9792118.0117000006</v>
      </c>
      <c r="E48" s="32">
        <v>0.99511260000000001</v>
      </c>
      <c r="F48" s="38">
        <f t="shared" ref="F48" si="62">D48/TRUNC(E48,6)</f>
        <v>9840216.9923586491</v>
      </c>
      <c r="G48" s="19">
        <f t="shared" ref="G48" si="63">H48*I48</f>
        <v>9780590.6469963044</v>
      </c>
      <c r="H48" s="31">
        <v>1.0014426999999999</v>
      </c>
      <c r="I48" s="19">
        <f>SUMIFS([1]Master!$K$2:$K$10000,[1]Master!$A$2:$A$10000,$I$12,[1]Master!$F$2:$F$10000,"&lt;="&amp;$C48)</f>
        <v>9766500.5167008601</v>
      </c>
      <c r="J48" s="19">
        <f t="shared" ref="J48" si="64">((((1+1.85%)^(1/252))-1)*D47)+SUM(J47)</f>
        <v>8651.6798892740808</v>
      </c>
      <c r="K48" s="19">
        <f>IF((NETWORKDAYS(DATE(YEAR(C48),MONTH(C48),1),C48,Feriados!$A$2:$A$842))&gt;=5,0,IF(NETWORKDAYS(DATE(YEAR(C48),MONTH(C48),1),C48,Feriados!$A$2:$A$842)=1,J47,K47))</f>
        <v>0</v>
      </c>
      <c r="L48" s="30">
        <v>-2699.55</v>
      </c>
      <c r="M48" s="19">
        <f>VLOOKUP(C48,'Fluxo de Caixa'!$B$13:$U$10027,20,FALSE)</f>
        <v>23879.75</v>
      </c>
      <c r="N48" s="19">
        <f>SUMIFS([1]Master!$J$2:$J$100,[1]Master!$A$2:$A$100,"="&amp;$I$12,[1]Master!$E$2:$E$100,"="&amp;C48,[1]Master!$J$2:$J$100,"&gt;"&amp;0)</f>
        <v>0</v>
      </c>
      <c r="O48" s="19">
        <f ca="1">-SUMIF('[1]Fluxo de Movimentações'!$A$5:$F$10001,"="&amp;$C49,'[1]Fluxo de Movimentações'!$B$5:$B$10001)</f>
        <v>0</v>
      </c>
      <c r="P48" s="19">
        <f>-SUMIFS([1]Master!$J$1:$J$200,[1]Master!$A$1:$A$200,"="&amp;$I$12,[1]Master!$G$1:$G$200,"&gt;"&amp;C48,[1]Master!$E$1:$E$200,"&lt;="&amp;C48)</f>
        <v>0</v>
      </c>
      <c r="Q48" s="30">
        <v>-1001.23</v>
      </c>
      <c r="R48" s="32">
        <v>0.99538700000000002</v>
      </c>
      <c r="S48" s="30">
        <v>0</v>
      </c>
      <c r="T48" s="30">
        <v>0</v>
      </c>
      <c r="U48" s="30">
        <v>0</v>
      </c>
      <c r="V48" s="30">
        <v>0</v>
      </c>
    </row>
    <row r="49" spans="3:22" x14ac:dyDescent="0.25">
      <c r="C49" s="4">
        <v>44887</v>
      </c>
      <c r="D49" s="30">
        <v>9654373.9679000005</v>
      </c>
      <c r="E49" s="32">
        <v>0.98111459999999995</v>
      </c>
      <c r="F49" s="38">
        <f t="shared" ref="F49" si="65">D49/TRUNC(E49,6)</f>
        <v>9840216.2928059325</v>
      </c>
      <c r="G49" s="19">
        <f t="shared" ref="G49" si="66">H49*I49</f>
        <v>9640929.6896074824</v>
      </c>
      <c r="H49" s="31">
        <v>0.98714270000000004</v>
      </c>
      <c r="I49" s="19">
        <f>SUMIFS([1]Master!$K$2:$K$10000,[1]Master!$A$2:$A$10000,$I$12,[1]Master!$F$2:$F$10000,"&lt;="&amp;$C49)</f>
        <v>9766500.5167008601</v>
      </c>
      <c r="J49" s="19">
        <f t="shared" ref="J49" si="67">((((1+1.85%)^(1/252))-1)*D48)+SUM(J48)</f>
        <v>9364.0029838255159</v>
      </c>
      <c r="K49" s="19">
        <f>IF((NETWORKDAYS(DATE(YEAR(C49),MONTH(C49),1),C49,Feriados!$A$2:$A$842))&gt;=5,0,IF(NETWORKDAYS(DATE(YEAR(C49),MONTH(C49),1),C49,Feriados!$A$2:$A$842)=1,J48,K48))</f>
        <v>0</v>
      </c>
      <c r="L49" s="30">
        <v>-40.159999999999997</v>
      </c>
      <c r="M49" s="19">
        <f>VLOOKUP(C49,'Fluxo de Caixa'!$B$13:$U$10027,20,FALSE)</f>
        <v>23879.75</v>
      </c>
      <c r="N49" s="19">
        <f>SUMIFS([1]Master!$J$2:$J$100,[1]Master!$A$2:$A$100,"="&amp;$I$12,[1]Master!$E$2:$E$100,"="&amp;C49,[1]Master!$J$2:$J$100,"&gt;"&amp;0)</f>
        <v>0</v>
      </c>
      <c r="O49" s="19">
        <f ca="1">-SUMIF('[1]Fluxo de Movimentações'!$A$5:$F$10001,"="&amp;$C50,'[1]Fluxo de Movimentações'!$B$5:$B$10001)</f>
        <v>0</v>
      </c>
      <c r="P49" s="19">
        <f>-SUMIFS([1]Master!$J$1:$J$200,[1]Master!$A$1:$A$200,"="&amp;$I$12,[1]Master!$G$1:$G$200,"&gt;"&amp;C49,[1]Master!$E$1:$E$200,"&lt;="&amp;C49)</f>
        <v>0</v>
      </c>
      <c r="Q49" s="30">
        <v>-1031.3800000000001</v>
      </c>
      <c r="R49" s="32">
        <v>0.98111859999999995</v>
      </c>
      <c r="S49" s="30">
        <v>0</v>
      </c>
      <c r="T49" s="30">
        <v>0</v>
      </c>
      <c r="U49" s="30">
        <v>0</v>
      </c>
      <c r="V49" s="30">
        <v>0</v>
      </c>
    </row>
    <row r="50" spans="3:22" x14ac:dyDescent="0.25">
      <c r="C50" s="4">
        <v>44888</v>
      </c>
      <c r="D50" s="30">
        <v>9584610.0540999994</v>
      </c>
      <c r="E50" s="32">
        <v>0.97402489999999997</v>
      </c>
      <c r="F50" s="38">
        <f t="shared" ref="F50" si="68">D50/TRUNC(E50,6)</f>
        <v>9840219.5983877182</v>
      </c>
      <c r="G50" s="19">
        <f t="shared" ref="G50" si="69">H50*I50</f>
        <v>9571858.0680032186</v>
      </c>
      <c r="H50" s="31">
        <v>0.98007040000000001</v>
      </c>
      <c r="I50" s="19">
        <f>SUMIFS([1]Master!$K$2:$K$10000,[1]Master!$A$2:$A$10000,$I$12,[1]Master!$F$2:$F$10000,"&lt;="&amp;$C50)</f>
        <v>9766500.5167008601</v>
      </c>
      <c r="J50" s="19">
        <f t="shared" ref="J50" si="70">((((1+1.85%)^(1/252))-1)*D49)+SUM(J49)</f>
        <v>10066.305951636403</v>
      </c>
      <c r="K50" s="19">
        <f>IF((NETWORKDAYS(DATE(YEAR(C50),MONTH(C50),1),C50,Feriados!$A$2:$A$842))&gt;=5,0,IF(NETWORKDAYS(DATE(YEAR(C50),MONTH(C50),1),C50,Feriados!$A$2:$A$842)=1,J49,K49))</f>
        <v>0</v>
      </c>
      <c r="L50" s="30">
        <v>0</v>
      </c>
      <c r="M50" s="19">
        <f>VLOOKUP(C50,'Fluxo de Caixa'!$B$13:$U$10027,20,FALSE)</f>
        <v>23879.75</v>
      </c>
      <c r="N50" s="19">
        <f>SUMIFS([1]Master!$J$2:$J$100,[1]Master!$A$2:$A$100,"="&amp;$I$12,[1]Master!$E$2:$E$100,"="&amp;C50,[1]Master!$J$2:$J$100,"&gt;"&amp;0)</f>
        <v>0</v>
      </c>
      <c r="O50" s="19">
        <f ca="1">-SUMIF('[1]Fluxo de Movimentações'!$A$5:$F$10001,"="&amp;$C51,'[1]Fluxo de Movimentações'!$B$5:$B$10001)</f>
        <v>0</v>
      </c>
      <c r="P50" s="19">
        <f>-SUMIFS([1]Master!$J$1:$J$200,[1]Master!$A$1:$A$200,"="&amp;$I$12,[1]Master!$G$1:$G$200,"&gt;"&amp;C50,[1]Master!$E$1:$E$200,"&lt;="&amp;C50)</f>
        <v>0</v>
      </c>
      <c r="Q50" s="30">
        <v>-1061.54</v>
      </c>
      <c r="R50" s="32">
        <v>0.97402489999999997</v>
      </c>
      <c r="S50" s="30">
        <v>0</v>
      </c>
      <c r="T50" s="30">
        <v>0</v>
      </c>
      <c r="U50" s="30">
        <v>0</v>
      </c>
      <c r="V50" s="30">
        <v>0</v>
      </c>
    </row>
    <row r="51" spans="3:22" x14ac:dyDescent="0.25">
      <c r="C51" s="4">
        <v>44889</v>
      </c>
      <c r="D51" s="30">
        <v>9938856.5802999996</v>
      </c>
      <c r="E51" s="32">
        <v>1.0100248000000001</v>
      </c>
      <c r="F51" s="38">
        <f t="shared" ref="F51" si="71">D51/TRUNC(E51,6)</f>
        <v>9840218.2327350639</v>
      </c>
      <c r="G51" s="19">
        <f t="shared" ref="G51" si="72">H51*I51</f>
        <v>9932072.9766105413</v>
      </c>
      <c r="H51" s="31">
        <v>1.0169531000000001</v>
      </c>
      <c r="I51" s="19">
        <f>SUMIFS([1]Master!$K$2:$K$10000,[1]Master!$A$2:$A$10000,$I$12,[1]Master!$F$2:$F$10000,"&lt;="&amp;$C51)</f>
        <v>9766500.5167008601</v>
      </c>
      <c r="J51" s="19">
        <f t="shared" ref="J51" si="73">((((1+1.85%)^(1/252))-1)*D50)+SUM(J50)</f>
        <v>10763.533975813372</v>
      </c>
      <c r="K51" s="19">
        <f>IF((NETWORKDAYS(DATE(YEAR(C51),MONTH(C51),1),C51,Feriados!$A$2:$A$842))&gt;=5,0,IF(NETWORKDAYS(DATE(YEAR(C51),MONTH(C51),1),C51,Feriados!$A$2:$A$842)=1,J50,K50))</f>
        <v>0</v>
      </c>
      <c r="L51" s="30">
        <v>-5241.01</v>
      </c>
      <c r="M51" s="19">
        <f>VLOOKUP(C51,'Fluxo de Caixa'!$B$13:$U$10027,20,FALSE)</f>
        <v>23879.75</v>
      </c>
      <c r="N51" s="19">
        <f>SUMIFS([1]Master!$J$2:$J$100,[1]Master!$A$2:$A$100,"="&amp;$I$12,[1]Master!$E$2:$E$100,"="&amp;C51,[1]Master!$J$2:$J$100,"&gt;"&amp;0)</f>
        <v>0</v>
      </c>
      <c r="O51" s="19">
        <f ca="1">-SUMIF('[1]Fluxo de Movimentações'!$A$5:$F$10001,"="&amp;$C52,'[1]Fluxo de Movimentações'!$B$5:$B$10001)</f>
        <v>0</v>
      </c>
      <c r="P51" s="19">
        <f>-SUMIFS([1]Master!$J$1:$J$200,[1]Master!$A$1:$A$200,"="&amp;$I$12,[1]Master!$G$1:$G$200,"&gt;"&amp;C51,[1]Master!$E$1:$E$200,"&lt;="&amp;C51)</f>
        <v>0</v>
      </c>
      <c r="Q51" s="30">
        <v>-1091.6896999999999</v>
      </c>
      <c r="R51" s="32">
        <v>1.0105573999999999</v>
      </c>
      <c r="S51" s="30">
        <v>0</v>
      </c>
      <c r="T51" s="30">
        <v>0</v>
      </c>
      <c r="U51" s="30">
        <v>0</v>
      </c>
      <c r="V51" s="30">
        <v>0</v>
      </c>
    </row>
    <row r="52" spans="3:22" x14ac:dyDescent="0.25">
      <c r="C52" s="4">
        <v>44890</v>
      </c>
      <c r="D52" s="30">
        <v>9640169.8065000009</v>
      </c>
      <c r="E52" s="32">
        <v>0.97967110000000002</v>
      </c>
      <c r="F52" s="38">
        <f t="shared" ref="F52" si="74">D52/TRUNC(E52,6)</f>
        <v>9840211.4653797057</v>
      </c>
      <c r="G52" s="19">
        <f t="shared" ref="G52" si="75">H52*I52</f>
        <v>9628898.3376209587</v>
      </c>
      <c r="H52" s="31">
        <v>0.98591079999999998</v>
      </c>
      <c r="I52" s="19">
        <f>SUMIFS([1]Master!$K$2:$K$10000,[1]Master!$A$2:$A$10000,$I$12,[1]Master!$F$2:$F$10000,"&lt;="&amp;$C52)</f>
        <v>9766500.5167008601</v>
      </c>
      <c r="J52" s="19">
        <f t="shared" ref="J52" si="76">((((1+1.85%)^(1/252))-1)*D51)+SUM(J51)</f>
        <v>11486.53149965072</v>
      </c>
      <c r="K52" s="19">
        <f>IF((NETWORKDAYS(DATE(YEAR(C52),MONTH(C52),1),C52,Feriados!$A$2:$A$842))&gt;=5,0,IF(NETWORKDAYS(DATE(YEAR(C52),MONTH(C52),1),C52,Feriados!$A$2:$A$842)=1,J51,K51))</f>
        <v>0</v>
      </c>
      <c r="L52" s="30">
        <v>0</v>
      </c>
      <c r="M52" s="19">
        <f>VLOOKUP(C52,'Fluxo de Caixa'!$B$13:$U$10027,20,FALSE)</f>
        <v>23879.75</v>
      </c>
      <c r="N52" s="19">
        <f>SUMIFS([1]Master!$J$2:$J$100,[1]Master!$A$2:$A$100,"="&amp;$I$12,[1]Master!$E$2:$E$100,"="&amp;C52,[1]Master!$J$2:$J$100,"&gt;"&amp;0)</f>
        <v>0</v>
      </c>
      <c r="O52" s="19">
        <f ca="1">-SUMIF('[1]Fluxo de Movimentações'!$A$5:$F$10001,"="&amp;$C53,'[1]Fluxo de Movimentações'!$B$5:$B$10001)</f>
        <v>0</v>
      </c>
      <c r="P52" s="19">
        <f>-SUMIFS([1]Master!$J$1:$J$200,[1]Master!$A$1:$A$200,"="&amp;$I$12,[1]Master!$G$1:$G$200,"&gt;"&amp;C52,[1]Master!$E$1:$E$200,"&lt;="&amp;C52)</f>
        <v>0</v>
      </c>
      <c r="Q52" s="30">
        <v>-1121.8434999999999</v>
      </c>
      <c r="R52" s="32">
        <v>0.97967110000000002</v>
      </c>
      <c r="S52" s="30">
        <v>0</v>
      </c>
      <c r="T52" s="30">
        <v>0</v>
      </c>
      <c r="U52" s="30">
        <v>0</v>
      </c>
      <c r="V52" s="30">
        <v>0</v>
      </c>
    </row>
    <row r="53" spans="3:22" x14ac:dyDescent="0.25">
      <c r="C53" s="4">
        <v>44893</v>
      </c>
      <c r="D53" s="30">
        <v>9554082.1027000006</v>
      </c>
      <c r="E53" s="32">
        <v>0.97092250000000002</v>
      </c>
      <c r="F53" s="38">
        <f t="shared" ref="F53" si="77">D53/TRUNC(E53,6)</f>
        <v>9840215.9006593749</v>
      </c>
      <c r="G53" s="19">
        <f t="shared" ref="G53" si="78">H53*I53</f>
        <v>9543542.0530551467</v>
      </c>
      <c r="H53" s="31">
        <v>0.97717109999999996</v>
      </c>
      <c r="I53" s="19">
        <f>SUMIFS([1]Master!$K$2:$K$10000,[1]Master!$A$2:$A$10000,$I$12,[1]Master!$F$2:$F$10000,"&lt;="&amp;$C53)</f>
        <v>9766500.5167008601</v>
      </c>
      <c r="J53" s="19">
        <f t="shared" ref="J53" si="79">((((1+1.85%)^(1/252))-1)*D52)+SUM(J52)</f>
        <v>12187.801192311954</v>
      </c>
      <c r="K53" s="19">
        <f>IF((NETWORKDAYS(DATE(YEAR(C53),MONTH(C53),1),C53,Feriados!$A$2:$A$842))&gt;=5,0,IF(NETWORKDAYS(DATE(YEAR(C53),MONTH(C53),1),C53,Feriados!$A$2:$A$842)=1,J52,K52))</f>
        <v>0</v>
      </c>
      <c r="L53" s="30">
        <v>0</v>
      </c>
      <c r="M53" s="19">
        <f>VLOOKUP(C53,'Fluxo de Caixa'!$B$13:$U$10027,20,FALSE)</f>
        <v>23879.75</v>
      </c>
      <c r="N53" s="19">
        <f>SUMIFS([1]Master!$J$2:$J$100,[1]Master!$A$2:$A$100,"="&amp;$I$12,[1]Master!$E$2:$E$100,"="&amp;C53,[1]Master!$J$2:$J$100,"&gt;"&amp;0)</f>
        <v>0</v>
      </c>
      <c r="O53" s="19">
        <f ca="1">-SUMIF('[1]Fluxo de Movimentações'!$A$5:$F$10001,"="&amp;$C54,'[1]Fluxo de Movimentações'!$B$5:$B$10001)</f>
        <v>0</v>
      </c>
      <c r="P53" s="19">
        <f>-SUMIFS([1]Master!$J$1:$J$200,[1]Master!$A$1:$A$200,"="&amp;$I$12,[1]Master!$G$1:$G$200,"&gt;"&amp;C53,[1]Master!$E$1:$E$200,"&lt;="&amp;C53)</f>
        <v>0</v>
      </c>
      <c r="Q53" s="30">
        <v>-1151.9973</v>
      </c>
      <c r="R53" s="32">
        <v>0.97092250000000002</v>
      </c>
      <c r="S53" s="30">
        <v>0</v>
      </c>
      <c r="T53" s="30">
        <v>0</v>
      </c>
      <c r="U53" s="30">
        <v>0</v>
      </c>
      <c r="V53" s="30">
        <v>0</v>
      </c>
    </row>
    <row r="54" spans="3:22" x14ac:dyDescent="0.25">
      <c r="C54" s="4">
        <v>44894</v>
      </c>
      <c r="D54" s="30">
        <v>9697868.7989000008</v>
      </c>
      <c r="E54" s="32">
        <v>0.98553469999999999</v>
      </c>
      <c r="F54" s="38">
        <f t="shared" ref="F54" si="80">D54/TRUNC(E54,6)</f>
        <v>9840217.3835707344</v>
      </c>
      <c r="G54" s="19">
        <f t="shared" ref="G54" si="81">H54*I54</f>
        <v>9688389.0222183391</v>
      </c>
      <c r="H54" s="31">
        <v>0.9920021</v>
      </c>
      <c r="I54" s="19">
        <f>SUMIFS([1]Master!$K$2:$K$10000,[1]Master!$A$2:$A$10000,$I$12,[1]Master!$F$2:$F$10000,"&lt;="&amp;$C54)</f>
        <v>9766500.5167008601</v>
      </c>
      <c r="J54" s="19">
        <f t="shared" ref="J54" si="82">((((1+1.85%)^(1/252))-1)*D53)+SUM(J53)</f>
        <v>12882.808474787733</v>
      </c>
      <c r="K54" s="19">
        <f>IF((NETWORKDAYS(DATE(YEAR(C54),MONTH(C54),1),C54,Feriados!$A$2:$A$842))&gt;=5,0,IF(NETWORKDAYS(DATE(YEAR(C54),MONTH(C54),1),C54,Feriados!$A$2:$A$842)=1,J53,K53))</f>
        <v>0</v>
      </c>
      <c r="L54" s="30">
        <v>-335.12</v>
      </c>
      <c r="M54" s="19">
        <f>VLOOKUP(C54,'Fluxo de Caixa'!$B$13:$U$10027,20,FALSE)</f>
        <v>23879.75</v>
      </c>
      <c r="N54" s="19">
        <f>SUMIFS([1]Master!$J$2:$J$100,[1]Master!$A$2:$A$100,"="&amp;$I$12,[1]Master!$E$2:$E$100,"="&amp;C54,[1]Master!$J$2:$J$100,"&gt;"&amp;0)</f>
        <v>0</v>
      </c>
      <c r="O54" s="19">
        <f ca="1">-SUMIF('[1]Fluxo de Movimentações'!$A$5:$F$10001,"="&amp;$C55,'[1]Fluxo de Movimentações'!$B$5:$B$10001)</f>
        <v>0</v>
      </c>
      <c r="P54" s="19">
        <f>-SUMIFS([1]Master!$J$1:$J$200,[1]Master!$A$1:$A$200,"="&amp;$I$12,[1]Master!$G$1:$G$200,"&gt;"&amp;C54,[1]Master!$E$1:$E$200,"&lt;="&amp;C54)</f>
        <v>0</v>
      </c>
      <c r="Q54" s="30">
        <v>-1182.1511</v>
      </c>
      <c r="R54" s="32">
        <v>0.98556869999999996</v>
      </c>
      <c r="S54" s="30">
        <v>0</v>
      </c>
      <c r="T54" s="30">
        <v>0</v>
      </c>
      <c r="U54" s="30">
        <v>0</v>
      </c>
      <c r="V54" s="30">
        <v>0</v>
      </c>
    </row>
    <row r="55" spans="3:22" x14ac:dyDescent="0.25">
      <c r="C55" s="4">
        <v>44895</v>
      </c>
      <c r="D55" s="30">
        <v>9777412.7851</v>
      </c>
      <c r="E55" s="32">
        <v>0.99361820000000001</v>
      </c>
      <c r="F55" s="38">
        <f t="shared" ref="F55" si="83">D55/TRUNC(E55,6)</f>
        <v>9840213.0246231444</v>
      </c>
      <c r="G55" s="19">
        <f t="shared" ref="G55" si="84">H55*I55</f>
        <v>9770091.6589408498</v>
      </c>
      <c r="H55" s="31">
        <v>1.0003677</v>
      </c>
      <c r="I55" s="19">
        <f>SUMIFS([1]Master!$K$2:$K$10000,[1]Master!$A$2:$A$10000,$I$12,[1]Master!$F$2:$F$10000,"&lt;="&amp;$C55)</f>
        <v>9766500.5167008601</v>
      </c>
      <c r="J55" s="19">
        <f t="shared" ref="J55" si="85">((((1+1.85%)^(1/252))-1)*D54)+SUM(J54)</f>
        <v>13588.275453957336</v>
      </c>
      <c r="K55" s="19">
        <f>IF((NETWORKDAYS(DATE(YEAR(C55),MONTH(C55),1),C55,Feriados!$A$2:$A$842))&gt;=5,0,IF(NETWORKDAYS(DATE(YEAR(C55),MONTH(C55),1),C55,Feriados!$A$2:$A$842)=1,J54,K54))</f>
        <v>0</v>
      </c>
      <c r="L55" s="30">
        <v>-1758.16</v>
      </c>
      <c r="M55" s="19">
        <f>VLOOKUP(C55,'Fluxo de Caixa'!$B$13:$U$10027,20,FALSE)</f>
        <v>23879.75</v>
      </c>
      <c r="N55" s="19">
        <f>SUMIFS([1]Master!$J$2:$J$100,[1]Master!$A$2:$A$100,"="&amp;$I$12,[1]Master!$E$2:$E$100,"="&amp;C55,[1]Master!$J$2:$J$100,"&gt;"&amp;0)</f>
        <v>0</v>
      </c>
      <c r="O55" s="19">
        <f ca="1">-SUMIF('[1]Fluxo de Movimentações'!$A$5:$F$10001,"="&amp;$C56,'[1]Fluxo de Movimentações'!$B$5:$B$10001)</f>
        <v>0</v>
      </c>
      <c r="P55" s="19">
        <f>-SUMIFS([1]Master!$J$1:$J$200,[1]Master!$A$1:$A$200,"="&amp;$I$12,[1]Master!$G$1:$G$200,"&gt;"&amp;C55,[1]Master!$E$1:$E$200,"&lt;="&amp;C55)</f>
        <v>0</v>
      </c>
      <c r="Q55" s="30">
        <v>-1212.3049000000001</v>
      </c>
      <c r="R55" s="32">
        <v>0.99379689999999998</v>
      </c>
      <c r="S55" s="30">
        <v>0</v>
      </c>
      <c r="T55" s="30">
        <v>0</v>
      </c>
      <c r="U55" s="30">
        <v>0</v>
      </c>
      <c r="V55" s="30">
        <v>0</v>
      </c>
    </row>
    <row r="56" spans="3:22" x14ac:dyDescent="0.25">
      <c r="C56" s="4">
        <v>44896</v>
      </c>
      <c r="D56" s="30">
        <v>9676558.3331000004</v>
      </c>
      <c r="E56" s="32">
        <v>0.98336900000000005</v>
      </c>
      <c r="F56" s="38">
        <f t="shared" ref="F56" si="86">D56/TRUNC(E56,6)</f>
        <v>9840210.8802494276</v>
      </c>
      <c r="G56" s="19">
        <f t="shared" ref="G56" si="87">H56*I56</f>
        <v>9668218.2687011957</v>
      </c>
      <c r="H56" s="31">
        <v>0.98993679999999995</v>
      </c>
      <c r="I56" s="19">
        <f>SUMIFS([1]Master!$K$2:$K$10000,[1]Master!$A$2:$A$10000,$I$12,[1]Master!$F$2:$F$10000,"&lt;="&amp;$C56)</f>
        <v>9766500.5167008601</v>
      </c>
      <c r="J56" s="19">
        <f>((((1+1.85%)^(1/252))-1)*D55)</f>
        <v>711.25336964562075</v>
      </c>
      <c r="K56" s="19">
        <f>IF((NETWORKDAYS(DATE(YEAR(C56),MONTH(C56),1),C56,Feriados!$A$2:$A$842))&gt;=5,0,IF(NETWORKDAYS(DATE(YEAR(C56),MONTH(C56),1),C56,Feriados!$A$2:$A$842)=1,J55,K55))</f>
        <v>13588.275453957336</v>
      </c>
      <c r="L56" s="30">
        <v>0</v>
      </c>
      <c r="M56" s="19">
        <f>VLOOKUP(C56,'Fluxo de Caixa'!$B$13:$U$10027,20,FALSE)</f>
        <v>23879.75</v>
      </c>
      <c r="N56" s="19">
        <f>SUMIFS([1]Master!$J$2:$J$100,[1]Master!$A$2:$A$100,"="&amp;$I$12,[1]Master!$E$2:$E$100,"="&amp;C56,[1]Master!$J$2:$J$100,"&gt;"&amp;0)</f>
        <v>0</v>
      </c>
      <c r="O56" s="19">
        <f ca="1">-SUMIF('[1]Fluxo de Movimentações'!$A$5:$F$10001,"="&amp;$C57,'[1]Fluxo de Movimentações'!$B$5:$B$10001)</f>
        <v>0</v>
      </c>
      <c r="P56" s="19">
        <f>-SUMIFS([1]Master!$J$1:$J$200,[1]Master!$A$1:$A$200,"="&amp;$I$12,[1]Master!$G$1:$G$200,"&gt;"&amp;C56,[1]Master!$E$1:$E$200,"&lt;="&amp;C56)</f>
        <v>0</v>
      </c>
      <c r="Q56" s="30">
        <v>-1240.2769000000001</v>
      </c>
      <c r="R56" s="32">
        <v>0.98336900000000005</v>
      </c>
      <c r="S56" s="30">
        <v>0</v>
      </c>
      <c r="T56" s="30">
        <v>0</v>
      </c>
      <c r="U56" s="30">
        <v>0</v>
      </c>
      <c r="V56" s="30">
        <v>0</v>
      </c>
    </row>
    <row r="57" spans="3:22" x14ac:dyDescent="0.25">
      <c r="C57" s="4">
        <v>44897</v>
      </c>
      <c r="D57" s="30">
        <v>9804586.2411000002</v>
      </c>
      <c r="E57" s="32">
        <v>0.99637969999999998</v>
      </c>
      <c r="F57" s="38">
        <f t="shared" ref="F57" si="88">D57/TRUNC(E57,6)</f>
        <v>9840217.6692804638</v>
      </c>
      <c r="G57" s="19">
        <f t="shared" ref="G57" si="89">H57*I57</f>
        <v>9799071.7959240582</v>
      </c>
      <c r="H57" s="31">
        <v>1.0033350000000001</v>
      </c>
      <c r="I57" s="19">
        <f>SUMIFS([1]Master!$K$2:$K$10000,[1]Master!$A$2:$A$10000,$I$12,[1]Master!$F$2:$F$10000,"&lt;="&amp;$C57)</f>
        <v>9766500.5167008601</v>
      </c>
      <c r="J57" s="19">
        <f t="shared" ref="J57:J62" si="90">((((1+1.85%)^(1/252))-1)*D56)+SUM(J56)</f>
        <v>1415.1701288396425</v>
      </c>
      <c r="K57" s="19">
        <f>IF((NETWORKDAYS(DATE(YEAR(C57),MONTH(C57),1),C57,Feriados!$A$2:$A$842))&gt;=5,0,IF(NETWORKDAYS(DATE(YEAR(C57),MONTH(C57),1),C57,Feriados!$A$2:$A$842)=1,J56,K56))</f>
        <v>13588.275453957336</v>
      </c>
      <c r="L57" s="30">
        <v>-2093.7399999999998</v>
      </c>
      <c r="M57" s="19">
        <f>VLOOKUP(C57,'Fluxo de Caixa'!$B$13:$U$10027,20,FALSE)</f>
        <v>23879.75</v>
      </c>
      <c r="N57" s="19">
        <f>SUMIFS([1]Master!$J$2:$J$100,[1]Master!$A$2:$A$100,"="&amp;$I$12,[1]Master!$E$2:$E$100,"="&amp;C57,[1]Master!$J$2:$J$100,"&gt;"&amp;0)</f>
        <v>1000000</v>
      </c>
      <c r="O57" s="19">
        <f ca="1">-SUMIF('[1]Fluxo de Movimentações'!$A$5:$F$10001,"="&amp;$C58,'[1]Fluxo de Movimentações'!$B$5:$B$10001)</f>
        <v>-1000000</v>
      </c>
      <c r="P57" s="19">
        <f>-SUMIFS([1]Master!$J$1:$J$200,[1]Master!$A$1:$A$200,"="&amp;$I$12,[1]Master!$G$1:$G$200,"&gt;"&amp;C57,[1]Master!$E$1:$E$200,"&lt;="&amp;C57)</f>
        <v>0</v>
      </c>
      <c r="Q57" s="30">
        <v>-1268.2489</v>
      </c>
      <c r="R57" s="32">
        <v>0.99659249999999999</v>
      </c>
      <c r="S57" s="30">
        <v>0</v>
      </c>
      <c r="T57" s="30">
        <v>0</v>
      </c>
      <c r="U57" s="30">
        <v>0</v>
      </c>
      <c r="V57" s="30">
        <v>0</v>
      </c>
    </row>
    <row r="58" spans="3:22" x14ac:dyDescent="0.25">
      <c r="C58" s="4">
        <v>44900</v>
      </c>
      <c r="D58" s="30">
        <v>10487294.9791</v>
      </c>
      <c r="E58" s="32">
        <v>0.96413539999999998</v>
      </c>
      <c r="F58" s="38">
        <f t="shared" ref="F58" si="91">D58/TRUNC(E58,6)</f>
        <v>10877413.411088696</v>
      </c>
      <c r="G58" s="19">
        <f t="shared" ref="G58" si="92">H58*I58</f>
        <v>10466427.996766074</v>
      </c>
      <c r="H58" s="31">
        <v>0.97070880000000004</v>
      </c>
      <c r="I58" s="19">
        <f>SUMIFS([1]Master!$K$2:$K$10000,[1]Master!$A$2:$A$10000,$I$12,[1]Master!$F$2:$F$10000,"&lt;="&amp;$C58)</f>
        <v>10782253.129636893</v>
      </c>
      <c r="J58" s="19">
        <f t="shared" si="90"/>
        <v>2128.4002189704997</v>
      </c>
      <c r="K58" s="19">
        <f>IF((NETWORKDAYS(DATE(YEAR(C58),MONTH(C58),1),C58,Feriados!$A$2:$A$842))&gt;=5,0,IF(NETWORKDAYS(DATE(YEAR(C58),MONTH(C58),1),C58,Feriados!$A$2:$A$842)=1,J57,K57))</f>
        <v>13588.275453957336</v>
      </c>
      <c r="L58" s="30">
        <v>0</v>
      </c>
      <c r="M58" s="19">
        <f>VLOOKUP(C58,'Fluxo de Caixa'!$B$13:$U$10027,20,FALSE)</f>
        <v>23879.75</v>
      </c>
      <c r="N58" s="19">
        <f>SUMIFS([1]Master!$J$2:$J$100,[1]Master!$A$2:$A$100,"="&amp;$I$12,[1]Master!$E$2:$E$100,"="&amp;C58,[1]Master!$J$2:$J$100,"&gt;"&amp;0)</f>
        <v>0</v>
      </c>
      <c r="O58" s="19">
        <f ca="1">-SUMIF('[1]Fluxo de Movimentações'!$A$5:$F$10001,"="&amp;$C59,'[1]Fluxo de Movimentações'!$B$5:$B$10001)</f>
        <v>0</v>
      </c>
      <c r="P58" s="19">
        <f>-SUMIFS([1]Master!$J$1:$J$200,[1]Master!$A$1:$A$200,"="&amp;$I$12,[1]Master!$G$1:$G$200,"&gt;"&amp;C58,[1]Master!$E$1:$E$200,"&lt;="&amp;C58)</f>
        <v>14000</v>
      </c>
      <c r="Q58" s="30">
        <v>-1296.2209</v>
      </c>
      <c r="R58" s="32">
        <v>0.96413539999999998</v>
      </c>
      <c r="S58" s="30">
        <v>0</v>
      </c>
      <c r="T58" s="30">
        <v>0</v>
      </c>
      <c r="U58" s="30">
        <v>0</v>
      </c>
      <c r="V58" s="30">
        <v>0</v>
      </c>
    </row>
    <row r="59" spans="3:22" x14ac:dyDescent="0.25">
      <c r="C59" s="4">
        <v>44901</v>
      </c>
      <c r="D59" s="30">
        <v>10461973.407099999</v>
      </c>
      <c r="E59" s="32">
        <v>0.96180750000000004</v>
      </c>
      <c r="F59" s="38">
        <f t="shared" ref="F59" si="93">D59/TRUNC(E59,6)</f>
        <v>10877414.499062702</v>
      </c>
      <c r="G59" s="19">
        <f t="shared" ref="G59" si="94">H59*I59</f>
        <v>10441897.292670835</v>
      </c>
      <c r="H59" s="31">
        <v>0.96843369999999995</v>
      </c>
      <c r="I59" s="19">
        <f>SUMIFS([1]Master!$K$2:$K$10000,[1]Master!$A$2:$A$10000,$I$12,[1]Master!$F$2:$F$10000,"&lt;="&amp;$C59)</f>
        <v>10782253.129636893</v>
      </c>
      <c r="J59" s="19">
        <f t="shared" si="90"/>
        <v>2891.2936403998974</v>
      </c>
      <c r="K59" s="19">
        <f>IF((NETWORKDAYS(DATE(YEAR(C59),MONTH(C59),1),C59,Feriados!$A$2:$A$842))&gt;=5,0,IF(NETWORKDAYS(DATE(YEAR(C59),MONTH(C59),1),C59,Feriados!$A$2:$A$842)=1,J58,K58))</f>
        <v>13588.275453957336</v>
      </c>
      <c r="L59" s="30">
        <v>0</v>
      </c>
      <c r="M59" s="19">
        <f>VLOOKUP(C59,'Fluxo de Caixa'!$B$13:$U$10027,20,FALSE)</f>
        <v>23879.75</v>
      </c>
      <c r="N59" s="19">
        <f>SUMIFS([1]Master!$J$2:$J$100,[1]Master!$A$2:$A$100,"="&amp;$I$12,[1]Master!$E$2:$E$100,"="&amp;C59,[1]Master!$J$2:$J$100,"&gt;"&amp;0)</f>
        <v>0</v>
      </c>
      <c r="O59" s="19">
        <f ca="1">-SUMIF('[1]Fluxo de Movimentações'!$A$5:$F$10001,"="&amp;$C60,'[1]Fluxo de Movimentações'!$B$5:$B$10001)</f>
        <v>0</v>
      </c>
      <c r="P59" s="19">
        <f>-SUMIFS([1]Master!$J$1:$J$200,[1]Master!$A$1:$A$200,"="&amp;$I$12,[1]Master!$G$1:$G$200,"&gt;"&amp;C59,[1]Master!$E$1:$E$200,"&lt;="&amp;C59)</f>
        <v>14000</v>
      </c>
      <c r="Q59" s="30">
        <v>-1324.1929</v>
      </c>
      <c r="R59" s="32">
        <v>0.96180750000000004</v>
      </c>
      <c r="S59" s="30">
        <v>0</v>
      </c>
      <c r="T59" s="30">
        <v>0</v>
      </c>
      <c r="U59" s="30">
        <v>0</v>
      </c>
      <c r="V59" s="30">
        <v>0</v>
      </c>
    </row>
    <row r="60" spans="3:22" x14ac:dyDescent="0.25">
      <c r="C60" s="4">
        <v>44902</v>
      </c>
      <c r="D60" s="30">
        <v>10409534.165100001</v>
      </c>
      <c r="E60" s="32">
        <v>0.95698649999999996</v>
      </c>
      <c r="F60" s="38">
        <f t="shared" ref="F60" si="95">D60/TRUNC(E60,6)</f>
        <v>10877415.307120482</v>
      </c>
      <c r="G60" s="19">
        <f t="shared" ref="G60" si="96">H60*I60</f>
        <v>10390247.065503936</v>
      </c>
      <c r="H60" s="31">
        <v>0.96364340000000004</v>
      </c>
      <c r="I60" s="19">
        <f>SUMIFS([1]Master!$K$2:$K$10000,[1]Master!$A$2:$A$10000,$I$12,[1]Master!$F$2:$F$10000,"&lt;="&amp;$C60)</f>
        <v>10782253.129636893</v>
      </c>
      <c r="J60" s="19">
        <f t="shared" si="90"/>
        <v>3652.3450557888864</v>
      </c>
      <c r="K60" s="19">
        <f>IF((NETWORKDAYS(DATE(YEAR(C60),MONTH(C60),1),C60,Feriados!$A$2:$A$842))&gt;=5,0,IF(NETWORKDAYS(DATE(YEAR(C60),MONTH(C60),1),C60,Feriados!$A$2:$A$842)=1,J59,K59))</f>
        <v>0</v>
      </c>
      <c r="L60" s="30">
        <v>0</v>
      </c>
      <c r="M60" s="19">
        <f>VLOOKUP(C60,'Fluxo de Caixa'!$B$13:$U$10027,20,FALSE)</f>
        <v>24291.59</v>
      </c>
      <c r="N60" s="19">
        <f>SUMIFS([1]Master!$J$2:$J$100,[1]Master!$A$2:$A$100,"="&amp;$I$12,[1]Master!$E$2:$E$100,"="&amp;C60,[1]Master!$J$2:$J$100,"&gt;"&amp;0)</f>
        <v>0</v>
      </c>
      <c r="O60" s="19">
        <f ca="1">-SUMIF('[1]Fluxo de Movimentações'!$A$5:$F$10001,"="&amp;$C61,'[1]Fluxo de Movimentações'!$B$5:$B$10001)</f>
        <v>0</v>
      </c>
      <c r="P60" s="19">
        <f>-SUMIFS([1]Master!$J$1:$J$200,[1]Master!$A$1:$A$200,"="&amp;$I$12,[1]Master!$G$1:$G$200,"&gt;"&amp;C60,[1]Master!$E$1:$E$200,"&lt;="&amp;C60)</f>
        <v>0</v>
      </c>
      <c r="Q60" s="30">
        <v>-1352.1649</v>
      </c>
      <c r="R60" s="32">
        <v>0.95698649999999996</v>
      </c>
      <c r="S60" s="30">
        <v>0</v>
      </c>
      <c r="T60" s="30">
        <v>0</v>
      </c>
      <c r="U60" s="30">
        <v>0</v>
      </c>
      <c r="V60" s="30">
        <v>0</v>
      </c>
    </row>
    <row r="61" spans="3:22" x14ac:dyDescent="0.25">
      <c r="C61" s="4">
        <v>44903</v>
      </c>
      <c r="D61" s="30">
        <v>10092216.5131</v>
      </c>
      <c r="E61" s="32">
        <v>0.92781429999999998</v>
      </c>
      <c r="F61" s="38">
        <f t="shared" ref="F61" si="97">D61/TRUNC(E61,6)</f>
        <v>10877413.482767019</v>
      </c>
      <c r="G61" s="19">
        <f t="shared" ref="G61" si="98">H61*I61</f>
        <v>10073714.616827812</v>
      </c>
      <c r="H61" s="31">
        <v>0.93428659999999997</v>
      </c>
      <c r="I61" s="19">
        <f>SUMIFS([1]Master!$K$2:$K$10000,[1]Master!$A$2:$A$10000,$I$12,[1]Master!$F$2:$F$10000,"&lt;="&amp;$C61)</f>
        <v>10782253.129636893</v>
      </c>
      <c r="J61" s="19">
        <f t="shared" si="90"/>
        <v>4409.5818027789919</v>
      </c>
      <c r="K61" s="19">
        <f>IF((NETWORKDAYS(DATE(YEAR(C61),MONTH(C61),1),C61,Feriados!$A$2:$A$842))&gt;=5,0,IF(NETWORKDAYS(DATE(YEAR(C61),MONTH(C61),1),C61,Feriados!$A$2:$A$842)=1,J60,K60))</f>
        <v>0</v>
      </c>
      <c r="L61" s="30">
        <v>0</v>
      </c>
      <c r="M61" s="19">
        <f>VLOOKUP(C61,'Fluxo de Caixa'!$B$13:$U$10027,20,FALSE)</f>
        <v>24291.59</v>
      </c>
      <c r="N61" s="19">
        <f>SUMIFS([1]Master!$J$2:$J$100,[1]Master!$A$2:$A$100,"="&amp;$I$12,[1]Master!$E$2:$E$100,"="&amp;C61,[1]Master!$J$2:$J$100,"&gt;"&amp;0)</f>
        <v>0</v>
      </c>
      <c r="O61" s="19">
        <f ca="1">-SUMIF('[1]Fluxo de Movimentações'!$A$5:$F$10001,"="&amp;$C62,'[1]Fluxo de Movimentações'!$B$5:$B$10001)</f>
        <v>0</v>
      </c>
      <c r="P61" s="19">
        <f>-SUMIFS([1]Master!$J$1:$J$200,[1]Master!$A$1:$A$200,"="&amp;$I$12,[1]Master!$G$1:$G$200,"&gt;"&amp;C61,[1]Master!$E$1:$E$200,"&lt;="&amp;C61)</f>
        <v>0</v>
      </c>
      <c r="Q61" s="30">
        <v>-1380.1369</v>
      </c>
      <c r="R61" s="32">
        <v>0.92781429999999998</v>
      </c>
      <c r="S61" s="30">
        <v>0</v>
      </c>
      <c r="T61" s="30">
        <v>0</v>
      </c>
      <c r="U61" s="30">
        <v>0</v>
      </c>
      <c r="V61" s="30">
        <v>0</v>
      </c>
    </row>
    <row r="62" spans="3:22" x14ac:dyDescent="0.25">
      <c r="C62" s="4">
        <v>44904</v>
      </c>
      <c r="D62" s="30">
        <v>9972184.3410999998</v>
      </c>
      <c r="E62" s="32">
        <v>0.91677940000000002</v>
      </c>
      <c r="F62" s="38">
        <f t="shared" ref="F62" si="99">D62/TRUNC(E62,6)</f>
        <v>10877413.576336281</v>
      </c>
      <c r="G62" s="19">
        <f t="shared" ref="G62" si="100">H62*I62</f>
        <v>9954444.5673837084</v>
      </c>
      <c r="H62" s="31">
        <v>0.92322490000000001</v>
      </c>
      <c r="I62" s="19">
        <f>SUMIFS([1]Master!$K$2:$K$10000,[1]Master!$A$2:$A$10000,$I$12,[1]Master!$F$2:$F$10000,"&lt;="&amp;$C62)</f>
        <v>10782253.129636893</v>
      </c>
      <c r="J62" s="19">
        <f t="shared" si="90"/>
        <v>5143.7354239776841</v>
      </c>
      <c r="K62" s="19">
        <f>IF((NETWORKDAYS(DATE(YEAR(C62),MONTH(C62),1),C62,Feriados!$A$2:$A$842))&gt;=5,0,IF(NETWORKDAYS(DATE(YEAR(C62),MONTH(C62),1),C62,Feriados!$A$2:$A$842)=1,J61,K61))</f>
        <v>0</v>
      </c>
      <c r="L62" s="30">
        <v>0</v>
      </c>
      <c r="M62" s="19">
        <f>VLOOKUP(C62,'Fluxo de Caixa'!$B$13:$U$10027,20,FALSE)</f>
        <v>24291.589999999967</v>
      </c>
      <c r="N62" s="19">
        <f>SUMIFS([1]Master!$J$2:$J$100,[1]Master!$A$2:$A$100,"="&amp;$I$12,[1]Master!$E$2:$E$100,"="&amp;C62,[1]Master!$J$2:$J$100,"&gt;"&amp;0)</f>
        <v>1000000</v>
      </c>
      <c r="O62" s="19">
        <f ca="1">-SUMIF('[1]Fluxo de Movimentações'!$A$5:$F$10001,"="&amp;$C63,'[1]Fluxo de Movimentações'!$B$5:$B$10001)</f>
        <v>-1000000</v>
      </c>
      <c r="P62" s="19">
        <f>-SUMIFS([1]Master!$J$1:$J$200,[1]Master!$A$1:$A$200,"="&amp;$I$12,[1]Master!$G$1:$G$200,"&gt;"&amp;C62,[1]Master!$E$1:$E$200,"&lt;="&amp;C62)</f>
        <v>0</v>
      </c>
      <c r="Q62" s="30">
        <v>-1408.1088999999999</v>
      </c>
      <c r="R62" s="32">
        <v>0.91677940000000002</v>
      </c>
      <c r="S62" s="30">
        <v>0</v>
      </c>
      <c r="T62" s="30">
        <v>0</v>
      </c>
      <c r="U62" s="30">
        <v>0</v>
      </c>
      <c r="V62" s="30">
        <v>0</v>
      </c>
    </row>
    <row r="63" spans="3:22" x14ac:dyDescent="0.25">
      <c r="C63" s="4">
        <v>44907</v>
      </c>
      <c r="D63" s="30">
        <v>10816564.369100001</v>
      </c>
      <c r="E63" s="32">
        <v>0.90247259999999996</v>
      </c>
      <c r="F63" s="38">
        <f t="shared" ref="F63" si="101">D63/TRUNC(E63,6)</f>
        <v>11985484.723182548</v>
      </c>
      <c r="G63" s="19">
        <f t="shared" ref="G63" si="102">H63*I63</f>
        <v>10799577.987457421</v>
      </c>
      <c r="H63" s="31">
        <v>0.90886180000000005</v>
      </c>
      <c r="I63" s="19">
        <f>SUMIFS([1]Master!$K$2:$K$10000,[1]Master!$A$2:$A$10000,$I$12,[1]Master!$F$2:$F$10000,"&lt;="&amp;$C63)</f>
        <v>11882530.421519993</v>
      </c>
      <c r="J63" s="19">
        <f t="shared" ref="J63" si="103">((((1+1.85%)^(1/252))-1)*D62)+SUM(J62)</f>
        <v>5869.1573603557263</v>
      </c>
      <c r="K63" s="19">
        <f>IF((NETWORKDAYS(DATE(YEAR(C63),MONTH(C63),1),C63,Feriados!$A$2:$A$842))&gt;=5,0,IF(NETWORKDAYS(DATE(YEAR(C63),MONTH(C63),1),C63,Feriados!$A$2:$A$842)=1,J62,K62))</f>
        <v>0</v>
      </c>
      <c r="L63" s="30">
        <v>0</v>
      </c>
      <c r="M63" s="19">
        <f>VLOOKUP(C63,'Fluxo de Caixa'!$B$13:$U$10027,20,FALSE)</f>
        <v>24291.589999999967</v>
      </c>
      <c r="N63" s="19">
        <f>SUMIFS([1]Master!$J$2:$J$100,[1]Master!$A$2:$A$100,"="&amp;$I$12,[1]Master!$E$2:$E$100,"="&amp;C63,[1]Master!$J$2:$J$100,"&gt;"&amp;0)</f>
        <v>100000</v>
      </c>
      <c r="O63" s="19">
        <f ca="1">-SUMIF('[1]Fluxo de Movimentações'!$A$5:$F$10001,"="&amp;$C64,'[1]Fluxo de Movimentações'!$B$5:$B$10001)</f>
        <v>-100000</v>
      </c>
      <c r="P63" s="19">
        <f>-SUMIFS([1]Master!$J$1:$J$200,[1]Master!$A$1:$A$200,"="&amp;$I$12,[1]Master!$G$1:$G$200,"&gt;"&amp;C63,[1]Master!$E$1:$E$200,"&lt;="&amp;C63)</f>
        <v>0</v>
      </c>
      <c r="Q63" s="30">
        <v>-1436.0808999999999</v>
      </c>
      <c r="R63" s="32">
        <v>0.90247259999999996</v>
      </c>
      <c r="S63" s="30">
        <v>0</v>
      </c>
      <c r="T63" s="30">
        <v>0</v>
      </c>
      <c r="U63" s="30">
        <v>0</v>
      </c>
      <c r="V63" s="30">
        <v>0</v>
      </c>
    </row>
    <row r="64" spans="3:22" x14ac:dyDescent="0.25">
      <c r="C64" s="4">
        <v>44908</v>
      </c>
      <c r="D64" s="30">
        <v>10641223.8871</v>
      </c>
      <c r="E64" s="32">
        <v>0.87949980000000005</v>
      </c>
      <c r="F64" s="38">
        <f t="shared" ref="F64" si="104">D64/TRUNC(E64,6)</f>
        <v>12099188.159508992</v>
      </c>
      <c r="G64" s="19">
        <f t="shared" ref="G64" si="105">H64*I64</f>
        <v>10625052.322369916</v>
      </c>
      <c r="H64" s="31">
        <v>0.8857585</v>
      </c>
      <c r="I64" s="19">
        <f>SUMIFS([1]Master!$K$2:$K$10000,[1]Master!$A$2:$A$10000,$I$12,[1]Master!$F$2:$F$10000,"&lt;="&amp;$C64)</f>
        <v>11995428.011551587</v>
      </c>
      <c r="J64" s="19">
        <f t="shared" ref="J64" si="106">((((1+1.85%)^(1/252))-1)*D63)+SUM(J63)</f>
        <v>6656.0033312280148</v>
      </c>
      <c r="K64" s="19">
        <f>IF((NETWORKDAYS(DATE(YEAR(C64),MONTH(C64),1),C64,Feriados!$A$2:$A$842))&gt;=5,0,IF(NETWORKDAYS(DATE(YEAR(C64),MONTH(C64),1),C64,Feriados!$A$2:$A$842)=1,J63,K63))</f>
        <v>0</v>
      </c>
      <c r="L64" s="30">
        <v>0</v>
      </c>
      <c r="M64" s="19">
        <f>VLOOKUP(C64,'Fluxo de Caixa'!$B$13:$U$10027,20,FALSE)</f>
        <v>24026.389999999967</v>
      </c>
      <c r="N64" s="19">
        <f>SUMIFS([1]Master!$J$2:$J$100,[1]Master!$A$2:$A$100,"="&amp;$I$12,[1]Master!$E$2:$E$100,"="&amp;C64,[1]Master!$J$2:$J$100,"&gt;"&amp;0)</f>
        <v>0</v>
      </c>
      <c r="O64" s="19">
        <f ca="1">-SUMIF('[1]Fluxo de Movimentações'!$A$5:$F$10001,"="&amp;$C65,'[1]Fluxo de Movimentações'!$B$5:$B$10001)</f>
        <v>0</v>
      </c>
      <c r="P64" s="19">
        <f>-SUMIFS([1]Master!$J$1:$J$200,[1]Master!$A$1:$A$200,"="&amp;$I$12,[1]Master!$G$1:$G$200,"&gt;"&amp;C64,[1]Master!$E$1:$E$200,"&lt;="&amp;C64)</f>
        <v>0</v>
      </c>
      <c r="Q64" s="30">
        <v>-1198.8529000000001</v>
      </c>
      <c r="R64" s="32">
        <v>0.87949980000000005</v>
      </c>
      <c r="S64" s="30">
        <v>0</v>
      </c>
      <c r="T64" s="30">
        <v>0</v>
      </c>
      <c r="U64" s="30">
        <v>0</v>
      </c>
      <c r="V64" s="30">
        <v>0</v>
      </c>
    </row>
    <row r="65" spans="3:22" x14ac:dyDescent="0.25">
      <c r="C65" s="4">
        <v>44909</v>
      </c>
      <c r="D65" s="30">
        <v>10706729.924699999</v>
      </c>
      <c r="E65" s="32">
        <v>0.88491390000000003</v>
      </c>
      <c r="F65" s="38">
        <f t="shared" ref="F65" si="107">D65/TRUNC(E65,6)</f>
        <v>12099189.326747375</v>
      </c>
      <c r="G65" s="19">
        <f t="shared" ref="G65" si="108">H65*I65</f>
        <v>10691457.812299065</v>
      </c>
      <c r="H65" s="31">
        <v>0.89129440000000004</v>
      </c>
      <c r="I65" s="19">
        <f>SUMIFS([1]Master!$K$2:$K$10000,[1]Master!$A$2:$A$10000,$I$12,[1]Master!$F$2:$F$10000,"&lt;="&amp;$C65)</f>
        <v>11995428.011551587</v>
      </c>
      <c r="J65" s="19">
        <f t="shared" ref="J65" si="109">((((1+1.85%)^(1/252))-1)*D64)+SUM(J64)</f>
        <v>7430.0942398564512</v>
      </c>
      <c r="K65" s="19">
        <f>IF((NETWORKDAYS(DATE(YEAR(C65),MONTH(C65),1),C65,Feriados!$A$2:$A$842))&gt;=5,0,IF(NETWORKDAYS(DATE(YEAR(C65),MONTH(C65),1),C65,Feriados!$A$2:$A$842)=1,J64,K64))</f>
        <v>0</v>
      </c>
      <c r="L65" s="30">
        <v>-85.86</v>
      </c>
      <c r="M65" s="19">
        <f>VLOOKUP(C65,'Fluxo de Caixa'!$B$13:$U$10027,20,FALSE)</f>
        <v>24026.389999999967</v>
      </c>
      <c r="N65" s="19">
        <f>SUMIFS([1]Master!$J$2:$J$100,[1]Master!$A$2:$A$100,"="&amp;$I$12,[1]Master!$E$2:$E$100,"="&amp;C65,[1]Master!$J$2:$J$100,"&gt;"&amp;0)</f>
        <v>0</v>
      </c>
      <c r="O65" s="19">
        <f ca="1">-SUMIF('[1]Fluxo de Movimentações'!$A$5:$F$10001,"="&amp;$C66,'[1]Fluxo de Movimentações'!$B$5:$B$10001)</f>
        <v>0</v>
      </c>
      <c r="P65" s="19">
        <f>-SUMIFS([1]Master!$J$1:$J$200,[1]Master!$A$1:$A$200,"="&amp;$I$12,[1]Master!$G$1:$G$200,"&gt;"&amp;C65,[1]Master!$E$1:$E$200,"&lt;="&amp;C65)</f>
        <v>0</v>
      </c>
      <c r="Q65" s="30">
        <v>-1238.3552999999999</v>
      </c>
      <c r="R65" s="32">
        <v>0.88492099999999996</v>
      </c>
      <c r="S65" s="30">
        <v>0</v>
      </c>
      <c r="T65" s="30">
        <v>0</v>
      </c>
      <c r="U65" s="30">
        <v>0</v>
      </c>
      <c r="V65" s="30">
        <v>0</v>
      </c>
    </row>
    <row r="66" spans="3:22" x14ac:dyDescent="0.25">
      <c r="C66" s="4">
        <v>44910</v>
      </c>
      <c r="D66" s="30">
        <v>10724423.7323</v>
      </c>
      <c r="E66" s="32">
        <v>0.88637630000000001</v>
      </c>
      <c r="F66" s="38">
        <f t="shared" ref="F66" si="110">D66/TRUNC(E66,6)</f>
        <v>12099181.083761293</v>
      </c>
      <c r="G66" s="19">
        <f t="shared" ref="G66" si="111">H66*I66</f>
        <v>10709988.349491309</v>
      </c>
      <c r="H66" s="31">
        <v>0.89283920000000006</v>
      </c>
      <c r="I66" s="19">
        <f>SUMIFS([1]Master!$K$2:$K$10000,[1]Master!$A$2:$A$10000,$I$12,[1]Master!$F$2:$F$10000,"&lt;="&amp;$C66)</f>
        <v>11995428.011551587</v>
      </c>
      <c r="J66" s="19">
        <f t="shared" ref="J66" si="112">((((1+1.85%)^(1/252))-1)*D65)+SUM(J65)</f>
        <v>8208.9503548844914</v>
      </c>
      <c r="K66" s="19">
        <f>IF((NETWORKDAYS(DATE(YEAR(C66),MONTH(C66),1),C66,Feriados!$A$2:$A$842))&gt;=5,0,IF(NETWORKDAYS(DATE(YEAR(C66),MONTH(C66),1),C66,Feriados!$A$2:$A$842)=1,J65,K65))</f>
        <v>0</v>
      </c>
      <c r="L66" s="30">
        <v>-104.24</v>
      </c>
      <c r="M66" s="19">
        <f>VLOOKUP(C66,'Fluxo de Caixa'!$B$13:$U$10027,20,FALSE)</f>
        <v>24026.389999999967</v>
      </c>
      <c r="N66" s="19">
        <f>SUMIFS([1]Master!$J$2:$J$100,[1]Master!$A$2:$A$100,"="&amp;$I$12,[1]Master!$E$2:$E$100,"="&amp;C66,[1]Master!$J$2:$J$100,"&gt;"&amp;0)</f>
        <v>0</v>
      </c>
      <c r="O66" s="19">
        <f ca="1">-SUMIF('[1]Fluxo de Movimentações'!$A$5:$F$10001,"="&amp;$C67,'[1]Fluxo de Movimentações'!$B$5:$B$10001)</f>
        <v>0</v>
      </c>
      <c r="P66" s="19">
        <f>-SUMIFS([1]Master!$J$1:$J$200,[1]Master!$A$1:$A$200,"="&amp;$I$12,[1]Master!$G$1:$G$200,"&gt;"&amp;C66,[1]Master!$E$1:$E$200,"&lt;="&amp;C66)</f>
        <v>0</v>
      </c>
      <c r="Q66" s="30">
        <v>-1277.8577</v>
      </c>
      <c r="R66" s="32">
        <v>0.88638490000000003</v>
      </c>
      <c r="S66" s="30">
        <v>0</v>
      </c>
      <c r="T66" s="30">
        <v>0</v>
      </c>
      <c r="U66" s="30">
        <v>0</v>
      </c>
      <c r="V66" s="30">
        <v>0</v>
      </c>
    </row>
    <row r="67" spans="3:22" x14ac:dyDescent="0.25">
      <c r="C67" s="4">
        <v>44911</v>
      </c>
      <c r="D67" s="30">
        <v>10539478.949899999</v>
      </c>
      <c r="E67" s="32">
        <v>0.87109049999999999</v>
      </c>
      <c r="F67" s="38">
        <f t="shared" ref="F67" si="113">D67/TRUNC(E67,6)</f>
        <v>12099184.871712452</v>
      </c>
      <c r="G67" s="19">
        <f t="shared" ref="G67" si="114">H67*I67</f>
        <v>10525758.967461497</v>
      </c>
      <c r="H67" s="31">
        <v>0.87748090000000001</v>
      </c>
      <c r="I67" s="19">
        <f>SUMIFS([1]Master!$K$2:$K$10000,[1]Master!$A$2:$A$10000,$I$12,[1]Master!$F$2:$F$10000,"&lt;="&amp;$C67)</f>
        <v>11995428.011551587</v>
      </c>
      <c r="J67" s="19">
        <f t="shared" ref="J67" si="115">((((1+1.85%)^(1/252))-1)*D66)+SUM(J66)</f>
        <v>8989.0935977605586</v>
      </c>
      <c r="K67" s="19">
        <f>IF((NETWORKDAYS(DATE(YEAR(C67),MONTH(C67),1),C67,Feriados!$A$2:$A$842))&gt;=5,0,IF(NETWORKDAYS(DATE(YEAR(C67),MONTH(C67),1),C67,Feriados!$A$2:$A$842)=1,J66,K66))</f>
        <v>0</v>
      </c>
      <c r="L67" s="30">
        <v>0</v>
      </c>
      <c r="M67" s="19">
        <f>VLOOKUP(C67,'Fluxo de Caixa'!$B$13:$U$10027,20,FALSE)</f>
        <v>24026.389999999967</v>
      </c>
      <c r="N67" s="19">
        <f>SUMIFS([1]Master!$J$2:$J$100,[1]Master!$A$2:$A$100,"="&amp;$I$12,[1]Master!$E$2:$E$100,"="&amp;C67,[1]Master!$J$2:$J$100,"&gt;"&amp;0)</f>
        <v>0</v>
      </c>
      <c r="O67" s="19">
        <f ca="1">-SUMIF('[1]Fluxo de Movimentações'!$A$5:$F$10001,"="&amp;$C68,'[1]Fluxo de Movimentações'!$B$5:$B$10001)</f>
        <v>0</v>
      </c>
      <c r="P67" s="19">
        <f>-SUMIFS([1]Master!$J$1:$J$200,[1]Master!$A$1:$A$200,"="&amp;$I$12,[1]Master!$G$1:$G$200,"&gt;"&amp;C67,[1]Master!$E$1:$E$200,"&lt;="&amp;C67)</f>
        <v>0</v>
      </c>
      <c r="Q67" s="30">
        <v>-1317.3601000000001</v>
      </c>
      <c r="R67" s="32">
        <v>0.87109049999999999</v>
      </c>
      <c r="S67" s="30">
        <v>0</v>
      </c>
      <c r="T67" s="30">
        <v>0</v>
      </c>
      <c r="U67" s="30">
        <v>0</v>
      </c>
      <c r="V67" s="30">
        <v>0</v>
      </c>
    </row>
    <row r="68" spans="3:22" x14ac:dyDescent="0.25">
      <c r="C68" s="4">
        <v>44914</v>
      </c>
      <c r="D68" s="30">
        <v>10878392.1675</v>
      </c>
      <c r="E68" s="32">
        <v>0.89910179999999995</v>
      </c>
      <c r="F68" s="38">
        <f t="shared" ref="F68" si="116">D68/TRUNC(E68,6)</f>
        <v>12099188.152943885</v>
      </c>
      <c r="G68" s="19">
        <f t="shared" ref="G68" si="117">H68*I68</f>
        <v>10865784.968505342</v>
      </c>
      <c r="H68" s="31">
        <v>0.90582720000000005</v>
      </c>
      <c r="I68" s="19">
        <f>SUMIFS([1]Master!$K$2:$K$10000,[1]Master!$A$2:$A$10000,$I$12,[1]Master!$F$2:$F$10000,"&lt;="&amp;$C68)</f>
        <v>11995428.011551587</v>
      </c>
      <c r="J68" s="19">
        <f t="shared" ref="J68" si="118">((((1+1.85%)^(1/252))-1)*D67)+SUM(J67)</f>
        <v>9755.7831180034937</v>
      </c>
      <c r="K68" s="19">
        <f>IF((NETWORKDAYS(DATE(YEAR(C68),MONTH(C68),1),C68,Feriados!$A$2:$A$842))&gt;=5,0,IF(NETWORKDAYS(DATE(YEAR(C68),MONTH(C68),1),C68,Feriados!$A$2:$A$842)=1,J67,K67))</f>
        <v>0</v>
      </c>
      <c r="L68" s="30">
        <v>-306.60000000000002</v>
      </c>
      <c r="M68" s="19">
        <f>VLOOKUP(C68,'Fluxo de Caixa'!$B$13:$U$10027,20,FALSE)</f>
        <v>24026.390000000014</v>
      </c>
      <c r="N68" s="19">
        <f>SUMIFS([1]Master!$J$2:$J$100,[1]Master!$A$2:$A$100,"="&amp;$I$12,[1]Master!$E$2:$E$100,"="&amp;C68,[1]Master!$J$2:$J$100,"&gt;"&amp;0)</f>
        <v>1000000</v>
      </c>
      <c r="O68" s="19">
        <f ca="1">-SUMIF('[1]Fluxo de Movimentações'!$A$5:$F$10001,"="&amp;$C69,'[1]Fluxo de Movimentações'!$B$5:$B$10001)</f>
        <v>-1000000</v>
      </c>
      <c r="P68" s="19">
        <f>-SUMIFS([1]Master!$J$1:$J$200,[1]Master!$A$1:$A$200,"="&amp;$I$12,[1]Master!$G$1:$G$200,"&gt;"&amp;C68,[1]Master!$E$1:$E$200,"&lt;="&amp;C68)</f>
        <v>0</v>
      </c>
      <c r="Q68" s="30">
        <v>-1356.8625</v>
      </c>
      <c r="R68" s="32">
        <v>0.89912709999999996</v>
      </c>
      <c r="S68" s="30">
        <v>0</v>
      </c>
      <c r="T68" s="30">
        <v>0</v>
      </c>
      <c r="U68" s="30">
        <v>0</v>
      </c>
      <c r="V68" s="30">
        <v>0</v>
      </c>
    </row>
    <row r="69" spans="3:22" x14ac:dyDescent="0.25">
      <c r="C69" s="4">
        <v>44915</v>
      </c>
      <c r="D69" s="30">
        <v>12170085.1251</v>
      </c>
      <c r="E69" s="32">
        <v>0.92321030000000004</v>
      </c>
      <c r="F69" s="38">
        <f t="shared" ref="F69" si="119">D69/TRUNC(E69,6)</f>
        <v>13182358.428851508</v>
      </c>
      <c r="G69" s="19">
        <f t="shared" ref="G69" si="120">H69*I69</f>
        <v>12161794.946003599</v>
      </c>
      <c r="H69" s="31">
        <v>0.93050409999999995</v>
      </c>
      <c r="I69" s="19">
        <f>SUMIFS([1]Master!$K$2:$K$10000,[1]Master!$A$2:$A$10000,$I$12,[1]Master!$F$2:$F$10000,"&lt;="&amp;$C69)</f>
        <v>13070114.302563094</v>
      </c>
      <c r="J69" s="19">
        <f t="shared" ref="J69" si="121">((((1+1.85%)^(1/252))-1)*D68)+SUM(J68)</f>
        <v>10547.126723466477</v>
      </c>
      <c r="K69" s="19">
        <f>IF((NETWORKDAYS(DATE(YEAR(C69),MONTH(C69),1),C69,Feriados!$A$2:$A$842))&gt;=5,0,IF(NETWORKDAYS(DATE(YEAR(C69),MONTH(C69),1),C69,Feriados!$A$2:$A$842)=1,J68,K68))</f>
        <v>0</v>
      </c>
      <c r="L69" s="30">
        <v>-3792.78</v>
      </c>
      <c r="M69" s="19">
        <f>VLOOKUP(C69,'Fluxo de Caixa'!$B$13:$U$10027,20,FALSE)</f>
        <v>24026.390000000014</v>
      </c>
      <c r="N69" s="19">
        <f>SUMIFS([1]Master!$J$2:$J$100,[1]Master!$A$2:$A$100,"="&amp;$I$12,[1]Master!$E$2:$E$100,"="&amp;C69,[1]Master!$J$2:$J$100,"&gt;"&amp;0)</f>
        <v>0</v>
      </c>
      <c r="O69" s="19">
        <f ca="1">-SUMIF('[1]Fluxo de Movimentações'!$A$5:$F$10001,"="&amp;$C70,'[1]Fluxo de Movimentações'!$B$5:$B$10001)</f>
        <v>0</v>
      </c>
      <c r="P69" s="19">
        <f>-SUMIFS([1]Master!$J$1:$J$200,[1]Master!$A$1:$A$200,"="&amp;$I$12,[1]Master!$G$1:$G$200,"&gt;"&amp;C69,[1]Master!$E$1:$E$200,"&lt;="&amp;C69)</f>
        <v>0</v>
      </c>
      <c r="Q69" s="30">
        <v>-1396.3649</v>
      </c>
      <c r="R69" s="32">
        <v>0.92352380000000001</v>
      </c>
      <c r="S69" s="30">
        <v>0</v>
      </c>
      <c r="T69" s="30">
        <v>0</v>
      </c>
      <c r="U69" s="30">
        <v>0</v>
      </c>
      <c r="V69" s="30">
        <v>0</v>
      </c>
    </row>
    <row r="70" spans="3:22" x14ac:dyDescent="0.25">
      <c r="C70" s="4">
        <v>44916</v>
      </c>
      <c r="D70" s="30">
        <v>12271733.3127</v>
      </c>
      <c r="E70" s="32">
        <v>0.9309212</v>
      </c>
      <c r="F70" s="38">
        <f t="shared" ref="F70" si="122">D70/TRUNC(E70,6)</f>
        <v>13182357.378015965</v>
      </c>
      <c r="G70" s="19">
        <f t="shared" ref="G70" si="123">H70*I70</f>
        <v>12266988.453956349</v>
      </c>
      <c r="H70" s="31">
        <v>0.93855250000000001</v>
      </c>
      <c r="I70" s="19">
        <f>SUMIFS([1]Master!$K$2:$K$10000,[1]Master!$A$2:$A$10000,$I$12,[1]Master!$F$2:$F$10000,"&lt;="&amp;$C70)</f>
        <v>13070114.302563094</v>
      </c>
      <c r="J70" s="19">
        <f t="shared" ref="J70" si="124">((((1+1.85%)^(1/252))-1)*D69)+SUM(J69)</f>
        <v>11432.433935543326</v>
      </c>
      <c r="K70" s="19">
        <f>IF((NETWORKDAYS(DATE(YEAR(C70),MONTH(C70),1),C70,Feriados!$A$2:$A$842))&gt;=5,0,IF(NETWORKDAYS(DATE(YEAR(C70),MONTH(C70),1),C70,Feriados!$A$2:$A$842)=1,J69,K69))</f>
        <v>0</v>
      </c>
      <c r="L70" s="30">
        <v>-6413.29</v>
      </c>
      <c r="M70" s="19">
        <f>VLOOKUP(C70,'Fluxo de Caixa'!$B$13:$U$10027,20,FALSE)</f>
        <v>24026.390000000014</v>
      </c>
      <c r="N70" s="19">
        <f>SUMIFS([1]Master!$J$2:$J$100,[1]Master!$A$2:$A$100,"="&amp;$I$12,[1]Master!$E$2:$E$100,"="&amp;C70,[1]Master!$J$2:$J$100,"&gt;"&amp;0)</f>
        <v>0</v>
      </c>
      <c r="O70" s="19">
        <f ca="1">-SUMIF('[1]Fluxo de Movimentações'!$A$5:$F$10001,"="&amp;$C71,'[1]Fluxo de Movimentações'!$B$5:$B$10001)</f>
        <v>0</v>
      </c>
      <c r="P70" s="19">
        <f>-SUMIFS([1]Master!$J$1:$J$200,[1]Master!$A$1:$A$200,"="&amp;$I$12,[1]Master!$G$1:$G$200,"&gt;"&amp;C70,[1]Master!$E$1:$E$200,"&lt;="&amp;C70)</f>
        <v>0</v>
      </c>
      <c r="Q70" s="30">
        <v>-1435.8672999999999</v>
      </c>
      <c r="R70" s="32">
        <v>0.93140769999999995</v>
      </c>
      <c r="S70" s="30">
        <v>0</v>
      </c>
      <c r="T70" s="30">
        <v>0</v>
      </c>
      <c r="U70" s="30">
        <v>0</v>
      </c>
      <c r="V70" s="30">
        <v>0</v>
      </c>
    </row>
    <row r="71" spans="3:22" x14ac:dyDescent="0.25">
      <c r="C71" s="4">
        <v>44917</v>
      </c>
      <c r="D71" s="30">
        <v>12271578.200300001</v>
      </c>
      <c r="E71" s="32">
        <v>0.93090949999999995</v>
      </c>
      <c r="F71" s="38">
        <f t="shared" ref="F71" si="125">D71/TRUNC(E71,6)</f>
        <v>13182360.682193426</v>
      </c>
      <c r="G71" s="19">
        <f t="shared" ref="G71" si="126">H71*I71</f>
        <v>12267601.442317137</v>
      </c>
      <c r="H71" s="31">
        <v>0.93859939999999997</v>
      </c>
      <c r="I71" s="19">
        <f>SUMIFS([1]Master!$K$2:$K$10000,[1]Master!$A$2:$A$10000,$I$12,[1]Master!$F$2:$F$10000,"&lt;="&amp;$C71)</f>
        <v>13070114.302563094</v>
      </c>
      <c r="J71" s="19">
        <f t="shared" ref="J71" si="127">((((1+1.85%)^(1/252))-1)*D70)+SUM(J70)</f>
        <v>12325.135498000784</v>
      </c>
      <c r="K71" s="19">
        <f>IF((NETWORKDAYS(DATE(YEAR(C71),MONTH(C71),1),C71,Feriados!$A$2:$A$842))&gt;=5,0,IF(NETWORKDAYS(DATE(YEAR(C71),MONTH(C71),1),C71,Feriados!$A$2:$A$842)=1,J70,K70))</f>
        <v>0</v>
      </c>
      <c r="L71" s="30">
        <v>-6249.19</v>
      </c>
      <c r="M71" s="19">
        <f>VLOOKUP(C71,'Fluxo de Caixa'!$B$13:$U$10027,20,FALSE)</f>
        <v>24026.390000000014</v>
      </c>
      <c r="N71" s="19">
        <f>SUMIFS([1]Master!$J$2:$J$100,[1]Master!$A$2:$A$100,"="&amp;$I$12,[1]Master!$E$2:$E$100,"="&amp;C71,[1]Master!$J$2:$J$100,"&gt;"&amp;0)</f>
        <v>0</v>
      </c>
      <c r="O71" s="19">
        <f ca="1">-SUMIF('[1]Fluxo de Movimentações'!$A$5:$F$10001,"="&amp;$C72,'[1]Fluxo de Movimentações'!$B$5:$B$10001)</f>
        <v>0</v>
      </c>
      <c r="P71" s="19">
        <f>-SUMIFS([1]Master!$J$1:$J$200,[1]Master!$A$1:$A$200,"="&amp;$I$12,[1]Master!$G$1:$G$200,"&gt;"&amp;C71,[1]Master!$E$1:$E$200,"&lt;="&amp;C71)</f>
        <v>0</v>
      </c>
      <c r="Q71" s="30">
        <v>-1475.3697</v>
      </c>
      <c r="R71" s="32">
        <v>0.93138350000000003</v>
      </c>
      <c r="S71" s="30">
        <v>0</v>
      </c>
      <c r="T71" s="30">
        <v>0</v>
      </c>
      <c r="U71" s="30">
        <v>0</v>
      </c>
      <c r="V71" s="30">
        <v>0</v>
      </c>
    </row>
    <row r="72" spans="3:22" x14ac:dyDescent="0.25">
      <c r="C72" s="4">
        <v>44918</v>
      </c>
      <c r="D72" s="30">
        <v>12695661.9279</v>
      </c>
      <c r="E72" s="32">
        <v>0.96308000000000005</v>
      </c>
      <c r="F72" s="38">
        <f t="shared" ref="F72" si="128">D72/TRUNC(E72,6)</f>
        <v>13182354.454354778</v>
      </c>
      <c r="G72" s="19">
        <f t="shared" ref="G72" si="129">H72*I72</f>
        <v>12703880.550725264</v>
      </c>
      <c r="H72" s="31">
        <v>0.97197929999999999</v>
      </c>
      <c r="I72" s="19">
        <f>SUMIFS([1]Master!$K$2:$K$10000,[1]Master!$A$2:$A$10000,$I$12,[1]Master!$F$2:$F$10000,"&lt;="&amp;$C72)</f>
        <v>13070114.302563094</v>
      </c>
      <c r="J72" s="19">
        <f t="shared" ref="J72" si="130">((((1+1.85%)^(1/252))-1)*D71)+SUM(J71)</f>
        <v>13217.825776878464</v>
      </c>
      <c r="K72" s="19">
        <f>IF((NETWORKDAYS(DATE(YEAR(C72),MONTH(C72),1),C72,Feriados!$A$2:$A$842))&gt;=5,0,IF(NETWORKDAYS(DATE(YEAR(C72),MONTH(C72),1),C72,Feriados!$A$2:$A$842)=1,J71,K71))</f>
        <v>0</v>
      </c>
      <c r="L72" s="30">
        <v>-17512.38</v>
      </c>
      <c r="M72" s="19">
        <f>VLOOKUP(C72,'Fluxo de Caixa'!$B$13:$U$10027,20,FALSE)</f>
        <v>24026.390000000014</v>
      </c>
      <c r="N72" s="19">
        <f>SUMIFS([1]Master!$J$2:$J$100,[1]Master!$A$2:$A$100,"="&amp;$I$12,[1]Master!$E$2:$E$100,"="&amp;C72,[1]Master!$J$2:$J$100,"&gt;"&amp;0)</f>
        <v>1000000</v>
      </c>
      <c r="O72" s="19">
        <f ca="1">-SUMIF('[1]Fluxo de Movimentações'!$A$5:$F$10001,"="&amp;$C73,'[1]Fluxo de Movimentações'!$B$5:$B$10001)</f>
        <v>-1000000</v>
      </c>
      <c r="P72" s="19">
        <f>-SUMIFS([1]Master!$J$1:$J$200,[1]Master!$A$1:$A$200,"="&amp;$I$12,[1]Master!$G$1:$G$200,"&gt;"&amp;C72,[1]Master!$E$1:$E$200,"&lt;="&amp;C72)</f>
        <v>0</v>
      </c>
      <c r="Q72" s="30">
        <v>-1514.8721</v>
      </c>
      <c r="R72" s="32">
        <v>0.9644085</v>
      </c>
      <c r="S72" s="30">
        <v>0</v>
      </c>
      <c r="T72" s="30">
        <v>0</v>
      </c>
      <c r="U72" s="30">
        <v>0</v>
      </c>
      <c r="V72" s="30">
        <v>0</v>
      </c>
    </row>
    <row r="73" spans="3:22" x14ac:dyDescent="0.25">
      <c r="C73" s="4">
        <v>44921</v>
      </c>
      <c r="D73" s="30">
        <v>13500644.8255</v>
      </c>
      <c r="E73" s="32">
        <v>0.94828619999999997</v>
      </c>
      <c r="F73" s="38">
        <f t="shared" ref="F73" si="131">D73/TRUNC(E73,6)</f>
        <v>14236891.428851634</v>
      </c>
      <c r="G73" s="19">
        <f t="shared" ref="G73" si="132">H73*I73</f>
        <v>13504512.948188256</v>
      </c>
      <c r="H73" s="31">
        <v>0.95672559999999995</v>
      </c>
      <c r="I73" s="19">
        <f>SUMIFS([1]Master!$K$2:$K$10000,[1]Master!$A$2:$A$10000,$I$12,[1]Master!$F$2:$F$10000,"&lt;="&amp;$C73)</f>
        <v>14115346.080619413</v>
      </c>
      <c r="J73" s="19">
        <f t="shared" ref="J73" si="133">((((1+1.85%)^(1/252))-1)*D72)+SUM(J72)</f>
        <v>14141.365830322995</v>
      </c>
      <c r="K73" s="19">
        <f>IF((NETWORKDAYS(DATE(YEAR(C73),MONTH(C73),1),C73,Feriados!$A$2:$A$842))&gt;=5,0,IF(NETWORKDAYS(DATE(YEAR(C73),MONTH(C73),1),C73,Feriados!$A$2:$A$842)=1,J72,K72))</f>
        <v>0</v>
      </c>
      <c r="L73" s="30">
        <v>-12198.84</v>
      </c>
      <c r="M73" s="19">
        <f>VLOOKUP(C73,'Fluxo de Caixa'!$B$13:$U$10027,20,FALSE)</f>
        <v>24026.390000000014</v>
      </c>
      <c r="N73" s="19">
        <f>SUMIFS([1]Master!$J$2:$J$100,[1]Master!$A$2:$A$100,"="&amp;$I$12,[1]Master!$E$2:$E$100,"="&amp;C73,[1]Master!$J$2:$J$100,"&gt;"&amp;0)</f>
        <v>0</v>
      </c>
      <c r="O73" s="19">
        <f ca="1">-SUMIF('[1]Fluxo de Movimentações'!$A$5:$F$10001,"="&amp;$C74,'[1]Fluxo de Movimentações'!$B$5:$B$10001)</f>
        <v>0</v>
      </c>
      <c r="P73" s="19">
        <f>-SUMIFS([1]Master!$J$1:$J$200,[1]Master!$A$1:$A$200,"="&amp;$I$12,[1]Master!$G$1:$G$200,"&gt;"&amp;C73,[1]Master!$E$1:$E$200,"&lt;="&amp;C73)</f>
        <v>0</v>
      </c>
      <c r="Q73" s="30">
        <v>-1554.3744999999999</v>
      </c>
      <c r="R73" s="32">
        <v>0.94921160000000004</v>
      </c>
      <c r="S73" s="30">
        <v>0</v>
      </c>
      <c r="T73" s="30">
        <v>0</v>
      </c>
      <c r="U73" s="30">
        <v>0</v>
      </c>
      <c r="V73" s="30">
        <v>0</v>
      </c>
    </row>
    <row r="74" spans="3:22" x14ac:dyDescent="0.25">
      <c r="C74" s="4">
        <v>44922</v>
      </c>
      <c r="D74" s="30">
        <v>13284821.1631</v>
      </c>
      <c r="E74" s="32">
        <v>0.93312680000000003</v>
      </c>
      <c r="F74" s="38">
        <f t="shared" ref="F74" si="134">D74/TRUNC(E74,6)</f>
        <v>14236899.58601518</v>
      </c>
      <c r="G74" s="19">
        <f t="shared" ref="G74" si="135">H74*I74</f>
        <v>13284173.807404395</v>
      </c>
      <c r="H74" s="31">
        <v>0.9411157</v>
      </c>
      <c r="I74" s="19">
        <f>SUMIFS([1]Master!$K$2:$K$10000,[1]Master!$A$2:$A$10000,$I$12,[1]Master!$F$2:$F$10000,"&lt;="&amp;$C74)</f>
        <v>14115346.080619413</v>
      </c>
      <c r="J74" s="19">
        <f t="shared" ref="J74" si="136">((((1+1.85%)^(1/252))-1)*D73)+SUM(J73)</f>
        <v>15123.463992237448</v>
      </c>
      <c r="K74" s="19">
        <f>IF((NETWORKDAYS(DATE(YEAR(C74),MONTH(C74),1),C74,Feriados!$A$2:$A$842))&gt;=5,0,IF(NETWORKDAYS(DATE(YEAR(C74),MONTH(C74),1),C74,Feriados!$A$2:$A$842)=1,J73,K73))</f>
        <v>0</v>
      </c>
      <c r="L74" s="30">
        <v>-6661.77</v>
      </c>
      <c r="M74" s="19">
        <f>VLOOKUP(C74,'Fluxo de Caixa'!$B$13:$U$10027,20,FALSE)</f>
        <v>24026.390000000014</v>
      </c>
      <c r="N74" s="19">
        <f>SUMIFS([1]Master!$J$2:$J$100,[1]Master!$A$2:$A$100,"="&amp;$I$12,[1]Master!$E$2:$E$100,"="&amp;C74,[1]Master!$J$2:$J$100,"&gt;"&amp;0)</f>
        <v>0</v>
      </c>
      <c r="O74" s="19">
        <f ca="1">-SUMIF('[1]Fluxo de Movimentações'!$A$5:$F$10001,"="&amp;$C75,'[1]Fluxo de Movimentações'!$B$5:$B$10001)</f>
        <v>0</v>
      </c>
      <c r="P74" s="19">
        <f>-SUMIFS([1]Master!$J$1:$J$200,[1]Master!$A$1:$A$200,"="&amp;$I$12,[1]Master!$G$1:$G$200,"&gt;"&amp;C74,[1]Master!$E$1:$E$200,"&lt;="&amp;C74)</f>
        <v>0</v>
      </c>
      <c r="Q74" s="30">
        <v>-1593.8769</v>
      </c>
      <c r="R74" s="32">
        <v>0.9335947</v>
      </c>
      <c r="S74" s="30">
        <v>0</v>
      </c>
      <c r="T74" s="30">
        <v>0</v>
      </c>
      <c r="U74" s="30">
        <v>0</v>
      </c>
      <c r="V74" s="30">
        <v>0</v>
      </c>
    </row>
    <row r="75" spans="3:22" x14ac:dyDescent="0.25">
      <c r="C75" s="4">
        <v>44923</v>
      </c>
      <c r="D75" s="30">
        <v>13546541.4307</v>
      </c>
      <c r="E75" s="32">
        <v>0.95150999999999997</v>
      </c>
      <c r="F75" s="38">
        <f t="shared" ref="F75" si="137">D75/TRUNC(E75,6)</f>
        <v>14236888.136435771</v>
      </c>
      <c r="G75" s="19">
        <f t="shared" ref="G75" si="138">H75*I75</f>
        <v>13553817.852047861</v>
      </c>
      <c r="H75" s="31">
        <v>0.96021860000000003</v>
      </c>
      <c r="I75" s="19">
        <f>SUMIFS([1]Master!$K$2:$K$10000,[1]Master!$A$2:$A$10000,$I$12,[1]Master!$F$2:$F$10000,"&lt;="&amp;$C75)</f>
        <v>14115346.080619413</v>
      </c>
      <c r="J75" s="19">
        <f t="shared" ref="J75" si="139">((((1+1.85%)^(1/252))-1)*D74)+SUM(J74)</f>
        <v>16089.862161678924</v>
      </c>
      <c r="K75" s="19">
        <f>IF((NETWORKDAYS(DATE(YEAR(C75),MONTH(C75),1),C75,Feriados!$A$2:$A$842))&gt;=5,0,IF(NETWORKDAYS(DATE(YEAR(C75),MONTH(C75),1),C75,Feriados!$A$2:$A$842)=1,J74,K74))</f>
        <v>0</v>
      </c>
      <c r="L75" s="30">
        <v>-13579.65</v>
      </c>
      <c r="M75" s="19">
        <f>VLOOKUP(C75,'Fluxo de Caixa'!$B$13:$U$10027,20,FALSE)</f>
        <v>24026.390000000014</v>
      </c>
      <c r="N75" s="19">
        <f>SUMIFS([1]Master!$J$2:$J$100,[1]Master!$A$2:$A$100,"="&amp;$I$12,[1]Master!$E$2:$E$100,"="&amp;C75,[1]Master!$J$2:$J$100,"&gt;"&amp;0)</f>
        <v>0</v>
      </c>
      <c r="O75" s="19">
        <f ca="1">-SUMIF('[1]Fluxo de Movimentações'!$A$5:$F$10001,"="&amp;$C76,'[1]Fluxo de Movimentações'!$B$5:$B$10001)</f>
        <v>0</v>
      </c>
      <c r="P75" s="19">
        <f>-SUMIFS([1]Master!$J$1:$J$200,[1]Master!$A$1:$A$200,"="&amp;$I$12,[1]Master!$G$1:$G$200,"&gt;"&amp;C75,[1]Master!$E$1:$E$200,"&lt;="&amp;C75)</f>
        <v>0</v>
      </c>
      <c r="Q75" s="30">
        <v>-1633.3793000000001</v>
      </c>
      <c r="R75" s="32">
        <v>0.95246379999999997</v>
      </c>
      <c r="S75" s="30">
        <v>0</v>
      </c>
      <c r="T75" s="30">
        <v>0</v>
      </c>
      <c r="U75" s="30">
        <v>0</v>
      </c>
      <c r="V75" s="30">
        <v>0</v>
      </c>
    </row>
    <row r="76" spans="3:22" x14ac:dyDescent="0.25">
      <c r="C76" s="4">
        <v>44924</v>
      </c>
      <c r="D76" s="30">
        <v>13545265.438300001</v>
      </c>
      <c r="E76" s="32">
        <v>0.95142040000000005</v>
      </c>
      <c r="F76" s="38">
        <f t="shared" ref="F76" si="140">D76/TRUNC(E76,6)</f>
        <v>14236893.735994618</v>
      </c>
      <c r="G76" s="19">
        <f t="shared" ref="G76" si="141">H76*I76</f>
        <v>13553311.111123566</v>
      </c>
      <c r="H76" s="31">
        <v>0.96018269999999994</v>
      </c>
      <c r="I76" s="19">
        <f>SUMIFS([1]Master!$K$2:$K$10000,[1]Master!$A$2:$A$10000,$I$12,[1]Master!$F$2:$F$10000,"&lt;="&amp;$C76)</f>
        <v>14115346.080619413</v>
      </c>
      <c r="J76" s="19">
        <f t="shared" ref="J76" si="142">((((1+1.85%)^(1/252))-1)*D75)+SUM(J75)</f>
        <v>17075.29905090512</v>
      </c>
      <c r="K76" s="19">
        <f>IF((NETWORKDAYS(DATE(YEAR(C76),MONTH(C76),1),C76,Feriados!$A$2:$A$842))&gt;=5,0,IF(NETWORKDAYS(DATE(YEAR(C76),MONTH(C76),1),C76,Feriados!$A$2:$A$842)=1,J75,K75))</f>
        <v>0</v>
      </c>
      <c r="L76" s="30">
        <v>-13323.97</v>
      </c>
      <c r="M76" s="19">
        <f>VLOOKUP(C76,'Fluxo de Caixa'!$B$13:$U$10027,20,FALSE)</f>
        <v>24026.390000000014</v>
      </c>
      <c r="N76" s="19">
        <f>SUMIFS([1]Master!$J$2:$J$100,[1]Master!$A$2:$A$100,"="&amp;$I$12,[1]Master!$E$2:$E$100,"="&amp;C76,[1]Master!$J$2:$J$100,"&gt;"&amp;0)</f>
        <v>0</v>
      </c>
      <c r="O76" s="19">
        <f ca="1">-SUMIF('[1]Fluxo de Movimentações'!$A$5:$F$10001,"="&amp;$C77,'[1]Fluxo de Movimentações'!$B$5:$B$10001)</f>
        <v>0</v>
      </c>
      <c r="P76" s="19">
        <f>-SUMIFS([1]Master!$J$1:$J$200,[1]Master!$A$1:$A$200,"="&amp;$I$12,[1]Master!$G$1:$G$200,"&gt;"&amp;C76,[1]Master!$E$1:$E$200,"&lt;="&amp;C76)</f>
        <v>0</v>
      </c>
      <c r="Q76" s="30">
        <v>-1672.8816999999999</v>
      </c>
      <c r="R76" s="32">
        <v>0.95235630000000004</v>
      </c>
      <c r="S76" s="30">
        <v>0</v>
      </c>
      <c r="T76" s="30">
        <v>0</v>
      </c>
      <c r="U76" s="30">
        <v>0</v>
      </c>
      <c r="V76" s="30">
        <v>0</v>
      </c>
    </row>
    <row r="77" spans="3:22" x14ac:dyDescent="0.25">
      <c r="C77" s="4">
        <v>44925</v>
      </c>
      <c r="D77" s="30">
        <v>13548005.9672</v>
      </c>
      <c r="E77" s="32">
        <v>0.95161289999999998</v>
      </c>
      <c r="F77" s="38">
        <f t="shared" ref="F77" si="143">D77/TRUNC(E77,6)</f>
        <v>14236901.139540065</v>
      </c>
      <c r="G77" s="19">
        <f t="shared" ref="G77" si="144">H77*I77</f>
        <v>13555549.805011952</v>
      </c>
      <c r="H77" s="31">
        <v>0.96034129999999995</v>
      </c>
      <c r="I77" s="19">
        <f>SUMIFS([1]Master!$K$2:$K$10000,[1]Master!$A$2:$A$10000,$I$12,[1]Master!$F$2:$F$10000,"&lt;="&amp;$C77)</f>
        <v>14115346.080619413</v>
      </c>
      <c r="J77" s="19">
        <f t="shared" ref="J77:J79" si="145">((((1+1.85%)^(1/252))-1)*D76)+SUM(J76)</f>
        <v>18060.643118654501</v>
      </c>
      <c r="K77" s="19">
        <f>IF((NETWORKDAYS(DATE(YEAR(C77),MONTH(C77),1),C77,Feriados!$A$2:$A$842))&gt;=5,0,IF(NETWORKDAYS(DATE(YEAR(C77),MONTH(C77),1),C77,Feriados!$A$2:$A$842)=1,J76,K76))</f>
        <v>0</v>
      </c>
      <c r="L77" s="30">
        <v>-13215.48</v>
      </c>
      <c r="M77" s="19">
        <f>VLOOKUP(C77,'Fluxo de Caixa'!$B$13:$U$10027,20,FALSE)</f>
        <v>24026.390000000014</v>
      </c>
      <c r="N77" s="19">
        <f>SUMIFS([1]Master!$J$2:$J$100,[1]Master!$A$2:$A$100,"="&amp;$I$12,[1]Master!$E$2:$E$100,"="&amp;C77,[1]Master!$J$2:$J$100,"&gt;"&amp;0)</f>
        <v>0</v>
      </c>
      <c r="O77" s="19">
        <f ca="1">-SUMIF('[1]Fluxo de Movimentações'!$A$5:$F$10001,"="&amp;$C78,'[1]Fluxo de Movimentações'!$B$5:$B$10001)</f>
        <v>0</v>
      </c>
      <c r="P77" s="19">
        <f>-SUMIFS([1]Master!$J$1:$J$200,[1]Master!$A$1:$A$200,"="&amp;$I$12,[1]Master!$G$1:$G$200,"&gt;"&amp;C77,[1]Master!$E$1:$E$200,"&lt;="&amp;C77)</f>
        <v>0</v>
      </c>
      <c r="Q77" s="30">
        <v>-294.20280000000002</v>
      </c>
      <c r="R77" s="32">
        <v>0.95254110000000003</v>
      </c>
      <c r="S77" s="30">
        <v>0</v>
      </c>
      <c r="T77" s="30">
        <v>0</v>
      </c>
      <c r="U77" s="30">
        <v>0</v>
      </c>
      <c r="V77" s="30">
        <v>0</v>
      </c>
    </row>
    <row r="78" spans="3:22" x14ac:dyDescent="0.25">
      <c r="C78" s="4">
        <v>44928</v>
      </c>
      <c r="D78" s="30">
        <v>13067597.2148</v>
      </c>
      <c r="E78" s="32">
        <v>0.91786889999999999</v>
      </c>
      <c r="F78" s="38">
        <f t="shared" ref="F78" si="146">D78/TRUNC(E78,6)</f>
        <v>14236902.490118405</v>
      </c>
      <c r="G78" s="19">
        <f t="shared" ref="G78" si="147">H78*I78</f>
        <v>13065112.105440831</v>
      </c>
      <c r="H78" s="31">
        <v>0.92559630000000004</v>
      </c>
      <c r="I78" s="19">
        <f>SUMIFS([1]Master!$K$2:$K$10000,[1]Master!$A$2:$A$10000,$I$12,[1]Master!$F$2:$F$10000,"&lt;="&amp;$C78)</f>
        <v>14115346.080619413</v>
      </c>
      <c r="J78" s="19">
        <f>((((1+1.85%)^(1/252))-1)*D77)</f>
        <v>985.54342625633797</v>
      </c>
      <c r="K78" s="19">
        <f>IF((NETWORKDAYS(DATE(YEAR(C78),MONTH(C78),1),C78,Feriados!$A$2:$A$842))&gt;=5,0,IF(NETWORKDAYS(DATE(YEAR(C78),MONTH(C78),1),C78,Feriados!$A$2:$A$842)=1,J77,K77))</f>
        <v>18060.643118654501</v>
      </c>
      <c r="L78" s="30">
        <v>-2161.4899999999998</v>
      </c>
      <c r="M78" s="19">
        <f>VLOOKUP(C78,'Fluxo de Caixa'!$B$13:$U$10027,20,FALSE)</f>
        <v>24026.390000000014</v>
      </c>
      <c r="N78" s="19">
        <f>SUMIFS([1]Master!$J$2:$J$100,[1]Master!$A$2:$A$100,"="&amp;$I$12,[1]Master!$E$2:$E$100,"="&amp;C78,[1]Master!$J$2:$J$100,"&gt;"&amp;0)</f>
        <v>0</v>
      </c>
      <c r="O78" s="19">
        <f ca="1">-SUMIF('[1]Fluxo de Movimentações'!$A$5:$F$10001,"="&amp;$C79,'[1]Fluxo de Movimentações'!$B$5:$B$10001)</f>
        <v>0</v>
      </c>
      <c r="P78" s="19">
        <f>-SUMIFS([1]Master!$J$1:$J$200,[1]Master!$A$1:$A$200,"="&amp;$I$12,[1]Master!$G$1:$G$200,"&gt;"&amp;C78,[1]Master!$E$1:$E$200,"&lt;="&amp;C78)</f>
        <v>0</v>
      </c>
      <c r="Q78" s="30">
        <v>-333.70519999999999</v>
      </c>
      <c r="R78" s="32">
        <v>0.91802079999999997</v>
      </c>
      <c r="S78" s="30">
        <v>0</v>
      </c>
      <c r="T78" s="30">
        <v>0</v>
      </c>
      <c r="U78" s="30">
        <v>0</v>
      </c>
      <c r="V78" s="30">
        <v>0</v>
      </c>
    </row>
    <row r="79" spans="3:22" x14ac:dyDescent="0.25">
      <c r="C79" s="4">
        <v>44929</v>
      </c>
      <c r="D79" s="30">
        <v>12782564.5724</v>
      </c>
      <c r="E79" s="32">
        <v>0.89784819999999999</v>
      </c>
      <c r="F79" s="38">
        <f t="shared" ref="F79" si="148">D79/TRUNC(E79,6)</f>
        <v>14236891.514376599</v>
      </c>
      <c r="G79" s="19">
        <f t="shared" ref="G79" si="149">H79*I79</f>
        <v>12759122.490036009</v>
      </c>
      <c r="H79" s="31">
        <v>0.90533540000000001</v>
      </c>
      <c r="I79" s="19">
        <f>SUMIFS([1]Master!$K$2:$K$10000,[1]Master!$A$2:$A$10000,$I$12,[1]Master!$F$2:$F$10000,"&lt;="&amp;$C79)</f>
        <v>14093254.820297549</v>
      </c>
      <c r="J79" s="19">
        <f t="shared" si="145"/>
        <v>1936.1397400748683</v>
      </c>
      <c r="K79" s="19">
        <f>IF((NETWORKDAYS(DATE(YEAR(C79),MONTH(C79),1),C79,Feriados!$A$2:$A$842))&gt;=5,0,IF(NETWORKDAYS(DATE(YEAR(C79),MONTH(C79),1),C79,Feriados!$A$2:$A$842)=1,J78,K78))</f>
        <v>18060.643118654501</v>
      </c>
      <c r="L79" s="30">
        <v>-214.42</v>
      </c>
      <c r="M79" s="19">
        <f>VLOOKUP(C79,'Fluxo de Caixa'!$B$13:$U$10027,20,FALSE)</f>
        <v>24026.390000000014</v>
      </c>
      <c r="N79" s="19">
        <f>SUMIFS([1]Master!$J$2:$J$100,[1]Master!$A$2:$A$100,"="&amp;$I$12,[1]Master!$E$2:$E$100,"="&amp;C79,[1]Master!$J$2:$J$100,"&gt;"&amp;0)</f>
        <v>0</v>
      </c>
      <c r="O79" s="19">
        <f ca="1">-SUMIF('[1]Fluxo de Movimentações'!$A$5:$F$10001,"="&amp;$C80,'[1]Fluxo de Movimentações'!$B$5:$B$10001)</f>
        <v>0</v>
      </c>
      <c r="P79" s="19">
        <f>-SUMIFS([1]Master!$J$1:$J$200,[1]Master!$A$1:$A$200,"="&amp;$I$12,[1]Master!$G$1:$G$200,"&gt;"&amp;C79,[1]Master!$E$1:$E$200,"&lt;="&amp;C79)</f>
        <v>20000</v>
      </c>
      <c r="Q79" s="30">
        <v>-373.20760000000001</v>
      </c>
      <c r="R79" s="32">
        <v>0.89786330000000003</v>
      </c>
      <c r="S79" s="30">
        <v>0</v>
      </c>
      <c r="T79" s="30">
        <v>0</v>
      </c>
      <c r="U79" s="30">
        <v>0</v>
      </c>
      <c r="V79" s="30">
        <v>0</v>
      </c>
    </row>
    <row r="80" spans="3:22" x14ac:dyDescent="0.25">
      <c r="C80" s="4">
        <v>44930</v>
      </c>
      <c r="D80" s="30">
        <v>12916168.939999999</v>
      </c>
      <c r="E80" s="32">
        <v>0.90723259999999994</v>
      </c>
      <c r="F80" s="38">
        <f t="shared" ref="F80" si="150">D80/TRUNC(E80,6)</f>
        <v>14236897.441889174</v>
      </c>
      <c r="G80" s="19">
        <f t="shared" ref="G80" si="151">H80*I80</f>
        <v>12893849.778141607</v>
      </c>
      <c r="H80" s="31">
        <v>0.91489509999999996</v>
      </c>
      <c r="I80" s="19">
        <f>SUMIFS([1]Master!$K$2:$K$10000,[1]Master!$A$2:$A$10000,$I$12,[1]Master!$F$2:$F$10000,"&lt;="&amp;$C80)</f>
        <v>14093254.820297549</v>
      </c>
      <c r="J80" s="19">
        <f t="shared" ref="J80" si="152">((((1+1.85%)^(1/252))-1)*D79)+SUM(J79)</f>
        <v>2866.0014861890522</v>
      </c>
      <c r="K80" s="19">
        <f>IF((NETWORKDAYS(DATE(YEAR(C80),MONTH(C80),1),C80,Feriados!$A$2:$A$842))&gt;=5,0,IF(NETWORKDAYS(DATE(YEAR(C80),MONTH(C80),1),C80,Feriados!$A$2:$A$842)=1,J79,K79))</f>
        <v>18060.643118654501</v>
      </c>
      <c r="L80" s="30">
        <v>-367.98</v>
      </c>
      <c r="M80" s="19">
        <f>VLOOKUP(C80,'Fluxo de Caixa'!$B$13:$U$10027,20,FALSE)</f>
        <v>24026.390000000014</v>
      </c>
      <c r="N80" s="19">
        <f>SUMIFS([1]Master!$J$2:$J$100,[1]Master!$A$2:$A$100,"="&amp;$I$12,[1]Master!$E$2:$E$100,"="&amp;C80,[1]Master!$J$2:$J$100,"&gt;"&amp;0)</f>
        <v>0</v>
      </c>
      <c r="O80" s="19">
        <f ca="1">-SUMIF('[1]Fluxo de Movimentações'!$A$5:$F$10001,"="&amp;$C81,'[1]Fluxo de Movimentações'!$B$5:$B$10001)</f>
        <v>0</v>
      </c>
      <c r="P80" s="19">
        <f>-SUMIFS([1]Master!$J$1:$J$200,[1]Master!$A$1:$A$200,"="&amp;$I$12,[1]Master!$G$1:$G$200,"&gt;"&amp;C80,[1]Master!$E$1:$E$200,"&lt;="&amp;C80)</f>
        <v>20000</v>
      </c>
      <c r="Q80" s="30">
        <v>-412.71</v>
      </c>
      <c r="R80" s="32">
        <v>0.90725840000000002</v>
      </c>
      <c r="S80" s="30">
        <v>0</v>
      </c>
      <c r="T80" s="30">
        <v>0</v>
      </c>
      <c r="U80" s="30">
        <v>0</v>
      </c>
      <c r="V80" s="30">
        <v>0</v>
      </c>
    </row>
    <row r="81" spans="3:22" x14ac:dyDescent="0.25">
      <c r="C81" s="4">
        <v>44931</v>
      </c>
      <c r="D81" s="30">
        <v>13048264.3476</v>
      </c>
      <c r="E81" s="32">
        <v>0.91651099999999996</v>
      </c>
      <c r="F81" s="38">
        <f t="shared" ref="F81" si="153">D81/TRUNC(E81,6)</f>
        <v>14236887.879796315</v>
      </c>
      <c r="G81" s="19">
        <f t="shared" ref="G81" si="154">H81*I81</f>
        <v>13028243.056107964</v>
      </c>
      <c r="H81" s="31">
        <v>0.92443109999999995</v>
      </c>
      <c r="I81" s="19">
        <f>SUMIFS([1]Master!$K$2:$K$10000,[1]Master!$A$2:$A$10000,$I$12,[1]Master!$F$2:$F$10000,"&lt;="&amp;$C81)</f>
        <v>14093254.820297549</v>
      </c>
      <c r="J81" s="19">
        <f t="shared" ref="J81" si="155">((((1+1.85%)^(1/252))-1)*D80)+SUM(J80)</f>
        <v>3805.5822202137892</v>
      </c>
      <c r="K81" s="19">
        <f>IF((NETWORKDAYS(DATE(YEAR(C81),MONTH(C81),1),C81,Feriados!$A$2:$A$842))&gt;=5,0,IF(NETWORKDAYS(DATE(YEAR(C81),MONTH(C81),1),C81,Feriados!$A$2:$A$842)=1,J80,K80))</f>
        <v>18060.643118654501</v>
      </c>
      <c r="L81" s="30">
        <v>-1686.77</v>
      </c>
      <c r="M81" s="19">
        <f>VLOOKUP(C81,'Fluxo de Caixa'!$B$13:$U$10027,20,FALSE)</f>
        <v>44026.390000000014</v>
      </c>
      <c r="N81" s="19">
        <f>SUMIFS([1]Master!$J$2:$J$100,[1]Master!$A$2:$A$100,"="&amp;$I$12,[1]Master!$E$2:$E$100,"="&amp;C81,[1]Master!$J$2:$J$100,"&gt;"&amp;0)</f>
        <v>0</v>
      </c>
      <c r="O81" s="19">
        <f ca="1">-SUMIF('[1]Fluxo de Movimentações'!$A$5:$F$10001,"="&amp;$C82,'[1]Fluxo de Movimentações'!$B$5:$B$10001)</f>
        <v>0</v>
      </c>
      <c r="P81" s="19">
        <f>-SUMIFS([1]Master!$J$1:$J$200,[1]Master!$A$1:$A$200,"="&amp;$I$12,[1]Master!$G$1:$G$200,"&gt;"&amp;C81,[1]Master!$E$1:$E$200,"&lt;="&amp;C81)</f>
        <v>0</v>
      </c>
      <c r="Q81" s="30">
        <v>-452.2124</v>
      </c>
      <c r="R81" s="32">
        <v>0.91662949999999999</v>
      </c>
      <c r="S81" s="30">
        <v>0</v>
      </c>
      <c r="T81" s="30">
        <v>0</v>
      </c>
      <c r="U81" s="30">
        <v>0</v>
      </c>
      <c r="V81" s="30">
        <v>0</v>
      </c>
    </row>
    <row r="82" spans="3:22" x14ac:dyDescent="0.25">
      <c r="C82" s="4">
        <v>44932</v>
      </c>
      <c r="D82" s="30">
        <v>13324981.7652</v>
      </c>
      <c r="E82" s="32">
        <v>0.93594759999999999</v>
      </c>
      <c r="F82" s="38">
        <f t="shared" ref="F82" si="156">D82/TRUNC(E82,6)</f>
        <v>14236897.778613534</v>
      </c>
      <c r="G82" s="19">
        <f t="shared" ref="G82" si="157">H82*I82</f>
        <v>13310790.266047219</v>
      </c>
      <c r="H82" s="31">
        <v>0.94447950000000003</v>
      </c>
      <c r="I82" s="19">
        <f>SUMIFS([1]Master!$K$2:$K$10000,[1]Master!$A$2:$A$10000,$I$12,[1]Master!$F$2:$F$10000,"&lt;="&amp;$C82)</f>
        <v>14093254.820297549</v>
      </c>
      <c r="J82" s="19">
        <f t="shared" ref="J82" si="158">((((1+1.85%)^(1/252))-1)*D81)+SUM(J81)</f>
        <v>4754.7721735519817</v>
      </c>
      <c r="K82" s="19">
        <f>IF((NETWORKDAYS(DATE(YEAR(C82),MONTH(C82),1),C82,Feriados!$A$2:$A$842))&gt;=5,0,IF(NETWORKDAYS(DATE(YEAR(C82),MONTH(C82),1),C82,Feriados!$A$2:$A$842)=1,J81,K81))</f>
        <v>0</v>
      </c>
      <c r="L82" s="30">
        <v>-6527.88</v>
      </c>
      <c r="M82" s="19">
        <f>VLOOKUP(C82,'Fluxo de Caixa'!$B$13:$U$10027,20,FALSE)</f>
        <v>25965.746881345513</v>
      </c>
      <c r="N82" s="19">
        <f>SUMIFS([1]Master!$J$2:$J$100,[1]Master!$A$2:$A$100,"="&amp;$I$12,[1]Master!$E$2:$E$100,"="&amp;C82,[1]Master!$J$2:$J$100,"&gt;"&amp;0)</f>
        <v>0</v>
      </c>
      <c r="O82" s="19">
        <f ca="1">-SUMIF('[1]Fluxo de Movimentações'!$A$5:$F$10001,"="&amp;$C83,'[1]Fluxo de Movimentações'!$B$5:$B$10001)</f>
        <v>0</v>
      </c>
      <c r="P82" s="19">
        <f>-SUMIFS([1]Master!$J$1:$J$200,[1]Master!$A$1:$A$200,"="&amp;$I$12,[1]Master!$G$1:$G$200,"&gt;"&amp;C82,[1]Master!$E$1:$E$200,"&lt;="&amp;C82)</f>
        <v>0</v>
      </c>
      <c r="Q82" s="30">
        <v>-491.71480000000003</v>
      </c>
      <c r="R82" s="32">
        <v>0.93640619999999997</v>
      </c>
      <c r="S82" s="30">
        <v>0</v>
      </c>
      <c r="T82" s="30">
        <v>0</v>
      </c>
      <c r="U82" s="30">
        <v>0</v>
      </c>
      <c r="V82" s="30">
        <v>0</v>
      </c>
    </row>
    <row r="83" spans="3:22" x14ac:dyDescent="0.25">
      <c r="C83" s="4">
        <v>44935</v>
      </c>
      <c r="D83" s="30">
        <v>13342444.562799999</v>
      </c>
      <c r="E83" s="32">
        <v>0.93717419999999996</v>
      </c>
      <c r="F83" s="38">
        <f t="shared" ref="F83" si="159">D83/TRUNC(E83,6)</f>
        <v>14236891.508727301</v>
      </c>
      <c r="G83" s="19">
        <f t="shared" ref="G83" si="160">H83*I83</f>
        <v>13329554.025514962</v>
      </c>
      <c r="H83" s="31">
        <v>0.94581090000000001</v>
      </c>
      <c r="I83" s="19">
        <f>SUMIFS([1]Master!$K$2:$K$10000,[1]Master!$A$2:$A$10000,$I$12,[1]Master!$F$2:$F$10000,"&lt;="&amp;$C83)</f>
        <v>14093254.820297549</v>
      </c>
      <c r="J83" s="19">
        <f t="shared" ref="J83" si="161">((((1+1.85%)^(1/252))-1)*D82)+SUM(J82)</f>
        <v>5724.091807413387</v>
      </c>
      <c r="K83" s="19">
        <f>IF((NETWORKDAYS(DATE(YEAR(C83),MONTH(C83),1),C83,Feriados!$A$2:$A$842))&gt;=5,0,IF(NETWORKDAYS(DATE(YEAR(C83),MONTH(C83),1),C83,Feriados!$A$2:$A$842)=1,J82,K82))</f>
        <v>0</v>
      </c>
      <c r="L83" s="30">
        <v>-6820.03</v>
      </c>
      <c r="M83" s="19">
        <f>VLOOKUP(C83,'Fluxo de Caixa'!$B$13:$U$10027,20,FALSE)</f>
        <v>25965.746881345513</v>
      </c>
      <c r="N83" s="19">
        <f>SUMIFS([1]Master!$J$2:$J$100,[1]Master!$A$2:$A$100,"="&amp;$I$12,[1]Master!$E$2:$E$100,"="&amp;C83,[1]Master!$J$2:$J$100,"&gt;"&amp;0)</f>
        <v>0</v>
      </c>
      <c r="O83" s="19">
        <f ca="1">-SUMIF('[1]Fluxo de Movimentações'!$A$5:$F$10001,"="&amp;$C84,'[1]Fluxo de Movimentações'!$B$5:$B$10001)</f>
        <v>0</v>
      </c>
      <c r="P83" s="19">
        <f>-SUMIFS([1]Master!$J$1:$J$200,[1]Master!$A$1:$A$200,"="&amp;$I$12,[1]Master!$G$1:$G$200,"&gt;"&amp;C83,[1]Master!$E$1:$E$200,"&lt;="&amp;C83)</f>
        <v>0</v>
      </c>
      <c r="Q83" s="30">
        <v>-531.21720000000005</v>
      </c>
      <c r="R83" s="32">
        <v>0.93765330000000002</v>
      </c>
      <c r="S83" s="30">
        <v>0</v>
      </c>
      <c r="T83" s="30">
        <v>0</v>
      </c>
      <c r="U83" s="30">
        <v>0</v>
      </c>
      <c r="V83" s="30">
        <v>0</v>
      </c>
    </row>
    <row r="84" spans="3:22" x14ac:dyDescent="0.25">
      <c r="C84" s="4">
        <v>44936</v>
      </c>
      <c r="D84" s="30">
        <v>13604686.000399999</v>
      </c>
      <c r="E84" s="32">
        <v>0.9555941</v>
      </c>
      <c r="F84" s="38">
        <f t="shared" ref="F84" si="162">D84/TRUNC(E84,6)</f>
        <v>14236889.30696509</v>
      </c>
      <c r="G84" s="19">
        <f t="shared" ref="G84" si="163">H84*I84</f>
        <v>13599176.311458521</v>
      </c>
      <c r="H84" s="31">
        <v>0.96494219999999997</v>
      </c>
      <c r="I84" s="19">
        <f>SUMIFS([1]Master!$K$2:$K$10000,[1]Master!$A$2:$A$10000,$I$12,[1]Master!$F$2:$F$10000,"&lt;="&amp;$C84)</f>
        <v>14093254.820297549</v>
      </c>
      <c r="J84" s="19">
        <f t="shared" ref="J84" si="164">((((1+1.85%)^(1/252))-1)*D83)+SUM(J83)</f>
        <v>6694.6817644072435</v>
      </c>
      <c r="K84" s="19">
        <f>IF((NETWORKDAYS(DATE(YEAR(C84),MONTH(C84),1),C84,Feriados!$A$2:$A$842))&gt;=5,0,IF(NETWORKDAYS(DATE(YEAR(C84),MONTH(C84),1),C84,Feriados!$A$2:$A$842)=1,J83,K83))</f>
        <v>0</v>
      </c>
      <c r="L84" s="30">
        <v>-13190.79</v>
      </c>
      <c r="M84" s="19">
        <f>VLOOKUP(C84,'Fluxo de Caixa'!$B$13:$U$10027,20,FALSE)</f>
        <v>25965.74688134552</v>
      </c>
      <c r="N84" s="19">
        <f>SUMIFS([1]Master!$J$2:$J$100,[1]Master!$A$2:$A$100,"="&amp;$I$12,[1]Master!$E$2:$E$100,"="&amp;C84,[1]Master!$J$2:$J$100,"&gt;"&amp;0)</f>
        <v>300000</v>
      </c>
      <c r="O84" s="19">
        <f ca="1">-SUMIF('[1]Fluxo de Movimentações'!$A$5:$F$10001,"="&amp;$C85,'[1]Fluxo de Movimentações'!$B$5:$B$10001)</f>
        <v>-300000</v>
      </c>
      <c r="P84" s="19">
        <f>-SUMIFS([1]Master!$J$1:$J$200,[1]Master!$A$1:$A$200,"="&amp;$I$12,[1]Master!$G$1:$G$200,"&gt;"&amp;C84,[1]Master!$E$1:$E$200,"&lt;="&amp;C84)</f>
        <v>0</v>
      </c>
      <c r="Q84" s="30">
        <v>-570.71960000000001</v>
      </c>
      <c r="R84" s="32">
        <v>0.95652060000000005</v>
      </c>
      <c r="S84" s="30">
        <v>0</v>
      </c>
      <c r="T84" s="30">
        <v>0</v>
      </c>
      <c r="U84" s="30">
        <v>0</v>
      </c>
      <c r="V84" s="30">
        <v>0</v>
      </c>
    </row>
    <row r="85" spans="3:22" x14ac:dyDescent="0.25">
      <c r="C85" s="4">
        <v>44937</v>
      </c>
      <c r="D85" s="30">
        <v>14076618.868000001</v>
      </c>
      <c r="E85" s="32">
        <v>0.96767069999999999</v>
      </c>
      <c r="F85" s="38">
        <f t="shared" ref="F85" si="165">D85/TRUNC(E85,6)</f>
        <v>14546920.818047475</v>
      </c>
      <c r="G85" s="19">
        <f t="shared" ref="G85" si="166">H85*I85</f>
        <v>14078195.880813351</v>
      </c>
      <c r="H85" s="31">
        <v>0.97764470000000003</v>
      </c>
      <c r="I85" s="19">
        <f>SUMIFS([1]Master!$K$2:$K$10000,[1]Master!$A$2:$A$10000,$I$12,[1]Master!$F$2:$F$10000,"&lt;="&amp;$C85)</f>
        <v>14400114.766451811</v>
      </c>
      <c r="J85" s="19">
        <f t="shared" ref="J85" si="167">((((1+1.85%)^(1/252))-1)*D84)+SUM(J84)</f>
        <v>7684.3483534563566</v>
      </c>
      <c r="K85" s="19">
        <f>IF((NETWORKDAYS(DATE(YEAR(C85),MONTH(C85),1),C85,Feriados!$A$2:$A$842))&gt;=5,0,IF(NETWORKDAYS(DATE(YEAR(C85),MONTH(C85),1),C85,Feriados!$A$2:$A$842)=1,J84,K84))</f>
        <v>0</v>
      </c>
      <c r="L85" s="30">
        <v>-19248.330000000002</v>
      </c>
      <c r="M85" s="19">
        <f>VLOOKUP(C85,'Fluxo de Caixa'!$B$13:$U$10027,20,FALSE)</f>
        <v>25965.74688134552</v>
      </c>
      <c r="N85" s="19">
        <f>SUMIFS([1]Master!$J$2:$J$100,[1]Master!$A$2:$A$100,"="&amp;$I$12,[1]Master!$E$2:$E$100,"="&amp;C85,[1]Master!$J$2:$J$100,"&gt;"&amp;0)</f>
        <v>0</v>
      </c>
      <c r="O85" s="19">
        <f ca="1">-SUMIF('[1]Fluxo de Movimentações'!$A$5:$F$10001,"="&amp;$C86,'[1]Fluxo de Movimentações'!$B$5:$B$10001)</f>
        <v>0</v>
      </c>
      <c r="P85" s="19">
        <f>-SUMIFS([1]Master!$J$1:$J$200,[1]Master!$A$1:$A$200,"="&amp;$I$12,[1]Master!$G$1:$G$200,"&gt;"&amp;C85,[1]Master!$E$1:$E$200,"&lt;="&amp;C85)</f>
        <v>0</v>
      </c>
      <c r="Q85" s="30">
        <v>-610.22199999999998</v>
      </c>
      <c r="R85" s="32">
        <v>0.96902270000000001</v>
      </c>
      <c r="S85" s="30">
        <v>0</v>
      </c>
      <c r="T85" s="30">
        <v>0</v>
      </c>
      <c r="U85" s="30">
        <v>0</v>
      </c>
      <c r="V85" s="30">
        <v>0</v>
      </c>
    </row>
    <row r="86" spans="3:22" x14ac:dyDescent="0.25">
      <c r="C86" s="4">
        <v>44938</v>
      </c>
      <c r="D86" s="30">
        <v>13978405.0056</v>
      </c>
      <c r="E86" s="32">
        <v>0.96091910000000003</v>
      </c>
      <c r="F86" s="38">
        <f t="shared" ref="F86" si="168">D86/TRUNC(E86,6)</f>
        <v>14546912.908996493</v>
      </c>
      <c r="G86" s="19">
        <f t="shared" ref="G86" si="169">H86*I86</f>
        <v>13977255.396334954</v>
      </c>
      <c r="H86" s="31">
        <v>0.97063500000000003</v>
      </c>
      <c r="I86" s="19">
        <f>SUMIFS([1]Master!$K$2:$K$10000,[1]Master!$A$2:$A$10000,$I$12,[1]Master!$F$2:$F$10000,"&lt;="&amp;$C86)</f>
        <v>14400114.766451811</v>
      </c>
      <c r="J86" s="19">
        <f t="shared" ref="J86" si="170">((((1+1.85%)^(1/252))-1)*D85)+SUM(J85)</f>
        <v>8708.3454806247701</v>
      </c>
      <c r="K86" s="19">
        <f>IF((NETWORKDAYS(DATE(YEAR(C86),MONTH(C86),1),C86,Feriados!$A$2:$A$842))&gt;=5,0,IF(NETWORKDAYS(DATE(YEAR(C86),MONTH(C86),1),C86,Feriados!$A$2:$A$842)=1,J85,K85))</f>
        <v>0</v>
      </c>
      <c r="L86" s="30">
        <v>-15458.22</v>
      </c>
      <c r="M86" s="19">
        <f>VLOOKUP(C86,'Fluxo de Caixa'!$B$13:$U$10027,20,FALSE)</f>
        <v>25965.74688134552</v>
      </c>
      <c r="N86" s="19">
        <f>SUMIFS([1]Master!$J$2:$J$100,[1]Master!$A$2:$A$100,"="&amp;$I$12,[1]Master!$E$2:$E$100,"="&amp;C86,[1]Master!$J$2:$J$100,"&gt;"&amp;0)</f>
        <v>0</v>
      </c>
      <c r="O86" s="19">
        <f ca="1">-SUMIF('[1]Fluxo de Movimentações'!$A$5:$F$10001,"="&amp;$C87,'[1]Fluxo de Movimentações'!$B$5:$B$10001)</f>
        <v>0</v>
      </c>
      <c r="P86" s="19">
        <f>-SUMIFS([1]Master!$J$1:$J$200,[1]Master!$A$1:$A$200,"="&amp;$I$12,[1]Master!$G$1:$G$200,"&gt;"&amp;C86,[1]Master!$E$1:$E$200,"&lt;="&amp;C86)</f>
        <v>0</v>
      </c>
      <c r="Q86" s="30">
        <v>-649.72439999999995</v>
      </c>
      <c r="R86" s="32">
        <v>0.9619818</v>
      </c>
      <c r="S86" s="30">
        <v>0</v>
      </c>
      <c r="T86" s="30">
        <v>0</v>
      </c>
      <c r="U86" s="30">
        <v>0</v>
      </c>
      <c r="V86" s="30">
        <v>0</v>
      </c>
    </row>
    <row r="87" spans="3:22" x14ac:dyDescent="0.25">
      <c r="C87" s="4">
        <v>44939</v>
      </c>
      <c r="D87" s="30">
        <v>13905826.092399999</v>
      </c>
      <c r="E87" s="32">
        <v>0.95592980000000005</v>
      </c>
      <c r="F87" s="38">
        <f t="shared" ref="F87" si="171">D87/TRUNC(E87,6)</f>
        <v>14546923.560641009</v>
      </c>
      <c r="G87" s="19">
        <f t="shared" ref="G87" si="172">H87*I87</f>
        <v>13902877.363554753</v>
      </c>
      <c r="H87" s="31">
        <v>0.96546989999999999</v>
      </c>
      <c r="I87" s="19">
        <f>SUMIFS([1]Master!$K$2:$K$10000,[1]Master!$A$2:$A$10000,$I$12,[1]Master!$F$2:$F$10000,"&lt;="&amp;$C87)</f>
        <v>14400114.766451811</v>
      </c>
      <c r="J87" s="19">
        <f t="shared" ref="J87" si="173">((((1+1.85%)^(1/252))-1)*D86)+SUM(J86)</f>
        <v>9725.1980858103998</v>
      </c>
      <c r="K87" s="19">
        <f>IF((NETWORKDAYS(DATE(YEAR(C87),MONTH(C87),1),C87,Feriados!$A$2:$A$842))&gt;=5,0,IF(NETWORKDAYS(DATE(YEAR(C87),MONTH(C87),1),C87,Feriados!$A$2:$A$842)=1,J86,K86))</f>
        <v>0</v>
      </c>
      <c r="L87" s="30">
        <v>-12602.74</v>
      </c>
      <c r="M87" s="19">
        <f>VLOOKUP(C87,'Fluxo de Caixa'!$B$13:$U$10027,20,FALSE)</f>
        <v>25965.74688134552</v>
      </c>
      <c r="N87" s="19">
        <f>SUMIFS([1]Master!$J$2:$J$100,[1]Master!$A$2:$A$100,"="&amp;$I$12,[1]Master!$E$2:$E$100,"="&amp;C87,[1]Master!$J$2:$J$100,"&gt;"&amp;0)</f>
        <v>0</v>
      </c>
      <c r="O87" s="19">
        <f ca="1">-SUMIF('[1]Fluxo de Movimentações'!$A$5:$F$10001,"="&amp;$C88,'[1]Fluxo de Movimentações'!$B$5:$B$10001)</f>
        <v>0</v>
      </c>
      <c r="P87" s="19">
        <f>-SUMIFS([1]Master!$J$1:$J$200,[1]Master!$A$1:$A$200,"="&amp;$I$12,[1]Master!$G$1:$G$200,"&gt;"&amp;C87,[1]Master!$E$1:$E$200,"&lt;="&amp;C87)</f>
        <v>0</v>
      </c>
      <c r="Q87" s="30">
        <v>-689.22760000000005</v>
      </c>
      <c r="R87" s="32">
        <v>0.95679619999999999</v>
      </c>
      <c r="S87" s="30">
        <v>0</v>
      </c>
      <c r="T87" s="30">
        <v>0</v>
      </c>
      <c r="U87" s="30">
        <v>0</v>
      </c>
      <c r="V87" s="30">
        <v>0</v>
      </c>
    </row>
    <row r="88" spans="3:22" x14ac:dyDescent="0.25">
      <c r="C88" s="4">
        <v>44942</v>
      </c>
      <c r="D88" s="30">
        <v>13783249.9904</v>
      </c>
      <c r="E88" s="32">
        <v>0.9475036</v>
      </c>
      <c r="F88" s="38">
        <f t="shared" ref="F88" si="174">D88/TRUNC(E88,6)</f>
        <v>14546919.630228084</v>
      </c>
      <c r="G88" s="19">
        <f t="shared" ref="G88" si="175">H88*I88</f>
        <v>13777933.327772157</v>
      </c>
      <c r="H88" s="31">
        <v>0.95679329999999996</v>
      </c>
      <c r="I88" s="19">
        <f>SUMIFS([1]Master!$K$2:$K$10000,[1]Master!$A$2:$A$10000,$I$12,[1]Master!$F$2:$F$10000,"&lt;="&amp;$C88)</f>
        <v>14400114.766451811</v>
      </c>
      <c r="J88" s="19">
        <f t="shared" ref="J88" si="176">((((1+1.85%)^(1/252))-1)*D87)+SUM(J87)</f>
        <v>10736.770971533086</v>
      </c>
      <c r="K88" s="19">
        <f>IF((NETWORKDAYS(DATE(YEAR(C88),MONTH(C88),1),C88,Feriados!$A$2:$A$842))&gt;=5,0,IF(NETWORKDAYS(DATE(YEAR(C88),MONTH(C88),1),C88,Feriados!$A$2:$A$842)=1,J87,K87))</f>
        <v>0</v>
      </c>
      <c r="L88" s="30">
        <v>-9195.27</v>
      </c>
      <c r="M88" s="19">
        <f>VLOOKUP(C88,'Fluxo de Caixa'!$B$13:$U$10027,20,FALSE)</f>
        <v>25965.74688134552</v>
      </c>
      <c r="N88" s="19">
        <f>SUMIFS([1]Master!$J$2:$J$100,[1]Master!$A$2:$A$100,"="&amp;$I$12,[1]Master!$E$2:$E$100,"="&amp;C88,[1]Master!$J$2:$J$100,"&gt;"&amp;0)</f>
        <v>0</v>
      </c>
      <c r="O88" s="19">
        <f ca="1">-SUMIF('[1]Fluxo de Movimentações'!$A$5:$F$10001,"="&amp;$C89,'[1]Fluxo de Movimentações'!$B$5:$B$10001)</f>
        <v>0</v>
      </c>
      <c r="P88" s="19">
        <f>-SUMIFS([1]Master!$J$1:$J$200,[1]Master!$A$1:$A$200,"="&amp;$I$12,[1]Master!$G$1:$G$200,"&gt;"&amp;C88,[1]Master!$E$1:$E$200,"&lt;="&amp;C88)</f>
        <v>0</v>
      </c>
      <c r="Q88" s="30">
        <v>-717.19960000000003</v>
      </c>
      <c r="R88" s="32">
        <v>0.94813570000000003</v>
      </c>
      <c r="S88" s="30">
        <v>0</v>
      </c>
      <c r="T88" s="30">
        <v>0</v>
      </c>
      <c r="U88" s="30">
        <v>0</v>
      </c>
      <c r="V88" s="30">
        <v>0</v>
      </c>
    </row>
    <row r="89" spans="3:22" x14ac:dyDescent="0.25">
      <c r="C89" s="4">
        <v>44943</v>
      </c>
      <c r="D89" s="30">
        <v>13939696.1884</v>
      </c>
      <c r="E89" s="32">
        <v>0.95825819999999995</v>
      </c>
      <c r="F89" s="38">
        <f t="shared" ref="F89" si="177">D89/TRUNC(E89,6)</f>
        <v>14546913.449613778</v>
      </c>
      <c r="G89" s="19">
        <f t="shared" ref="G89" si="178">H89*I89</f>
        <v>13939550.135830477</v>
      </c>
      <c r="H89" s="31">
        <v>0.9680166</v>
      </c>
      <c r="I89" s="19">
        <f>SUMIFS([1]Master!$K$2:$K$10000,[1]Master!$A$2:$A$10000,$I$12,[1]Master!$F$2:$F$10000,"&lt;="&amp;$C89)</f>
        <v>14400114.766451811</v>
      </c>
      <c r="J89" s="19">
        <f t="shared" ref="J89" si="179">((((1+1.85%)^(1/252))-1)*D88)+SUM(J88)</f>
        <v>11739.427115424192</v>
      </c>
      <c r="K89" s="19">
        <f>IF((NETWORKDAYS(DATE(YEAR(C89),MONTH(C89),1),C89,Feriados!$A$2:$A$842))&gt;=5,0,IF(NETWORKDAYS(DATE(YEAR(C89),MONTH(C89),1),C89,Feriados!$A$2:$A$842)=1,J88,K88))</f>
        <v>0</v>
      </c>
      <c r="L89" s="30">
        <v>-13335.26</v>
      </c>
      <c r="M89" s="19">
        <f>VLOOKUP(C89,'Fluxo de Caixa'!$B$13:$U$10027,20,FALSE)</f>
        <v>25965.74688134552</v>
      </c>
      <c r="N89" s="19">
        <f>SUMIFS([1]Master!$J$2:$J$100,[1]Master!$A$2:$A$100,"="&amp;$I$12,[1]Master!$E$2:$E$100,"="&amp;C89,[1]Master!$J$2:$J$100,"&gt;"&amp;0)</f>
        <v>0</v>
      </c>
      <c r="O89" s="19">
        <f ca="1">-SUMIF('[1]Fluxo de Movimentações'!$A$5:$F$10001,"="&amp;$C90,'[1]Fluxo de Movimentações'!$B$5:$B$10001)</f>
        <v>0</v>
      </c>
      <c r="P89" s="19">
        <f>-SUMIFS([1]Master!$J$1:$J$200,[1]Master!$A$1:$A$200,"="&amp;$I$12,[1]Master!$G$1:$G$200,"&gt;"&amp;C89,[1]Master!$E$1:$E$200,"&lt;="&amp;C89)</f>
        <v>0</v>
      </c>
      <c r="Q89" s="30">
        <v>-745.17160000000001</v>
      </c>
      <c r="R89" s="32">
        <v>0.95917490000000005</v>
      </c>
      <c r="S89" s="30">
        <v>0</v>
      </c>
      <c r="T89" s="30">
        <v>0</v>
      </c>
      <c r="U89" s="30">
        <v>0</v>
      </c>
      <c r="V89" s="30">
        <v>0</v>
      </c>
    </row>
    <row r="90" spans="3:22" x14ac:dyDescent="0.25">
      <c r="C90" s="4">
        <v>44944</v>
      </c>
      <c r="D90" s="30">
        <v>13986030.066400001</v>
      </c>
      <c r="E90" s="32">
        <v>0.9614433</v>
      </c>
      <c r="F90" s="38">
        <f t="shared" ref="F90" si="180">D90/TRUNC(E90,6)</f>
        <v>14546915.486825531</v>
      </c>
      <c r="G90" s="19">
        <f t="shared" ref="G90" si="181">H90*I90</f>
        <v>13988357.884819888</v>
      </c>
      <c r="H90" s="31">
        <v>0.97140599999999999</v>
      </c>
      <c r="I90" s="19">
        <f>SUMIFS([1]Master!$K$2:$K$10000,[1]Master!$A$2:$A$10000,$I$12,[1]Master!$F$2:$F$10000,"&lt;="&amp;$C90)</f>
        <v>14400114.766451811</v>
      </c>
      <c r="J90" s="19">
        <f t="shared" ref="J90" si="182">((((1+1.85%)^(1/252))-1)*D89)+SUM(J89)</f>
        <v>12753.463865610793</v>
      </c>
      <c r="K90" s="19">
        <f>IF((NETWORKDAYS(DATE(YEAR(C90),MONTH(C90),1),C90,Feriados!$A$2:$A$842))&gt;=5,0,IF(NETWORKDAYS(DATE(YEAR(C90),MONTH(C90),1),C90,Feriados!$A$2:$A$842)=1,J89,K89))</f>
        <v>0</v>
      </c>
      <c r="L90" s="30">
        <v>-14767.12</v>
      </c>
      <c r="M90" s="19">
        <f>VLOOKUP(C90,'Fluxo de Caixa'!$B$13:$U$10027,20,FALSE)</f>
        <v>25965.74688134552</v>
      </c>
      <c r="N90" s="19">
        <f>SUMIFS([1]Master!$J$2:$J$100,[1]Master!$A$2:$A$100,"="&amp;$I$12,[1]Master!$E$2:$E$100,"="&amp;C90,[1]Master!$J$2:$J$100,"&gt;"&amp;0)</f>
        <v>0</v>
      </c>
      <c r="O90" s="19">
        <f ca="1">-SUMIF('[1]Fluxo de Movimentações'!$A$5:$F$10001,"="&amp;$C91,'[1]Fluxo de Movimentações'!$B$5:$B$10001)</f>
        <v>0</v>
      </c>
      <c r="P90" s="19">
        <f>-SUMIFS([1]Master!$J$1:$J$200,[1]Master!$A$1:$A$200,"="&amp;$I$12,[1]Master!$G$1:$G$200,"&gt;"&amp;C90,[1]Master!$E$1:$E$200,"&lt;="&amp;C90)</f>
        <v>0</v>
      </c>
      <c r="Q90" s="30">
        <v>-773.14359999999999</v>
      </c>
      <c r="R90" s="32">
        <v>0.96245840000000005</v>
      </c>
      <c r="S90" s="30">
        <v>0</v>
      </c>
      <c r="T90" s="30">
        <v>0</v>
      </c>
      <c r="U90" s="30">
        <v>0</v>
      </c>
      <c r="V90" s="30">
        <v>0</v>
      </c>
    </row>
    <row r="91" spans="3:22" x14ac:dyDescent="0.25">
      <c r="C91" s="4">
        <v>44945</v>
      </c>
      <c r="D91" s="30">
        <v>14062958.784399999</v>
      </c>
      <c r="E91" s="32">
        <v>0.96673160000000002</v>
      </c>
      <c r="F91" s="38">
        <f t="shared" ref="F91" si="183">D91/TRUNC(E91,6)</f>
        <v>14546920.275029972</v>
      </c>
      <c r="G91" s="19">
        <f t="shared" ref="G91" si="184">H91*I91</f>
        <v>14068861.726421738</v>
      </c>
      <c r="H91" s="31">
        <v>0.97699650000000005</v>
      </c>
      <c r="I91" s="19">
        <f>SUMIFS([1]Master!$K$2:$K$10000,[1]Master!$A$2:$A$10000,$I$12,[1]Master!$F$2:$F$10000,"&lt;="&amp;$C91)</f>
        <v>14400114.766451811</v>
      </c>
      <c r="J91" s="19">
        <f t="shared" ref="J91" si="185">((((1+1.85%)^(1/252))-1)*D90)+SUM(J90)</f>
        <v>13770.871152316671</v>
      </c>
      <c r="K91" s="19">
        <f>IF((NETWORKDAYS(DATE(YEAR(C91),MONTH(C91),1),C91,Feriados!$A$2:$A$842))&gt;=5,0,IF(NETWORKDAYS(DATE(YEAR(C91),MONTH(C91),1),C91,Feriados!$A$2:$A$842)=1,J90,K90))</f>
        <v>0</v>
      </c>
      <c r="L91" s="30">
        <v>-17296.88</v>
      </c>
      <c r="M91" s="19">
        <f>VLOOKUP(C91,'Fluxo de Caixa'!$B$13:$U$10027,20,FALSE)</f>
        <v>25965.74688134552</v>
      </c>
      <c r="N91" s="19">
        <f>SUMIFS([1]Master!$J$2:$J$100,[1]Master!$A$2:$A$100,"="&amp;$I$12,[1]Master!$E$2:$E$100,"="&amp;C91,[1]Master!$J$2:$J$100,"&gt;"&amp;0)</f>
        <v>0</v>
      </c>
      <c r="O91" s="19">
        <f ca="1">-SUMIF('[1]Fluxo de Movimentações'!$A$5:$F$10001,"="&amp;$C92,'[1]Fluxo de Movimentações'!$B$5:$B$10001)</f>
        <v>0</v>
      </c>
      <c r="P91" s="19">
        <f>-SUMIFS([1]Master!$J$1:$J$200,[1]Master!$A$1:$A$200,"="&amp;$I$12,[1]Master!$G$1:$G$200,"&gt;"&amp;C91,[1]Master!$E$1:$E$200,"&lt;="&amp;C91)</f>
        <v>0</v>
      </c>
      <c r="Q91" s="30">
        <v>-801.11559999999997</v>
      </c>
      <c r="R91" s="32">
        <v>0.96792069999999997</v>
      </c>
      <c r="S91" s="30">
        <v>0</v>
      </c>
      <c r="T91" s="30">
        <v>0</v>
      </c>
      <c r="U91" s="30">
        <v>0</v>
      </c>
      <c r="V91" s="30">
        <v>0</v>
      </c>
    </row>
    <row r="92" spans="3:22" x14ac:dyDescent="0.25">
      <c r="C92" s="4">
        <v>44946</v>
      </c>
      <c r="D92" s="30">
        <v>13945393.102399999</v>
      </c>
      <c r="E92" s="32">
        <v>0.9586498</v>
      </c>
      <c r="F92" s="38">
        <f t="shared" ref="F92" si="186">D92/TRUNC(E92,6)</f>
        <v>14546922.911722643</v>
      </c>
      <c r="G92" s="19">
        <f t="shared" ref="G92" si="187">H92*I92</f>
        <v>13947895.002337635</v>
      </c>
      <c r="H92" s="31">
        <v>0.96859609999999996</v>
      </c>
      <c r="I92" s="19">
        <f>SUMIFS([1]Master!$K$2:$K$10000,[1]Master!$A$2:$A$10000,$I$12,[1]Master!$F$2:$F$10000,"&lt;="&amp;$C92)</f>
        <v>14400114.766451811</v>
      </c>
      <c r="J92" s="19">
        <f t="shared" ref="J92" si="188">((((1+1.85%)^(1/252))-1)*D91)+SUM(J91)</f>
        <v>14793.874583023282</v>
      </c>
      <c r="K92" s="19">
        <f>IF((NETWORKDAYS(DATE(YEAR(C92),MONTH(C92),1),C92,Feriados!$A$2:$A$842))&gt;=5,0,IF(NETWORKDAYS(DATE(YEAR(C92),MONTH(C92),1),C92,Feriados!$A$2:$A$842)=1,J91,K91))</f>
        <v>0</v>
      </c>
      <c r="L92" s="30">
        <v>-12844.86</v>
      </c>
      <c r="M92" s="19">
        <f>VLOOKUP(C92,'Fluxo de Caixa'!$B$13:$U$10027,20,FALSE)</f>
        <v>25965.74688134552</v>
      </c>
      <c r="N92" s="19">
        <f>SUMIFS([1]Master!$J$2:$J$100,[1]Master!$A$2:$A$100,"="&amp;$I$12,[1]Master!$E$2:$E$100,"="&amp;C92,[1]Master!$J$2:$J$100,"&gt;"&amp;0)</f>
        <v>0</v>
      </c>
      <c r="O92" s="19">
        <f ca="1">-SUMIF('[1]Fluxo de Movimentações'!$A$5:$F$10001,"="&amp;$C93,'[1]Fluxo de Movimentações'!$B$5:$B$10001)</f>
        <v>0</v>
      </c>
      <c r="P92" s="19">
        <f>-SUMIFS([1]Master!$J$1:$J$200,[1]Master!$A$1:$A$200,"="&amp;$I$12,[1]Master!$G$1:$G$200,"&gt;"&amp;C92,[1]Master!$E$1:$E$200,"&lt;="&amp;C92)</f>
        <v>0</v>
      </c>
      <c r="Q92" s="30">
        <v>-829.08759999999995</v>
      </c>
      <c r="R92" s="32">
        <v>0.95953279999999996</v>
      </c>
      <c r="S92" s="30">
        <v>0</v>
      </c>
      <c r="T92" s="30">
        <v>0</v>
      </c>
      <c r="U92" s="30">
        <v>0</v>
      </c>
      <c r="V92" s="30">
        <v>0</v>
      </c>
    </row>
    <row r="93" spans="3:22" x14ac:dyDescent="0.25">
      <c r="C93" s="4">
        <v>44949</v>
      </c>
      <c r="D93" s="30">
        <v>13884618.5704</v>
      </c>
      <c r="E93" s="32">
        <v>0.95447199999999999</v>
      </c>
      <c r="F93" s="38">
        <f t="shared" ref="F93" si="189">D93/TRUNC(E93,6)</f>
        <v>14546910.30265948</v>
      </c>
      <c r="G93" s="19">
        <f t="shared" ref="G93" si="190">H93*I93</f>
        <v>13886203.470666679</v>
      </c>
      <c r="H93" s="31">
        <v>0.96431199999999995</v>
      </c>
      <c r="I93" s="19">
        <f>SUMIFS([1]Master!$K$2:$K$10000,[1]Master!$A$2:$A$10000,$I$12,[1]Master!$F$2:$F$10000,"&lt;="&amp;$C93)</f>
        <v>14400114.766451811</v>
      </c>
      <c r="J93" s="19">
        <f t="shared" ref="J93" si="191">((((1+1.85%)^(1/252))-1)*D92)+SUM(J92)</f>
        <v>15808.325752583201</v>
      </c>
      <c r="K93" s="19">
        <f>IF((NETWORKDAYS(DATE(YEAR(C93),MONTH(C93),1),C93,Feriados!$A$2:$A$842))&gt;=5,0,IF(NETWORKDAYS(DATE(YEAR(C93),MONTH(C93),1),C93,Feriados!$A$2:$A$842)=1,J92,K92))</f>
        <v>0</v>
      </c>
      <c r="L93" s="30">
        <v>-10885.44</v>
      </c>
      <c r="M93" s="19">
        <f>VLOOKUP(C93,'Fluxo de Caixa'!$B$13:$U$10027,20,FALSE)</f>
        <v>25965.74688134552</v>
      </c>
      <c r="N93" s="19">
        <f>SUMIFS([1]Master!$J$2:$J$100,[1]Master!$A$2:$A$100,"="&amp;$I$12,[1]Master!$E$2:$E$100,"="&amp;C93,[1]Master!$J$2:$J$100,"&gt;"&amp;0)</f>
        <v>0</v>
      </c>
      <c r="O93" s="19">
        <f ca="1">-SUMIF('[1]Fluxo de Movimentações'!$A$5:$F$10001,"="&amp;$C94,'[1]Fluxo de Movimentações'!$B$5:$B$10001)</f>
        <v>0</v>
      </c>
      <c r="P93" s="19">
        <f>-SUMIFS([1]Master!$J$1:$J$200,[1]Master!$A$1:$A$200,"="&amp;$I$12,[1]Master!$G$1:$G$200,"&gt;"&amp;C93,[1]Master!$E$1:$E$200,"&lt;="&amp;C93)</f>
        <v>0</v>
      </c>
      <c r="Q93" s="30">
        <v>-857.05960000000005</v>
      </c>
      <c r="R93" s="32">
        <v>0.95522030000000002</v>
      </c>
      <c r="S93" s="30">
        <v>0</v>
      </c>
      <c r="T93" s="30">
        <v>0</v>
      </c>
      <c r="U93" s="30">
        <v>0</v>
      </c>
      <c r="V93" s="30">
        <v>0</v>
      </c>
    </row>
    <row r="94" spans="3:22" x14ac:dyDescent="0.25">
      <c r="C94" s="4">
        <v>44950</v>
      </c>
      <c r="D94" s="30">
        <v>14100878.088400001</v>
      </c>
      <c r="E94" s="32">
        <v>0.96933829999999999</v>
      </c>
      <c r="F94" s="38">
        <f t="shared" ref="F94" si="192">D94/TRUNC(E94,6)</f>
        <v>14546915.614986723</v>
      </c>
      <c r="G94" s="19">
        <f t="shared" ref="G94" si="193">H94*I94</f>
        <v>14110571.658842765</v>
      </c>
      <c r="H94" s="31">
        <v>0.97989300000000001</v>
      </c>
      <c r="I94" s="19">
        <f>SUMIFS([1]Master!$K$2:$K$10000,[1]Master!$A$2:$A$10000,$I$12,[1]Master!$F$2:$F$10000,"&lt;="&amp;$C94)</f>
        <v>14400114.766451811</v>
      </c>
      <c r="J94" s="19">
        <f t="shared" ref="J94" si="194">((((1+1.85%)^(1/252))-1)*D93)+SUM(J93)</f>
        <v>16818.355906929413</v>
      </c>
      <c r="K94" s="19">
        <f>IF((NETWORKDAYS(DATE(YEAR(C94),MONTH(C94),1),C94,Feriados!$A$2:$A$842))&gt;=5,0,IF(NETWORKDAYS(DATE(YEAR(C94),MONTH(C94),1),C94,Feriados!$A$2:$A$842)=1,J93,K93))</f>
        <v>0</v>
      </c>
      <c r="L94" s="30">
        <v>-17956.11</v>
      </c>
      <c r="M94" s="19">
        <f>VLOOKUP(C94,'Fluxo de Caixa'!$B$13:$U$10027,20,FALSE)</f>
        <v>25965.74688134552</v>
      </c>
      <c r="N94" s="19">
        <f>SUMIFS([1]Master!$J$2:$J$100,[1]Master!$A$2:$A$100,"="&amp;$I$12,[1]Master!$E$2:$E$100,"="&amp;C94,[1]Master!$J$2:$J$100,"&gt;"&amp;0)</f>
        <v>0</v>
      </c>
      <c r="O94" s="19">
        <f ca="1">-SUMIF('[1]Fluxo de Movimentações'!$A$5:$F$10001,"="&amp;$C95,'[1]Fluxo de Movimentações'!$B$5:$B$10001)</f>
        <v>0</v>
      </c>
      <c r="P94" s="19">
        <f>-SUMIFS([1]Master!$J$1:$J$200,[1]Master!$A$1:$A$200,"="&amp;$I$12,[1]Master!$G$1:$G$200,"&gt;"&amp;C94,[1]Master!$E$1:$E$200,"&lt;="&amp;C94)</f>
        <v>0</v>
      </c>
      <c r="Q94" s="30">
        <v>-885.03160000000003</v>
      </c>
      <c r="R94" s="32">
        <v>0.97057269999999995</v>
      </c>
      <c r="S94" s="30">
        <v>0</v>
      </c>
      <c r="T94" s="30">
        <v>0</v>
      </c>
      <c r="U94" s="30">
        <v>0</v>
      </c>
      <c r="V94" s="30">
        <v>0</v>
      </c>
    </row>
    <row r="95" spans="3:22" x14ac:dyDescent="0.25">
      <c r="C95" s="4">
        <v>44951</v>
      </c>
      <c r="D95" s="30">
        <v>14226033.7064</v>
      </c>
      <c r="E95" s="32">
        <v>0.97794190000000003</v>
      </c>
      <c r="F95" s="38">
        <f t="shared" ref="F95" si="195">D95/TRUNC(E95,6)</f>
        <v>14546924.309748748</v>
      </c>
      <c r="G95" s="19">
        <f t="shared" ref="G95" si="196">H95*I95</f>
        <v>14241311.740818858</v>
      </c>
      <c r="H95" s="31">
        <v>0.98897210000000002</v>
      </c>
      <c r="I95" s="19">
        <f>SUMIFS([1]Master!$K$2:$K$10000,[1]Master!$A$2:$A$10000,$I$12,[1]Master!$F$2:$F$10000,"&lt;="&amp;$C95)</f>
        <v>14400114.766451811</v>
      </c>
      <c r="J95" s="19">
        <f t="shared" ref="J95" si="197">((((1+1.85%)^(1/252))-1)*D94)+SUM(J94)</f>
        <v>17844.11775986258</v>
      </c>
      <c r="K95" s="19">
        <f>IF((NETWORKDAYS(DATE(YEAR(C95),MONTH(C95),1),C95,Feriados!$A$2:$A$842))&gt;=5,0,IF(NETWORKDAYS(DATE(YEAR(C95),MONTH(C95),1),C95,Feriados!$A$2:$A$842)=1,J94,K94))</f>
        <v>0</v>
      </c>
      <c r="L95" s="30">
        <v>-22486.84</v>
      </c>
      <c r="M95" s="19">
        <f>VLOOKUP(C95,'Fluxo de Caixa'!$B$13:$U$10027,20,FALSE)</f>
        <v>25965.74688134552</v>
      </c>
      <c r="N95" s="19">
        <f>SUMIFS([1]Master!$J$2:$J$100,[1]Master!$A$2:$A$100,"="&amp;$I$12,[1]Master!$E$2:$E$100,"="&amp;C95,[1]Master!$J$2:$J$100,"&gt;"&amp;0)</f>
        <v>0</v>
      </c>
      <c r="O95" s="19">
        <f ca="1">-SUMIF('[1]Fluxo de Movimentações'!$A$5:$F$10001,"="&amp;$C96,'[1]Fluxo de Movimentações'!$B$5:$B$10001)</f>
        <v>0</v>
      </c>
      <c r="P95" s="19">
        <f>-SUMIFS([1]Master!$J$1:$J$200,[1]Master!$A$1:$A$200,"="&amp;$I$12,[1]Master!$G$1:$G$200,"&gt;"&amp;C95,[1]Master!$E$1:$E$200,"&lt;="&amp;C95)</f>
        <v>0</v>
      </c>
      <c r="Q95" s="30">
        <v>-913.00360000000001</v>
      </c>
      <c r="R95" s="32">
        <v>0.97948769999999996</v>
      </c>
      <c r="S95" s="30">
        <v>0</v>
      </c>
      <c r="T95" s="30">
        <v>0</v>
      </c>
      <c r="U95" s="30">
        <v>0</v>
      </c>
      <c r="V95" s="30">
        <v>0</v>
      </c>
    </row>
    <row r="96" spans="3:22" x14ac:dyDescent="0.25">
      <c r="C96" s="4">
        <v>44952</v>
      </c>
      <c r="D96" s="30">
        <v>14267174.954399999</v>
      </c>
      <c r="E96" s="32">
        <v>0.98077009999999998</v>
      </c>
      <c r="F96" s="38">
        <f t="shared" ref="F96" si="198">D96/TRUNC(E96,6)</f>
        <v>14546912.073574843</v>
      </c>
      <c r="G96" s="19">
        <f t="shared" ref="G96" si="199">H96*I96</f>
        <v>14284866.327941466</v>
      </c>
      <c r="H96" s="31">
        <v>0.99199669999999995</v>
      </c>
      <c r="I96" s="19">
        <f>SUMIFS([1]Master!$K$2:$K$10000,[1]Master!$A$2:$A$10000,$I$12,[1]Master!$F$2:$F$10000,"&lt;="&amp;$C96)</f>
        <v>14400114.766451811</v>
      </c>
      <c r="J96" s="19">
        <f t="shared" ref="J96" si="200">((((1+1.85%)^(1/252))-1)*D95)+SUM(J95)</f>
        <v>18878.984000325363</v>
      </c>
      <c r="K96" s="19">
        <f>IF((NETWORKDAYS(DATE(YEAR(C96),MONTH(C96),1),C96,Feriados!$A$2:$A$842))&gt;=5,0,IF(NETWORKDAYS(DATE(YEAR(C96),MONTH(C96),1),C96,Feriados!$A$2:$A$842)=1,J95,K95))</f>
        <v>0</v>
      </c>
      <c r="L96" s="30">
        <v>-23837.35</v>
      </c>
      <c r="M96" s="19">
        <f>VLOOKUP(C96,'Fluxo de Caixa'!$B$13:$U$10027,20,FALSE)</f>
        <v>25965.74688134552</v>
      </c>
      <c r="N96" s="19">
        <f>SUMIFS([1]Master!$J$2:$J$100,[1]Master!$A$2:$A$100,"="&amp;$I$12,[1]Master!$E$2:$E$100,"="&amp;C96,[1]Master!$J$2:$J$100,"&gt;"&amp;0)</f>
        <v>0</v>
      </c>
      <c r="O96" s="19">
        <f ca="1">-SUMIF('[1]Fluxo de Movimentações'!$A$5:$F$10001,"="&amp;$C97,'[1]Fluxo de Movimentações'!$B$5:$B$10001)</f>
        <v>0</v>
      </c>
      <c r="P96" s="19">
        <f>-SUMIFS([1]Master!$J$1:$J$200,[1]Master!$A$1:$A$200,"="&amp;$I$12,[1]Master!$G$1:$G$200,"&gt;"&amp;C96,[1]Master!$E$1:$E$200,"&lt;="&amp;C96)</f>
        <v>0</v>
      </c>
      <c r="Q96" s="30">
        <v>-940.97559999999999</v>
      </c>
      <c r="R96" s="32">
        <v>0.98240870000000002</v>
      </c>
      <c r="S96" s="30">
        <v>0</v>
      </c>
      <c r="T96" s="30">
        <v>0</v>
      </c>
      <c r="U96" s="30">
        <v>0</v>
      </c>
      <c r="V96" s="30">
        <v>0</v>
      </c>
    </row>
    <row r="97" spans="3:22" x14ac:dyDescent="0.25">
      <c r="C97" s="4">
        <v>44953</v>
      </c>
      <c r="D97" s="30">
        <v>14204776.9224</v>
      </c>
      <c r="E97" s="32">
        <v>0.97648060000000003</v>
      </c>
      <c r="F97" s="38">
        <f t="shared" ref="F97" si="201">D97/TRUNC(E97,6)</f>
        <v>14546920.492380796</v>
      </c>
      <c r="G97" s="19">
        <f t="shared" ref="G97" si="202">H97*I97</f>
        <v>14220811.737437338</v>
      </c>
      <c r="H97" s="31">
        <v>0.98754850000000005</v>
      </c>
      <c r="I97" s="19">
        <f>SUMIFS([1]Master!$K$2:$K$10000,[1]Master!$A$2:$A$10000,$I$12,[1]Master!$F$2:$F$10000,"&lt;="&amp;$C97)</f>
        <v>14400114.766451811</v>
      </c>
      <c r="J97" s="19">
        <f t="shared" ref="J97" si="203">((((1+1.85%)^(1/252))-1)*D96)+SUM(J96)</f>
        <v>19916.843041840384</v>
      </c>
      <c r="K97" s="19">
        <f>IF((NETWORKDAYS(DATE(YEAR(C97),MONTH(C97),1),C97,Feriados!$A$2:$A$842))&gt;=5,0,IF(NETWORKDAYS(DATE(YEAR(C97),MONTH(C97),1),C97,Feriados!$A$2:$A$842)=1,J96,K96))</f>
        <v>0</v>
      </c>
      <c r="L97" s="30">
        <v>-21114.97</v>
      </c>
      <c r="M97" s="19">
        <f>VLOOKUP(C97,'Fluxo de Caixa'!$B$13:$U$10027,20,FALSE)</f>
        <v>25965.74688134552</v>
      </c>
      <c r="N97" s="19">
        <f>SUMIFS([1]Master!$J$2:$J$100,[1]Master!$A$2:$A$100,"="&amp;$I$12,[1]Master!$E$2:$E$100,"="&amp;C97,[1]Master!$J$2:$J$100,"&gt;"&amp;0)</f>
        <v>0</v>
      </c>
      <c r="O97" s="19">
        <f ca="1">-SUMIF('[1]Fluxo de Movimentações'!$A$5:$F$10001,"="&amp;$C98,'[1]Fluxo de Movimentações'!$B$5:$B$10001)</f>
        <v>0</v>
      </c>
      <c r="P97" s="19">
        <f>-SUMIFS([1]Master!$J$1:$J$200,[1]Master!$A$1:$A$200,"="&amp;$I$12,[1]Master!$G$1:$G$200,"&gt;"&amp;C97,[1]Master!$E$1:$E$200,"&lt;="&amp;C97)</f>
        <v>0</v>
      </c>
      <c r="Q97" s="30">
        <v>-968.94759999999997</v>
      </c>
      <c r="R97" s="32">
        <v>0.97793220000000003</v>
      </c>
      <c r="S97" s="30">
        <v>0</v>
      </c>
      <c r="T97" s="30">
        <v>0</v>
      </c>
      <c r="U97" s="30">
        <v>0</v>
      </c>
      <c r="V97" s="30">
        <v>0</v>
      </c>
    </row>
    <row r="98" spans="3:22" x14ac:dyDescent="0.25">
      <c r="C98" s="4">
        <v>44956</v>
      </c>
      <c r="D98" s="30">
        <v>14148251.350400001</v>
      </c>
      <c r="E98" s="32">
        <v>0.97259490000000004</v>
      </c>
      <c r="F98" s="38">
        <f t="shared" ref="F98" si="204">D98/TRUNC(E98,6)</f>
        <v>14546924.359393541</v>
      </c>
      <c r="G98" s="19">
        <f t="shared" ref="G98" si="205">H98*I98</f>
        <v>14162861.355582705</v>
      </c>
      <c r="H98" s="31">
        <v>0.98352419999999996</v>
      </c>
      <c r="I98" s="19">
        <f>SUMIFS([1]Master!$K$2:$K$10000,[1]Master!$A$2:$A$10000,$I$12,[1]Master!$F$2:$F$10000,"&lt;="&amp;$C98)</f>
        <v>14400114.766451811</v>
      </c>
      <c r="J98" s="19">
        <f t="shared" ref="J98" si="206">((((1+1.85%)^(1/252))-1)*D97)+SUM(J97)</f>
        <v>20950.162967385291</v>
      </c>
      <c r="K98" s="19">
        <f>IF((NETWORKDAYS(DATE(YEAR(C98),MONTH(C98),1),C98,Feriados!$A$2:$A$842))&gt;=5,0,IF(NETWORKDAYS(DATE(YEAR(C98),MONTH(C98),1),C98,Feriados!$A$2:$A$842)=1,J97,K97))</f>
        <v>0</v>
      </c>
      <c r="L98" s="30">
        <v>-18628.88</v>
      </c>
      <c r="M98" s="19">
        <f>VLOOKUP(C98,'Fluxo de Caixa'!$B$13:$U$10027,20,FALSE)</f>
        <v>25965.74688134552</v>
      </c>
      <c r="N98" s="19">
        <f>SUMIFS([1]Master!$J$2:$J$100,[1]Master!$A$2:$A$100,"="&amp;$I$12,[1]Master!$E$2:$E$100,"="&amp;C98,[1]Master!$J$2:$J$100,"&gt;"&amp;0)</f>
        <v>0</v>
      </c>
      <c r="O98" s="19">
        <f ca="1">-SUMIF('[1]Fluxo de Movimentações'!$A$5:$F$10001,"="&amp;$C99,'[1]Fluxo de Movimentações'!$B$5:$B$10001)</f>
        <v>0</v>
      </c>
      <c r="P98" s="19">
        <f>-SUMIFS([1]Master!$J$1:$J$200,[1]Master!$A$1:$A$200,"="&amp;$I$12,[1]Master!$G$1:$G$200,"&gt;"&amp;C98,[1]Master!$E$1:$E$200,"&lt;="&amp;C98)</f>
        <v>0</v>
      </c>
      <c r="Q98" s="30">
        <v>-996.91959999999995</v>
      </c>
      <c r="R98" s="32">
        <v>0.97387550000000001</v>
      </c>
      <c r="S98" s="30">
        <v>0</v>
      </c>
      <c r="T98" s="30">
        <v>0</v>
      </c>
      <c r="U98" s="30">
        <v>0</v>
      </c>
      <c r="V98" s="30">
        <v>0</v>
      </c>
    </row>
    <row r="99" spans="3:22" x14ac:dyDescent="0.25">
      <c r="C99" s="4">
        <v>44957</v>
      </c>
      <c r="D99" s="30">
        <v>14378721.466600001</v>
      </c>
      <c r="E99" s="32">
        <v>0.98843809999999999</v>
      </c>
      <c r="F99" s="38">
        <f t="shared" ref="F99" si="207">D99/TRUNC(E99,6)</f>
        <v>14546912.873240406</v>
      </c>
      <c r="G99" s="19">
        <f t="shared" ref="G99" si="208">H99*I99</f>
        <v>14404662.322695058</v>
      </c>
      <c r="H99" s="31">
        <v>1.0003158000000001</v>
      </c>
      <c r="I99" s="19">
        <f>SUMIFS([1]Master!$K$2:$K$10000,[1]Master!$A$2:$A$10000,$I$12,[1]Master!$F$2:$F$10000,"&lt;="&amp;$C99)</f>
        <v>14400114.766451811</v>
      </c>
      <c r="J99" s="19">
        <f t="shared" ref="J99:J101" si="209">((((1+1.85%)^(1/252))-1)*D98)+SUM(J98)</f>
        <v>21979.370966345956</v>
      </c>
      <c r="K99" s="19">
        <f>IF((NETWORKDAYS(DATE(YEAR(C99),MONTH(C99),1),C99,Feriados!$A$2:$A$842))&gt;=5,0,IF(NETWORKDAYS(DATE(YEAR(C99),MONTH(C99),1),C99,Feriados!$A$2:$A$842)=1,J98,K98))</f>
        <v>0</v>
      </c>
      <c r="L99" s="30">
        <v>-28444.37</v>
      </c>
      <c r="M99" s="19">
        <f>VLOOKUP(C99,'Fluxo de Caixa'!$B$13:$U$10027,20,FALSE)</f>
        <v>25965.74688134552</v>
      </c>
      <c r="N99" s="19">
        <f>SUMIFS([1]Master!$J$2:$J$100,[1]Master!$A$2:$A$100,"="&amp;$I$12,[1]Master!$E$2:$E$100,"="&amp;C99,[1]Master!$J$2:$J$100,"&gt;"&amp;0)</f>
        <v>0</v>
      </c>
      <c r="O99" s="19">
        <f ca="1">-SUMIF('[1]Fluxo de Movimentações'!$A$5:$F$10001,"="&amp;$C100,'[1]Fluxo de Movimentações'!$B$5:$B$10001)</f>
        <v>0</v>
      </c>
      <c r="P99" s="19">
        <f>-SUMIFS([1]Master!$J$1:$J$200,[1]Master!$A$1:$A$200,"="&amp;$I$12,[1]Master!$G$1:$G$200,"&gt;"&amp;C99,[1]Master!$E$1:$E$200,"&lt;="&amp;C99)</f>
        <v>0</v>
      </c>
      <c r="Q99" s="30">
        <v>-1483.0734</v>
      </c>
      <c r="R99" s="32">
        <v>0.99039350000000004</v>
      </c>
      <c r="S99" s="30">
        <v>0</v>
      </c>
      <c r="T99" s="30">
        <v>0</v>
      </c>
      <c r="U99" s="30">
        <v>0</v>
      </c>
      <c r="V99" s="30">
        <v>0</v>
      </c>
    </row>
    <row r="100" spans="3:22" x14ac:dyDescent="0.25">
      <c r="C100" s="4">
        <v>44958</v>
      </c>
      <c r="D100" s="30">
        <v>14323373.0561</v>
      </c>
      <c r="E100" s="32">
        <v>0.98463330000000004</v>
      </c>
      <c r="F100" s="38">
        <f t="shared" ref="F100" si="210">D100/TRUNC(E100,6)</f>
        <v>14546915.506691325</v>
      </c>
      <c r="G100" s="19">
        <f t="shared" ref="G100" si="211">H100*I100</f>
        <v>14347217.384868726</v>
      </c>
      <c r="H100" s="31">
        <v>0.99632659999999995</v>
      </c>
      <c r="I100" s="19">
        <f>SUMIFS([1]Master!$K$2:$K$10000,[1]Master!$A$2:$A$10000,$I$12,[1]Master!$F$2:$F$10000,"&lt;="&amp;$C100)</f>
        <v>14400114.766451811</v>
      </c>
      <c r="J100" s="19">
        <f>((((1+1.85%)^(1/252))-1)*D99)</f>
        <v>1045.9734409393125</v>
      </c>
      <c r="K100" s="19">
        <f>IF((NETWORKDAYS(DATE(YEAR(C100),MONTH(C100),1),C100,Feriados!$A$2:$A$842))&gt;=5,0,IF(NETWORKDAYS(DATE(YEAR(C100),MONTH(C100),1),C100,Feriados!$A$2:$A$842)=1,J99,K99))</f>
        <v>21979.370966345956</v>
      </c>
      <c r="L100" s="30">
        <v>-25269.05</v>
      </c>
      <c r="M100" s="19">
        <f>VLOOKUP(C100,'Fluxo de Caixa'!$B$13:$U$10027,20,FALSE)</f>
        <v>25965.74688134552</v>
      </c>
      <c r="N100" s="19">
        <f>SUMIFS([1]Master!$J$2:$J$100,[1]Master!$A$2:$A$100,"="&amp;$I$12,[1]Master!$E$2:$E$100,"="&amp;C100,[1]Master!$J$2:$J$100,"&gt;"&amp;0)</f>
        <v>0</v>
      </c>
      <c r="O100" s="19">
        <f ca="1">-SUMIF('[1]Fluxo de Movimentações'!$A$5:$F$10001,"="&amp;$C101,'[1]Fluxo de Movimentações'!$B$5:$B$10001)</f>
        <v>0</v>
      </c>
      <c r="P100" s="19">
        <f>-SUMIFS([1]Master!$J$1:$J$200,[1]Master!$A$1:$A$200,"="&amp;$I$12,[1]Master!$G$1:$G$200,"&gt;"&amp;C100,[1]Master!$E$1:$E$200,"&lt;="&amp;C100)</f>
        <v>0</v>
      </c>
      <c r="Q100" s="30">
        <v>-1515.8939</v>
      </c>
      <c r="R100" s="32">
        <v>0.98637039999999998</v>
      </c>
      <c r="S100" s="30">
        <v>0</v>
      </c>
      <c r="T100" s="30">
        <v>0</v>
      </c>
      <c r="U100" s="30">
        <v>0</v>
      </c>
      <c r="V100" s="30">
        <v>0</v>
      </c>
    </row>
    <row r="101" spans="3:22" x14ac:dyDescent="0.25">
      <c r="C101" s="4">
        <v>44959</v>
      </c>
      <c r="D101" s="30">
        <v>14303046.6756</v>
      </c>
      <c r="E101" s="32">
        <v>0.983236</v>
      </c>
      <c r="F101" s="38">
        <f t="shared" ref="F101" si="212">D101/TRUNC(E101,6)</f>
        <v>14546911.093165832</v>
      </c>
      <c r="G101" s="19">
        <f t="shared" ref="G101" si="213">H101*I101</f>
        <v>14303600.740557598</v>
      </c>
      <c r="H101" s="31">
        <v>0.99489490000000003</v>
      </c>
      <c r="I101" s="19">
        <f>SUMIFS([1]Master!$K$2:$K$10000,[1]Master!$A$2:$A$10000,$I$12,[1]Master!$F$2:$F$10000,"&lt;="&amp;$C101)</f>
        <v>14376996.746648915</v>
      </c>
      <c r="J101" s="19">
        <f t="shared" si="209"/>
        <v>2087.9205873631017</v>
      </c>
      <c r="K101" s="19">
        <f>IF((NETWORKDAYS(DATE(YEAR(C101),MONTH(C101),1),C101,Feriados!$A$2:$A$842))&gt;=5,0,IF(NETWORKDAYS(DATE(YEAR(C101),MONTH(C101),1),C101,Feriados!$A$2:$A$842)=1,J100,K100))</f>
        <v>21979.370966345956</v>
      </c>
      <c r="L101" s="30">
        <v>-23904.03</v>
      </c>
      <c r="M101" s="19">
        <f>VLOOKUP(C101,'Fluxo de Caixa'!$B$13:$U$10027,20,FALSE)</f>
        <v>25965.74688134552</v>
      </c>
      <c r="N101" s="19">
        <f>SUMIFS([1]Master!$J$2:$J$100,[1]Master!$A$2:$A$100,"="&amp;$I$12,[1]Master!$E$2:$E$100,"="&amp;C101,[1]Master!$J$2:$J$100,"&gt;"&amp;0)</f>
        <v>0</v>
      </c>
      <c r="O101" s="19">
        <f ca="1">-SUMIF('[1]Fluxo de Movimentações'!$A$5:$F$10001,"="&amp;$C102,'[1]Fluxo de Movimentações'!$B$5:$B$10001)</f>
        <v>0</v>
      </c>
      <c r="P101" s="19">
        <f>-SUMIFS([1]Master!$J$1:$J$200,[1]Master!$A$1:$A$200,"="&amp;$I$12,[1]Master!$G$1:$G$200,"&gt;"&amp;C101,[1]Master!$E$1:$E$200,"&lt;="&amp;C101)</f>
        <v>23000</v>
      </c>
      <c r="Q101" s="30">
        <v>-1548.7144000000001</v>
      </c>
      <c r="R101" s="32">
        <v>0.98487930000000001</v>
      </c>
      <c r="S101" s="30">
        <v>0</v>
      </c>
      <c r="T101" s="30">
        <v>0</v>
      </c>
      <c r="U101" s="30">
        <v>0</v>
      </c>
      <c r="V101" s="30">
        <v>0</v>
      </c>
    </row>
    <row r="102" spans="3:22" x14ac:dyDescent="0.25">
      <c r="C102" s="4">
        <v>44960</v>
      </c>
      <c r="D102" s="30">
        <v>14005220.5251</v>
      </c>
      <c r="E102" s="32">
        <v>0.96276249999999997</v>
      </c>
      <c r="F102" s="38">
        <f t="shared" ref="F102" si="214">D102/TRUNC(E102,6)</f>
        <v>14546918.683018234</v>
      </c>
      <c r="G102" s="19">
        <f t="shared" ref="G102" si="215">H102*I102</f>
        <v>13995460.006986346</v>
      </c>
      <c r="H102" s="31">
        <v>0.97346200000000005</v>
      </c>
      <c r="I102" s="19">
        <f>SUMIFS([1]Master!$K$2:$K$10000,[1]Master!$A$2:$A$10000,$I$12,[1]Master!$F$2:$F$10000,"&lt;="&amp;$C102)</f>
        <v>14376996.746648915</v>
      </c>
      <c r="J102" s="19">
        <f t="shared" ref="J102" si="216">((((1+1.85%)^(1/252))-1)*D101)+SUM(J101)</f>
        <v>3128.3891006411823</v>
      </c>
      <c r="K102" s="19">
        <f>IF((NETWORKDAYS(DATE(YEAR(C102),MONTH(C102),1),C102,Feriados!$A$2:$A$842))&gt;=5,0,IF(NETWORKDAYS(DATE(YEAR(C102),MONTH(C102),1),C102,Feriados!$A$2:$A$842)=1,J101,K101))</f>
        <v>21979.370966345956</v>
      </c>
      <c r="L102" s="30">
        <v>-12516.17</v>
      </c>
      <c r="M102" s="19">
        <f>VLOOKUP(C102,'Fluxo de Caixa'!$B$13:$U$10027,20,FALSE)</f>
        <v>25965.74688134552</v>
      </c>
      <c r="N102" s="19">
        <f>SUMIFS([1]Master!$J$2:$J$100,[1]Master!$A$2:$A$100,"="&amp;$I$12,[1]Master!$E$2:$E$100,"="&amp;C102,[1]Master!$J$2:$J$100,"&gt;"&amp;0)</f>
        <v>0</v>
      </c>
      <c r="O102" s="19">
        <f ca="1">-SUMIF('[1]Fluxo de Movimentações'!$A$5:$F$10001,"="&amp;$C103,'[1]Fluxo de Movimentações'!$B$5:$B$10001)</f>
        <v>0</v>
      </c>
      <c r="P102" s="19">
        <f>-SUMIFS([1]Master!$J$1:$J$200,[1]Master!$A$1:$A$200,"="&amp;$I$12,[1]Master!$G$1:$G$200,"&gt;"&amp;C102,[1]Master!$E$1:$E$200,"&lt;="&amp;C102)</f>
        <v>23000</v>
      </c>
      <c r="Q102" s="30">
        <v>-1581.5349000000001</v>
      </c>
      <c r="R102" s="32">
        <v>0.96362289999999995</v>
      </c>
      <c r="S102" s="30">
        <v>0</v>
      </c>
      <c r="T102" s="30">
        <v>0</v>
      </c>
      <c r="U102" s="30">
        <v>0</v>
      </c>
      <c r="V102" s="30">
        <v>0</v>
      </c>
    </row>
    <row r="103" spans="3:22" x14ac:dyDescent="0.25">
      <c r="C103" s="4">
        <v>44963</v>
      </c>
      <c r="D103" s="30">
        <v>13971783.344599999</v>
      </c>
      <c r="E103" s="32">
        <v>0.96046390000000004</v>
      </c>
      <c r="F103" s="38">
        <f t="shared" ref="F103" si="217">D103/TRUNC(E103,6)</f>
        <v>14546925.123195792</v>
      </c>
      <c r="G103" s="19">
        <f t="shared" ref="G103" si="218">H103*I103</f>
        <v>13961898.345780969</v>
      </c>
      <c r="H103" s="31">
        <v>0.97112759999999998</v>
      </c>
      <c r="I103" s="19">
        <f>SUMIFS([1]Master!$K$2:$K$10000,[1]Master!$A$2:$A$10000,$I$12,[1]Master!$F$2:$F$10000,"&lt;="&amp;$C103)</f>
        <v>14376996.746648915</v>
      </c>
      <c r="J103" s="19">
        <f t="shared" ref="J103" si="219">((((1+1.85%)^(1/252))-1)*D102)+SUM(J102)</f>
        <v>4147.1923883869504</v>
      </c>
      <c r="K103" s="19">
        <f>IF((NETWORKDAYS(DATE(YEAR(C103),MONTH(C103),1),C103,Feriados!$A$2:$A$842))&gt;=5,0,IF(NETWORKDAYS(DATE(YEAR(C103),MONTH(C103),1),C103,Feriados!$A$2:$A$842)=1,J102,K102))</f>
        <v>21979.370966345956</v>
      </c>
      <c r="L103" s="30">
        <v>-11340.07</v>
      </c>
      <c r="M103" s="19">
        <f>VLOOKUP(C103,'Fluxo de Caixa'!$B$13:$U$10027,20,FALSE)</f>
        <v>48965.74688134552</v>
      </c>
      <c r="N103" s="19">
        <f>SUMIFS([1]Master!$J$2:$J$100,[1]Master!$A$2:$A$100,"="&amp;$I$12,[1]Master!$E$2:$E$100,"="&amp;C103,[1]Master!$J$2:$J$100,"&gt;"&amp;0)</f>
        <v>0</v>
      </c>
      <c r="O103" s="19">
        <f ca="1">-SUMIF('[1]Fluxo de Movimentações'!$A$5:$F$10001,"="&amp;$C104,'[1]Fluxo de Movimentações'!$B$5:$B$10001)</f>
        <v>0</v>
      </c>
      <c r="P103" s="19">
        <f>-SUMIFS([1]Master!$J$1:$J$200,[1]Master!$A$1:$A$200,"="&amp;$I$12,[1]Master!$G$1:$G$200,"&gt;"&amp;C103,[1]Master!$E$1:$E$200,"&lt;="&amp;C103)</f>
        <v>0</v>
      </c>
      <c r="Q103" s="30">
        <v>-1614.3553999999999</v>
      </c>
      <c r="R103" s="32">
        <v>0.96124350000000003</v>
      </c>
      <c r="S103" s="30">
        <v>0</v>
      </c>
      <c r="T103" s="30">
        <v>0</v>
      </c>
      <c r="U103" s="30">
        <v>0</v>
      </c>
      <c r="V103" s="30">
        <v>0</v>
      </c>
    </row>
    <row r="104" spans="3:22" x14ac:dyDescent="0.25">
      <c r="C104" s="4">
        <v>44964</v>
      </c>
      <c r="D104" s="30">
        <v>13800017.5441</v>
      </c>
      <c r="E104" s="32">
        <v>0.94865619999999995</v>
      </c>
      <c r="F104" s="38">
        <f t="shared" ref="F104" si="220">D104/TRUNC(E104,6)</f>
        <v>14546914.3125643</v>
      </c>
      <c r="G104" s="19">
        <f t="shared" ref="G104" si="221">H104*I104</f>
        <v>13786835.407195725</v>
      </c>
      <c r="H104" s="31">
        <v>0.958951</v>
      </c>
      <c r="I104" s="19">
        <f>SUMIFS([1]Master!$K$2:$K$10000,[1]Master!$A$2:$A$10000,$I$12,[1]Master!$F$2:$F$10000,"&lt;="&amp;$C104)</f>
        <v>14376996.746648915</v>
      </c>
      <c r="J104" s="19">
        <f t="shared" ref="J104" si="222">((((1+1.85%)^(1/252))-1)*D103)+SUM(J103)</f>
        <v>5163.5633039065688</v>
      </c>
      <c r="K104" s="19">
        <f>IF((NETWORKDAYS(DATE(YEAR(C104),MONTH(C104),1),C104,Feriados!$A$2:$A$842))&gt;=5,0,IF(NETWORKDAYS(DATE(YEAR(C104),MONTH(C104),1),C104,Feriados!$A$2:$A$842)=1,J103,K103))</f>
        <v>0</v>
      </c>
      <c r="L104" s="30">
        <v>-6993.74</v>
      </c>
      <c r="M104" s="19">
        <f>VLOOKUP(C104,'Fluxo de Caixa'!$B$13:$U$10027,20,FALSE)</f>
        <v>26986.49688134552</v>
      </c>
      <c r="N104" s="19">
        <f>SUMIFS([1]Master!$J$2:$J$100,[1]Master!$A$2:$A$100,"="&amp;$I$12,[1]Master!$E$2:$E$100,"="&amp;C104,[1]Master!$J$2:$J$100,"&gt;"&amp;0)</f>
        <v>0</v>
      </c>
      <c r="O104" s="19">
        <f ca="1">-SUMIF('[1]Fluxo de Movimentações'!$A$5:$F$10001,"="&amp;$C105,'[1]Fluxo de Movimentações'!$B$5:$B$10001)</f>
        <v>0</v>
      </c>
      <c r="P104" s="19">
        <f>-SUMIFS([1]Master!$J$1:$J$200,[1]Master!$A$1:$A$200,"="&amp;$I$12,[1]Master!$G$1:$G$200,"&gt;"&amp;C104,[1]Master!$E$1:$E$200,"&lt;="&amp;C104)</f>
        <v>0</v>
      </c>
      <c r="Q104" s="30">
        <v>-1647.1759</v>
      </c>
      <c r="R104" s="32">
        <v>0.94913700000000001</v>
      </c>
      <c r="S104" s="30">
        <v>0</v>
      </c>
      <c r="T104" s="30">
        <v>0</v>
      </c>
      <c r="U104" s="30">
        <v>0</v>
      </c>
      <c r="V104" s="30">
        <v>0</v>
      </c>
    </row>
    <row r="105" spans="3:22" x14ac:dyDescent="0.25">
      <c r="C105" s="4">
        <v>44965</v>
      </c>
      <c r="D105" s="30">
        <v>13980084.523600001</v>
      </c>
      <c r="E105" s="32">
        <v>0.96103459999999996</v>
      </c>
      <c r="F105" s="38">
        <f t="shared" ref="F105" si="223">D105/TRUNC(E105,6)</f>
        <v>14546919.80054816</v>
      </c>
      <c r="G105" s="19">
        <f t="shared" ref="G105" si="224">H105*I105</f>
        <v>13972159.208359053</v>
      </c>
      <c r="H105" s="31">
        <v>0.97184130000000002</v>
      </c>
      <c r="I105" s="19">
        <f>SUMIFS([1]Master!$K$2:$K$10000,[1]Master!$A$2:$A$10000,$I$12,[1]Master!$F$2:$F$10000,"&lt;="&amp;$C105)</f>
        <v>14376996.746648915</v>
      </c>
      <c r="J105" s="19">
        <f t="shared" ref="J105" si="225">((((1+1.85%)^(1/252))-1)*D104)+SUM(J104)</f>
        <v>6167.4391957342677</v>
      </c>
      <c r="K105" s="19">
        <f>IF((NETWORKDAYS(DATE(YEAR(C105),MONTH(C105),1),C105,Feriados!$A$2:$A$842))&gt;=5,0,IF(NETWORKDAYS(DATE(YEAR(C105),MONTH(C105),1),C105,Feriados!$A$2:$A$842)=1,J104,K104))</f>
        <v>0</v>
      </c>
      <c r="L105" s="68">
        <v>-11213.87</v>
      </c>
      <c r="M105" s="19">
        <f>VLOOKUP(C105,'Fluxo de Caixa'!$B$13:$U$10027,20,FALSE)</f>
        <v>26986.49688134552</v>
      </c>
      <c r="N105" s="19">
        <f>SUMIFS([1]Master!$J$2:$J$100,[1]Master!$A$2:$A$100,"="&amp;$I$12,[1]Master!$E$2:$E$100,"="&amp;C105,[1]Master!$J$2:$J$100,"&gt;"&amp;0)</f>
        <v>0</v>
      </c>
      <c r="O105" s="19">
        <f ca="1">-SUMIF('[1]Fluxo de Movimentações'!$A$5:$F$10001,"="&amp;$C106,'[1]Fluxo de Movimentações'!$B$5:$B$10001)</f>
        <v>0</v>
      </c>
      <c r="P105" s="19">
        <f>-SUMIFS([1]Master!$J$1:$J$200,[1]Master!$A$1:$A$200,"="&amp;$I$12,[1]Master!$G$1:$G$200,"&gt;"&amp;C105,[1]Master!$E$1:$E$200,"&lt;="&amp;C105)</f>
        <v>0</v>
      </c>
      <c r="Q105" s="30">
        <v>-1679.9964</v>
      </c>
      <c r="R105" s="32">
        <v>0.96180549999999998</v>
      </c>
      <c r="S105" s="30">
        <v>0</v>
      </c>
      <c r="T105" s="30">
        <v>0</v>
      </c>
      <c r="U105" s="30">
        <v>0</v>
      </c>
      <c r="V105" s="30">
        <v>0</v>
      </c>
    </row>
    <row r="106" spans="3:22" x14ac:dyDescent="0.25">
      <c r="C106" s="4">
        <v>44966</v>
      </c>
      <c r="D106" s="30">
        <v>13752518.2531</v>
      </c>
      <c r="E106" s="32">
        <v>0.94539099999999998</v>
      </c>
      <c r="F106" s="38">
        <f t="shared" ref="F106:F107" si="226">D106/TRUNC(E106,6)</f>
        <v>14546910.487935681</v>
      </c>
      <c r="G106" s="19">
        <f t="shared" ref="G106" si="227">H106*I106</f>
        <v>13740018.154989935</v>
      </c>
      <c r="H106" s="31">
        <v>0.95569459999999995</v>
      </c>
      <c r="I106" s="19">
        <f>SUMIFS([1]Master!$K$2:$K$10000,[1]Master!$A$2:$A$10000,$I$12,[1]Master!$F$2:$F$10000,"&lt;="&amp;$C106)</f>
        <v>14376996.746648915</v>
      </c>
      <c r="J106" s="19">
        <f t="shared" ref="J106" si="228">((((1+1.85%)^(1/252))-1)*D105)+SUM(J105)</f>
        <v>7184.4139766797971</v>
      </c>
      <c r="K106" s="19">
        <f>IF((NETWORKDAYS(DATE(YEAR(C106),MONTH(C106),1),C106,Feriados!$A$2:$A$842))&gt;=5,0,IF(NETWORKDAYS(DATE(YEAR(C106),MONTH(C106),1),C106,Feriados!$A$2:$A$842)=1,J105,K105))</f>
        <v>0</v>
      </c>
      <c r="L106" s="30">
        <v>-5589.29</v>
      </c>
      <c r="M106" s="19">
        <f>VLOOKUP(C106,'Fluxo de Caixa'!$B$13:$U$10027,20,FALSE)</f>
        <v>26986.49688134552</v>
      </c>
      <c r="N106" s="19">
        <f>SUMIFS([1]Master!$J$2:$J$100,[1]Master!$A$2:$A$100,"="&amp;$I$12,[1]Master!$E$2:$E$100,"="&amp;C106,[1]Master!$J$2:$J$100,"&gt;"&amp;0)</f>
        <v>0</v>
      </c>
      <c r="O106" s="19">
        <f ca="1">-SUMIF('[1]Fluxo de Movimentações'!$A$5:$F$10001,"="&amp;$C107,'[1]Fluxo de Movimentações'!$B$5:$B$10001)</f>
        <v>0</v>
      </c>
      <c r="P106" s="19">
        <f>-SUMIFS([1]Master!$J$1:$J$200,[1]Master!$A$1:$A$200,"="&amp;$I$12,[1]Master!$G$1:$G$200,"&gt;"&amp;C106,[1]Master!$E$1:$E$200,"&lt;="&amp;C106)</f>
        <v>0</v>
      </c>
      <c r="Q106" s="30">
        <v>-1712.8169</v>
      </c>
      <c r="R106" s="32">
        <v>0.94577520000000004</v>
      </c>
      <c r="S106" s="30">
        <v>0</v>
      </c>
      <c r="T106" s="30">
        <v>0</v>
      </c>
      <c r="U106" s="30">
        <v>0</v>
      </c>
      <c r="V106" s="30">
        <v>0</v>
      </c>
    </row>
    <row r="107" spans="3:22" x14ac:dyDescent="0.25">
      <c r="C107" s="4">
        <v>44967</v>
      </c>
      <c r="D107" s="30">
        <v>13737867.6326</v>
      </c>
      <c r="E107" s="32">
        <v>0.9443838</v>
      </c>
      <c r="F107" s="38">
        <f t="shared" si="226"/>
        <v>14546923.899096023</v>
      </c>
      <c r="G107" s="19">
        <f t="shared" ref="G107" si="229">H107*I107</f>
        <v>13725884.129488306</v>
      </c>
      <c r="H107" s="31">
        <v>0.95471150000000005</v>
      </c>
      <c r="I107" s="19">
        <f>SUMIFS([1]Master!$K$2:$K$10000,[1]Master!$A$2:$A$10000,$I$12,[1]Master!$F$2:$F$10000,"&lt;="&amp;$C107)</f>
        <v>14376996.746648915</v>
      </c>
      <c r="J107" s="19">
        <f t="shared" ref="J107" si="230">((((1+1.85%)^(1/252))-1)*D106)+SUM(J106)</f>
        <v>8184.8345545586963</v>
      </c>
      <c r="K107" s="19">
        <f>IF((NETWORKDAYS(DATE(YEAR(C107),MONTH(C107),1),C107,Feriados!$A$2:$A$842))&gt;=5,0,IF(NETWORKDAYS(DATE(YEAR(C107),MONTH(C107),1),C107,Feriados!$A$2:$A$842)=1,J106,K106))</f>
        <v>0</v>
      </c>
      <c r="L107" s="30">
        <v>-5072.6499999999996</v>
      </c>
      <c r="M107" s="19">
        <f>VLOOKUP(C107,'Fluxo de Caixa'!$B$13:$U$10027,20,FALSE)</f>
        <v>26986.49688134552</v>
      </c>
      <c r="N107" s="19">
        <f>SUMIFS([1]Master!$J$2:$J$100,[1]Master!$A$2:$A$100,"="&amp;$I$12,[1]Master!$E$2:$E$100,"="&amp;C107,[1]Master!$J$2:$J$100,"&gt;"&amp;0)</f>
        <v>0</v>
      </c>
      <c r="O107" s="19">
        <f ca="1">-SUMIF('[1]Fluxo de Movimentações'!$A$5:$F$10001,"="&amp;$C108,'[1]Fluxo de Movimentações'!$B$5:$B$10001)</f>
        <v>0</v>
      </c>
      <c r="P107" s="19">
        <f>-SUMIFS([1]Master!$J$1:$J$200,[1]Master!$A$1:$A$200,"="&amp;$I$12,[1]Master!$G$1:$G$200,"&gt;"&amp;C107,[1]Master!$E$1:$E$200,"&lt;="&amp;C107)</f>
        <v>0</v>
      </c>
      <c r="Q107" s="30">
        <v>-1745.6374000000001</v>
      </c>
      <c r="R107" s="32">
        <v>0.94473260000000003</v>
      </c>
      <c r="S107" s="30">
        <v>0</v>
      </c>
      <c r="T107" s="30">
        <v>0</v>
      </c>
      <c r="U107" s="30">
        <v>0</v>
      </c>
      <c r="V107" s="30">
        <v>0</v>
      </c>
    </row>
    <row r="108" spans="3:22" x14ac:dyDescent="0.25">
      <c r="C108" s="4">
        <v>44970</v>
      </c>
      <c r="D108" s="30">
        <v>13694917.3521</v>
      </c>
      <c r="E108" s="32">
        <v>0.94143129999999997</v>
      </c>
      <c r="F108" s="38">
        <f t="shared" ref="F108" si="231">D108/TRUNC(E108,6)</f>
        <v>14546915.655103773</v>
      </c>
      <c r="G108" s="19">
        <f t="shared" ref="G108" si="232">H108*I108</f>
        <v>13682760.327746732</v>
      </c>
      <c r="H108" s="31">
        <v>0.951712</v>
      </c>
      <c r="I108" s="19">
        <f>SUMIFS([1]Master!$K$2:$K$10000,[1]Master!$A$2:$A$10000,$I$12,[1]Master!$F$2:$F$10000,"&lt;="&amp;$C108)</f>
        <v>14376996.746648915</v>
      </c>
      <c r="J108" s="19">
        <f t="shared" ref="J108" si="233">((((1+1.85%)^(1/252))-1)*D107)+SUM(J107)</f>
        <v>9184.1893798272631</v>
      </c>
      <c r="K108" s="19">
        <f>IF((NETWORKDAYS(DATE(YEAR(C108),MONTH(C108),1),C108,Feriados!$A$2:$A$842))&gt;=5,0,IF(NETWORKDAYS(DATE(YEAR(C108),MONTH(C108),1),C108,Feriados!$A$2:$A$842)=1,J107,K107))</f>
        <v>0</v>
      </c>
      <c r="L108" s="30">
        <v>-3866.96</v>
      </c>
      <c r="M108" s="19">
        <f>VLOOKUP(C108,'Fluxo de Caixa'!$B$13:$U$10027,20,FALSE)</f>
        <v>26986.49688134552</v>
      </c>
      <c r="N108" s="19">
        <f>SUMIFS([1]Master!$J$2:$J$100,[1]Master!$A$2:$A$100,"="&amp;$I$12,[1]Master!$E$2:$E$100,"="&amp;C108,[1]Master!$J$2:$J$100,"&gt;"&amp;0)</f>
        <v>0</v>
      </c>
      <c r="O108" s="19">
        <f ca="1">-SUMIF('[1]Fluxo de Movimentações'!$A$5:$F$10001,"="&amp;$C109,'[1]Fluxo de Movimentações'!$B$5:$B$10001)</f>
        <v>0</v>
      </c>
      <c r="P108" s="19">
        <f>-SUMIFS([1]Master!$J$1:$J$200,[1]Master!$A$1:$A$200,"="&amp;$I$12,[1]Master!$G$1:$G$200,"&gt;"&amp;C108,[1]Master!$E$1:$E$200,"&lt;="&amp;C108)</f>
        <v>0</v>
      </c>
      <c r="Q108" s="30">
        <v>-1778.4579000000001</v>
      </c>
      <c r="R108" s="32">
        <v>0.94169709999999995</v>
      </c>
      <c r="S108" s="30">
        <v>0</v>
      </c>
      <c r="T108" s="30">
        <v>0</v>
      </c>
      <c r="U108" s="30">
        <v>0</v>
      </c>
      <c r="V108" s="30">
        <v>0</v>
      </c>
    </row>
    <row r="109" spans="3:22" x14ac:dyDescent="0.25">
      <c r="C109" s="4">
        <v>44971</v>
      </c>
      <c r="D109" s="30">
        <v>13539174.8116</v>
      </c>
      <c r="E109" s="32">
        <v>0.93072509999999997</v>
      </c>
      <c r="F109" s="38">
        <f t="shared" ref="F109" si="234">D109/TRUNC(E109,6)</f>
        <v>14546912.150850143</v>
      </c>
      <c r="G109" s="19">
        <f t="shared" ref="G109" si="235">H109*I109</f>
        <v>13525941.798032984</v>
      </c>
      <c r="H109" s="31">
        <v>0.94080439999999999</v>
      </c>
      <c r="I109" s="19">
        <f>SUMIFS([1]Master!$K$2:$K$10000,[1]Master!$A$2:$A$10000,$I$12,[1]Master!$F$2:$F$10000,"&lt;="&amp;$C109)</f>
        <v>14376996.746648915</v>
      </c>
      <c r="J109" s="19">
        <f t="shared" ref="J109" si="236">((((1+1.85%)^(1/252))-1)*D108)+SUM(J108)</f>
        <v>10180.419806811306</v>
      </c>
      <c r="K109" s="19">
        <f>IF((NETWORKDAYS(DATE(YEAR(C109),MONTH(C109),1),C109,Feriados!$A$2:$A$842))&gt;=5,0,IF(NETWORKDAYS(DATE(YEAR(C109),MONTH(C109),1),C109,Feriados!$A$2:$A$842)=1,J108,K108))</f>
        <v>0</v>
      </c>
      <c r="L109" s="30">
        <v>-1761.92</v>
      </c>
      <c r="M109" s="19">
        <f>VLOOKUP(C109,'Fluxo de Caixa'!$B$13:$U$10027,20,FALSE)</f>
        <v>26986.49688134552</v>
      </c>
      <c r="N109" s="19">
        <f>SUMIFS([1]Master!$J$2:$J$100,[1]Master!$A$2:$A$100,"="&amp;$I$12,[1]Master!$E$2:$E$100,"="&amp;C109,[1]Master!$J$2:$J$100,"&gt;"&amp;0)</f>
        <v>0</v>
      </c>
      <c r="O109" s="19">
        <f ca="1">-SUMIF('[1]Fluxo de Movimentações'!$A$5:$F$10001,"="&amp;$C110,'[1]Fluxo de Movimentações'!$B$5:$B$10001)</f>
        <v>0</v>
      </c>
      <c r="P109" s="19">
        <f>-SUMIFS([1]Master!$J$1:$J$200,[1]Master!$A$1:$A$200,"="&amp;$I$12,[1]Master!$G$1:$G$200,"&gt;"&amp;C109,[1]Master!$E$1:$E$200,"&lt;="&amp;C109)</f>
        <v>0</v>
      </c>
      <c r="Q109" s="30">
        <v>-1811.2783999999999</v>
      </c>
      <c r="R109" s="32">
        <v>0.93084619999999996</v>
      </c>
      <c r="S109" s="30">
        <v>0</v>
      </c>
      <c r="T109" s="30">
        <v>0</v>
      </c>
      <c r="U109" s="30">
        <v>0</v>
      </c>
      <c r="V109" s="30">
        <v>0</v>
      </c>
    </row>
    <row r="110" spans="3:22" x14ac:dyDescent="0.25">
      <c r="C110" s="4">
        <v>44972</v>
      </c>
      <c r="D110" s="30">
        <v>13774220.4911</v>
      </c>
      <c r="E110" s="32">
        <v>0.94688289999999997</v>
      </c>
      <c r="F110" s="38">
        <f t="shared" ref="F110" si="237">D110/TRUNC(E110,6)</f>
        <v>14546924.000139406</v>
      </c>
      <c r="G110" s="19">
        <f t="shared" ref="G110" si="238">H110*I110</f>
        <v>13765722.787473271</v>
      </c>
      <c r="H110" s="31">
        <v>0.95748250000000001</v>
      </c>
      <c r="I110" s="19">
        <f>SUMIFS([1]Master!$K$2:$K$10000,[1]Master!$A$2:$A$10000,$I$12,[1]Master!$F$2:$F$10000,"&lt;="&amp;$C110)</f>
        <v>14376996.746648915</v>
      </c>
      <c r="J110" s="19">
        <f t="shared" ref="J110" si="239">((((1+1.85%)^(1/252))-1)*D109)+SUM(J109)</f>
        <v>11165.320814739152</v>
      </c>
      <c r="K110" s="19">
        <f>IF((NETWORKDAYS(DATE(YEAR(C110),MONTH(C110),1),C110,Feriados!$A$2:$A$842))&gt;=5,0,IF(NETWORKDAYS(DATE(YEAR(C110),MONTH(C110),1),C110,Feriados!$A$2:$A$842)=1,J109,K109))</f>
        <v>0</v>
      </c>
      <c r="L110" s="30">
        <v>-5479.51</v>
      </c>
      <c r="M110" s="19">
        <f>VLOOKUP(C110,'Fluxo de Caixa'!$B$13:$U$10027,20,FALSE)</f>
        <v>26986.49688134552</v>
      </c>
      <c r="N110" s="19">
        <f>SUMIFS([1]Master!$J$2:$J$100,[1]Master!$A$2:$A$100,"="&amp;$I$12,[1]Master!$E$2:$E$100,"="&amp;C110,[1]Master!$J$2:$J$100,"&gt;"&amp;0)</f>
        <v>0</v>
      </c>
      <c r="O110" s="19">
        <f ca="1">-SUMIF('[1]Fluxo de Movimentações'!$A$5:$F$10001,"="&amp;$C111,'[1]Fluxo de Movimentações'!$B$5:$B$10001)</f>
        <v>0</v>
      </c>
      <c r="P110" s="19">
        <f>-SUMIFS([1]Master!$J$1:$J$200,[1]Master!$A$1:$A$200,"="&amp;$I$12,[1]Master!$G$1:$G$200,"&gt;"&amp;C110,[1]Master!$E$1:$E$200,"&lt;="&amp;C110)</f>
        <v>0</v>
      </c>
      <c r="Q110" s="30">
        <v>-1844.0989</v>
      </c>
      <c r="R110" s="32">
        <v>0.94725950000000003</v>
      </c>
      <c r="S110" s="30">
        <v>0</v>
      </c>
      <c r="T110" s="30">
        <v>0</v>
      </c>
      <c r="U110" s="30">
        <v>0</v>
      </c>
      <c r="V110" s="30">
        <v>0</v>
      </c>
    </row>
    <row r="111" spans="3:22" x14ac:dyDescent="0.25">
      <c r="C111" s="4">
        <v>44973</v>
      </c>
      <c r="D111" s="30">
        <v>13904379.840600001</v>
      </c>
      <c r="E111" s="32">
        <v>0.95583039999999997</v>
      </c>
      <c r="F111" s="38">
        <f t="shared" ref="F111" si="240">D111/TRUNC(E111,6)</f>
        <v>14546917.172091274</v>
      </c>
      <c r="G111" s="19">
        <f t="shared" ref="G111" si="241">H111*I111</f>
        <v>13899858.729419829</v>
      </c>
      <c r="H111" s="31">
        <v>0.96681240000000002</v>
      </c>
      <c r="I111" s="19">
        <f>SUMIFS([1]Master!$K$2:$K$10000,[1]Master!$A$2:$A$10000,$I$12,[1]Master!$F$2:$F$10000,"&lt;="&amp;$C111)</f>
        <v>14376996.746648915</v>
      </c>
      <c r="J111" s="19">
        <f t="shared" ref="J111" si="242">((((1+1.85%)^(1/252))-1)*D110)+SUM(J110)</f>
        <v>12167.320111881074</v>
      </c>
      <c r="K111" s="19">
        <f>IF((NETWORKDAYS(DATE(YEAR(C111),MONTH(C111),1),C111,Feriados!$A$2:$A$842))&gt;=5,0,IF(NETWORKDAYS(DATE(YEAR(C111),MONTH(C111),1),C111,Feriados!$A$2:$A$842)=1,J110,K110))</f>
        <v>0</v>
      </c>
      <c r="L111" s="30">
        <v>-8421.2900000000009</v>
      </c>
      <c r="M111" s="19">
        <f>VLOOKUP(C111,'Fluxo de Caixa'!$B$13:$U$10027,20,FALSE)</f>
        <v>26790.49688134552</v>
      </c>
      <c r="N111" s="19">
        <f>SUMIFS([1]Master!$J$2:$J$100,[1]Master!$A$2:$A$100,"="&amp;$I$12,[1]Master!$E$2:$E$100,"="&amp;C111,[1]Master!$J$2:$J$100,"&gt;"&amp;0)</f>
        <v>0</v>
      </c>
      <c r="O111" s="19">
        <f ca="1">-SUMIF('[1]Fluxo de Movimentações'!$A$5:$F$10001,"="&amp;$C112,'[1]Fluxo de Movimentações'!$B$5:$B$10001)</f>
        <v>0</v>
      </c>
      <c r="P111" s="19">
        <f>-SUMIFS([1]Master!$J$1:$J$200,[1]Master!$A$1:$A$200,"="&amp;$I$12,[1]Master!$G$1:$G$200,"&gt;"&amp;C111,[1]Master!$E$1:$E$200,"&lt;="&amp;C111)</f>
        <v>0</v>
      </c>
      <c r="Q111" s="30">
        <v>-1680.9194</v>
      </c>
      <c r="R111" s="32">
        <v>0.95640930000000002</v>
      </c>
      <c r="S111" s="30">
        <v>0</v>
      </c>
      <c r="T111" s="30">
        <v>0</v>
      </c>
      <c r="U111" s="30">
        <v>0</v>
      </c>
      <c r="V111" s="30">
        <v>0</v>
      </c>
    </row>
    <row r="112" spans="3:22" x14ac:dyDescent="0.25">
      <c r="C112" s="4">
        <v>44974</v>
      </c>
      <c r="D112" s="30">
        <v>13855561.4901</v>
      </c>
      <c r="E112" s="32">
        <v>0.9524745</v>
      </c>
      <c r="F112" s="38">
        <f t="shared" ref="F112" si="243">D112/TRUNC(E112,6)</f>
        <v>14546918.330684092</v>
      </c>
      <c r="G112" s="19">
        <f t="shared" ref="G112" si="244">H112*I112</f>
        <v>13850679.336648567</v>
      </c>
      <c r="H112" s="31">
        <v>0.96339169999999996</v>
      </c>
      <c r="I112" s="19">
        <f>SUMIFS([1]Master!$K$2:$K$10000,[1]Master!$A$2:$A$10000,$I$12,[1]Master!$F$2:$F$10000,"&lt;="&amp;$C112)</f>
        <v>14376996.746648915</v>
      </c>
      <c r="J112" s="19">
        <f t="shared" ref="J112" si="245">((((1+1.85%)^(1/252))-1)*D111)+SUM(J111)</f>
        <v>13178.787790685661</v>
      </c>
      <c r="K112" s="19">
        <f>IF((NETWORKDAYS(DATE(YEAR(C112),MONTH(C112),1),C112,Feriados!$A$2:$A$842))&gt;=5,0,IF(NETWORKDAYS(DATE(YEAR(C112),MONTH(C112),1),C112,Feriados!$A$2:$A$842)=1,J111,K111))</f>
        <v>0</v>
      </c>
      <c r="L112" s="30">
        <v>-7006.17</v>
      </c>
      <c r="M112" s="19">
        <f>VLOOKUP(C112,'Fluxo de Caixa'!$B$13:$U$10027,20,FALSE)</f>
        <v>26790.49688134552</v>
      </c>
      <c r="N112" s="19">
        <f>SUMIFS([1]Master!$J$2:$J$100,[1]Master!$A$2:$A$100,"="&amp;$I$12,[1]Master!$E$2:$E$100,"="&amp;C112,[1]Master!$J$2:$J$100,"&gt;"&amp;0)</f>
        <v>0</v>
      </c>
      <c r="O112" s="19">
        <f ca="1">-SUMIF('[1]Fluxo de Movimentações'!$A$5:$F$10001,"="&amp;$C113,'[1]Fluxo de Movimentações'!$B$5:$B$10001)</f>
        <v>0</v>
      </c>
      <c r="P112" s="19">
        <f>-SUMIFS([1]Master!$J$1:$J$200,[1]Master!$A$1:$A$200,"="&amp;$I$12,[1]Master!$G$1:$G$200,"&gt;"&amp;C112,[1]Master!$E$1:$E$200,"&lt;="&amp;C112)</f>
        <v>0</v>
      </c>
      <c r="Q112" s="30">
        <v>-1723.5399</v>
      </c>
      <c r="R112" s="32">
        <v>0.95295609999999997</v>
      </c>
      <c r="S112" s="30">
        <v>0</v>
      </c>
      <c r="T112" s="30">
        <v>0</v>
      </c>
      <c r="U112" s="30">
        <v>0</v>
      </c>
      <c r="V112" s="30">
        <v>0</v>
      </c>
    </row>
    <row r="113" spans="3:22" x14ac:dyDescent="0.25">
      <c r="C113" s="4">
        <v>44979</v>
      </c>
      <c r="D113" s="30">
        <v>13619072.5296</v>
      </c>
      <c r="E113" s="32">
        <v>0.93621750000000004</v>
      </c>
      <c r="F113" s="38">
        <f t="shared" ref="F113" si="246">D113/TRUNC(E113,6)</f>
        <v>14546918.641297905</v>
      </c>
      <c r="G113" s="19">
        <f t="shared" ref="G113" si="247">H113*I113</f>
        <v>13610580.615580183</v>
      </c>
      <c r="H113" s="31">
        <v>0.94669150000000002</v>
      </c>
      <c r="I113" s="19">
        <f>SUMIFS([1]Master!$K$2:$K$10000,[1]Master!$A$2:$A$10000,$I$12,[1]Master!$F$2:$F$10000,"&lt;="&amp;$C113)</f>
        <v>14376996.746648915</v>
      </c>
      <c r="J113" s="19">
        <f t="shared" ref="J113" si="248">((((1+1.85%)^(1/252))-1)*D112)+SUM(J112)</f>
        <v>14186.704201168368</v>
      </c>
      <c r="K113" s="19">
        <f>IF((NETWORKDAYS(DATE(YEAR(C113),MONTH(C113),1),C113,Feriados!$A$2:$A$842))&gt;=5,0,IF(NETWORKDAYS(DATE(YEAR(C113),MONTH(C113),1),C113,Feriados!$A$2:$A$842)=1,J112,K112))</f>
        <v>0</v>
      </c>
      <c r="L113" s="30">
        <v>-2345.88</v>
      </c>
      <c r="M113" s="19">
        <f>VLOOKUP(C113,'Fluxo de Caixa'!$B$13:$U$10027,20,FALSE)</f>
        <v>26790.49688134552</v>
      </c>
      <c r="N113" s="19">
        <f>SUMIFS([1]Master!$J$2:$J$100,[1]Master!$A$2:$A$100,"="&amp;$I$12,[1]Master!$E$2:$E$100,"="&amp;C113,[1]Master!$J$2:$J$100,"&gt;"&amp;0)</f>
        <v>0</v>
      </c>
      <c r="O113" s="19">
        <f ca="1">-SUMIF('[1]Fluxo de Movimentações'!$A$5:$F$10001,"="&amp;$C114,'[1]Fluxo de Movimentações'!$B$5:$B$10001)</f>
        <v>0</v>
      </c>
      <c r="P113" s="19">
        <f>-SUMIFS([1]Master!$J$1:$J$200,[1]Master!$A$1:$A$200,"="&amp;$I$12,[1]Master!$G$1:$G$200,"&gt;"&amp;C113,[1]Master!$E$1:$E$200,"&lt;="&amp;C113)</f>
        <v>0</v>
      </c>
      <c r="Q113" s="30">
        <v>-1766.1604</v>
      </c>
      <c r="R113" s="32">
        <v>0.93637879999999996</v>
      </c>
      <c r="S113" s="30">
        <v>0</v>
      </c>
      <c r="T113" s="30">
        <v>0</v>
      </c>
      <c r="U113" s="30">
        <v>0</v>
      </c>
      <c r="V113" s="30">
        <v>0</v>
      </c>
    </row>
    <row r="114" spans="3:22" x14ac:dyDescent="0.25">
      <c r="C114" s="4">
        <v>44980</v>
      </c>
      <c r="D114" s="30">
        <v>13508108.4791</v>
      </c>
      <c r="E114" s="32">
        <v>0.92858949999999996</v>
      </c>
      <c r="F114" s="38">
        <f t="shared" ref="F114" si="249">D114/TRUNC(E114,6)</f>
        <v>14546918.474265795</v>
      </c>
      <c r="G114" s="19">
        <f t="shared" ref="G114" si="250">H114*I114</f>
        <v>13499115.759803412</v>
      </c>
      <c r="H114" s="31">
        <v>0.93893850000000001</v>
      </c>
      <c r="I114" s="19">
        <f>SUMIFS([1]Master!$K$2:$K$10000,[1]Master!$A$2:$A$10000,$I$12,[1]Master!$F$2:$F$10000,"&lt;="&amp;$C114)</f>
        <v>14376996.746648915</v>
      </c>
      <c r="J114" s="19">
        <f t="shared" ref="J114" si="251">((((1+1.85%)^(1/252))-1)*D113)+SUM(J113)</f>
        <v>15177.417331628374</v>
      </c>
      <c r="K114" s="19">
        <f>IF((NETWORKDAYS(DATE(YEAR(C114),MONTH(C114),1),C114,Feriados!$A$2:$A$842))&gt;=5,0,IF(NETWORKDAYS(DATE(YEAR(C114),MONTH(C114),1),C114,Feriados!$A$2:$A$842)=1,J113,K113))</f>
        <v>0</v>
      </c>
      <c r="L114" s="30">
        <v>-811.74</v>
      </c>
      <c r="M114" s="19">
        <f>VLOOKUP(C114,'Fluxo de Caixa'!$B$13:$U$10027,20,FALSE)</f>
        <v>26790.49688134552</v>
      </c>
      <c r="N114" s="19">
        <f>SUMIFS([1]Master!$J$2:$J$100,[1]Master!$A$2:$A$100,"="&amp;$I$12,[1]Master!$E$2:$E$100,"="&amp;C114,[1]Master!$J$2:$J$100,"&gt;"&amp;0)</f>
        <v>0</v>
      </c>
      <c r="O114" s="19">
        <f ca="1">-SUMIF('[1]Fluxo de Movimentações'!$A$5:$F$10001,"="&amp;$C115,'[1]Fluxo de Movimentações'!$B$5:$B$10001)</f>
        <v>0</v>
      </c>
      <c r="P114" s="19">
        <f>-SUMIFS([1]Master!$J$1:$J$200,[1]Master!$A$1:$A$200,"="&amp;$I$12,[1]Master!$G$1:$G$200,"&gt;"&amp;C114,[1]Master!$E$1:$E$200,"&lt;="&amp;C114)</f>
        <v>0</v>
      </c>
      <c r="Q114" s="30">
        <v>-1808.7809</v>
      </c>
      <c r="R114" s="32">
        <v>0.92864530000000001</v>
      </c>
      <c r="S114" s="30">
        <v>0</v>
      </c>
      <c r="T114" s="30">
        <v>0</v>
      </c>
      <c r="U114" s="30">
        <v>0</v>
      </c>
      <c r="V114" s="30">
        <v>0</v>
      </c>
    </row>
    <row r="115" spans="3:22" x14ac:dyDescent="0.25">
      <c r="C115" s="4">
        <v>44981</v>
      </c>
      <c r="D115" s="30">
        <v>13370127.148600001</v>
      </c>
      <c r="E115" s="32">
        <v>0.91910420000000004</v>
      </c>
      <c r="F115" s="38">
        <f t="shared" ref="F115" si="252">D115/TRUNC(E115,6)</f>
        <v>14546914.330260776</v>
      </c>
      <c r="G115" s="19">
        <f t="shared" ref="G115" si="253">H115*I115</f>
        <v>13361621.351416836</v>
      </c>
      <c r="H115" s="31">
        <v>0.92937499999999995</v>
      </c>
      <c r="I115" s="19">
        <f>SUMIFS([1]Master!$K$2:$K$10000,[1]Master!$A$2:$A$10000,$I$12,[1]Master!$F$2:$F$10000,"&lt;="&amp;$C115)</f>
        <v>14376996.746648915</v>
      </c>
      <c r="J115" s="19">
        <f t="shared" ref="J115" si="254">((((1+1.85%)^(1/252))-1)*D114)+SUM(J114)</f>
        <v>16160.058433570986</v>
      </c>
      <c r="K115" s="19">
        <f>IF((NETWORKDAYS(DATE(YEAR(C115),MONTH(C115),1),C115,Feriados!$A$2:$A$842))&gt;=5,0,IF(NETWORKDAYS(DATE(YEAR(C115),MONTH(C115),1),C115,Feriados!$A$2:$A$842)=1,J114,K114))</f>
        <v>0</v>
      </c>
      <c r="L115" s="30">
        <v>-273.39999999999998</v>
      </c>
      <c r="M115" s="19">
        <f>VLOOKUP(C115,'Fluxo de Caixa'!$B$13:$U$10027,20,FALSE)</f>
        <v>26790.49688134552</v>
      </c>
      <c r="N115" s="19">
        <f>SUMIFS([1]Master!$J$2:$J$100,[1]Master!$A$2:$A$100,"="&amp;$I$12,[1]Master!$E$2:$E$100,"="&amp;C115,[1]Master!$J$2:$J$100,"&gt;"&amp;0)</f>
        <v>0</v>
      </c>
      <c r="O115" s="19">
        <f ca="1">-SUMIF('[1]Fluxo de Movimentações'!$A$5:$F$10001,"="&amp;$C116,'[1]Fluxo de Movimentações'!$B$5:$B$10001)</f>
        <v>0</v>
      </c>
      <c r="P115" s="19">
        <f>-SUMIFS([1]Master!$J$1:$J$200,[1]Master!$A$1:$A$200,"="&amp;$I$12,[1]Master!$G$1:$G$200,"&gt;"&amp;C115,[1]Master!$E$1:$E$200,"&lt;="&amp;C115)</f>
        <v>0</v>
      </c>
      <c r="Q115" s="30">
        <v>-1851.4014</v>
      </c>
      <c r="R115" s="32">
        <v>0.91912300000000002</v>
      </c>
      <c r="S115" s="30">
        <v>0</v>
      </c>
      <c r="T115" s="30">
        <v>0</v>
      </c>
      <c r="U115" s="30">
        <v>0</v>
      </c>
      <c r="V115" s="30">
        <v>0</v>
      </c>
    </row>
    <row r="116" spans="3:22" x14ac:dyDescent="0.25">
      <c r="C116" s="4">
        <v>44984</v>
      </c>
      <c r="D116" s="30">
        <v>13317542.9581</v>
      </c>
      <c r="E116" s="32">
        <v>0.91548940000000001</v>
      </c>
      <c r="F116" s="38">
        <f t="shared" ref="F116" si="255">D116/TRUNC(E116,6)</f>
        <v>14546917.50321413</v>
      </c>
      <c r="G116" s="19">
        <f t="shared" ref="G116" si="256">H116*I116</f>
        <v>13309982.054502223</v>
      </c>
      <c r="H116" s="31">
        <v>0.92578320000000003</v>
      </c>
      <c r="I116" s="19">
        <f>SUMIFS([1]Master!$K$2:$K$10000,[1]Master!$A$2:$A$10000,$I$12,[1]Master!$F$2:$F$10000,"&lt;="&amp;$C116)</f>
        <v>14376996.746648915</v>
      </c>
      <c r="J116" s="19">
        <f t="shared" ref="J116" si="257">((((1+1.85%)^(1/252))-1)*D115)+SUM(J115)</f>
        <v>17132.662147461837</v>
      </c>
      <c r="K116" s="19">
        <f>IF((NETWORKDAYS(DATE(YEAR(C116),MONTH(C116),1),C116,Feriados!$A$2:$A$842))&gt;=5,0,IF(NETWORKDAYS(DATE(YEAR(C116),MONTH(C116),1),C116,Feriados!$A$2:$A$842)=1,J115,K115))</f>
        <v>0</v>
      </c>
      <c r="L116" s="30">
        <v>-203.07</v>
      </c>
      <c r="M116" s="19">
        <f>VLOOKUP(C116,'Fluxo de Caixa'!$B$13:$U$10027,20,FALSE)</f>
        <v>26790.49688134552</v>
      </c>
      <c r="N116" s="19">
        <f>SUMIFS([1]Master!$J$2:$J$100,[1]Master!$A$2:$A$100,"="&amp;$I$12,[1]Master!$E$2:$E$100,"="&amp;C116,[1]Master!$J$2:$J$100,"&gt;"&amp;0)</f>
        <v>0</v>
      </c>
      <c r="O116" s="19">
        <f ca="1">-SUMIF('[1]Fluxo de Movimentações'!$A$5:$F$10001,"="&amp;$C117,'[1]Fluxo de Movimentações'!$B$5:$B$10001)</f>
        <v>0</v>
      </c>
      <c r="P116" s="19">
        <f>-SUMIFS([1]Master!$J$1:$J$200,[1]Master!$A$1:$A$200,"="&amp;$I$12,[1]Master!$G$1:$G$200,"&gt;"&amp;C116,[1]Master!$E$1:$E$200,"&lt;="&amp;C116)</f>
        <v>0</v>
      </c>
      <c r="Q116" s="30">
        <v>-1894.0219</v>
      </c>
      <c r="R116" s="32">
        <v>0.91550339999999997</v>
      </c>
      <c r="S116" s="30">
        <v>0</v>
      </c>
      <c r="T116" s="30">
        <v>0</v>
      </c>
      <c r="U116" s="30">
        <v>0</v>
      </c>
      <c r="V116" s="30">
        <v>0</v>
      </c>
    </row>
    <row r="117" spans="3:22" x14ac:dyDescent="0.25">
      <c r="C117" s="4">
        <v>44985</v>
      </c>
      <c r="D117" s="30">
        <v>13238729.807600001</v>
      </c>
      <c r="E117" s="32">
        <v>0.91007159999999998</v>
      </c>
      <c r="F117" s="38">
        <f t="shared" ref="F117" si="258">D117/TRUNC(E117,6)</f>
        <v>14546919.754173027</v>
      </c>
      <c r="G117" s="19">
        <f t="shared" ref="G117" si="259">H117*I117</f>
        <v>13232077.422231156</v>
      </c>
      <c r="H117" s="31">
        <v>0.92036450000000003</v>
      </c>
      <c r="I117" s="19">
        <f>SUMIFS([1]Master!$K$2:$K$10000,[1]Master!$A$2:$A$10000,$I$12,[1]Master!$F$2:$F$10000,"&lt;="&amp;$C117)</f>
        <v>14376996.746648915</v>
      </c>
      <c r="J117" s="19">
        <f t="shared" ref="J117:J119" si="260">((((1+1.85%)^(1/252))-1)*D116)+SUM(J116)</f>
        <v>18101.440648742231</v>
      </c>
      <c r="K117" s="19">
        <f>IF((NETWORKDAYS(DATE(YEAR(C117),MONTH(C117),1),C117,Feriados!$A$2:$A$842))&gt;=5,0,IF(NETWORKDAYS(DATE(YEAR(C117),MONTH(C117),1),C117,Feriados!$A$2:$A$842)=1,J116,K116))</f>
        <v>0</v>
      </c>
      <c r="L117" s="30">
        <v>-100.2</v>
      </c>
      <c r="M117" s="19">
        <f>VLOOKUP(C117,'Fluxo de Caixa'!$B$13:$U$10027,20,FALSE)</f>
        <v>26790.49688134552</v>
      </c>
      <c r="N117" s="19">
        <f>SUMIFS([1]Master!$J$2:$J$100,[1]Master!$A$2:$A$100,"="&amp;$I$12,[1]Master!$E$2:$E$100,"="&amp;C117,[1]Master!$J$2:$J$100,"&gt;"&amp;0)</f>
        <v>0</v>
      </c>
      <c r="O117" s="19">
        <f ca="1">-SUMIF('[1]Fluxo de Movimentações'!$A$5:$F$10001,"="&amp;$C118,'[1]Fluxo de Movimentações'!$B$5:$B$10001)</f>
        <v>0</v>
      </c>
      <c r="P117" s="19">
        <f>-SUMIFS([1]Master!$J$1:$J$200,[1]Master!$A$1:$A$200,"="&amp;$I$12,[1]Master!$G$1:$G$200,"&gt;"&amp;C117,[1]Master!$E$1:$E$200,"&lt;="&amp;C117)</f>
        <v>0</v>
      </c>
      <c r="Q117" s="30">
        <v>-1936.6424</v>
      </c>
      <c r="R117" s="32">
        <v>0.91007839999999995</v>
      </c>
      <c r="S117" s="30">
        <v>0</v>
      </c>
      <c r="T117" s="30">
        <v>0</v>
      </c>
      <c r="U117" s="30">
        <v>0</v>
      </c>
      <c r="V117" s="30">
        <v>0</v>
      </c>
    </row>
    <row r="118" spans="3:22" x14ac:dyDescent="0.25">
      <c r="C118" s="4">
        <v>44986</v>
      </c>
      <c r="D118" s="30">
        <v>13020559.224199999</v>
      </c>
      <c r="E118" s="32">
        <v>0.89507380000000003</v>
      </c>
      <c r="F118" s="38">
        <f t="shared" ref="F118" si="261">D118/TRUNC(E118,6)</f>
        <v>14546924.35611397</v>
      </c>
      <c r="G118" s="19">
        <f t="shared" ref="G118" si="262">H118*I118</f>
        <v>13014806.496597098</v>
      </c>
      <c r="H118" s="31">
        <v>0.9052521</v>
      </c>
      <c r="I118" s="19">
        <f>SUMIFS([1]Master!$K$2:$K$10000,[1]Master!$A$2:$A$10000,$I$12,[1]Master!$F$2:$F$10000,"&lt;="&amp;$C118)</f>
        <v>14376996.746648915</v>
      </c>
      <c r="J118" s="19">
        <f>((((1+1.85%)^(1/252))-1)*D117)</f>
        <v>963.04527510925959</v>
      </c>
      <c r="K118" s="19">
        <f>IF((NETWORKDAYS(DATE(YEAR(C118),MONTH(C118),1),C118,Feriados!$A$2:$A$842))&gt;=5,0,IF(NETWORKDAYS(DATE(YEAR(C118),MONTH(C118),1),C118,Feriados!$A$2:$A$842)=1,J117,K117))</f>
        <v>18101.440648742231</v>
      </c>
      <c r="L118" s="30">
        <v>0</v>
      </c>
      <c r="M118" s="19">
        <f>VLOOKUP(C118,'Fluxo de Caixa'!$B$13:$U$10027,20,FALSE)</f>
        <v>26790.49688134552</v>
      </c>
      <c r="N118" s="19">
        <f>SUMIFS([1]Master!$J$2:$J$100,[1]Master!$A$2:$A$100,"="&amp;$I$12,[1]Master!$E$2:$E$100,"="&amp;C118,[1]Master!$J$2:$J$100,"&gt;"&amp;0)</f>
        <v>0</v>
      </c>
      <c r="O118" s="19">
        <f ca="1">-SUMIF('[1]Fluxo de Movimentações'!$A$5:$F$10001,"="&amp;$C119,'[1]Fluxo de Movimentações'!$B$5:$B$10001)</f>
        <v>0</v>
      </c>
      <c r="P118" s="19">
        <f>-SUMIFS([1]Master!$J$1:$J$200,[1]Master!$A$1:$A$200,"="&amp;$I$12,[1]Master!$G$1:$G$200,"&gt;"&amp;C118,[1]Master!$E$1:$E$200,"&lt;="&amp;C118)</f>
        <v>0</v>
      </c>
      <c r="Q118" s="30">
        <v>-1973.4657999999999</v>
      </c>
      <c r="R118" s="32">
        <v>0.89507380000000003</v>
      </c>
      <c r="S118" s="30">
        <v>0</v>
      </c>
      <c r="T118" s="30">
        <v>0</v>
      </c>
      <c r="U118" s="30">
        <v>0</v>
      </c>
      <c r="V118" s="30">
        <v>0</v>
      </c>
    </row>
    <row r="119" spans="3:22" x14ac:dyDescent="0.25">
      <c r="C119" s="4">
        <v>44987</v>
      </c>
      <c r="D119" s="30">
        <v>13015446.150800001</v>
      </c>
      <c r="E119" s="32">
        <v>0.89472229999999997</v>
      </c>
      <c r="F119" s="38">
        <f t="shared" ref="F119" si="263">D119/TRUNC(E119,6)</f>
        <v>14546916.417389983</v>
      </c>
      <c r="G119" s="19">
        <f t="shared" ref="G119" si="264">H119*I119</f>
        <v>12990677.42313146</v>
      </c>
      <c r="H119" s="31">
        <v>0.90496489999999996</v>
      </c>
      <c r="I119" s="19">
        <f>SUMIFS([1]Master!$K$2:$K$10000,[1]Master!$A$2:$A$10000,$I$12,[1]Master!$F$2:$F$10000,"&lt;="&amp;$C119)</f>
        <v>14354896.441985166</v>
      </c>
      <c r="J119" s="19">
        <f t="shared" si="260"/>
        <v>1910.2198320631728</v>
      </c>
      <c r="K119" s="19">
        <f>IF((NETWORKDAYS(DATE(YEAR(C119),MONTH(C119),1),C119,Feriados!$A$2:$A$842))&gt;=5,0,IF(NETWORKDAYS(DATE(YEAR(C119),MONTH(C119),1),C119,Feriados!$A$2:$A$842)=1,J118,K118))</f>
        <v>18101.440648742231</v>
      </c>
      <c r="L119" s="30">
        <v>0</v>
      </c>
      <c r="M119" s="19">
        <f>VLOOKUP(C119,'Fluxo de Caixa'!$B$13:$U$10027,20,FALSE)</f>
        <v>26790.49688134552</v>
      </c>
      <c r="N119" s="19">
        <f>SUMIFS([1]Master!$J$2:$J$100,[1]Master!$A$2:$A$100,"="&amp;$I$12,[1]Master!$E$2:$E$100,"="&amp;C119,[1]Master!$J$2:$J$100,"&gt;"&amp;0)</f>
        <v>0</v>
      </c>
      <c r="O119" s="19">
        <f ca="1">-SUMIF('[1]Fluxo de Movimentações'!$A$5:$F$10001,"="&amp;$C120,'[1]Fluxo de Movimentações'!$B$5:$B$10001)</f>
        <v>0</v>
      </c>
      <c r="P119" s="19">
        <f>-SUMIFS([1]Master!$J$1:$J$200,[1]Master!$A$1:$A$200,"="&amp;$I$12,[1]Master!$G$1:$G$200,"&gt;"&amp;C119,[1]Master!$E$1:$E$200,"&lt;="&amp;C119)</f>
        <v>20000</v>
      </c>
      <c r="Q119" s="30">
        <v>-2010.2891999999999</v>
      </c>
      <c r="R119" s="32">
        <v>0.89472229999999997</v>
      </c>
      <c r="S119" s="30">
        <v>0</v>
      </c>
      <c r="T119" s="30">
        <v>0</v>
      </c>
      <c r="U119" s="30">
        <v>0</v>
      </c>
      <c r="V119" s="30">
        <v>0</v>
      </c>
    </row>
    <row r="120" spans="3:22" x14ac:dyDescent="0.25">
      <c r="C120" s="4">
        <v>44988</v>
      </c>
      <c r="D120" s="30">
        <v>12921521.7574</v>
      </c>
      <c r="E120" s="32">
        <v>0.88826570000000005</v>
      </c>
      <c r="F120" s="38">
        <f t="shared" ref="F120" si="265">D120/TRUNC(E120,6)</f>
        <v>14546922.09802255</v>
      </c>
      <c r="G120" s="19">
        <f t="shared" ref="G120" si="266">H120*I120</f>
        <v>12897736.646117829</v>
      </c>
      <c r="H120" s="31">
        <v>0.89849040000000002</v>
      </c>
      <c r="I120" s="19">
        <f>SUMIFS([1]Master!$K$2:$K$10000,[1]Master!$A$2:$A$10000,$I$12,[1]Master!$F$2:$F$10000,"&lt;="&amp;$C120)</f>
        <v>14354896.441985166</v>
      </c>
      <c r="J120" s="19">
        <f t="shared" ref="J120" si="267">((((1+1.85%)^(1/252))-1)*D119)+SUM(J119)</f>
        <v>2857.0224408581071</v>
      </c>
      <c r="K120" s="19">
        <f>IF((NETWORKDAYS(DATE(YEAR(C120),MONTH(C120),1),C120,Feriados!$A$2:$A$842))&gt;=5,0,IF(NETWORKDAYS(DATE(YEAR(C120),MONTH(C120),1),C120,Feriados!$A$2:$A$842)=1,J119,K119))</f>
        <v>18101.440648742231</v>
      </c>
      <c r="L120" s="30">
        <v>0</v>
      </c>
      <c r="M120" s="19">
        <f>VLOOKUP(C120,'Fluxo de Caixa'!$B$13:$U$10027,20,FALSE)</f>
        <v>26790.49688134552</v>
      </c>
      <c r="N120" s="19">
        <f>SUMIFS([1]Master!$J$2:$J$100,[1]Master!$A$2:$A$100,"="&amp;$I$12,[1]Master!$E$2:$E$100,"="&amp;C120,[1]Master!$J$2:$J$100,"&gt;"&amp;0)</f>
        <v>0</v>
      </c>
      <c r="O120" s="19">
        <f ca="1">-SUMIF('[1]Fluxo de Movimentações'!$A$5:$F$10001,"="&amp;$C121,'[1]Fluxo de Movimentações'!$B$5:$B$10001)</f>
        <v>0</v>
      </c>
      <c r="P120" s="19">
        <f>-SUMIFS([1]Master!$J$1:$J$200,[1]Master!$A$1:$A$200,"="&amp;$I$12,[1]Master!$G$1:$G$200,"&gt;"&amp;C120,[1]Master!$E$1:$E$200,"&lt;="&amp;C120)</f>
        <v>20000</v>
      </c>
      <c r="Q120" s="30">
        <v>-2047.1125999999999</v>
      </c>
      <c r="R120" s="32">
        <v>0.88826570000000005</v>
      </c>
      <c r="S120" s="30">
        <v>0</v>
      </c>
      <c r="T120" s="30">
        <v>0</v>
      </c>
      <c r="U120" s="30">
        <v>0</v>
      </c>
      <c r="V120" s="30">
        <v>0</v>
      </c>
    </row>
    <row r="121" spans="3:22" x14ac:dyDescent="0.25">
      <c r="C121" s="4">
        <v>44991</v>
      </c>
      <c r="D121" s="30">
        <v>13068993.254000001</v>
      </c>
      <c r="E121" s="32">
        <v>0.89840330000000002</v>
      </c>
      <c r="F121" s="38">
        <f t="shared" ref="F121" si="268">D121/TRUNC(E121,6)</f>
        <v>14546916.310386321</v>
      </c>
      <c r="G121" s="19">
        <f t="shared" ref="G121" si="269">H121*I121</f>
        <v>13046184.936693329</v>
      </c>
      <c r="H121" s="31">
        <v>0.90883170000000002</v>
      </c>
      <c r="I121" s="19">
        <f>SUMIFS([1]Master!$K$2:$K$10000,[1]Master!$A$2:$A$10000,$I$12,[1]Master!$F$2:$F$10000,"&lt;="&amp;$C121)</f>
        <v>14354896.441985166</v>
      </c>
      <c r="J121" s="19">
        <f t="shared" ref="J121" si="270">((((1+1.85%)^(1/252))-1)*D120)+SUM(J120)</f>
        <v>3796.9925631081883</v>
      </c>
      <c r="K121" s="19">
        <f>IF((NETWORKDAYS(DATE(YEAR(C121),MONTH(C121),1),C121,Feriados!$A$2:$A$842))&gt;=5,0,IF(NETWORKDAYS(DATE(YEAR(C121),MONTH(C121),1),C121,Feriados!$A$2:$A$842)=1,J120,K120))</f>
        <v>18101.440648742231</v>
      </c>
      <c r="L121" s="30">
        <v>0</v>
      </c>
      <c r="M121" s="19">
        <f>VLOOKUP(C121,'Fluxo de Caixa'!$B$13:$U$10027,20,FALSE)</f>
        <v>46790.49688134552</v>
      </c>
      <c r="N121" s="19">
        <f>SUMIFS([1]Master!$J$2:$J$100,[1]Master!$A$2:$A$100,"="&amp;$I$12,[1]Master!$E$2:$E$100,"="&amp;C121,[1]Master!$J$2:$J$100,"&gt;"&amp;0)</f>
        <v>200000</v>
      </c>
      <c r="O121" s="19">
        <f ca="1">-SUMIF('[1]Fluxo de Movimentações'!$A$5:$F$10001,"="&amp;$C122,'[1]Fluxo de Movimentações'!$B$5:$B$10001)</f>
        <v>-200000</v>
      </c>
      <c r="P121" s="19">
        <f>-SUMIFS([1]Master!$J$1:$J$200,[1]Master!$A$1:$A$200,"="&amp;$I$12,[1]Master!$G$1:$G$200,"&gt;"&amp;C121,[1]Master!$E$1:$E$200,"&lt;="&amp;C121)</f>
        <v>0</v>
      </c>
      <c r="Q121" s="30">
        <v>-2083.9360000000001</v>
      </c>
      <c r="R121" s="32">
        <v>0.89840330000000002</v>
      </c>
      <c r="S121" s="30">
        <v>0</v>
      </c>
      <c r="T121" s="30">
        <v>0</v>
      </c>
      <c r="U121" s="30">
        <v>0</v>
      </c>
      <c r="V121" s="30">
        <v>0</v>
      </c>
    </row>
    <row r="122" spans="3:22" x14ac:dyDescent="0.25">
      <c r="C122" s="4">
        <v>44992</v>
      </c>
      <c r="D122" s="30">
        <v>13254926.990599999</v>
      </c>
      <c r="E122" s="32">
        <v>0.89743640000000002</v>
      </c>
      <c r="F122" s="38">
        <f t="shared" ref="F122" si="271">D122/TRUNC(E122,6)</f>
        <v>14769774.101551531</v>
      </c>
      <c r="G122" s="19">
        <f t="shared" ref="G122" si="272">H122*I122</f>
        <v>13233106.190545036</v>
      </c>
      <c r="H122" s="31">
        <v>0.90792059999999997</v>
      </c>
      <c r="I122" s="19">
        <f>SUMIFS([1]Master!$K$2:$K$10000,[1]Master!$A$2:$A$10000,$I$12,[1]Master!$F$2:$F$10000,"&lt;="&amp;$C122)</f>
        <v>14575180.021848867</v>
      </c>
      <c r="J122" s="19">
        <f t="shared" ref="J122" si="273">((((1+1.85%)^(1/252))-1)*D121)+SUM(J121)</f>
        <v>4747.6904311524613</v>
      </c>
      <c r="K122" s="19">
        <f>IF((NETWORKDAYS(DATE(YEAR(C122),MONTH(C122),1),C122,Feriados!$A$2:$A$842))&gt;=5,0,IF(NETWORKDAYS(DATE(YEAR(C122),MONTH(C122),1),C122,Feriados!$A$2:$A$842)=1,J121,K121))</f>
        <v>0</v>
      </c>
      <c r="L122" s="30">
        <v>0</v>
      </c>
      <c r="M122" s="19">
        <f>VLOOKUP(C122,'Fluxo de Caixa'!$B$13:$U$10027,20,FALSE)</f>
        <v>28689.056232603289</v>
      </c>
      <c r="N122" s="19">
        <f>SUMIFS([1]Master!$J$2:$J$100,[1]Master!$A$2:$A$100,"="&amp;$I$12,[1]Master!$E$2:$E$100,"="&amp;C122,[1]Master!$J$2:$J$100,"&gt;"&amp;0)</f>
        <v>0</v>
      </c>
      <c r="O122" s="19">
        <f ca="1">-SUMIF('[1]Fluxo de Movimentações'!$A$5:$F$10001,"="&amp;$C123,'[1]Fluxo de Movimentações'!$B$5:$B$10001)</f>
        <v>0</v>
      </c>
      <c r="P122" s="19">
        <f>-SUMIFS([1]Master!$J$1:$J$200,[1]Master!$A$1:$A$200,"="&amp;$I$12,[1]Master!$G$1:$G$200,"&gt;"&amp;C122,[1]Master!$E$1:$E$200,"&lt;="&amp;C122)</f>
        <v>0</v>
      </c>
      <c r="Q122" s="30">
        <v>-2120.7593999999999</v>
      </c>
      <c r="R122" s="32">
        <v>0.89743640000000002</v>
      </c>
      <c r="S122" s="30">
        <v>0</v>
      </c>
      <c r="T122" s="30">
        <v>0</v>
      </c>
      <c r="U122" s="30">
        <v>0</v>
      </c>
      <c r="V122" s="30">
        <v>0</v>
      </c>
    </row>
    <row r="123" spans="3:22" x14ac:dyDescent="0.25">
      <c r="C123" s="4">
        <v>44993</v>
      </c>
      <c r="D123" s="30">
        <v>13737094.087200001</v>
      </c>
      <c r="E123" s="32">
        <v>0.93008190000000002</v>
      </c>
      <c r="F123" s="38">
        <f t="shared" ref="F123" si="274">D123/TRUNC(E123,6)</f>
        <v>14769782.510555532</v>
      </c>
      <c r="G123" s="19">
        <f t="shared" ref="G123" si="275">H123*I123</f>
        <v>13717729.468753509</v>
      </c>
      <c r="H123" s="31">
        <v>0.94117050000000002</v>
      </c>
      <c r="I123" s="19">
        <f>SUMIFS([1]Master!$K$2:$K$10000,[1]Master!$A$2:$A$10000,$I$12,[1]Master!$F$2:$F$10000,"&lt;="&amp;$C123)</f>
        <v>14575180.021848867</v>
      </c>
      <c r="J123" s="19">
        <f t="shared" ref="J123" si="276">((((1+1.85%)^(1/252))-1)*D122)+SUM(J122)</f>
        <v>5711.9139628456169</v>
      </c>
      <c r="K123" s="19">
        <f>IF((NETWORKDAYS(DATE(YEAR(C123),MONTH(C123),1),C123,Feriados!$A$2:$A$842))&gt;=5,0,IF(NETWORKDAYS(DATE(YEAR(C123),MONTH(C123),1),C123,Feriados!$A$2:$A$842)=1,J122,K122))</f>
        <v>0</v>
      </c>
      <c r="L123" s="30">
        <v>-1455.14</v>
      </c>
      <c r="M123" s="19">
        <f>VLOOKUP(C123,'Fluxo de Caixa'!$B$13:$U$10027,20,FALSE)</f>
        <v>28689.056232603289</v>
      </c>
      <c r="N123" s="19">
        <f>SUMIFS([1]Master!$J$2:$J$100,[1]Master!$A$2:$A$100,"="&amp;$I$12,[1]Master!$E$2:$E$100,"="&amp;C123,[1]Master!$J$2:$J$100,"&gt;"&amp;0)</f>
        <v>0</v>
      </c>
      <c r="O123" s="19">
        <f ca="1">-SUMIF('[1]Fluxo de Movimentações'!$A$5:$F$10001,"="&amp;$C124,'[1]Fluxo de Movimentações'!$B$5:$B$10001)</f>
        <v>0</v>
      </c>
      <c r="P123" s="19">
        <f>-SUMIFS([1]Master!$J$1:$J$200,[1]Master!$A$1:$A$200,"="&amp;$I$12,[1]Master!$G$1:$G$200,"&gt;"&amp;C123,[1]Master!$E$1:$E$200,"&lt;="&amp;C123)</f>
        <v>0</v>
      </c>
      <c r="Q123" s="30">
        <v>-2157.5828000000001</v>
      </c>
      <c r="R123" s="32">
        <v>0.93018040000000002</v>
      </c>
      <c r="S123" s="30">
        <v>0</v>
      </c>
      <c r="T123" s="30">
        <v>0</v>
      </c>
      <c r="U123" s="30">
        <v>0</v>
      </c>
      <c r="V123" s="30">
        <v>0</v>
      </c>
    </row>
    <row r="124" spans="3:22" x14ac:dyDescent="0.25">
      <c r="C124" s="4">
        <v>44994</v>
      </c>
      <c r="D124" s="30">
        <v>13713506.413799999</v>
      </c>
      <c r="E124" s="32">
        <v>0.92848489999999995</v>
      </c>
      <c r="F124" s="38">
        <f t="shared" ref="F124" si="277">D124/TRUNC(E124,6)</f>
        <v>14769782.154350532</v>
      </c>
      <c r="G124" s="19">
        <f t="shared" ref="G124" si="278">H124*I124</f>
        <v>13695066.521337535</v>
      </c>
      <c r="H124" s="31">
        <v>0.9396156</v>
      </c>
      <c r="I124" s="19">
        <f>SUMIFS([1]Master!$K$2:$K$10000,[1]Master!$A$2:$A$10000,$I$12,[1]Master!$F$2:$F$10000,"&lt;="&amp;$C124)</f>
        <v>14575180.021848867</v>
      </c>
      <c r="J124" s="19">
        <f t="shared" ref="J124" si="279">((((1+1.85%)^(1/252))-1)*D123)+SUM(J123)</f>
        <v>6711.2125169119317</v>
      </c>
      <c r="K124" s="19">
        <f>IF((NETWORKDAYS(DATE(YEAR(C124),MONTH(C124),1),C124,Feriados!$A$2:$A$842))&gt;=5,0,IF(NETWORKDAYS(DATE(YEAR(C124),MONTH(C124),1),C124,Feriados!$A$2:$A$842)=1,J123,K123))</f>
        <v>0</v>
      </c>
      <c r="L124" s="30">
        <v>-1343.75</v>
      </c>
      <c r="M124" s="19">
        <f>VLOOKUP(C124,'Fluxo de Caixa'!$B$13:$U$10027,20,FALSE)</f>
        <v>28689.056232603289</v>
      </c>
      <c r="N124" s="19">
        <f>SUMIFS([1]Master!$J$2:$J$100,[1]Master!$A$2:$A$100,"="&amp;$I$12,[1]Master!$E$2:$E$100,"="&amp;C124,[1]Master!$J$2:$J$100,"&gt;"&amp;0)</f>
        <v>0</v>
      </c>
      <c r="O124" s="19">
        <f ca="1">-SUMIF('[1]Fluxo de Movimentações'!$A$5:$F$10001,"="&amp;$C125,'[1]Fluxo de Movimentações'!$B$5:$B$10001)</f>
        <v>0</v>
      </c>
      <c r="P124" s="19">
        <f>-SUMIFS([1]Master!$J$1:$J$200,[1]Master!$A$1:$A$200,"="&amp;$I$12,[1]Master!$G$1:$G$200,"&gt;"&amp;C124,[1]Master!$E$1:$E$200,"&lt;="&amp;C124)</f>
        <v>0</v>
      </c>
      <c r="Q124" s="30">
        <v>-2194.4061999999999</v>
      </c>
      <c r="R124" s="32">
        <v>0.92857590000000001</v>
      </c>
      <c r="S124" s="30">
        <v>0</v>
      </c>
      <c r="T124" s="30">
        <v>0</v>
      </c>
      <c r="U124" s="30">
        <v>0</v>
      </c>
      <c r="V124" s="30">
        <v>0</v>
      </c>
    </row>
    <row r="125" spans="3:22" x14ac:dyDescent="0.25">
      <c r="C125" s="4">
        <v>44995</v>
      </c>
      <c r="D125" s="30">
        <v>13513044.5704</v>
      </c>
      <c r="E125" s="32">
        <v>0.91491250000000002</v>
      </c>
      <c r="F125" s="38">
        <f t="shared" ref="F125" si="280">D125/TRUNC(E125,6)</f>
        <v>14769775.202861041</v>
      </c>
      <c r="G125" s="19">
        <f t="shared" ref="G125" si="281">H125*I125</f>
        <v>13494908.48913349</v>
      </c>
      <c r="H125" s="31">
        <v>0.92588280000000001</v>
      </c>
      <c r="I125" s="19">
        <f>SUMIFS([1]Master!$K$2:$K$10000,[1]Master!$A$2:$A$10000,$I$12,[1]Master!$F$2:$F$10000,"&lt;="&amp;$C125)</f>
        <v>14575180.021848867</v>
      </c>
      <c r="J125" s="19">
        <f t="shared" ref="J125" si="282">((((1+1.85%)^(1/252))-1)*D124)+SUM(J124)</f>
        <v>7708.7951965893271</v>
      </c>
      <c r="K125" s="19">
        <f>IF((NETWORKDAYS(DATE(YEAR(C125),MONTH(C125),1),C125,Feriados!$A$2:$A$842))&gt;=5,0,IF(NETWORKDAYS(DATE(YEAR(C125),MONTH(C125),1),C125,Feriados!$A$2:$A$842)=1,J124,K124))</f>
        <v>0</v>
      </c>
      <c r="L125" s="30">
        <v>-613.16</v>
      </c>
      <c r="M125" s="19">
        <f>VLOOKUP(C125,'Fluxo de Caixa'!$B$13:$U$10027,20,FALSE)</f>
        <v>28689.056232603289</v>
      </c>
      <c r="N125" s="19">
        <f>SUMIFS([1]Master!$J$2:$J$100,[1]Master!$A$2:$A$100,"="&amp;$I$12,[1]Master!$E$2:$E$100,"="&amp;C125,[1]Master!$J$2:$J$100,"&gt;"&amp;0)</f>
        <v>0</v>
      </c>
      <c r="O125" s="19">
        <f ca="1">-SUMIF('[1]Fluxo de Movimentações'!$A$5:$F$10001,"="&amp;$C126,'[1]Fluxo de Movimentações'!$B$5:$B$10001)</f>
        <v>0</v>
      </c>
      <c r="P125" s="19">
        <f>-SUMIFS([1]Master!$J$1:$J$200,[1]Master!$A$1:$A$200,"="&amp;$I$12,[1]Master!$G$1:$G$200,"&gt;"&amp;C125,[1]Master!$E$1:$E$200,"&lt;="&amp;C125)</f>
        <v>0</v>
      </c>
      <c r="Q125" s="30">
        <v>-2231.2296000000001</v>
      </c>
      <c r="R125" s="32">
        <v>0.91495400000000005</v>
      </c>
      <c r="S125" s="30">
        <v>0</v>
      </c>
      <c r="T125" s="30">
        <v>0</v>
      </c>
      <c r="U125" s="30">
        <v>0</v>
      </c>
      <c r="V125" s="30">
        <v>0</v>
      </c>
    </row>
    <row r="126" spans="3:22" x14ac:dyDescent="0.25">
      <c r="C126" s="4">
        <v>44998</v>
      </c>
      <c r="D126" s="30">
        <v>13493726.497</v>
      </c>
      <c r="E126" s="32">
        <v>0.91360450000000004</v>
      </c>
      <c r="F126" s="38">
        <f t="shared" ref="F126" si="283">D126/TRUNC(E126,6)</f>
        <v>14769776.070376225</v>
      </c>
      <c r="G126" s="19">
        <f t="shared" ref="G126" si="284">H126*I126</f>
        <v>13476511.696909912</v>
      </c>
      <c r="H126" s="31">
        <v>0.92462060000000001</v>
      </c>
      <c r="I126" s="19">
        <f>SUMIFS([1]Master!$K$2:$K$10000,[1]Master!$A$2:$A$10000,$I$12,[1]Master!$F$2:$F$10000,"&lt;="&amp;$C126)</f>
        <v>14575180.021848867</v>
      </c>
      <c r="J126" s="19">
        <f t="shared" ref="J126" si="285">((((1+1.85%)^(1/252))-1)*D125)+SUM(J125)</f>
        <v>8691.7953722099337</v>
      </c>
      <c r="K126" s="19">
        <f>IF((NETWORKDAYS(DATE(YEAR(C126),MONTH(C126),1),C126,Feriados!$A$2:$A$842))&gt;=5,0,IF(NETWORKDAYS(DATE(YEAR(C126),MONTH(C126),1),C126,Feriados!$A$2:$A$842)=1,J125,K125))</f>
        <v>0</v>
      </c>
      <c r="L126" s="30">
        <v>-514.62</v>
      </c>
      <c r="M126" s="19">
        <f>VLOOKUP(C126,'Fluxo de Caixa'!$B$13:$U$10027,20,FALSE)</f>
        <v>28689.056232603289</v>
      </c>
      <c r="N126" s="19">
        <f>SUMIFS([1]Master!$J$2:$J$100,[1]Master!$A$2:$A$100,"="&amp;$I$12,[1]Master!$E$2:$E$100,"="&amp;C126,[1]Master!$J$2:$J$100,"&gt;"&amp;0)</f>
        <v>0</v>
      </c>
      <c r="O126" s="19">
        <f ca="1">-SUMIF('[1]Fluxo de Movimentações'!$A$5:$F$10001,"="&amp;$C127,'[1]Fluxo de Movimentações'!$B$5:$B$10001)</f>
        <v>0</v>
      </c>
      <c r="P126" s="19">
        <f>-SUMIFS([1]Master!$J$1:$J$200,[1]Master!$A$1:$A$200,"="&amp;$I$12,[1]Master!$G$1:$G$200,"&gt;"&amp;C126,[1]Master!$E$1:$E$200,"&lt;="&amp;C126)</f>
        <v>0</v>
      </c>
      <c r="Q126" s="30">
        <v>-2268.0529999999999</v>
      </c>
      <c r="R126" s="32">
        <v>0.91363930000000004</v>
      </c>
      <c r="S126" s="30">
        <v>0</v>
      </c>
      <c r="T126" s="30">
        <v>0</v>
      </c>
      <c r="U126" s="30">
        <v>0</v>
      </c>
      <c r="V126" s="30">
        <v>0</v>
      </c>
    </row>
    <row r="127" spans="3:22" x14ac:dyDescent="0.25">
      <c r="C127" s="4">
        <v>44999</v>
      </c>
      <c r="D127" s="30">
        <v>13361306.3936</v>
      </c>
      <c r="E127" s="32">
        <v>0.90463890000000002</v>
      </c>
      <c r="F127" s="38">
        <f t="shared" ref="F127" si="286">D127/TRUNC(E127,6)</f>
        <v>14769782.381018706</v>
      </c>
      <c r="G127" s="19">
        <f t="shared" ref="G127" si="287">H127*I127</f>
        <v>13344730.206742365</v>
      </c>
      <c r="H127" s="31">
        <v>0.91557909999999998</v>
      </c>
      <c r="I127" s="19">
        <f>SUMIFS([1]Master!$K$2:$K$10000,[1]Master!$A$2:$A$10000,$I$12,[1]Master!$F$2:$F$10000,"&lt;="&amp;$C127)</f>
        <v>14575180.021848867</v>
      </c>
      <c r="J127" s="19">
        <f t="shared" ref="J127" si="288">((((1+1.85%)^(1/252))-1)*D126)+SUM(J126)</f>
        <v>9673.3902635183385</v>
      </c>
      <c r="K127" s="19">
        <f>IF((NETWORKDAYS(DATE(YEAR(C127),MONTH(C127),1),C127,Feriados!$A$2:$A$842))&gt;=5,0,IF(NETWORKDAYS(DATE(YEAR(C127),MONTH(C127),1),C127,Feriados!$A$2:$A$842)=1,J126,K126))</f>
        <v>0</v>
      </c>
      <c r="L127" s="30">
        <v>-134.82</v>
      </c>
      <c r="M127" s="19">
        <f>VLOOKUP(C127,'Fluxo de Caixa'!$B$13:$U$10027,20,FALSE)</f>
        <v>28689.056232603289</v>
      </c>
      <c r="N127" s="19">
        <f>SUMIFS([1]Master!$J$2:$J$100,[1]Master!$A$2:$A$100,"="&amp;$I$12,[1]Master!$E$2:$E$100,"="&amp;C127,[1]Master!$J$2:$J$100,"&gt;"&amp;0)</f>
        <v>0</v>
      </c>
      <c r="O127" s="19">
        <f ca="1">-SUMIF('[1]Fluxo de Movimentações'!$A$5:$F$10001,"="&amp;$C128,'[1]Fluxo de Movimentações'!$B$5:$B$10001)</f>
        <v>0</v>
      </c>
      <c r="P127" s="19">
        <f>-SUMIFS([1]Master!$J$1:$J$200,[1]Master!$A$1:$A$200,"="&amp;$I$12,[1]Master!$G$1:$G$200,"&gt;"&amp;C127,[1]Master!$E$1:$E$200,"&lt;="&amp;C127)</f>
        <v>0</v>
      </c>
      <c r="Q127" s="30">
        <v>-2304.8764000000001</v>
      </c>
      <c r="R127" s="32">
        <v>0.90464800000000001</v>
      </c>
      <c r="S127" s="30">
        <v>0</v>
      </c>
      <c r="T127" s="30">
        <v>0</v>
      </c>
      <c r="U127" s="30">
        <v>0</v>
      </c>
      <c r="V127" s="30">
        <v>0</v>
      </c>
    </row>
    <row r="128" spans="3:22" x14ac:dyDescent="0.25">
      <c r="C128" s="4">
        <v>45000</v>
      </c>
      <c r="D128" s="30">
        <v>13452534.6702</v>
      </c>
      <c r="E128" s="32">
        <v>0.91081559999999995</v>
      </c>
      <c r="F128" s="38">
        <f t="shared" ref="F128" si="289">D128/TRUNC(E128,6)</f>
        <v>14769777.254656542</v>
      </c>
      <c r="G128" s="19">
        <f t="shared" ref="G128" si="290">H128*I128</f>
        <v>13437152.880778911</v>
      </c>
      <c r="H128" s="31">
        <v>0.92192019999999997</v>
      </c>
      <c r="I128" s="19">
        <f>SUMIFS([1]Master!$K$2:$K$10000,[1]Master!$A$2:$A$10000,$I$12,[1]Master!$F$2:$F$10000,"&lt;="&amp;$C128)</f>
        <v>14575180.021848867</v>
      </c>
      <c r="J128" s="19">
        <f t="shared" ref="J128" si="291">((((1+1.85%)^(1/252))-1)*D127)+SUM(J127)</f>
        <v>10645.352315667535</v>
      </c>
      <c r="K128" s="19">
        <f>IF((NETWORKDAYS(DATE(YEAR(C128),MONTH(C128),1),C128,Feriados!$A$2:$A$842))&gt;=5,0,IF(NETWORKDAYS(DATE(YEAR(C128),MONTH(C128),1),C128,Feriados!$A$2:$A$842)=1,J127,K127))</f>
        <v>0</v>
      </c>
      <c r="L128" s="30">
        <v>-320.43</v>
      </c>
      <c r="M128" s="19">
        <f>VLOOKUP(C128,'Fluxo de Caixa'!$B$13:$U$10027,20,FALSE)</f>
        <v>28689.056232603289</v>
      </c>
      <c r="N128" s="19">
        <f>SUMIFS([1]Master!$J$2:$J$100,[1]Master!$A$2:$A$100,"="&amp;$I$12,[1]Master!$E$2:$E$100,"="&amp;C128,[1]Master!$J$2:$J$100,"&gt;"&amp;0)</f>
        <v>0</v>
      </c>
      <c r="O128" s="19">
        <f ca="1">-SUMIF('[1]Fluxo de Movimentações'!$A$5:$F$10001,"="&amp;$C129,'[1]Fluxo de Movimentações'!$B$5:$B$10001)</f>
        <v>0</v>
      </c>
      <c r="P128" s="19">
        <f>-SUMIFS([1]Master!$J$1:$J$200,[1]Master!$A$1:$A$200,"="&amp;$I$12,[1]Master!$G$1:$G$200,"&gt;"&amp;C128,[1]Master!$E$1:$E$200,"&lt;="&amp;C128)</f>
        <v>0</v>
      </c>
      <c r="Q128" s="30">
        <v>-2341.6997999999999</v>
      </c>
      <c r="R128" s="32">
        <v>0.91083729999999996</v>
      </c>
      <c r="S128" s="30">
        <v>0</v>
      </c>
      <c r="T128" s="30">
        <v>0</v>
      </c>
      <c r="U128" s="30">
        <v>0</v>
      </c>
      <c r="V128" s="30">
        <v>0</v>
      </c>
    </row>
    <row r="129" spans="3:22" x14ac:dyDescent="0.25">
      <c r="C129" s="4">
        <v>45001</v>
      </c>
      <c r="D129" s="30">
        <v>13561712.4868</v>
      </c>
      <c r="E129" s="32">
        <v>0.91820760000000001</v>
      </c>
      <c r="F129" s="38">
        <f t="shared" ref="F129" si="292">D129/TRUNC(E129,6)</f>
        <v>14769776.844219223</v>
      </c>
      <c r="G129" s="19">
        <f t="shared" ref="G129" si="293">H129*I129</f>
        <v>13547682.300956599</v>
      </c>
      <c r="H129" s="31">
        <v>0.92950359999999999</v>
      </c>
      <c r="I129" s="19">
        <f>SUMIFS([1]Master!$K$2:$K$10000,[1]Master!$A$2:$A$10000,$I$12,[1]Master!$F$2:$F$10000,"&lt;="&amp;$C129)</f>
        <v>14575180.021848867</v>
      </c>
      <c r="J129" s="19">
        <f t="shared" ref="J129" si="294">((((1+1.85%)^(1/252))-1)*D128)+SUM(J128)</f>
        <v>11623.950726592295</v>
      </c>
      <c r="K129" s="19">
        <f>IF((NETWORKDAYS(DATE(YEAR(C129),MONTH(C129),1),C129,Feriados!$A$2:$A$842))&gt;=5,0,IF(NETWORKDAYS(DATE(YEAR(C129),MONTH(C129),1),C129,Feriados!$A$2:$A$842)=1,J128,K128))</f>
        <v>0</v>
      </c>
      <c r="L129" s="30">
        <v>-656.62</v>
      </c>
      <c r="M129" s="19">
        <f>VLOOKUP(C129,'Fluxo de Caixa'!$B$13:$U$10027,20,FALSE)</f>
        <v>28689.056232603289</v>
      </c>
      <c r="N129" s="19">
        <f>SUMIFS([1]Master!$J$2:$J$100,[1]Master!$A$2:$A$100,"="&amp;$I$12,[1]Master!$E$2:$E$100,"="&amp;C129,[1]Master!$J$2:$J$100,"&gt;"&amp;0)</f>
        <v>0</v>
      </c>
      <c r="O129" s="19">
        <f ca="1">-SUMIF('[1]Fluxo de Movimentações'!$A$5:$F$10001,"="&amp;$C130,'[1]Fluxo de Movimentações'!$B$5:$B$10001)</f>
        <v>0</v>
      </c>
      <c r="P129" s="19">
        <f>-SUMIFS([1]Master!$J$1:$J$200,[1]Master!$A$1:$A$200,"="&amp;$I$12,[1]Master!$G$1:$G$200,"&gt;"&amp;C129,[1]Master!$E$1:$E$200,"&lt;="&amp;C129)</f>
        <v>0</v>
      </c>
      <c r="Q129" s="30">
        <v>-2378.5232000000001</v>
      </c>
      <c r="R129" s="32">
        <v>0.91825199999999996</v>
      </c>
      <c r="S129" s="30">
        <v>0</v>
      </c>
      <c r="T129" s="30">
        <v>0</v>
      </c>
      <c r="U129" s="30">
        <v>0</v>
      </c>
      <c r="V129" s="30">
        <v>0</v>
      </c>
    </row>
    <row r="130" spans="3:22" x14ac:dyDescent="0.25">
      <c r="C130" s="4">
        <v>45002</v>
      </c>
      <c r="D130" s="30">
        <v>13314681.2234</v>
      </c>
      <c r="E130" s="32">
        <v>0.90148209999999995</v>
      </c>
      <c r="F130" s="38">
        <f t="shared" ref="F130" si="295">D130/TRUNC(E130,6)</f>
        <v>14769769.361340549</v>
      </c>
      <c r="G130" s="19">
        <f t="shared" ref="G130" si="296">H130*I130</f>
        <v>13301017.784338837</v>
      </c>
      <c r="H130" s="31">
        <v>0.91257999999999995</v>
      </c>
      <c r="I130" s="19">
        <f>SUMIFS([1]Master!$K$2:$K$10000,[1]Master!$A$2:$A$10000,$I$12,[1]Master!$F$2:$F$10000,"&lt;="&amp;$C130)</f>
        <v>14575180.021848867</v>
      </c>
      <c r="J130" s="19">
        <f t="shared" ref="J130" si="297">((((1+1.85%)^(1/252))-1)*D129)+SUM(J129)</f>
        <v>12610.491227275772</v>
      </c>
      <c r="K130" s="19">
        <f>IF((NETWORKDAYS(DATE(YEAR(C130),MONTH(C130),1),C130,Feriados!$A$2:$A$842))&gt;=5,0,IF(NETWORKDAYS(DATE(YEAR(C130),MONTH(C130),1),C130,Feriados!$A$2:$A$842)=1,J129,K129))</f>
        <v>0</v>
      </c>
      <c r="L130" s="30">
        <v>0</v>
      </c>
      <c r="M130" s="19">
        <f>VLOOKUP(C130,'Fluxo de Caixa'!$B$13:$U$10027,20,FALSE)</f>
        <v>28689.056232603289</v>
      </c>
      <c r="N130" s="19">
        <f>SUMIFS([1]Master!$J$2:$J$100,[1]Master!$A$2:$A$100,"="&amp;$I$12,[1]Master!$E$2:$E$100,"="&amp;C130,[1]Master!$J$2:$J$100,"&gt;"&amp;0)</f>
        <v>0</v>
      </c>
      <c r="O130" s="19">
        <f ca="1">-SUMIF('[1]Fluxo de Movimentações'!$A$5:$F$10001,"="&amp;$C131,'[1]Fluxo de Movimentações'!$B$5:$B$10001)</f>
        <v>0</v>
      </c>
      <c r="P130" s="19">
        <f>-SUMIFS([1]Master!$J$1:$J$200,[1]Master!$A$1:$A$200,"="&amp;$I$12,[1]Master!$G$1:$G$200,"&gt;"&amp;C130,[1]Master!$E$1:$E$200,"&lt;="&amp;C130)</f>
        <v>0</v>
      </c>
      <c r="Q130" s="30">
        <v>-2415.3465999999999</v>
      </c>
      <c r="R130" s="32">
        <v>0.90148209999999995</v>
      </c>
      <c r="S130" s="30">
        <v>0</v>
      </c>
      <c r="T130" s="30">
        <v>0</v>
      </c>
      <c r="U130" s="30">
        <v>0</v>
      </c>
      <c r="V130" s="30">
        <v>0</v>
      </c>
    </row>
    <row r="131" spans="3:22" x14ac:dyDescent="0.25">
      <c r="C131" s="4">
        <v>45005</v>
      </c>
      <c r="D131" s="30">
        <v>13021151.970000001</v>
      </c>
      <c r="E131" s="32">
        <v>0.88160839999999996</v>
      </c>
      <c r="F131" s="38">
        <f t="shared" ref="F131" si="298">D131/TRUNC(E131,6)</f>
        <v>14769775.194871191</v>
      </c>
      <c r="G131" s="19">
        <f t="shared" ref="G131" si="299">H131*I131</f>
        <v>13008493.921300333</v>
      </c>
      <c r="H131" s="31">
        <v>0.89251000000000003</v>
      </c>
      <c r="I131" s="19">
        <f>SUMIFS([1]Master!$K$2:$K$10000,[1]Master!$A$2:$A$10000,$I$12,[1]Master!$F$2:$F$10000,"&lt;="&amp;$C131)</f>
        <v>14575180.021848867</v>
      </c>
      <c r="J131" s="19">
        <f t="shared" ref="J131" si="300">((((1+1.85%)^(1/252))-1)*D130)+SUM(J130)</f>
        <v>13579.061552989362</v>
      </c>
      <c r="K131" s="19">
        <f>IF((NETWORKDAYS(DATE(YEAR(C131),MONTH(C131),1),C131,Feriados!$A$2:$A$842))&gt;=5,0,IF(NETWORKDAYS(DATE(YEAR(C131),MONTH(C131),1),C131,Feriados!$A$2:$A$842)=1,J130,K130))</f>
        <v>0</v>
      </c>
      <c r="L131" s="30">
        <v>0</v>
      </c>
      <c r="M131" s="19">
        <f>VLOOKUP(C131,'Fluxo de Caixa'!$B$13:$U$10027,20,FALSE)</f>
        <v>28689.056232603289</v>
      </c>
      <c r="N131" s="19">
        <f>SUMIFS([1]Master!$J$2:$J$100,[1]Master!$A$2:$A$100,"="&amp;$I$12,[1]Master!$E$2:$E$100,"="&amp;C131,[1]Master!$J$2:$J$100,"&gt;"&amp;0)</f>
        <v>0</v>
      </c>
      <c r="O131" s="19">
        <f ca="1">-SUMIF('[1]Fluxo de Movimentações'!$A$5:$F$10001,"="&amp;$C132,'[1]Fluxo de Movimentações'!$B$5:$B$10001)</f>
        <v>0</v>
      </c>
      <c r="P131" s="19">
        <f>-SUMIFS([1]Master!$J$1:$J$200,[1]Master!$A$1:$A$200,"="&amp;$I$12,[1]Master!$G$1:$G$200,"&gt;"&amp;C131,[1]Master!$E$1:$E$200,"&lt;="&amp;C131)</f>
        <v>0</v>
      </c>
      <c r="Q131" s="30">
        <v>-2452.17</v>
      </c>
      <c r="R131" s="32">
        <v>0.88160839999999996</v>
      </c>
      <c r="S131" s="30">
        <v>0</v>
      </c>
      <c r="T131" s="30">
        <v>0</v>
      </c>
      <c r="U131" s="30">
        <v>0</v>
      </c>
      <c r="V131" s="30">
        <v>0</v>
      </c>
    </row>
    <row r="132" spans="3:22" x14ac:dyDescent="0.25">
      <c r="C132" s="4">
        <v>45006</v>
      </c>
      <c r="D132" s="30">
        <v>13013967.2566</v>
      </c>
      <c r="E132" s="32">
        <v>0.88112199999999996</v>
      </c>
      <c r="F132" s="38">
        <f t="shared" ref="F132" si="301">D132/TRUNC(E132,6)</f>
        <v>14769767.701407978</v>
      </c>
      <c r="G132" s="19">
        <f t="shared" ref="G132" si="302">H132*I132</f>
        <v>13002283.437093023</v>
      </c>
      <c r="H132" s="31">
        <v>0.89208390000000004</v>
      </c>
      <c r="I132" s="19">
        <f>SUMIFS([1]Master!$K$2:$K$10000,[1]Master!$A$2:$A$10000,$I$12,[1]Master!$F$2:$F$10000,"&lt;="&amp;$C132)</f>
        <v>14575180.021848867</v>
      </c>
      <c r="J132" s="19">
        <f t="shared" ref="J132" si="303">((((1+1.85%)^(1/252))-1)*D131)+SUM(J131)</f>
        <v>14526.27922896227</v>
      </c>
      <c r="K132" s="19">
        <f>IF((NETWORKDAYS(DATE(YEAR(C132),MONTH(C132),1),C132,Feriados!$A$2:$A$842))&gt;=5,0,IF(NETWORKDAYS(DATE(YEAR(C132),MONTH(C132),1),C132,Feriados!$A$2:$A$842)=1,J131,K131))</f>
        <v>0</v>
      </c>
      <c r="L132" s="30">
        <v>0</v>
      </c>
      <c r="M132" s="19">
        <f>VLOOKUP(C132,'Fluxo de Caixa'!$B$13:$U$10027,20,FALSE)</f>
        <v>28689.056232603289</v>
      </c>
      <c r="N132" s="19">
        <f>SUMIFS([1]Master!$J$2:$J$100,[1]Master!$A$2:$A$100,"="&amp;$I$12,[1]Master!$E$2:$E$100,"="&amp;C132,[1]Master!$J$2:$J$100,"&gt;"&amp;0)</f>
        <v>0</v>
      </c>
      <c r="O132" s="19">
        <f ca="1">-SUMIF('[1]Fluxo de Movimentações'!$A$5:$F$10001,"="&amp;$C133,'[1]Fluxo de Movimentações'!$B$5:$B$10001)</f>
        <v>0</v>
      </c>
      <c r="P132" s="19">
        <f>-SUMIFS([1]Master!$J$1:$J$200,[1]Master!$A$1:$A$200,"="&amp;$I$12,[1]Master!$G$1:$G$200,"&gt;"&amp;C132,[1]Master!$E$1:$E$200,"&lt;="&amp;C132)</f>
        <v>0</v>
      </c>
      <c r="Q132" s="30">
        <v>-2479.1934000000001</v>
      </c>
      <c r="R132" s="32">
        <v>0.88112199999999996</v>
      </c>
      <c r="S132" s="30">
        <v>0</v>
      </c>
      <c r="T132" s="30">
        <v>0</v>
      </c>
      <c r="U132" s="30">
        <v>0</v>
      </c>
      <c r="V132" s="30">
        <v>0</v>
      </c>
    </row>
    <row r="133" spans="3:22" x14ac:dyDescent="0.25">
      <c r="C133" s="4">
        <v>45007</v>
      </c>
      <c r="D133" s="30">
        <v>12836129.563200001</v>
      </c>
      <c r="E133" s="32">
        <v>0.86908129999999995</v>
      </c>
      <c r="F133" s="38">
        <f t="shared" ref="F133" si="304">D133/TRUNC(E133,6)</f>
        <v>14769773.546079135</v>
      </c>
      <c r="G133" s="19">
        <f t="shared" ref="G133" si="305">H133*I133</f>
        <v>12825419.457599895</v>
      </c>
      <c r="H133" s="31">
        <v>0.87994930000000005</v>
      </c>
      <c r="I133" s="19">
        <f>SUMIFS([1]Master!$K$2:$K$10000,[1]Master!$A$2:$A$10000,$I$12,[1]Master!$F$2:$F$10000,"&lt;="&amp;$C133)</f>
        <v>14575180.021848867</v>
      </c>
      <c r="J133" s="19">
        <f t="shared" ref="J133" si="306">((((1+1.85%)^(1/252))-1)*D132)+SUM(J132)</f>
        <v>15472.97425628282</v>
      </c>
      <c r="K133" s="19">
        <f>IF((NETWORKDAYS(DATE(YEAR(C133),MONTH(C133),1),C133,Feriados!$A$2:$A$842))&gt;=5,0,IF(NETWORKDAYS(DATE(YEAR(C133),MONTH(C133),1),C133,Feriados!$A$2:$A$842)=1,J132,K132))</f>
        <v>0</v>
      </c>
      <c r="L133" s="30">
        <v>0</v>
      </c>
      <c r="M133" s="19">
        <f>VLOOKUP(C133,'Fluxo de Caixa'!$B$13:$U$10027,20,FALSE)</f>
        <v>28689.056232603289</v>
      </c>
      <c r="N133" s="19">
        <f>SUMIFS([1]Master!$J$2:$J$100,[1]Master!$A$2:$A$100,"="&amp;$I$12,[1]Master!$E$2:$E$100,"="&amp;C133,[1]Master!$J$2:$J$100,"&gt;"&amp;0)</f>
        <v>0</v>
      </c>
      <c r="O133" s="19">
        <f ca="1">-SUMIF('[1]Fluxo de Movimentações'!$A$5:$F$10001,"="&amp;$C134,'[1]Fluxo de Movimentações'!$B$5:$B$10001)</f>
        <v>0</v>
      </c>
      <c r="P133" s="19">
        <f>-SUMIFS([1]Master!$J$1:$J$200,[1]Master!$A$1:$A$200,"="&amp;$I$12,[1]Master!$G$1:$G$200,"&gt;"&amp;C133,[1]Master!$E$1:$E$200,"&lt;="&amp;C133)</f>
        <v>0</v>
      </c>
      <c r="Q133" s="30">
        <v>-2506.2168000000001</v>
      </c>
      <c r="R133" s="32">
        <v>0.86908129999999995</v>
      </c>
      <c r="S133" s="30">
        <v>0</v>
      </c>
      <c r="T133" s="30">
        <v>0</v>
      </c>
      <c r="U133" s="30">
        <v>0</v>
      </c>
      <c r="V133" s="30">
        <v>0</v>
      </c>
    </row>
    <row r="134" spans="3:22" x14ac:dyDescent="0.25">
      <c r="C134" s="4">
        <v>45008</v>
      </c>
      <c r="D134" s="30">
        <v>12541751.469799999</v>
      </c>
      <c r="E134" s="32">
        <v>0.84915019999999997</v>
      </c>
      <c r="F134" s="38">
        <f t="shared" ref="F134" si="307">D134/TRUNC(E134,6)</f>
        <v>14769771.500677148</v>
      </c>
      <c r="G134" s="19">
        <f t="shared" ref="G134" si="308">H134*I134</f>
        <v>12532002.136026049</v>
      </c>
      <c r="H134" s="31">
        <v>0.85981799999999997</v>
      </c>
      <c r="I134" s="19">
        <f>SUMIFS([1]Master!$K$2:$K$10000,[1]Master!$A$2:$A$10000,$I$12,[1]Master!$F$2:$F$10000,"&lt;="&amp;$C134)</f>
        <v>14575180.021848867</v>
      </c>
      <c r="J134" s="19">
        <f t="shared" ref="J134" si="309">((((1+1.85%)^(1/252))-1)*D133)+SUM(J133)</f>
        <v>16406.73256287153</v>
      </c>
      <c r="K134" s="19">
        <f>IF((NETWORKDAYS(DATE(YEAR(C134),MONTH(C134),1),C134,Feriados!$A$2:$A$842))&gt;=5,0,IF(NETWORKDAYS(DATE(YEAR(C134),MONTH(C134),1),C134,Feriados!$A$2:$A$842)=1,J133,K133))</f>
        <v>0</v>
      </c>
      <c r="L134" s="30">
        <v>0</v>
      </c>
      <c r="M134" s="19">
        <f>VLOOKUP(C134,'Fluxo de Caixa'!$B$13:$U$10027,20,FALSE)</f>
        <v>28689.056232603289</v>
      </c>
      <c r="N134" s="19">
        <f>SUMIFS([1]Master!$J$2:$J$100,[1]Master!$A$2:$A$100,"="&amp;$I$12,[1]Master!$E$2:$E$100,"="&amp;C134,[1]Master!$J$2:$J$100,"&gt;"&amp;0)</f>
        <v>0</v>
      </c>
      <c r="O134" s="19">
        <f ca="1">-SUMIF('[1]Fluxo de Movimentações'!$A$5:$F$10001,"="&amp;$C135,'[1]Fluxo de Movimentações'!$B$5:$B$10001)</f>
        <v>0</v>
      </c>
      <c r="P134" s="19">
        <f>-SUMIFS([1]Master!$J$1:$J$200,[1]Master!$A$1:$A$200,"="&amp;$I$12,[1]Master!$G$1:$G$200,"&gt;"&amp;C134,[1]Master!$E$1:$E$200,"&lt;="&amp;C134)</f>
        <v>0</v>
      </c>
      <c r="Q134" s="30">
        <v>-2533.2402000000002</v>
      </c>
      <c r="R134" s="32">
        <v>0.84915019999999997</v>
      </c>
      <c r="S134" s="30">
        <v>0</v>
      </c>
      <c r="T134" s="30">
        <v>0</v>
      </c>
      <c r="U134" s="30">
        <v>0</v>
      </c>
      <c r="V134" s="30">
        <v>0</v>
      </c>
    </row>
    <row r="135" spans="3:22" x14ac:dyDescent="0.25">
      <c r="C135" s="4">
        <v>45009</v>
      </c>
      <c r="D135" s="30">
        <v>12669707.7064</v>
      </c>
      <c r="E135" s="32">
        <v>0.85781359999999995</v>
      </c>
      <c r="F135" s="38">
        <f t="shared" ref="F135" si="310">D135/TRUNC(E135,6)</f>
        <v>14769778.15258104</v>
      </c>
      <c r="G135" s="19">
        <f t="shared" ref="G135" si="311">H135*I135</f>
        <v>12660897.740549268</v>
      </c>
      <c r="H135" s="31">
        <v>0.86866149999999998</v>
      </c>
      <c r="I135" s="19">
        <f>SUMIFS([1]Master!$K$2:$K$10000,[1]Master!$A$2:$A$10000,$I$12,[1]Master!$F$2:$F$10000,"&lt;="&amp;$C135)</f>
        <v>14575180.021848867</v>
      </c>
      <c r="J135" s="19">
        <f t="shared" ref="J135" si="312">((((1+1.85%)^(1/252))-1)*D134)+SUM(J134)</f>
        <v>17319.076471246462</v>
      </c>
      <c r="K135" s="19">
        <f>IF((NETWORKDAYS(DATE(YEAR(C135),MONTH(C135),1),C135,Feriados!$A$2:$A$842))&gt;=5,0,IF(NETWORKDAYS(DATE(YEAR(C135),MONTH(C135),1),C135,Feriados!$A$2:$A$842)=1,J134,K134))</f>
        <v>0</v>
      </c>
      <c r="L135" s="30">
        <v>0</v>
      </c>
      <c r="M135" s="19">
        <f>VLOOKUP(C135,'Fluxo de Caixa'!$B$13:$U$10027,20,FALSE)</f>
        <v>28689.056232603289</v>
      </c>
      <c r="N135" s="19">
        <f>SUMIFS([1]Master!$J$2:$J$100,[1]Master!$A$2:$A$100,"="&amp;$I$12,[1]Master!$E$2:$E$100,"="&amp;C135,[1]Master!$J$2:$J$100,"&gt;"&amp;0)</f>
        <v>0</v>
      </c>
      <c r="O135" s="19">
        <f ca="1">-SUMIF('[1]Fluxo de Movimentações'!$A$5:$F$10001,"="&amp;$C136,'[1]Fluxo de Movimentações'!$B$5:$B$10001)</f>
        <v>0</v>
      </c>
      <c r="P135" s="19">
        <f>-SUMIFS([1]Master!$J$1:$J$200,[1]Master!$A$1:$A$200,"="&amp;$I$12,[1]Master!$G$1:$G$200,"&gt;"&amp;C135,[1]Master!$E$1:$E$200,"&lt;="&amp;C135)</f>
        <v>0</v>
      </c>
      <c r="Q135" s="30">
        <v>-2560.2636000000002</v>
      </c>
      <c r="R135" s="32">
        <v>0.84915019999999997</v>
      </c>
      <c r="S135" s="30">
        <v>0</v>
      </c>
      <c r="T135" s="30">
        <v>0</v>
      </c>
      <c r="U135" s="30">
        <v>0</v>
      </c>
      <c r="V135" s="30">
        <v>0</v>
      </c>
    </row>
    <row r="136" spans="3:22" x14ac:dyDescent="0.25">
      <c r="C136" s="4">
        <v>45012</v>
      </c>
      <c r="D136" s="30">
        <v>12793491.963</v>
      </c>
      <c r="E136" s="32">
        <v>0.86619449999999998</v>
      </c>
      <c r="F136" s="38">
        <f t="shared" ref="F136" si="313">D136/TRUNC(E136,6)</f>
        <v>14769776.70475667</v>
      </c>
      <c r="G136" s="19">
        <f t="shared" ref="G136" si="314">H136*I136</f>
        <v>12785630.67365825</v>
      </c>
      <c r="H136" s="31">
        <v>0.87721939999999998</v>
      </c>
      <c r="I136" s="19">
        <f>SUMIFS([1]Master!$K$2:$K$10000,[1]Master!$A$2:$A$10000,$I$12,[1]Master!$F$2:$F$10000,"&lt;="&amp;$C136)</f>
        <v>14575180.021848867</v>
      </c>
      <c r="J136" s="19">
        <f t="shared" ref="J136" si="315">((((1+1.85%)^(1/252))-1)*D135)+SUM(J135)</f>
        <v>18240.728496855394</v>
      </c>
      <c r="K136" s="19">
        <f>IF((NETWORKDAYS(DATE(YEAR(C136),MONTH(C136),1),C136,Feriados!$A$2:$A$842))&gt;=5,0,IF(NETWORKDAYS(DATE(YEAR(C136),MONTH(C136),1),C136,Feriados!$A$2:$A$842)=1,J135,K135))</f>
        <v>0</v>
      </c>
      <c r="L136" s="30">
        <v>0</v>
      </c>
      <c r="M136" s="19">
        <f>VLOOKUP(C136,'Fluxo de Caixa'!$B$13:$U$10027,20,FALSE)</f>
        <v>28689.056232603289</v>
      </c>
      <c r="N136" s="19">
        <f>SUMIFS([1]Master!$J$2:$J$100,[1]Master!$A$2:$A$100,"="&amp;$I$12,[1]Master!$E$2:$E$100,"="&amp;C136,[1]Master!$J$2:$J$100,"&gt;"&amp;0)</f>
        <v>0</v>
      </c>
      <c r="O136" s="19">
        <f ca="1">-SUMIF('[1]Fluxo de Movimentações'!$A$5:$F$10001,"="&amp;$C137,'[1]Fluxo de Movimentações'!$B$5:$B$10001)</f>
        <v>0</v>
      </c>
      <c r="P136" s="19">
        <f>-SUMIFS([1]Master!$J$1:$J$200,[1]Master!$A$1:$A$200,"="&amp;$I$12,[1]Master!$G$1:$G$200,"&gt;"&amp;C136,[1]Master!$E$1:$E$200,"&lt;="&amp;C136)</f>
        <v>0</v>
      </c>
      <c r="Q136" s="30">
        <v>-2587.2869999999998</v>
      </c>
      <c r="R136" s="32">
        <v>0.86619449999999998</v>
      </c>
      <c r="S136" s="30">
        <v>0</v>
      </c>
      <c r="T136" s="30">
        <v>0</v>
      </c>
      <c r="U136" s="30">
        <v>0</v>
      </c>
      <c r="V136" s="30">
        <v>0</v>
      </c>
    </row>
    <row r="137" spans="3:22" x14ac:dyDescent="0.25">
      <c r="C137" s="4">
        <v>45013</v>
      </c>
      <c r="D137" s="30">
        <v>12969026.6096</v>
      </c>
      <c r="E137" s="32">
        <v>0.87807919999999995</v>
      </c>
      <c r="F137" s="38">
        <f t="shared" ref="F137" si="316">D137/TRUNC(E137,6)</f>
        <v>14769771.979058832</v>
      </c>
      <c r="G137" s="19">
        <f t="shared" ref="G137" si="317">H137*I137</f>
        <v>12962122.986060819</v>
      </c>
      <c r="H137" s="31">
        <v>0.88932849999999997</v>
      </c>
      <c r="I137" s="19">
        <f>SUMIFS([1]Master!$K$2:$K$10000,[1]Master!$A$2:$A$10000,$I$12,[1]Master!$F$2:$F$10000,"&lt;="&amp;$C137)</f>
        <v>14575180.021848867</v>
      </c>
      <c r="J137" s="19">
        <f t="shared" ref="J137" si="318">((((1+1.85%)^(1/252))-1)*D136)+SUM(J136)</f>
        <v>19171.385150943344</v>
      </c>
      <c r="K137" s="19">
        <f>IF((NETWORKDAYS(DATE(YEAR(C137),MONTH(C137),1),C137,Feriados!$A$2:$A$842))&gt;=5,0,IF(NETWORKDAYS(DATE(YEAR(C137),MONTH(C137),1),C137,Feriados!$A$2:$A$842)=1,J136,K136))</f>
        <v>0</v>
      </c>
      <c r="L137" s="30">
        <v>0</v>
      </c>
      <c r="M137" s="19">
        <f>VLOOKUP(C137,'Fluxo de Caixa'!$B$13:$U$10027,20,FALSE)</f>
        <v>28689.056232603289</v>
      </c>
      <c r="N137" s="19">
        <f>SUMIFS([1]Master!$J$2:$J$100,[1]Master!$A$2:$A$100,"="&amp;$I$12,[1]Master!$E$2:$E$100,"="&amp;C137,[1]Master!$J$2:$J$100,"&gt;"&amp;0)</f>
        <v>0</v>
      </c>
      <c r="O137" s="19">
        <f ca="1">-SUMIF('[1]Fluxo de Movimentações'!$A$5:$F$10001,"="&amp;$C138,'[1]Fluxo de Movimentações'!$B$5:$B$10001)</f>
        <v>0</v>
      </c>
      <c r="P137" s="19">
        <f>-SUMIFS([1]Master!$J$1:$J$200,[1]Master!$A$1:$A$200,"="&amp;$I$12,[1]Master!$G$1:$G$200,"&gt;"&amp;C137,[1]Master!$E$1:$E$200,"&lt;="&amp;C137)</f>
        <v>0</v>
      </c>
      <c r="Q137" s="30">
        <v>-2614.3103999999998</v>
      </c>
      <c r="R137" s="32">
        <v>0.87807919999999995</v>
      </c>
      <c r="S137" s="30">
        <v>0</v>
      </c>
      <c r="T137" s="30">
        <v>0</v>
      </c>
      <c r="U137" s="30">
        <v>0</v>
      </c>
      <c r="V137" s="30">
        <v>0</v>
      </c>
    </row>
    <row r="138" spans="3:22" x14ac:dyDescent="0.25">
      <c r="C138" s="4">
        <v>45014</v>
      </c>
      <c r="D138" s="30">
        <v>12944887.4562</v>
      </c>
      <c r="E138" s="32">
        <v>0.87644489999999997</v>
      </c>
      <c r="F138" s="38">
        <f t="shared" ref="F138" si="319">D138/TRUNC(E138,6)</f>
        <v>14769782.731355341</v>
      </c>
      <c r="G138" s="19">
        <f t="shared" ref="G138" si="320">H138*I138</f>
        <v>12938954.279898088</v>
      </c>
      <c r="H138" s="31">
        <v>0.8877389</v>
      </c>
      <c r="I138" s="19">
        <f>SUMIFS([1]Master!$K$2:$K$10000,[1]Master!$A$2:$A$10000,$I$12,[1]Master!$F$2:$F$10000,"&lt;="&amp;$C138)</f>
        <v>14575180.021848867</v>
      </c>
      <c r="J138" s="19">
        <f t="shared" ref="J138" si="321">((((1+1.85%)^(1/252))-1)*D137)+SUM(J137)</f>
        <v>20114.810991689148</v>
      </c>
      <c r="K138" s="19">
        <f>IF((NETWORKDAYS(DATE(YEAR(C138),MONTH(C138),1),C138,Feriados!$A$2:$A$842))&gt;=5,0,IF(NETWORKDAYS(DATE(YEAR(C138),MONTH(C138),1),C138,Feriados!$A$2:$A$842)=1,J137,K137))</f>
        <v>0</v>
      </c>
      <c r="L138" s="30">
        <v>0</v>
      </c>
      <c r="M138" s="19">
        <f>VLOOKUP(C138,'Fluxo de Caixa'!$B$13:$U$10027,20,FALSE)</f>
        <v>28689.056232603289</v>
      </c>
      <c r="N138" s="19">
        <f>SUMIFS([1]Master!$J$2:$J$100,[1]Master!$A$2:$A$100,"="&amp;$I$12,[1]Master!$E$2:$E$100,"="&amp;C138,[1]Master!$J$2:$J$100,"&gt;"&amp;0)</f>
        <v>0</v>
      </c>
      <c r="O138" s="19">
        <f ca="1">-SUMIF('[1]Fluxo de Movimentações'!$A$5:$F$10001,"="&amp;$C139,'[1]Fluxo de Movimentações'!$B$5:$B$10001)</f>
        <v>0</v>
      </c>
      <c r="P138" s="19">
        <f>-SUMIFS([1]Master!$J$1:$J$200,[1]Master!$A$1:$A$200,"="&amp;$I$12,[1]Master!$G$1:$G$200,"&gt;"&amp;C138,[1]Master!$E$1:$E$200,"&lt;="&amp;C138)</f>
        <v>0</v>
      </c>
      <c r="Q138" s="30">
        <v>-2641.3337999999999</v>
      </c>
      <c r="R138" s="32">
        <v>0.87644489999999997</v>
      </c>
      <c r="S138" s="30">
        <v>0</v>
      </c>
      <c r="T138" s="30">
        <v>0</v>
      </c>
      <c r="U138" s="30">
        <v>0</v>
      </c>
      <c r="V138" s="30">
        <v>0</v>
      </c>
    </row>
    <row r="139" spans="3:22" x14ac:dyDescent="0.25">
      <c r="C139" s="4">
        <v>45015</v>
      </c>
      <c r="D139" s="30">
        <v>13228204.742799999</v>
      </c>
      <c r="E139" s="32">
        <v>0.89562710000000001</v>
      </c>
      <c r="F139" s="38">
        <f t="shared" ref="F139" si="322">D139/TRUNC(E139,6)</f>
        <v>14769769.940834744</v>
      </c>
      <c r="G139" s="19">
        <f t="shared" ref="G139" si="323">H139*I139</f>
        <v>13223240.251188247</v>
      </c>
      <c r="H139" s="31">
        <v>0.90724369999999999</v>
      </c>
      <c r="I139" s="19">
        <f>SUMIFS([1]Master!$K$2:$K$10000,[1]Master!$A$2:$A$10000,$I$12,[1]Master!$F$2:$F$10000,"&lt;="&amp;$C139)</f>
        <v>14575180.021848867</v>
      </c>
      <c r="J139" s="19">
        <f t="shared" ref="J139" si="324">((((1+1.85%)^(1/252))-1)*D138)+SUM(J138)</f>
        <v>21056.480840888566</v>
      </c>
      <c r="K139" s="19">
        <f>IF((NETWORKDAYS(DATE(YEAR(C139),MONTH(C139),1),C139,Feriados!$A$2:$A$842))&gt;=5,0,IF(NETWORKDAYS(DATE(YEAR(C139),MONTH(C139),1),C139,Feriados!$A$2:$A$842)=1,J138,K138))</f>
        <v>0</v>
      </c>
      <c r="L139" s="30">
        <v>0</v>
      </c>
      <c r="M139" s="19">
        <f>VLOOKUP(C139,'Fluxo de Caixa'!$B$13:$U$10027,20,FALSE)</f>
        <v>28689.056232603289</v>
      </c>
      <c r="N139" s="19">
        <f>SUMIFS([1]Master!$J$2:$J$100,[1]Master!$A$2:$A$100,"="&amp;$I$12,[1]Master!$E$2:$E$100,"="&amp;C139,[1]Master!$J$2:$J$100,"&gt;"&amp;0)</f>
        <v>0</v>
      </c>
      <c r="O139" s="19">
        <f ca="1">-SUMIF('[1]Fluxo de Movimentações'!$A$5:$F$10001,"="&amp;$C140,'[1]Fluxo de Movimentações'!$B$5:$B$10001)</f>
        <v>0</v>
      </c>
      <c r="P139" s="19">
        <f>-SUMIFS([1]Master!$J$1:$J$200,[1]Master!$A$1:$A$200,"="&amp;$I$12,[1]Master!$G$1:$G$200,"&gt;"&amp;C139,[1]Master!$E$1:$E$200,"&lt;="&amp;C139)</f>
        <v>0</v>
      </c>
      <c r="Q139" s="30">
        <v>-2668.3571999999999</v>
      </c>
      <c r="R139" s="32">
        <v>0.89562710000000001</v>
      </c>
      <c r="S139" s="30">
        <v>0</v>
      </c>
      <c r="T139" s="30">
        <v>0</v>
      </c>
      <c r="U139" s="30">
        <v>0</v>
      </c>
      <c r="V139" s="30">
        <v>0</v>
      </c>
    </row>
    <row r="140" spans="3:22" x14ac:dyDescent="0.25">
      <c r="C140" s="4">
        <v>45016</v>
      </c>
      <c r="D140" s="30">
        <v>13008527.489800001</v>
      </c>
      <c r="E140" s="32">
        <v>0.88075369999999997</v>
      </c>
      <c r="F140" s="38">
        <f t="shared" ref="F140" si="325">D140/TRUNC(E140,6)</f>
        <v>14769779.370379664</v>
      </c>
      <c r="G140" s="19">
        <f t="shared" ref="G140" si="326">H140*I140</f>
        <v>13003592.288258983</v>
      </c>
      <c r="H140" s="31">
        <v>0.89217369999999996</v>
      </c>
      <c r="I140" s="19">
        <f>SUMIFS([1]Master!$K$2:$K$10000,[1]Master!$A$2:$A$10000,$I$12,[1]Master!$F$2:$F$10000,"&lt;="&amp;$C140)</f>
        <v>14575180.021848867</v>
      </c>
      <c r="J140" s="19">
        <f t="shared" ref="J140" si="327">((((1+1.85%)^(1/252))-1)*D139)+SUM(J139)</f>
        <v>22018.760475028248</v>
      </c>
      <c r="K140" s="19">
        <f>IF((NETWORKDAYS(DATE(YEAR(C140),MONTH(C140),1),C140,Feriados!$A$2:$A$842))&gt;=5,0,IF(NETWORKDAYS(DATE(YEAR(C140),MONTH(C140),1),C140,Feriados!$A$2:$A$842)=1,J139,K139))</f>
        <v>0</v>
      </c>
      <c r="L140" s="30">
        <v>0</v>
      </c>
      <c r="M140" s="19">
        <f>VLOOKUP(C140,'Fluxo de Caixa'!$B$13:$U$10027,20,FALSE)</f>
        <v>28689.056232603289</v>
      </c>
      <c r="N140" s="19">
        <f>SUMIFS([1]Master!$J$2:$J$100,[1]Master!$A$2:$A$100,"="&amp;$I$12,[1]Master!$E$2:$E$100,"="&amp;C140,[1]Master!$J$2:$J$100,"&gt;"&amp;0)</f>
        <v>0</v>
      </c>
      <c r="O140" s="19">
        <f ca="1">-SUMIF('[1]Fluxo de Movimentações'!$A$5:$F$10001,"="&amp;$C141,'[1]Fluxo de Movimentações'!$B$5:$B$10001)</f>
        <v>0</v>
      </c>
      <c r="P140" s="19">
        <f>-SUMIFS([1]Master!$J$1:$J$200,[1]Master!$A$1:$A$200,"="&amp;$I$12,[1]Master!$G$1:$G$200,"&gt;"&amp;C140,[1]Master!$E$1:$E$200,"&lt;="&amp;C140)</f>
        <v>0</v>
      </c>
      <c r="Q140" s="30">
        <v>-1735.3802000000001</v>
      </c>
      <c r="R140" s="32">
        <v>0.88075369999999997</v>
      </c>
      <c r="S140" s="30">
        <v>0</v>
      </c>
      <c r="T140" s="30">
        <v>0</v>
      </c>
      <c r="U140" s="30">
        <v>0</v>
      </c>
      <c r="V140" s="30">
        <v>0</v>
      </c>
    </row>
    <row r="141" spans="3:22" x14ac:dyDescent="0.25">
      <c r="C141" s="4">
        <v>45019</v>
      </c>
      <c r="D141" s="30">
        <v>12736295.529300001</v>
      </c>
      <c r="E141" s="32">
        <v>0.86232200000000003</v>
      </c>
      <c r="F141" s="38">
        <f t="shared" ref="F141" si="328">D141/TRUNC(E141,6)</f>
        <v>14769767.591804454</v>
      </c>
      <c r="G141" s="19">
        <f t="shared" ref="G141" si="329">H141*I141</f>
        <v>12732339.442944365</v>
      </c>
      <c r="H141" s="31">
        <v>0.87356310000000004</v>
      </c>
      <c r="I141" s="19">
        <f>SUMIFS([1]Master!$K$2:$K$10000,[1]Master!$A$2:$A$10000,$I$12,[1]Master!$F$2:$F$10000,"&lt;="&amp;$C141)</f>
        <v>14575180.021848867</v>
      </c>
      <c r="J141" s="19">
        <f>((((1+1.85%)^(1/252))-1)*D140)</f>
        <v>946.2993140013275</v>
      </c>
      <c r="K141" s="19">
        <f>IF((NETWORKDAYS(DATE(YEAR(C141),MONTH(C141),1),C141,Feriados!$A$2:$A$842))&gt;=5,0,IF(NETWORKDAYS(DATE(YEAR(C141),MONTH(C141),1),C141,Feriados!$A$2:$A$842)=1,J140,K140))</f>
        <v>22018.760475028248</v>
      </c>
      <c r="L141" s="30">
        <v>0</v>
      </c>
      <c r="M141" s="19">
        <f>VLOOKUP(C141,'Fluxo de Caixa'!$B$13:$U$10027,20,FALSE)</f>
        <v>28689.056232603289</v>
      </c>
      <c r="N141" s="19">
        <f>SUMIFS([1]Master!$J$2:$J$100,[1]Master!$A$2:$A$100,"="&amp;$I$12,[1]Master!$E$2:$E$100,"="&amp;C141,[1]Master!$J$2:$J$100,"&gt;"&amp;0)</f>
        <v>0</v>
      </c>
      <c r="O141" s="19">
        <f ca="1">-SUMIF('[1]Fluxo de Movimentações'!$A$5:$F$10001,"="&amp;$C142,'[1]Fluxo de Movimentações'!$B$5:$B$10001)</f>
        <v>0</v>
      </c>
      <c r="P141" s="19">
        <f>-SUMIFS([1]Master!$J$1:$J$200,[1]Master!$A$1:$A$200,"="&amp;$I$12,[1]Master!$G$1:$G$200,"&gt;"&amp;C141,[1]Master!$E$1:$E$200,"&lt;="&amp;C141)</f>
        <v>0</v>
      </c>
      <c r="Q141" s="30">
        <v>-1768.2007000000001</v>
      </c>
      <c r="R141" s="32">
        <v>0.86232200000000003</v>
      </c>
      <c r="S141" s="30">
        <v>0</v>
      </c>
      <c r="T141" s="30">
        <v>0</v>
      </c>
      <c r="U141" s="30">
        <v>0</v>
      </c>
      <c r="V141" s="30">
        <v>0</v>
      </c>
    </row>
    <row r="142" spans="3:22" x14ac:dyDescent="0.25">
      <c r="C142" s="4">
        <v>45020</v>
      </c>
      <c r="D142" s="30">
        <v>12892979.9088</v>
      </c>
      <c r="E142" s="32">
        <v>0.8729304</v>
      </c>
      <c r="F142" s="38">
        <f t="shared" ref="F142" si="330">D142/TRUNC(E142,6)</f>
        <v>14769775.249790935</v>
      </c>
      <c r="G142" s="19">
        <f t="shared" ref="G142" si="331">H142*I142</f>
        <v>12865983.132542679</v>
      </c>
      <c r="H142" s="31">
        <v>0.88437900000000003</v>
      </c>
      <c r="I142" s="19">
        <f>SUMIFS([1]Master!$K$2:$K$10000,[1]Master!$A$2:$A$10000,$I$12,[1]Master!$F$2:$F$10000,"&lt;="&amp;$C142)</f>
        <v>14548042.33540448</v>
      </c>
      <c r="J142" s="19">
        <f t="shared" ref="J142:J147" si="332">((((1+1.85%)^(1/252))-1)*D141)+SUM(J141)</f>
        <v>1872.7952399810376</v>
      </c>
      <c r="K142" s="19">
        <f>IF((NETWORKDAYS(DATE(YEAR(C142),MONTH(C142),1),C142,Feriados!$A$2:$A$842))&gt;=5,0,IF(NETWORKDAYS(DATE(YEAR(C142),MONTH(C142),1),C142,Feriados!$A$2:$A$842)=1,J141,K141))</f>
        <v>22018.760475028248</v>
      </c>
      <c r="L142" s="30">
        <v>0</v>
      </c>
      <c r="M142" s="19">
        <f>VLOOKUP(C142,'Fluxo de Caixa'!$B$13:$U$10027,20,FALSE)</f>
        <v>28689.056232603289</v>
      </c>
      <c r="N142" s="19">
        <f>SUMIFS([1]Master!$J$2:$J$100,[1]Master!$A$2:$A$100,"="&amp;$I$12,[1]Master!$E$2:$E$100,"="&amp;C142,[1]Master!$J$2:$J$100,"&gt;"&amp;0)</f>
        <v>0</v>
      </c>
      <c r="O142" s="19">
        <f ca="1">-SUMIF('[1]Fluxo de Movimentações'!$A$5:$F$10001,"="&amp;$C143,'[1]Fluxo de Movimentações'!$B$5:$B$10001)</f>
        <v>0</v>
      </c>
      <c r="P142" s="19">
        <f>-SUMIFS([1]Master!$J$1:$J$200,[1]Master!$A$1:$A$200,"="&amp;$I$12,[1]Master!$G$1:$G$200,"&gt;"&amp;C142,[1]Master!$E$1:$E$200,"&lt;="&amp;C142)</f>
        <v>24000</v>
      </c>
      <c r="Q142" s="30">
        <v>-1801.0211999999999</v>
      </c>
      <c r="R142" s="32">
        <v>0.8729304</v>
      </c>
      <c r="S142" s="30">
        <v>0</v>
      </c>
      <c r="T142" s="30">
        <v>0</v>
      </c>
      <c r="U142" s="30">
        <v>0</v>
      </c>
      <c r="V142" s="30">
        <v>0</v>
      </c>
    </row>
    <row r="143" spans="3:22" x14ac:dyDescent="0.25">
      <c r="C143" s="4">
        <v>45021</v>
      </c>
      <c r="D143" s="30">
        <v>12658655.688300001</v>
      </c>
      <c r="E143" s="32">
        <v>0.85706530000000003</v>
      </c>
      <c r="F143" s="38">
        <f t="shared" ref="F143" si="333">D143/TRUNC(E143,6)</f>
        <v>14769773.224084523</v>
      </c>
      <c r="G143" s="19">
        <f t="shared" ref="G143" si="334">H143*I143</f>
        <v>12632629.623874323</v>
      </c>
      <c r="H143" s="31">
        <v>0.86833879999999997</v>
      </c>
      <c r="I143" s="19">
        <f>SUMIFS([1]Master!$K$2:$K$10000,[1]Master!$A$2:$A$10000,$I$12,[1]Master!$F$2:$F$10000,"&lt;="&amp;$C143)</f>
        <v>14548042.33540448</v>
      </c>
      <c r="J143" s="19">
        <f t="shared" si="332"/>
        <v>2810.6890986592666</v>
      </c>
      <c r="K143" s="19">
        <f>IF((NETWORKDAYS(DATE(YEAR(C143),MONTH(C143),1),C143,Feriados!$A$2:$A$842))&gt;=5,0,IF(NETWORKDAYS(DATE(YEAR(C143),MONTH(C143),1),C143,Feriados!$A$2:$A$842)=1,J142,K142))</f>
        <v>22018.760475028248</v>
      </c>
      <c r="L143" s="30">
        <v>0</v>
      </c>
      <c r="M143" s="19">
        <f>VLOOKUP(C143,'Fluxo de Caixa'!$B$13:$U$10027,20,FALSE)</f>
        <v>28689.056232603289</v>
      </c>
      <c r="N143" s="19">
        <f>SUMIFS([1]Master!$J$2:$J$100,[1]Master!$A$2:$A$100,"="&amp;$I$12,[1]Master!$E$2:$E$100,"="&amp;C143,[1]Master!$J$2:$J$100,"&gt;"&amp;0)</f>
        <v>0</v>
      </c>
      <c r="O143" s="19">
        <f ca="1">-SUMIF('[1]Fluxo de Movimentações'!$A$5:$F$10001,"="&amp;$C144,'[1]Fluxo de Movimentações'!$B$5:$B$10001)</f>
        <v>0</v>
      </c>
      <c r="P143" s="19">
        <f>-SUMIFS([1]Master!$J$1:$J$200,[1]Master!$A$1:$A$200,"="&amp;$I$12,[1]Master!$G$1:$G$200,"&gt;"&amp;C143,[1]Master!$E$1:$E$200,"&lt;="&amp;C143)</f>
        <v>24000</v>
      </c>
      <c r="Q143" s="30">
        <v>-1833.8416999999999</v>
      </c>
      <c r="R143" s="32">
        <v>0.85706530000000003</v>
      </c>
      <c r="S143" s="30">
        <v>0</v>
      </c>
      <c r="T143" s="30">
        <v>0</v>
      </c>
      <c r="U143" s="30">
        <v>0</v>
      </c>
      <c r="V143" s="30">
        <v>0</v>
      </c>
    </row>
    <row r="144" spans="3:22" x14ac:dyDescent="0.25">
      <c r="C144" s="4">
        <v>45022</v>
      </c>
      <c r="D144" s="30">
        <v>12592571.8978</v>
      </c>
      <c r="E144" s="32">
        <v>0.85259099999999999</v>
      </c>
      <c r="F144" s="38">
        <f t="shared" ref="F144" si="335">D144/TRUNC(E144,6)</f>
        <v>14769768.737647947</v>
      </c>
      <c r="G144" s="19">
        <f t="shared" ref="G144" si="336">H144*I144</f>
        <v>12567499.493142951</v>
      </c>
      <c r="H144" s="31">
        <v>0.86386189999999996</v>
      </c>
      <c r="I144" s="19">
        <f>SUMIFS([1]Master!$K$2:$K$10000,[1]Master!$A$2:$A$10000,$I$12,[1]Master!$F$2:$F$10000,"&lt;="&amp;$C144)</f>
        <v>14548042.33540448</v>
      </c>
      <c r="J144" s="19">
        <f t="shared" si="332"/>
        <v>3731.5371503246024</v>
      </c>
      <c r="K144" s="19">
        <f>IF((NETWORKDAYS(DATE(YEAR(C144),MONTH(C144),1),C144,Feriados!$A$2:$A$842))&gt;=5,0,IF(NETWORKDAYS(DATE(YEAR(C144),MONTH(C144),1),C144,Feriados!$A$2:$A$842)=1,J143,K143))</f>
        <v>22018.760475028248</v>
      </c>
      <c r="L144" s="30">
        <v>0</v>
      </c>
      <c r="M144" s="19">
        <f>VLOOKUP(C144,'Fluxo de Caixa'!$B$13:$U$10027,20,FALSE)</f>
        <v>52689.056232603289</v>
      </c>
      <c r="N144" s="19">
        <f>SUMIFS([1]Master!$J$2:$J$100,[1]Master!$A$2:$A$100,"="&amp;$I$12,[1]Master!$E$2:$E$100,"="&amp;C144,[1]Master!$J$2:$J$100,"&gt;"&amp;0)</f>
        <v>0</v>
      </c>
      <c r="O144" s="19">
        <f ca="1">-SUMIF('[1]Fluxo de Movimentações'!$A$5:$F$10001,"="&amp;$C145,'[1]Fluxo de Movimentações'!$B$5:$B$10001)</f>
        <v>0</v>
      </c>
      <c r="P144" s="19">
        <f>-SUMIFS([1]Master!$J$1:$J$200,[1]Master!$A$1:$A$200,"="&amp;$I$12,[1]Master!$G$1:$G$200,"&gt;"&amp;C144,[1]Master!$E$1:$E$200,"&lt;="&amp;C144)</f>
        <v>0</v>
      </c>
      <c r="Q144" s="30">
        <v>-1866.6622</v>
      </c>
      <c r="R144" s="32">
        <v>0.85259099999999999</v>
      </c>
      <c r="S144" s="30">
        <v>0</v>
      </c>
      <c r="T144" s="30">
        <v>0</v>
      </c>
      <c r="U144" s="30">
        <v>0</v>
      </c>
      <c r="V144" s="30">
        <v>0</v>
      </c>
    </row>
    <row r="145" spans="3:22" x14ac:dyDescent="0.25">
      <c r="C145" s="4">
        <v>45026</v>
      </c>
      <c r="D145" s="30">
        <v>12602280.9373</v>
      </c>
      <c r="E145" s="32">
        <v>0.85324840000000002</v>
      </c>
      <c r="F145" s="38">
        <f t="shared" ref="F145" si="337">D145/TRUNC(E145,6)</f>
        <v>14769774.950893527</v>
      </c>
      <c r="G145" s="19">
        <f t="shared" ref="G145" si="338">H145*I145</f>
        <v>12578157.388957869</v>
      </c>
      <c r="H145" s="31">
        <v>0.86459450000000004</v>
      </c>
      <c r="I145" s="19">
        <f>SUMIFS([1]Master!$K$2:$K$10000,[1]Master!$A$2:$A$10000,$I$12,[1]Master!$F$2:$F$10000,"&lt;="&amp;$C145)</f>
        <v>14548042.33540448</v>
      </c>
      <c r="J145" s="19">
        <f t="shared" si="332"/>
        <v>4647.5779672229137</v>
      </c>
      <c r="K145" s="19">
        <f>IF((NETWORKDAYS(DATE(YEAR(C145),MONTH(C145),1),C145,Feriados!$A$2:$A$842))&gt;=5,0,IF(NETWORKDAYS(DATE(YEAR(C145),MONTH(C145),1),C145,Feriados!$A$2:$A$842)=1,J144,K144))</f>
        <v>0</v>
      </c>
      <c r="L145" s="30">
        <v>0</v>
      </c>
      <c r="M145" s="19">
        <f>VLOOKUP(C145,'Fluxo de Caixa'!$B$13:$U$10027,20,FALSE)</f>
        <v>30670.406232603287</v>
      </c>
      <c r="N145" s="19">
        <f>SUMIFS([1]Master!$J$2:$J$100,[1]Master!$A$2:$A$100,"="&amp;$I$12,[1]Master!$E$2:$E$100,"="&amp;C145,[1]Master!$J$2:$J$100,"&gt;"&amp;0)</f>
        <v>0</v>
      </c>
      <c r="O145" s="19">
        <f ca="1">-SUMIF('[1]Fluxo de Movimentações'!$A$5:$F$10001,"="&amp;$C146,'[1]Fluxo de Movimentações'!$B$5:$B$10001)</f>
        <v>0</v>
      </c>
      <c r="P145" s="19">
        <f>-SUMIFS([1]Master!$J$1:$J$200,[1]Master!$A$1:$A$200,"="&amp;$I$12,[1]Master!$G$1:$G$200,"&gt;"&amp;C145,[1]Master!$E$1:$E$200,"&lt;="&amp;C145)</f>
        <v>0</v>
      </c>
      <c r="Q145" s="30">
        <v>-1899.4827</v>
      </c>
      <c r="R145" s="32">
        <v>0.85324840000000002</v>
      </c>
      <c r="S145" s="30">
        <v>0</v>
      </c>
      <c r="T145" s="30">
        <v>0</v>
      </c>
      <c r="U145" s="30">
        <v>0</v>
      </c>
      <c r="V145" s="30">
        <v>0</v>
      </c>
    </row>
    <row r="146" spans="3:22" x14ac:dyDescent="0.25">
      <c r="C146" s="4">
        <v>45027</v>
      </c>
      <c r="D146" s="30">
        <v>13195450.1468</v>
      </c>
      <c r="E146" s="32">
        <v>0.89340940000000002</v>
      </c>
      <c r="F146" s="38">
        <f t="shared" ref="F146" si="339">D146/TRUNC(E146,6)</f>
        <v>14769775.261722235</v>
      </c>
      <c r="G146" s="19">
        <f t="shared" ref="G146" si="340">H146*I146</f>
        <v>13172276.16106805</v>
      </c>
      <c r="H146" s="31">
        <v>0.90543289999999998</v>
      </c>
      <c r="I146" s="19">
        <f>SUMIFS([1]Master!$K$2:$K$10000,[1]Master!$A$2:$A$10000,$I$12,[1]Master!$F$2:$F$10000,"&lt;="&amp;$C146)</f>
        <v>14548042.33540448</v>
      </c>
      <c r="J146" s="19">
        <f t="shared" si="332"/>
        <v>5564.3250637078781</v>
      </c>
      <c r="K146" s="19">
        <f>IF((NETWORKDAYS(DATE(YEAR(C146),MONTH(C146),1),C146,Feriados!$A$2:$A$842))&gt;=5,0,IF(NETWORKDAYS(DATE(YEAR(C146),MONTH(C146),1),C146,Feriados!$A$2:$A$842)=1,J145,K145))</f>
        <v>0</v>
      </c>
      <c r="L146" s="30">
        <v>0</v>
      </c>
      <c r="M146" s="19">
        <f>VLOOKUP(C146,'Fluxo de Caixa'!$B$13:$U$10027,20,FALSE)</f>
        <v>30670.406232603287</v>
      </c>
      <c r="N146" s="19">
        <f>SUMIFS([1]Master!$J$2:$J$100,[1]Master!$A$2:$A$100,"="&amp;$I$12,[1]Master!$E$2:$E$100,"="&amp;C146,[1]Master!$J$2:$J$100,"&gt;"&amp;0)</f>
        <v>0</v>
      </c>
      <c r="O146" s="19">
        <f ca="1">-SUMIF('[1]Fluxo de Movimentações'!$A$5:$F$10001,"="&amp;$C147,'[1]Fluxo de Movimentações'!$B$5:$B$10001)</f>
        <v>0</v>
      </c>
      <c r="P146" s="19">
        <f>-SUMIFS([1]Master!$J$1:$J$200,[1]Master!$A$1:$A$200,"="&amp;$I$12,[1]Master!$G$1:$G$200,"&gt;"&amp;C146,[1]Master!$E$1:$E$200,"&lt;="&amp;C146)</f>
        <v>0</v>
      </c>
      <c r="Q146" s="30">
        <v>-1932.3032000000001</v>
      </c>
      <c r="R146" s="32">
        <v>0.89340940000000002</v>
      </c>
      <c r="S146" s="30">
        <v>0</v>
      </c>
      <c r="T146" s="30">
        <v>0</v>
      </c>
      <c r="U146" s="30">
        <v>0</v>
      </c>
      <c r="V146" s="30">
        <v>0</v>
      </c>
    </row>
    <row r="147" spans="3:22" x14ac:dyDescent="0.25">
      <c r="C147" s="4">
        <v>45028</v>
      </c>
      <c r="D147" s="30">
        <v>13308752.6763</v>
      </c>
      <c r="E147" s="32">
        <v>0.90108069999999996</v>
      </c>
      <c r="F147" s="38">
        <f t="shared" ref="F147" si="341">D147/TRUNC(E147,6)</f>
        <v>14769779.23858037</v>
      </c>
      <c r="G147" s="19">
        <f t="shared" ref="G147" si="342">H147*I147</f>
        <v>13286571.400871921</v>
      </c>
      <c r="H147" s="31">
        <v>0.91328929999999997</v>
      </c>
      <c r="I147" s="19">
        <f>SUMIFS([1]Master!$K$2:$K$10000,[1]Master!$A$2:$A$10000,$I$12,[1]Master!$F$2:$F$10000,"&lt;="&amp;$C147)</f>
        <v>14548042.33540448</v>
      </c>
      <c r="J147" s="19">
        <f t="shared" si="332"/>
        <v>6524.2219799150744</v>
      </c>
      <c r="K147" s="19">
        <f>IF((NETWORKDAYS(DATE(YEAR(C147),MONTH(C147),1),C147,Feriados!$A$2:$A$842))&gt;=5,0,IF(NETWORKDAYS(DATE(YEAR(C147),MONTH(C147),1),C147,Feriados!$A$2:$A$842)=1,J146,K146))</f>
        <v>0</v>
      </c>
      <c r="L147" s="30">
        <v>0</v>
      </c>
      <c r="M147" s="19">
        <f>VLOOKUP(C147,'Fluxo de Caixa'!$B$13:$U$10027,20,FALSE)</f>
        <v>30474.406232603287</v>
      </c>
      <c r="N147" s="19">
        <f>SUMIFS([1]Master!$J$2:$J$100,[1]Master!$A$2:$A$100,"="&amp;$I$12,[1]Master!$E$2:$E$100,"="&amp;C147,[1]Master!$J$2:$J$100,"&gt;"&amp;0)</f>
        <v>0</v>
      </c>
      <c r="O147" s="19">
        <f ca="1">-SUMIF('[1]Fluxo de Movimentações'!$A$5:$F$10001,"="&amp;$C148,'[1]Fluxo de Movimentações'!$B$5:$B$10001)</f>
        <v>0</v>
      </c>
      <c r="P147" s="19">
        <f>-SUMIFS([1]Master!$J$1:$J$200,[1]Master!$A$1:$A$200,"="&amp;$I$12,[1]Master!$G$1:$G$200,"&gt;"&amp;C147,[1]Master!$E$1:$E$200,"&lt;="&amp;C147)</f>
        <v>0</v>
      </c>
      <c r="Q147" s="30">
        <v>-1769.1237000000001</v>
      </c>
      <c r="R147" s="32">
        <v>0.90108069999999996</v>
      </c>
      <c r="S147" s="30">
        <v>0</v>
      </c>
      <c r="T147" s="30">
        <v>0</v>
      </c>
      <c r="U147" s="30">
        <v>0</v>
      </c>
      <c r="V147" s="30">
        <v>0</v>
      </c>
    </row>
    <row r="148" spans="3:22" x14ac:dyDescent="0.25">
      <c r="C148" s="4">
        <v>45029</v>
      </c>
      <c r="D148" s="30">
        <v>13341955.022500001</v>
      </c>
      <c r="E148" s="32">
        <v>0.90332869999999998</v>
      </c>
      <c r="F148" s="38">
        <f t="shared" ref="F148" si="343">D148/TRUNC(E148,6)</f>
        <v>14769779.108474443</v>
      </c>
      <c r="G148" s="19">
        <f t="shared" ref="G148" si="344">H148*I148</f>
        <v>13320784.032032093</v>
      </c>
      <c r="H148" s="31">
        <v>0.91564100000000004</v>
      </c>
      <c r="I148" s="19">
        <f>SUMIFS([1]Master!$K$2:$K$10000,[1]Master!$A$2:$A$10000,$I$12,[1]Master!$F$2:$F$10000,"&lt;="&amp;$C148)</f>
        <v>14548042.33540448</v>
      </c>
      <c r="J148" s="19">
        <f t="shared" ref="J148" si="345">((((1+1.85%)^(1/252))-1)*D147)+SUM(J147)</f>
        <v>7492.3610362126483</v>
      </c>
      <c r="K148" s="19">
        <f>IF((NETWORKDAYS(DATE(YEAR(C148),MONTH(C148),1),C148,Feriados!$A$2:$A$842))&gt;=5,0,IF(NETWORKDAYS(DATE(YEAR(C148),MONTH(C148),1),C148,Feriados!$A$2:$A$842)=1,J147,K147))</f>
        <v>0</v>
      </c>
      <c r="L148" s="30">
        <v>0</v>
      </c>
      <c r="M148" s="19">
        <f>VLOOKUP(C148,'Fluxo de Caixa'!$B$13:$U$10027,20,FALSE)</f>
        <v>30474.406232603287</v>
      </c>
      <c r="N148" s="19">
        <f>SUMIFS([1]Master!$J$2:$J$100,[1]Master!$A$2:$A$100,"="&amp;$I$12,[1]Master!$E$2:$E$100,"="&amp;C148,[1]Master!$J$2:$J$100,"&gt;"&amp;0)</f>
        <v>0</v>
      </c>
      <c r="O148" s="19">
        <f ca="1">-SUMIF('[1]Fluxo de Movimentações'!$A$5:$F$10001,"="&amp;$C149,'[1]Fluxo de Movimentações'!$B$5:$B$10001)</f>
        <v>0</v>
      </c>
      <c r="P148" s="19">
        <f>-SUMIFS([1]Master!$J$1:$J$200,[1]Master!$A$1:$A$200,"="&amp;$I$12,[1]Master!$G$1:$G$200,"&gt;"&amp;C148,[1]Master!$E$1:$E$200,"&lt;="&amp;C148)</f>
        <v>0</v>
      </c>
      <c r="Q148" s="30">
        <v>-1811.2774999999999</v>
      </c>
      <c r="R148" s="32">
        <v>0.90332869999999998</v>
      </c>
      <c r="S148" s="30">
        <v>0</v>
      </c>
      <c r="T148" s="30">
        <v>0</v>
      </c>
      <c r="U148" s="30">
        <v>0</v>
      </c>
      <c r="V148" s="30">
        <v>0</v>
      </c>
    </row>
    <row r="149" spans="3:22" x14ac:dyDescent="0.25">
      <c r="C149" s="4">
        <v>45030</v>
      </c>
      <c r="D149" s="30">
        <v>13214425.2687</v>
      </c>
      <c r="E149" s="32">
        <v>0.8946942</v>
      </c>
      <c r="F149" s="38">
        <f t="shared" ref="F149" si="346">D149/TRUNC(E149,6)</f>
        <v>14769770.746981649</v>
      </c>
      <c r="G149" s="19">
        <f t="shared" ref="G149" si="347">H149*I149</f>
        <v>13194266.981862249</v>
      </c>
      <c r="H149" s="31">
        <v>0.90694450000000004</v>
      </c>
      <c r="I149" s="19">
        <f>SUMIFS([1]Master!$K$2:$K$10000,[1]Master!$A$2:$A$10000,$I$12,[1]Master!$F$2:$F$10000,"&lt;="&amp;$C149)</f>
        <v>14548042.33540448</v>
      </c>
      <c r="J149" s="19">
        <f t="shared" ref="J149" si="348">((((1+1.85%)^(1/252))-1)*D148)+SUM(J148)</f>
        <v>8462.915381823861</v>
      </c>
      <c r="K149" s="19">
        <f>IF((NETWORKDAYS(DATE(YEAR(C149),MONTH(C149),1),C149,Feriados!$A$2:$A$842))&gt;=5,0,IF(NETWORKDAYS(DATE(YEAR(C149),MONTH(C149),1),C149,Feriados!$A$2:$A$842)=1,J148,K148))</f>
        <v>0</v>
      </c>
      <c r="L149" s="30">
        <v>0</v>
      </c>
      <c r="M149" s="19">
        <f>VLOOKUP(C149,'Fluxo de Caixa'!$B$13:$U$10027,20,FALSE)</f>
        <v>30474.406232603287</v>
      </c>
      <c r="N149" s="19">
        <f>SUMIFS([1]Master!$J$2:$J$100,[1]Master!$A$2:$A$100,"="&amp;$I$12,[1]Master!$E$2:$E$100,"="&amp;C149,[1]Master!$J$2:$J$100,"&gt;"&amp;0)</f>
        <v>0</v>
      </c>
      <c r="O149" s="19">
        <f ca="1">-SUMIF('[1]Fluxo de Movimentações'!$A$5:$F$10001,"="&amp;$C150,'[1]Fluxo de Movimentações'!$B$5:$B$10001)</f>
        <v>0</v>
      </c>
      <c r="P149" s="19">
        <f>-SUMIFS([1]Master!$J$1:$J$200,[1]Master!$A$1:$A$200,"="&amp;$I$12,[1]Master!$G$1:$G$200,"&gt;"&amp;C149,[1]Master!$E$1:$E$200,"&lt;="&amp;C149)</f>
        <v>0</v>
      </c>
      <c r="Q149" s="30">
        <v>-1853.4313</v>
      </c>
      <c r="R149" s="32">
        <v>0.8946942</v>
      </c>
      <c r="S149" s="30">
        <v>0</v>
      </c>
      <c r="T149" s="30">
        <v>0</v>
      </c>
      <c r="U149" s="30">
        <v>0</v>
      </c>
      <c r="V149" s="30">
        <v>0</v>
      </c>
    </row>
    <row r="150" spans="3:22" x14ac:dyDescent="0.25">
      <c r="C150" s="4">
        <v>45033</v>
      </c>
      <c r="D150" s="30">
        <v>13085797.6949</v>
      </c>
      <c r="E150" s="32">
        <v>0.88598529999999998</v>
      </c>
      <c r="F150" s="38">
        <f t="shared" ref="F150" si="349">D150/TRUNC(E150,6)</f>
        <v>14769773.410272183</v>
      </c>
      <c r="G150" s="19">
        <f t="shared" ref="G150" si="350">H150*I150</f>
        <v>13066642.82567068</v>
      </c>
      <c r="H150" s="31">
        <v>0.89817190000000002</v>
      </c>
      <c r="I150" s="19">
        <f>SUMIFS([1]Master!$K$2:$K$10000,[1]Master!$A$2:$A$10000,$I$12,[1]Master!$F$2:$F$10000,"&lt;="&amp;$C150)</f>
        <v>14548042.33540448</v>
      </c>
      <c r="J150" s="19">
        <f t="shared" ref="J150" si="351">((((1+1.85%)^(1/252))-1)*D149)+SUM(J149)</f>
        <v>9424.1926344950534</v>
      </c>
      <c r="K150" s="19">
        <f>IF((NETWORKDAYS(DATE(YEAR(C150),MONTH(C150),1),C150,Feriados!$A$2:$A$842))&gt;=5,0,IF(NETWORKDAYS(DATE(YEAR(C150),MONTH(C150),1),C150,Feriados!$A$2:$A$842)=1,J149,K149))</f>
        <v>0</v>
      </c>
      <c r="L150" s="30">
        <v>0</v>
      </c>
      <c r="M150" s="19">
        <f>VLOOKUP(C150,'Fluxo de Caixa'!$B$13:$U$10027,20,FALSE)</f>
        <v>29887.226232603287</v>
      </c>
      <c r="N150" s="19">
        <f>SUMIFS([1]Master!$J$2:$J$100,[1]Master!$A$2:$A$100,"="&amp;$I$12,[1]Master!$E$2:$E$100,"="&amp;C150,[1]Master!$J$2:$J$100,"&gt;"&amp;0)</f>
        <v>0</v>
      </c>
      <c r="O150" s="19">
        <f ca="1">-SUMIF('[1]Fluxo de Movimentações'!$A$5:$F$10001,"="&amp;$C151,'[1]Fluxo de Movimentações'!$B$5:$B$10001)</f>
        <v>0</v>
      </c>
      <c r="P150" s="19">
        <f>-SUMIFS([1]Master!$J$1:$J$200,[1]Master!$A$1:$A$200,"="&amp;$I$12,[1]Master!$G$1:$G$200,"&gt;"&amp;C150,[1]Master!$E$1:$E$200,"&lt;="&amp;C150)</f>
        <v>0</v>
      </c>
      <c r="Q150" s="30">
        <v>-1308.4050999999999</v>
      </c>
      <c r="R150" s="32">
        <v>0.88598529999999998</v>
      </c>
      <c r="S150" s="30">
        <v>0</v>
      </c>
      <c r="T150" s="30">
        <v>0</v>
      </c>
      <c r="U150" s="30">
        <v>0</v>
      </c>
      <c r="V150" s="30">
        <v>0</v>
      </c>
    </row>
    <row r="151" spans="3:22" x14ac:dyDescent="0.25">
      <c r="C151" s="4">
        <v>45034</v>
      </c>
      <c r="D151" s="30">
        <v>13044361.221100001</v>
      </c>
      <c r="E151" s="32">
        <v>0.88317979999999996</v>
      </c>
      <c r="F151" s="38">
        <f t="shared" ref="F151" si="352">D151/TRUNC(E151,6)</f>
        <v>14769781.914085366</v>
      </c>
      <c r="G151" s="19">
        <f t="shared" ref="G151" si="353">H151*I151</f>
        <v>13026205.08719519</v>
      </c>
      <c r="H151" s="31">
        <v>0.89539230000000003</v>
      </c>
      <c r="I151" s="19">
        <f>SUMIFS([1]Master!$K$2:$K$10000,[1]Master!$A$2:$A$10000,$I$12,[1]Master!$F$2:$F$10000,"&lt;="&amp;$C151)</f>
        <v>14548042.33540448</v>
      </c>
      <c r="J151" s="19">
        <f t="shared" ref="J151" si="354">((((1+1.85%)^(1/252))-1)*D150)+SUM(J150)</f>
        <v>10376.112933818218</v>
      </c>
      <c r="K151" s="19">
        <f>IF((NETWORKDAYS(DATE(YEAR(C151),MONTH(C151),1),C151,Feriados!$A$2:$A$842))&gt;=5,0,IF(NETWORKDAYS(DATE(YEAR(C151),MONTH(C151),1),C151,Feriados!$A$2:$A$842)=1,J150,K150))</f>
        <v>0</v>
      </c>
      <c r="L151" s="30">
        <v>0</v>
      </c>
      <c r="M151" s="19">
        <f>VLOOKUP(C151,'Fluxo de Caixa'!$B$13:$U$10027,20,FALSE)</f>
        <v>29887.226232603287</v>
      </c>
      <c r="N151" s="19">
        <f>SUMIFS([1]Master!$J$2:$J$100,[1]Master!$A$2:$A$100,"="&amp;$I$12,[1]Master!$E$2:$E$100,"="&amp;C151,[1]Master!$J$2:$J$100,"&gt;"&amp;0)</f>
        <v>0</v>
      </c>
      <c r="O151" s="19">
        <f ca="1">-SUMIF('[1]Fluxo de Movimentações'!$A$5:$F$10001,"="&amp;$C152,'[1]Fluxo de Movimentações'!$B$5:$B$10001)</f>
        <v>0</v>
      </c>
      <c r="P151" s="19">
        <f>-SUMIFS([1]Master!$J$1:$J$200,[1]Master!$A$1:$A$200,"="&amp;$I$12,[1]Master!$G$1:$G$200,"&gt;"&amp;C151,[1]Master!$E$1:$E$200,"&lt;="&amp;C151)</f>
        <v>0</v>
      </c>
      <c r="Q151" s="30">
        <v>-1355.2189000000001</v>
      </c>
      <c r="R151" s="32">
        <v>0.88317979999999996</v>
      </c>
      <c r="S151" s="30">
        <v>0</v>
      </c>
      <c r="T151" s="30">
        <v>0</v>
      </c>
      <c r="U151" s="30">
        <v>0</v>
      </c>
      <c r="V151" s="30">
        <v>0</v>
      </c>
    </row>
    <row r="152" spans="3:22" x14ac:dyDescent="0.25">
      <c r="C152" s="4">
        <v>45035</v>
      </c>
      <c r="D152" s="30">
        <v>12733393.2773</v>
      </c>
      <c r="E152" s="32">
        <v>0.86212549999999999</v>
      </c>
      <c r="F152" s="38">
        <f t="shared" ref="F152" si="355">D152/TRUNC(E152,6)</f>
        <v>14769776.166217195</v>
      </c>
      <c r="G152" s="19">
        <f t="shared" ref="G152" si="356">H152*I152</f>
        <v>12716232.858763192</v>
      </c>
      <c r="H152" s="31">
        <v>0.87408549999999996</v>
      </c>
      <c r="I152" s="19">
        <f>SUMIFS([1]Master!$K$2:$K$10000,[1]Master!$A$2:$A$10000,$I$12,[1]Master!$F$2:$F$10000,"&lt;="&amp;$C152)</f>
        <v>14548042.33540448</v>
      </c>
      <c r="J152" s="19">
        <f t="shared" ref="J152" si="357">((((1+1.85%)^(1/252))-1)*D151)+SUM(J151)</f>
        <v>11325.018956024905</v>
      </c>
      <c r="K152" s="19">
        <f>IF((NETWORKDAYS(DATE(YEAR(C152),MONTH(C152),1),C152,Feriados!$A$2:$A$842))&gt;=5,0,IF(NETWORKDAYS(DATE(YEAR(C152),MONTH(C152),1),C152,Feriados!$A$2:$A$842)=1,J151,K151))</f>
        <v>0</v>
      </c>
      <c r="L152" s="30">
        <v>0</v>
      </c>
      <c r="M152" s="19">
        <f>VLOOKUP(C152,'Fluxo de Caixa'!$B$13:$U$10027,20,FALSE)</f>
        <v>29887.226232603287</v>
      </c>
      <c r="N152" s="19">
        <f>SUMIFS([1]Master!$J$2:$J$100,[1]Master!$A$2:$A$100,"="&amp;$I$12,[1]Master!$E$2:$E$100,"="&amp;C152,[1]Master!$J$2:$J$100,"&gt;"&amp;0)</f>
        <v>0</v>
      </c>
      <c r="O152" s="19">
        <f ca="1">-SUMIF('[1]Fluxo de Movimentações'!$A$5:$F$10001,"="&amp;$C153,'[1]Fluxo de Movimentações'!$B$5:$B$10001)</f>
        <v>0</v>
      </c>
      <c r="P152" s="19">
        <f>-SUMIFS([1]Master!$J$1:$J$200,[1]Master!$A$1:$A$200,"="&amp;$I$12,[1]Master!$G$1:$G$200,"&gt;"&amp;C152,[1]Master!$E$1:$E$200,"&lt;="&amp;C152)</f>
        <v>0</v>
      </c>
      <c r="Q152" s="30">
        <v>-1402.0327</v>
      </c>
      <c r="R152" s="32">
        <v>0.86212549999999999</v>
      </c>
      <c r="S152" s="30">
        <v>0</v>
      </c>
      <c r="T152" s="30">
        <v>0</v>
      </c>
      <c r="U152" s="30">
        <v>0</v>
      </c>
      <c r="V152" s="30">
        <v>0</v>
      </c>
    </row>
    <row r="153" spans="3:22" x14ac:dyDescent="0.25">
      <c r="C153" s="4">
        <v>45036</v>
      </c>
      <c r="D153" s="30">
        <v>12902636.6435</v>
      </c>
      <c r="E153" s="32">
        <v>0.87358429999999998</v>
      </c>
      <c r="F153" s="38">
        <f t="shared" ref="F153" si="358">D153/TRUNC(E153,6)</f>
        <v>14769772.161005696</v>
      </c>
      <c r="G153" s="19">
        <f t="shared" ref="G153" si="359">H153*I153</f>
        <v>12886449.318500126</v>
      </c>
      <c r="H153" s="31">
        <v>0.88578579999999996</v>
      </c>
      <c r="I153" s="19">
        <f>SUMIFS([1]Master!$K$2:$K$10000,[1]Master!$A$2:$A$10000,$I$12,[1]Master!$F$2:$F$10000,"&lt;="&amp;$C153)</f>
        <v>14548042.33540448</v>
      </c>
      <c r="J153" s="19">
        <f t="shared" ref="J153" si="360">((((1+1.85%)^(1/252))-1)*D152)+SUM(J152)</f>
        <v>12251.303759025568</v>
      </c>
      <c r="K153" s="19">
        <f>IF((NETWORKDAYS(DATE(YEAR(C153),MONTH(C153),1),C153,Feriados!$A$2:$A$842))&gt;=5,0,IF(NETWORKDAYS(DATE(YEAR(C153),MONTH(C153),1),C153,Feriados!$A$2:$A$842)=1,J152,K152))</f>
        <v>0</v>
      </c>
      <c r="L153" s="30">
        <v>0</v>
      </c>
      <c r="M153" s="19">
        <f>VLOOKUP(C153,'Fluxo de Caixa'!$B$13:$U$10027,20,FALSE)</f>
        <v>29887.226232603287</v>
      </c>
      <c r="N153" s="19">
        <f>SUMIFS([1]Master!$J$2:$J$100,[1]Master!$A$2:$A$100,"="&amp;$I$12,[1]Master!$E$2:$E$100,"="&amp;C153,[1]Master!$J$2:$J$100,"&gt;"&amp;0)</f>
        <v>0</v>
      </c>
      <c r="O153" s="19">
        <f ca="1">-SUMIF('[1]Fluxo de Movimentações'!$A$5:$F$10001,"="&amp;$C154,'[1]Fluxo de Movimentações'!$B$5:$B$10001)</f>
        <v>0</v>
      </c>
      <c r="P153" s="19">
        <f>-SUMIFS([1]Master!$J$1:$J$200,[1]Master!$A$1:$A$200,"="&amp;$I$12,[1]Master!$G$1:$G$200,"&gt;"&amp;C153,[1]Master!$E$1:$E$200,"&lt;="&amp;C153)</f>
        <v>0</v>
      </c>
      <c r="Q153" s="30">
        <v>-1448.8465000000001</v>
      </c>
      <c r="R153" s="32">
        <v>0.87358429999999998</v>
      </c>
      <c r="S153" s="30">
        <v>0</v>
      </c>
      <c r="T153" s="30">
        <v>0</v>
      </c>
      <c r="U153" s="30">
        <v>0</v>
      </c>
      <c r="V153" s="30">
        <v>0</v>
      </c>
    </row>
    <row r="154" spans="3:22" x14ac:dyDescent="0.25">
      <c r="C154" s="4">
        <v>45040</v>
      </c>
      <c r="D154" s="30">
        <v>12892868.5897</v>
      </c>
      <c r="E154" s="32">
        <v>0.87292289999999995</v>
      </c>
      <c r="F154" s="38">
        <f t="shared" ref="F154" si="361">D154/TRUNC(E154,6)</f>
        <v>14769783.084513852</v>
      </c>
      <c r="G154" s="19">
        <f t="shared" ref="G154" si="362">H154*I154</f>
        <v>12877666.665342242</v>
      </c>
      <c r="H154" s="31">
        <v>0.88518209999999997</v>
      </c>
      <c r="I154" s="19">
        <f>SUMIFS([1]Master!$K$2:$K$10000,[1]Master!$A$2:$A$10000,$I$12,[1]Master!$F$2:$F$10000,"&lt;="&amp;$C154)</f>
        <v>14548042.33540448</v>
      </c>
      <c r="J154" s="19">
        <f t="shared" ref="J154" si="363">((((1+1.85%)^(1/252))-1)*D153)+SUM(J153)</f>
        <v>13189.900092401973</v>
      </c>
      <c r="K154" s="19">
        <f>IF((NETWORKDAYS(DATE(YEAR(C154),MONTH(C154),1),C154,Feriados!$A$2:$A$842))&gt;=5,0,IF(NETWORKDAYS(DATE(YEAR(C154),MONTH(C154),1),C154,Feriados!$A$2:$A$842)=1,J153,K153))</f>
        <v>0</v>
      </c>
      <c r="L154" s="30">
        <v>0</v>
      </c>
      <c r="M154" s="19">
        <f>VLOOKUP(C154,'Fluxo de Caixa'!$B$13:$U$10027,20,FALSE)</f>
        <v>29887.226232603287</v>
      </c>
      <c r="N154" s="19">
        <f>SUMIFS([1]Master!$J$2:$J$100,[1]Master!$A$2:$A$100,"="&amp;$I$12,[1]Master!$E$2:$E$100,"="&amp;C154,[1]Master!$J$2:$J$100,"&gt;"&amp;0)</f>
        <v>0</v>
      </c>
      <c r="O154" s="19">
        <f ca="1">-SUMIF('[1]Fluxo de Movimentações'!$A$5:$F$10001,"="&amp;$C155,'[1]Fluxo de Movimentações'!$B$5:$B$10001)</f>
        <v>0</v>
      </c>
      <c r="P154" s="19">
        <f>-SUMIFS([1]Master!$J$1:$J$200,[1]Master!$A$1:$A$200,"="&amp;$I$12,[1]Master!$G$1:$G$200,"&gt;"&amp;C154,[1]Master!$E$1:$E$200,"&lt;="&amp;C154)</f>
        <v>0</v>
      </c>
      <c r="Q154" s="30">
        <v>-1495.6603</v>
      </c>
      <c r="R154" s="32">
        <v>0.87292289999999995</v>
      </c>
      <c r="S154" s="30">
        <v>0</v>
      </c>
      <c r="T154" s="30">
        <v>0</v>
      </c>
      <c r="U154" s="30">
        <v>0</v>
      </c>
      <c r="V154" s="30">
        <v>0</v>
      </c>
    </row>
    <row r="155" spans="3:22" x14ac:dyDescent="0.25">
      <c r="C155" s="4">
        <v>45041</v>
      </c>
      <c r="D155" s="30">
        <v>12813043.685900001</v>
      </c>
      <c r="E155" s="32">
        <v>0.86751829999999996</v>
      </c>
      <c r="F155" s="38">
        <f t="shared" ref="F155" si="364">D155/TRUNC(E155,6)</f>
        <v>14769772.714687189</v>
      </c>
      <c r="G155" s="19">
        <f t="shared" ref="G155" si="365">H155*I155</f>
        <v>12798826.459513985</v>
      </c>
      <c r="H155" s="31">
        <v>0.87976279999999996</v>
      </c>
      <c r="I155" s="19">
        <f>SUMIFS([1]Master!$K$2:$K$10000,[1]Master!$A$2:$A$10000,$I$12,[1]Master!$F$2:$F$10000,"&lt;="&amp;$C155)</f>
        <v>14548042.33540448</v>
      </c>
      <c r="J155" s="19">
        <f t="shared" ref="J155" si="366">((((1+1.85%)^(1/252))-1)*D154)+SUM(J154)</f>
        <v>14127.785853223773</v>
      </c>
      <c r="K155" s="19">
        <f>IF((NETWORKDAYS(DATE(YEAR(C155),MONTH(C155),1),C155,Feriados!$A$2:$A$842))&gt;=5,0,IF(NETWORKDAYS(DATE(YEAR(C155),MONTH(C155),1),C155,Feriados!$A$2:$A$842)=1,J154,K154))</f>
        <v>0</v>
      </c>
      <c r="L155" s="30">
        <v>0</v>
      </c>
      <c r="M155" s="19">
        <f>VLOOKUP(C155,'Fluxo de Caixa'!$B$13:$U$10027,20,FALSE)</f>
        <v>29887.226232603287</v>
      </c>
      <c r="N155" s="19">
        <f>SUMIFS([1]Master!$J$2:$J$100,[1]Master!$A$2:$A$100,"="&amp;$I$12,[1]Master!$E$2:$E$100,"="&amp;C155,[1]Master!$J$2:$J$100,"&gt;"&amp;0)</f>
        <v>0</v>
      </c>
      <c r="O155" s="19">
        <f ca="1">-SUMIF('[1]Fluxo de Movimentações'!$A$5:$F$10001,"="&amp;$C156,'[1]Fluxo de Movimentações'!$B$5:$B$10001)</f>
        <v>0</v>
      </c>
      <c r="P155" s="19">
        <f>-SUMIFS([1]Master!$J$1:$J$200,[1]Master!$A$1:$A$200,"="&amp;$I$12,[1]Master!$G$1:$G$200,"&gt;"&amp;C155,[1]Master!$E$1:$E$200,"&lt;="&amp;C155)</f>
        <v>0</v>
      </c>
      <c r="Q155" s="30">
        <v>-1542.4740999999999</v>
      </c>
      <c r="R155" s="32">
        <v>0.86751829999999996</v>
      </c>
      <c r="S155" s="30">
        <v>0</v>
      </c>
      <c r="T155" s="30">
        <v>0</v>
      </c>
      <c r="U155" s="30">
        <v>0</v>
      </c>
      <c r="V155" s="30">
        <v>0</v>
      </c>
    </row>
    <row r="156" spans="3:22" x14ac:dyDescent="0.25">
      <c r="C156" s="4">
        <v>45042</v>
      </c>
      <c r="D156" s="30">
        <v>12855116.8221</v>
      </c>
      <c r="E156" s="32">
        <v>0.87036690000000005</v>
      </c>
      <c r="F156" s="38">
        <f t="shared" ref="F156" si="367">D156/TRUNC(E156,6)</f>
        <v>14769782.852386238</v>
      </c>
      <c r="G156" s="19">
        <f t="shared" ref="G156" si="368">H156*I156</f>
        <v>12841878.481197147</v>
      </c>
      <c r="H156" s="31">
        <v>0.88272209999999995</v>
      </c>
      <c r="I156" s="19">
        <f>SUMIFS([1]Master!$K$2:$K$10000,[1]Master!$A$2:$A$10000,$I$12,[1]Master!$F$2:$F$10000,"&lt;="&amp;$C156)</f>
        <v>14548042.33540448</v>
      </c>
      <c r="J156" s="19">
        <f t="shared" ref="J156" si="369">((((1+1.85%)^(1/252))-1)*D155)+SUM(J155)</f>
        <v>15059.864788348706</v>
      </c>
      <c r="K156" s="19">
        <f>IF((NETWORKDAYS(DATE(YEAR(C156),MONTH(C156),1),C156,Feriados!$A$2:$A$842))&gt;=5,0,IF(NETWORKDAYS(DATE(YEAR(C156),MONTH(C156),1),C156,Feriados!$A$2:$A$842)=1,J155,K155))</f>
        <v>0</v>
      </c>
      <c r="L156" s="30">
        <v>0</v>
      </c>
      <c r="M156" s="19">
        <f>VLOOKUP(C156,'Fluxo de Caixa'!$B$13:$U$10027,20,FALSE)</f>
        <v>29887.226232603287</v>
      </c>
      <c r="N156" s="19">
        <f>SUMIFS([1]Master!$J$2:$J$100,[1]Master!$A$2:$A$100,"="&amp;$I$12,[1]Master!$E$2:$E$100,"="&amp;C156,[1]Master!$J$2:$J$100,"&gt;"&amp;0)</f>
        <v>0</v>
      </c>
      <c r="O156" s="19">
        <f ca="1">-SUMIF('[1]Fluxo de Movimentações'!$A$5:$F$10001,"="&amp;$C157,'[1]Fluxo de Movimentações'!$B$5:$B$10001)</f>
        <v>0</v>
      </c>
      <c r="P156" s="19">
        <f>-SUMIFS([1]Master!$J$1:$J$200,[1]Master!$A$1:$A$200,"="&amp;$I$12,[1]Master!$G$1:$G$200,"&gt;"&amp;C156,[1]Master!$E$1:$E$200,"&lt;="&amp;C156)</f>
        <v>0</v>
      </c>
      <c r="Q156" s="30">
        <v>-1589.2879</v>
      </c>
      <c r="R156" s="32">
        <v>0.87036690000000005</v>
      </c>
      <c r="S156" s="30">
        <v>0</v>
      </c>
      <c r="T156" s="30">
        <v>0</v>
      </c>
      <c r="U156" s="30">
        <v>0</v>
      </c>
      <c r="V156" s="30">
        <v>0</v>
      </c>
    </row>
    <row r="157" spans="3:22" x14ac:dyDescent="0.25">
      <c r="C157" s="4">
        <v>45043</v>
      </c>
      <c r="D157" s="30">
        <v>12921604.338300001</v>
      </c>
      <c r="E157" s="32">
        <v>0.87486850000000005</v>
      </c>
      <c r="F157" s="38">
        <f t="shared" ref="F157" si="370">D157/TRUNC(E157,6)</f>
        <v>14769775.941399161</v>
      </c>
      <c r="G157" s="19">
        <f t="shared" ref="G157" si="371">H157*I157</f>
        <v>12909347.937136052</v>
      </c>
      <c r="H157" s="31">
        <v>0.88735980000000003</v>
      </c>
      <c r="I157" s="19">
        <f>SUMIFS([1]Master!$K$2:$K$10000,[1]Master!$A$2:$A$10000,$I$12,[1]Master!$F$2:$F$10000,"&lt;="&amp;$C157)</f>
        <v>14548042.33540448</v>
      </c>
      <c r="J157" s="19">
        <f t="shared" ref="J157" si="372">((((1+1.85%)^(1/252))-1)*D156)+SUM(J156)</f>
        <v>15995.004314301861</v>
      </c>
      <c r="K157" s="19">
        <f>IF((NETWORKDAYS(DATE(YEAR(C157),MONTH(C157),1),C157,Feriados!$A$2:$A$842))&gt;=5,0,IF(NETWORKDAYS(DATE(YEAR(C157),MONTH(C157),1),C157,Feriados!$A$2:$A$842)=1,J156,K156))</f>
        <v>0</v>
      </c>
      <c r="L157" s="30">
        <v>0</v>
      </c>
      <c r="M157" s="19">
        <f>VLOOKUP(C157,'Fluxo de Caixa'!$B$13:$U$10027,20,FALSE)</f>
        <v>29887.226232603287</v>
      </c>
      <c r="N157" s="19">
        <f>SUMIFS([1]Master!$J$2:$J$100,[1]Master!$A$2:$A$100,"="&amp;$I$12,[1]Master!$E$2:$E$100,"="&amp;C157,[1]Master!$J$2:$J$100,"&gt;"&amp;0)</f>
        <v>0</v>
      </c>
      <c r="O157" s="19">
        <f ca="1">-SUMIF('[1]Fluxo de Movimentações'!$A$5:$F$10001,"="&amp;$C158,'[1]Fluxo de Movimentações'!$B$5:$B$10001)</f>
        <v>0</v>
      </c>
      <c r="P157" s="19">
        <f>-SUMIFS([1]Master!$J$1:$J$200,[1]Master!$A$1:$A$200,"="&amp;$I$12,[1]Master!$G$1:$G$200,"&gt;"&amp;C157,[1]Master!$E$1:$E$200,"&lt;="&amp;C157)</f>
        <v>0</v>
      </c>
      <c r="Q157" s="30">
        <v>-1636.1016999999999</v>
      </c>
      <c r="R157" s="32">
        <v>0.87486850000000005</v>
      </c>
      <c r="S157" s="30">
        <v>0</v>
      </c>
      <c r="T157" s="30">
        <v>0</v>
      </c>
      <c r="U157" s="30">
        <v>0</v>
      </c>
      <c r="V157" s="30">
        <v>0</v>
      </c>
    </row>
    <row r="158" spans="3:22" x14ac:dyDescent="0.25">
      <c r="C158" s="4">
        <v>45044</v>
      </c>
      <c r="D158" s="30">
        <v>13124397.804500001</v>
      </c>
      <c r="E158" s="32">
        <v>0.88859880000000002</v>
      </c>
      <c r="F158" s="38">
        <f t="shared" ref="F158" si="373">D158/TRUNC(E158,6)</f>
        <v>14769780.940875402</v>
      </c>
      <c r="G158" s="19">
        <f t="shared" ref="G158" si="374">H158*I158</f>
        <v>13113128.185344998</v>
      </c>
      <c r="H158" s="31">
        <v>0.90136720000000004</v>
      </c>
      <c r="I158" s="19">
        <f>SUMIFS([1]Master!$K$2:$K$10000,[1]Master!$A$2:$A$10000,$I$12,[1]Master!$F$2:$F$10000,"&lt;="&amp;$C158)</f>
        <v>14548042.33540448</v>
      </c>
      <c r="J158" s="19">
        <f t="shared" ref="J158:J160" si="375">((((1+1.85%)^(1/252))-1)*D157)+SUM(J157)</f>
        <v>16934.980443861306</v>
      </c>
      <c r="K158" s="19">
        <f>IF((NETWORKDAYS(DATE(YEAR(C158),MONTH(C158),1),C158,Feriados!$A$2:$A$842))&gt;=5,0,IF(NETWORKDAYS(DATE(YEAR(C158),MONTH(C158),1),C158,Feriados!$A$2:$A$842)=1,J157,K157))</f>
        <v>0</v>
      </c>
      <c r="L158" s="30">
        <v>0</v>
      </c>
      <c r="M158" s="19">
        <f>VLOOKUP(C158,'Fluxo de Caixa'!$B$13:$U$10027,20,FALSE)</f>
        <v>29887.226232603287</v>
      </c>
      <c r="N158" s="19">
        <f>SUMIFS([1]Master!$J$2:$J$100,[1]Master!$A$2:$A$100,"="&amp;$I$12,[1]Master!$E$2:$E$100,"="&amp;C158,[1]Master!$J$2:$J$100,"&gt;"&amp;0)</f>
        <v>0</v>
      </c>
      <c r="O158" s="19">
        <f ca="1">-SUMIF('[1]Fluxo de Movimentações'!$A$5:$F$10001,"="&amp;$C159,'[1]Fluxo de Movimentações'!$B$5:$B$10001)</f>
        <v>0</v>
      </c>
      <c r="P158" s="19">
        <f>-SUMIFS([1]Master!$J$1:$J$200,[1]Master!$A$1:$A$200,"="&amp;$I$12,[1]Master!$G$1:$G$200,"&gt;"&amp;C158,[1]Master!$E$1:$E$200,"&lt;="&amp;C158)</f>
        <v>0</v>
      </c>
      <c r="Q158" s="30">
        <v>-1682.9155000000001</v>
      </c>
      <c r="R158" s="32">
        <v>0.88859880000000002</v>
      </c>
      <c r="S158" s="30">
        <v>0</v>
      </c>
      <c r="T158" s="30">
        <v>0</v>
      </c>
      <c r="U158" s="30">
        <v>0</v>
      </c>
      <c r="V158" s="30">
        <v>0</v>
      </c>
    </row>
    <row r="159" spans="3:22" x14ac:dyDescent="0.25">
      <c r="C159" s="4">
        <v>45048</v>
      </c>
      <c r="D159" s="30">
        <v>12859344.907400001</v>
      </c>
      <c r="E159" s="32">
        <v>0.87065309999999996</v>
      </c>
      <c r="F159" s="38">
        <f t="shared" ref="F159" si="376">D159/TRUNC(E159,6)</f>
        <v>14769770.399229085</v>
      </c>
      <c r="G159" s="19">
        <f t="shared" ref="G159" si="377">H159*I159</f>
        <v>12849076.852544704</v>
      </c>
      <c r="H159" s="31">
        <v>0.88321689999999997</v>
      </c>
      <c r="I159" s="19">
        <f>SUMIFS([1]Master!$K$2:$K$10000,[1]Master!$A$2:$A$10000,$I$12,[1]Master!$F$2:$F$10000,"&lt;="&amp;$C159)</f>
        <v>14548042.33540448</v>
      </c>
      <c r="J159" s="19">
        <f>((((1+1.85%)^(1/252))-1)*D158)</f>
        <v>954.72824643812362</v>
      </c>
      <c r="K159" s="19">
        <f>IF((NETWORKDAYS(DATE(YEAR(C159),MONTH(C159),1),C159,Feriados!$A$2:$A$842))&gt;=5,0,IF(NETWORKDAYS(DATE(YEAR(C159),MONTH(C159),1),C159,Feriados!$A$2:$A$842)=1,J158,K158))</f>
        <v>16934.980443861306</v>
      </c>
      <c r="L159" s="30">
        <v>0</v>
      </c>
      <c r="M159" s="19">
        <f>VLOOKUP(C159,'Fluxo de Caixa'!$B$13:$U$10027,20,FALSE)</f>
        <v>29887.226232603287</v>
      </c>
      <c r="N159" s="19">
        <f>SUMIFS([1]Master!$J$2:$J$100,[1]Master!$A$2:$A$100,"="&amp;$I$12,[1]Master!$E$2:$E$100,"="&amp;C159,[1]Master!$J$2:$J$100,"&gt;"&amp;0)</f>
        <v>0</v>
      </c>
      <c r="O159" s="19">
        <f ca="1">-SUMIF('[1]Fluxo de Movimentações'!$A$5:$F$10001,"="&amp;$C160,'[1]Fluxo de Movimentações'!$B$5:$B$10001)</f>
        <v>0</v>
      </c>
      <c r="P159" s="19">
        <f>-SUMIFS([1]Master!$J$1:$J$200,[1]Master!$A$1:$A$200,"="&amp;$I$12,[1]Master!$G$1:$G$200,"&gt;"&amp;C159,[1]Master!$E$1:$E$200,"&lt;="&amp;C159)</f>
        <v>0</v>
      </c>
      <c r="Q159" s="30">
        <v>-1729.7526</v>
      </c>
      <c r="R159" s="32">
        <v>0.87065309999999996</v>
      </c>
      <c r="S159" s="30">
        <v>0</v>
      </c>
      <c r="T159" s="30">
        <v>0</v>
      </c>
      <c r="U159" s="30">
        <v>0</v>
      </c>
      <c r="V159" s="30">
        <v>0</v>
      </c>
    </row>
    <row r="160" spans="3:22" x14ac:dyDescent="0.25">
      <c r="C160" s="4">
        <v>45049</v>
      </c>
      <c r="D160" s="30">
        <v>12923658.610300001</v>
      </c>
      <c r="E160" s="32">
        <v>0.8750076</v>
      </c>
      <c r="F160" s="38">
        <f t="shared" ref="F160" si="378">D160/TRUNC(E160,6)</f>
        <v>14769777.396409402</v>
      </c>
      <c r="G160" s="19">
        <f t="shared" ref="G160" si="379">H160*I160</f>
        <v>12896372.830958702</v>
      </c>
      <c r="H160" s="31">
        <v>0.88770519999999997</v>
      </c>
      <c r="I160" s="19">
        <f>SUMIFS([1]Master!$K$2:$K$10000,[1]Master!$A$2:$A$10000,$I$12,[1]Master!$F$2:$F$10000,"&lt;="&amp;$C160)</f>
        <v>14527765.333534941</v>
      </c>
      <c r="J160" s="19">
        <f t="shared" si="375"/>
        <v>1890.1753425003526</v>
      </c>
      <c r="K160" s="19">
        <f>IF((NETWORKDAYS(DATE(YEAR(C160),MONTH(C160),1),C160,Feriados!$A$2:$A$842))&gt;=5,0,IF(NETWORKDAYS(DATE(YEAR(C160),MONTH(C160),1),C160,Feriados!$A$2:$A$842)=1,J159,K159))</f>
        <v>16934.980443861306</v>
      </c>
      <c r="L160" s="30">
        <v>0</v>
      </c>
      <c r="M160" s="19">
        <f>VLOOKUP(C160,'Fluxo de Caixa'!$B$13:$U$10027,20,FALSE)</f>
        <v>29887.226232603287</v>
      </c>
      <c r="N160" s="19">
        <f>SUMIFS([1]Master!$J$2:$J$100,[1]Master!$A$2:$A$100,"="&amp;$I$12,[1]Master!$E$2:$E$100,"="&amp;C160,[1]Master!$J$2:$J$100,"&gt;"&amp;0)</f>
        <v>0</v>
      </c>
      <c r="O160" s="19">
        <f ca="1">-SUMIF('[1]Fluxo de Movimentações'!$A$5:$F$10001,"="&amp;$C161,'[1]Fluxo de Movimentações'!$B$5:$B$10001)</f>
        <v>0</v>
      </c>
      <c r="P160" s="19">
        <f>-SUMIFS([1]Master!$J$1:$J$200,[1]Master!$A$1:$A$200,"="&amp;$I$12,[1]Master!$G$1:$G$200,"&gt;"&amp;C160,[1]Master!$E$1:$E$200,"&lt;="&amp;C160)</f>
        <v>18000</v>
      </c>
      <c r="Q160" s="30">
        <v>-1776.5897</v>
      </c>
      <c r="R160" s="32">
        <v>0.8750076</v>
      </c>
      <c r="S160" s="30">
        <v>0</v>
      </c>
      <c r="T160" s="30">
        <v>0</v>
      </c>
      <c r="U160" s="30">
        <v>0</v>
      </c>
      <c r="V160" s="30">
        <v>0</v>
      </c>
    </row>
    <row r="161" spans="3:22" x14ac:dyDescent="0.25">
      <c r="C161" s="4">
        <v>45050</v>
      </c>
      <c r="D161" s="30">
        <v>13051150.8532</v>
      </c>
      <c r="E161" s="32">
        <v>0.88363950000000002</v>
      </c>
      <c r="F161" s="38">
        <f t="shared" ref="F161" si="380">D161/TRUNC(E161,6)</f>
        <v>14769776.858196616</v>
      </c>
      <c r="G161" s="19">
        <f t="shared" ref="G161" si="381">H161*I161</f>
        <v>13024852.029238883</v>
      </c>
      <c r="H161" s="31">
        <v>0.89654889999999998</v>
      </c>
      <c r="I161" s="19">
        <f>SUMIFS([1]Master!$K$2:$K$10000,[1]Master!$A$2:$A$10000,$I$12,[1]Master!$F$2:$F$10000,"&lt;="&amp;$C161)</f>
        <v>14527765.333534941</v>
      </c>
      <c r="J161" s="19">
        <f t="shared" ref="J161" si="382">((((1+1.85%)^(1/252))-1)*D160)+SUM(J160)</f>
        <v>2830.3009091260542</v>
      </c>
      <c r="K161" s="19">
        <f>IF((NETWORKDAYS(DATE(YEAR(C161),MONTH(C161),1),C161,Feriados!$A$2:$A$842))&gt;=5,0,IF(NETWORKDAYS(DATE(YEAR(C161),MONTH(C161),1),C161,Feriados!$A$2:$A$842)=1,J160,K160))</f>
        <v>16934.980443861306</v>
      </c>
      <c r="L161" s="30">
        <v>0</v>
      </c>
      <c r="M161" s="19">
        <f>VLOOKUP(C161,'Fluxo de Caixa'!$B$13:$U$10027,20,FALSE)</f>
        <v>29887.226232603287</v>
      </c>
      <c r="N161" s="19">
        <f>SUMIFS([1]Master!$J$2:$J$100,[1]Master!$A$2:$A$100,"="&amp;$I$12,[1]Master!$E$2:$E$100,"="&amp;C161,[1]Master!$J$2:$J$100,"&gt;"&amp;0)</f>
        <v>0</v>
      </c>
      <c r="O161" s="19">
        <f ca="1">-SUMIF('[1]Fluxo de Movimentações'!$A$5:$F$10001,"="&amp;$C162,'[1]Fluxo de Movimentações'!$B$5:$B$10001)</f>
        <v>0</v>
      </c>
      <c r="P161" s="19">
        <f>-SUMIFS([1]Master!$J$1:$J$200,[1]Master!$A$1:$A$200,"="&amp;$I$12,[1]Master!$G$1:$G$200,"&gt;"&amp;C161,[1]Master!$E$1:$E$200,"&lt;="&amp;C161)</f>
        <v>18000</v>
      </c>
      <c r="Q161" s="30">
        <v>-1823.4268</v>
      </c>
      <c r="R161" s="32">
        <v>0.88363950000000002</v>
      </c>
      <c r="S161" s="30">
        <v>0</v>
      </c>
      <c r="T161" s="30">
        <v>0</v>
      </c>
      <c r="U161" s="30">
        <v>0</v>
      </c>
      <c r="V161" s="30">
        <v>0</v>
      </c>
    </row>
    <row r="162" spans="3:22" x14ac:dyDescent="0.25">
      <c r="C162" s="4">
        <v>45051</v>
      </c>
      <c r="D162" s="30">
        <v>13288771.7161</v>
      </c>
      <c r="E162" s="32">
        <v>0.89972790000000002</v>
      </c>
      <c r="F162" s="38">
        <f t="shared" ref="F162" si="383">D162/TRUNC(E162,6)</f>
        <v>14769782.074006893</v>
      </c>
      <c r="G162" s="19">
        <f t="shared" ref="G162" si="384">H162*I162</f>
        <v>13263469.122065661</v>
      </c>
      <c r="H162" s="31">
        <v>0.91297379999999995</v>
      </c>
      <c r="I162" s="19">
        <f>SUMIFS([1]Master!$K$2:$K$10000,[1]Master!$A$2:$A$10000,$I$12,[1]Master!$F$2:$F$10000,"&lt;="&amp;$C162)</f>
        <v>14527765.333534941</v>
      </c>
      <c r="J162" s="19">
        <f t="shared" ref="J162" si="385">((((1+1.85%)^(1/252))-1)*D161)+SUM(J161)</f>
        <v>3779.7008399787105</v>
      </c>
      <c r="K162" s="19">
        <f>IF((NETWORKDAYS(DATE(YEAR(C162),MONTH(C162),1),C162,Feriados!$A$2:$A$842))&gt;=5,0,IF(NETWORKDAYS(DATE(YEAR(C162),MONTH(C162),1),C162,Feriados!$A$2:$A$842)=1,J161,K161))</f>
        <v>16934.980443861306</v>
      </c>
      <c r="L162" s="30">
        <v>0</v>
      </c>
      <c r="M162" s="19">
        <f>VLOOKUP(C162,'Fluxo de Caixa'!$B$13:$U$10027,20,FALSE)</f>
        <v>47887.226232603287</v>
      </c>
      <c r="N162" s="19">
        <f>SUMIFS([1]Master!$J$2:$J$100,[1]Master!$A$2:$A$100,"="&amp;$I$12,[1]Master!$E$2:$E$100,"="&amp;C162,[1]Master!$J$2:$J$100,"&gt;"&amp;0)</f>
        <v>0</v>
      </c>
      <c r="O162" s="19">
        <f ca="1">-SUMIF('[1]Fluxo de Movimentações'!$A$5:$F$10001,"="&amp;$C163,'[1]Fluxo de Movimentações'!$B$5:$B$10001)</f>
        <v>0</v>
      </c>
      <c r="P162" s="19">
        <f>-SUMIFS([1]Master!$J$1:$J$200,[1]Master!$A$1:$A$200,"="&amp;$I$12,[1]Master!$G$1:$G$200,"&gt;"&amp;C162,[1]Master!$E$1:$E$200,"&lt;="&amp;C162)</f>
        <v>0</v>
      </c>
      <c r="Q162" s="30">
        <v>-1870.2638999999999</v>
      </c>
      <c r="R162" s="32">
        <v>0.89972790000000002</v>
      </c>
      <c r="S162" s="30">
        <v>0</v>
      </c>
      <c r="T162" s="30">
        <v>0</v>
      </c>
      <c r="U162" s="30">
        <v>0</v>
      </c>
      <c r="V162" s="30">
        <v>0</v>
      </c>
    </row>
    <row r="163" spans="3:22" x14ac:dyDescent="0.25">
      <c r="C163" s="4">
        <v>45054</v>
      </c>
      <c r="D163" s="30">
        <v>13399305.289000001</v>
      </c>
      <c r="E163" s="32">
        <v>0.90721160000000001</v>
      </c>
      <c r="F163" s="38">
        <f t="shared" ref="F163" si="386">D163/TRUNC(E163,6)</f>
        <v>14769778.24232731</v>
      </c>
      <c r="G163" s="19">
        <f t="shared" ref="G163" si="387">H163*I163</f>
        <v>13375016.209849611</v>
      </c>
      <c r="H163" s="31">
        <v>0.92065200000000003</v>
      </c>
      <c r="I163" s="19">
        <f>SUMIFS([1]Master!$K$2:$K$10000,[1]Master!$A$2:$A$10000,$I$12,[1]Master!$F$2:$F$10000,"&lt;="&amp;$C163)</f>
        <v>14527765.333534941</v>
      </c>
      <c r="J163" s="19">
        <f t="shared" ref="J163" si="388">((((1+1.85%)^(1/252))-1)*D162)+SUM(J162)</f>
        <v>4746.3863905704948</v>
      </c>
      <c r="K163" s="19">
        <f>IF((NETWORKDAYS(DATE(YEAR(C163),MONTH(C163),1),C163,Feriados!$A$2:$A$842))&gt;=5,0,IF(NETWORKDAYS(DATE(YEAR(C163),MONTH(C163),1),C163,Feriados!$A$2:$A$842)=1,J162,K162))</f>
        <v>0</v>
      </c>
      <c r="L163" s="30">
        <v>0</v>
      </c>
      <c r="M163" s="19">
        <f>VLOOKUP(C163,'Fluxo de Caixa'!$B$13:$U$10027,20,FALSE)</f>
        <v>30952.356232603288</v>
      </c>
      <c r="N163" s="19">
        <f>SUMIFS([1]Master!$J$2:$J$100,[1]Master!$A$2:$A$100,"="&amp;$I$12,[1]Master!$E$2:$E$100,"="&amp;C163,[1]Master!$J$2:$J$100,"&gt;"&amp;0)</f>
        <v>0</v>
      </c>
      <c r="O163" s="19">
        <f ca="1">-SUMIF('[1]Fluxo de Movimentações'!$A$5:$F$10001,"="&amp;$C164,'[1]Fluxo de Movimentações'!$B$5:$B$10001)</f>
        <v>0</v>
      </c>
      <c r="P163" s="19">
        <f>-SUMIFS([1]Master!$J$1:$J$200,[1]Master!$A$1:$A$200,"="&amp;$I$12,[1]Master!$G$1:$G$200,"&gt;"&amp;C163,[1]Master!$E$1:$E$200,"&lt;="&amp;C163)</f>
        <v>0</v>
      </c>
      <c r="Q163" s="30">
        <v>-1917.1010000000001</v>
      </c>
      <c r="R163" s="32">
        <v>0.90721160000000001</v>
      </c>
      <c r="S163" s="30">
        <v>0</v>
      </c>
      <c r="T163" s="30">
        <v>0</v>
      </c>
      <c r="U163" s="30">
        <v>0</v>
      </c>
      <c r="V163" s="30">
        <v>0</v>
      </c>
    </row>
    <row r="164" spans="3:22" x14ac:dyDescent="0.25">
      <c r="C164" s="4">
        <v>45055</v>
      </c>
      <c r="D164" s="30">
        <v>13553079.981899999</v>
      </c>
      <c r="E164" s="32">
        <v>0.91762310000000002</v>
      </c>
      <c r="F164" s="38">
        <f t="shared" ref="F164" si="389">D164/TRUNC(E164,6)</f>
        <v>14769769.264610847</v>
      </c>
      <c r="G164" s="19">
        <f t="shared" ref="G164" si="390">H164*I164</f>
        <v>13529812.455031492</v>
      </c>
      <c r="H164" s="31">
        <v>0.9313072</v>
      </c>
      <c r="I164" s="19">
        <f>SUMIFS([1]Master!$K$2:$K$10000,[1]Master!$A$2:$A$10000,$I$12,[1]Master!$F$2:$F$10000,"&lt;="&amp;$C164)</f>
        <v>14527765.333534941</v>
      </c>
      <c r="J164" s="19">
        <f t="shared" ref="J164" si="391">((((1+1.85%)^(1/252))-1)*D163)+SUM(J163)</f>
        <v>5721.1126547858157</v>
      </c>
      <c r="K164" s="19">
        <f>IF((NETWORKDAYS(DATE(YEAR(C164),MONTH(C164),1),C164,Feriados!$A$2:$A$842))&gt;=5,0,IF(NETWORKDAYS(DATE(YEAR(C164),MONTH(C164),1),C164,Feriados!$A$2:$A$842)=1,J163,K163))</f>
        <v>0</v>
      </c>
      <c r="L164" s="30">
        <v>0</v>
      </c>
      <c r="M164" s="19">
        <f>VLOOKUP(C164,'Fluxo de Caixa'!$B$13:$U$10027,20,FALSE)</f>
        <v>23837.20623260329</v>
      </c>
      <c r="N164" s="19">
        <f>SUMIFS([1]Master!$J$2:$J$100,[1]Master!$A$2:$A$100,"="&amp;$I$12,[1]Master!$E$2:$E$100,"="&amp;C164,[1]Master!$J$2:$J$100,"&gt;"&amp;0)</f>
        <v>0</v>
      </c>
      <c r="O164" s="19">
        <f ca="1">-SUMIF('[1]Fluxo de Movimentações'!$A$5:$F$10001,"="&amp;$C165,'[1]Fluxo de Movimentações'!$B$5:$B$10001)</f>
        <v>0</v>
      </c>
      <c r="P164" s="19">
        <f>-SUMIFS([1]Master!$J$1:$J$200,[1]Master!$A$1:$A$200,"="&amp;$I$12,[1]Master!$G$1:$G$200,"&gt;"&amp;C164,[1]Master!$E$1:$E$200,"&lt;="&amp;C164)</f>
        <v>0</v>
      </c>
      <c r="Q164" s="30">
        <v>5151.2119000000002</v>
      </c>
      <c r="R164" s="32">
        <v>0.91762310000000002</v>
      </c>
      <c r="S164" s="30">
        <v>0</v>
      </c>
      <c r="T164" s="30">
        <v>0</v>
      </c>
      <c r="U164" s="30">
        <v>0</v>
      </c>
      <c r="V164" s="30">
        <v>0</v>
      </c>
    </row>
    <row r="165" spans="3:22" x14ac:dyDescent="0.25">
      <c r="C165" s="4">
        <v>45056</v>
      </c>
      <c r="D165" s="30">
        <v>13682986.6701</v>
      </c>
      <c r="E165" s="32">
        <v>0.92641850000000003</v>
      </c>
      <c r="F165" s="38">
        <f t="shared" ref="F165" si="392">D165/TRUNC(E165,6)</f>
        <v>14769776.353762556</v>
      </c>
      <c r="G165" s="19">
        <f t="shared" ref="G165" si="393">H165*I165</f>
        <v>13661005.439875981</v>
      </c>
      <c r="H165" s="31">
        <v>0.94033770000000005</v>
      </c>
      <c r="I165" s="19">
        <f>SUMIFS([1]Master!$K$2:$K$10000,[1]Master!$A$2:$A$10000,$I$12,[1]Master!$F$2:$F$10000,"&lt;="&amp;$C165)</f>
        <v>14527765.333534941</v>
      </c>
      <c r="J165" s="19">
        <f t="shared" ref="J165" si="394">((((1+1.85%)^(1/252))-1)*D164)+SUM(J164)</f>
        <v>6707.0251878940708</v>
      </c>
      <c r="K165" s="19">
        <f>IF((NETWORKDAYS(DATE(YEAR(C165),MONTH(C165),1),C165,Feriados!$A$2:$A$842))&gt;=5,0,IF(NETWORKDAYS(DATE(YEAR(C165),MONTH(C165),1),C165,Feriados!$A$2:$A$842)=1,J164,K164))</f>
        <v>0</v>
      </c>
      <c r="L165" s="30">
        <v>-225.36300460654246</v>
      </c>
      <c r="M165" s="19">
        <f>VLOOKUP(C165,'Fluxo de Caixa'!$B$13:$U$10027,20,FALSE)</f>
        <v>23837.20623260329</v>
      </c>
      <c r="N165" s="19">
        <f>SUMIFS([1]Master!$J$2:$J$100,[1]Master!$A$2:$A$100,"="&amp;$I$12,[1]Master!$E$2:$E$100,"="&amp;C165,[1]Master!$J$2:$J$100,"&gt;"&amp;0)</f>
        <v>0</v>
      </c>
      <c r="O165" s="19">
        <f ca="1">-SUMIF('[1]Fluxo de Movimentações'!$A$5:$F$10001,"="&amp;$C166,'[1]Fluxo de Movimentações'!$B$5:$B$10001)</f>
        <v>0</v>
      </c>
      <c r="P165" s="19">
        <f>-SUMIFS([1]Master!$J$1:$J$200,[1]Master!$A$1:$A$200,"="&amp;$I$12,[1]Master!$G$1:$G$200,"&gt;"&amp;C165,[1]Master!$E$1:$E$200,"&lt;="&amp;C165)</f>
        <v>0</v>
      </c>
      <c r="Q165" s="30">
        <v>5076.1400999999996</v>
      </c>
      <c r="R165" s="32">
        <v>0.92643379999999997</v>
      </c>
      <c r="S165" s="30">
        <v>0</v>
      </c>
      <c r="T165" s="30">
        <v>0</v>
      </c>
      <c r="U165" s="30">
        <v>0</v>
      </c>
      <c r="V165" s="30">
        <v>0</v>
      </c>
    </row>
    <row r="166" spans="3:22" x14ac:dyDescent="0.25">
      <c r="C166" s="4">
        <v>45057</v>
      </c>
      <c r="D166" s="30">
        <v>13872346.328299999</v>
      </c>
      <c r="E166" s="32">
        <v>0.9392393</v>
      </c>
      <c r="F166" s="38">
        <f t="shared" ref="F166" si="395">D166/TRUNC(E166,6)</f>
        <v>14769772.473566364</v>
      </c>
      <c r="G166" s="19">
        <f t="shared" ref="G166" si="396">H166*I166</f>
        <v>13851996.15960983</v>
      </c>
      <c r="H166" s="31">
        <v>0.95348429999999995</v>
      </c>
      <c r="I166" s="19">
        <f>SUMIFS([1]Master!$K$2:$K$10000,[1]Master!$A$2:$A$10000,$I$12,[1]Master!$F$2:$F$10000,"&lt;="&amp;$C166)</f>
        <v>14527765.333534941</v>
      </c>
      <c r="J166" s="19">
        <f t="shared" ref="J166" si="397">((((1+1.85%)^(1/252))-1)*D165)+SUM(J165)</f>
        <v>7702.3877229356149</v>
      </c>
      <c r="K166" s="19">
        <f>IF((NETWORKDAYS(DATE(YEAR(C166),MONTH(C166),1),C166,Feriados!$A$2:$A$842))&gt;=5,0,IF(NETWORKDAYS(DATE(YEAR(C166),MONTH(C166),1),C166,Feriados!$A$2:$A$842)=1,J165,K165))</f>
        <v>0</v>
      </c>
      <c r="L166" s="30">
        <v>-785.93738893527723</v>
      </c>
      <c r="M166" s="19">
        <f>VLOOKUP(C166,'Fluxo de Caixa'!$B$13:$U$10027,20,FALSE)</f>
        <v>23837.20623260329</v>
      </c>
      <c r="N166" s="19">
        <f>SUMIFS([1]Master!$J$2:$J$100,[1]Master!$A$2:$A$100,"="&amp;$I$12,[1]Master!$E$2:$E$100,"="&amp;C166,[1]Master!$J$2:$J$100,"&gt;"&amp;0)</f>
        <v>0</v>
      </c>
      <c r="O166" s="19">
        <f ca="1">-SUMIF('[1]Fluxo de Movimentações'!$A$5:$F$10001,"="&amp;$C167,'[1]Fluxo de Movimentações'!$B$5:$B$10001)</f>
        <v>0</v>
      </c>
      <c r="P166" s="19">
        <f>-SUMIFS([1]Master!$J$1:$J$200,[1]Master!$A$1:$A$200,"="&amp;$I$12,[1]Master!$G$1:$G$200,"&gt;"&amp;C166,[1]Master!$E$1:$E$200,"&lt;="&amp;C166)</f>
        <v>0</v>
      </c>
      <c r="Q166" s="30">
        <v>5001.0682999999999</v>
      </c>
      <c r="R166" s="32">
        <v>0.93929249999999997</v>
      </c>
      <c r="S166" s="30">
        <v>0</v>
      </c>
      <c r="T166" s="30">
        <v>0</v>
      </c>
      <c r="U166" s="30">
        <v>0</v>
      </c>
      <c r="V166" s="30">
        <v>0</v>
      </c>
    </row>
    <row r="167" spans="3:22" x14ac:dyDescent="0.25">
      <c r="C167" s="4">
        <v>45058</v>
      </c>
      <c r="D167" s="30">
        <v>13715706.2565</v>
      </c>
      <c r="E167" s="32">
        <v>0.92863379999999995</v>
      </c>
      <c r="F167" s="38">
        <f t="shared" ref="F167" si="398">D167/TRUNC(E167,6)</f>
        <v>14769781.233813573</v>
      </c>
      <c r="G167" s="19">
        <f t="shared" ref="G167" si="399">H167*I167</f>
        <v>13695904.037760196</v>
      </c>
      <c r="H167" s="31">
        <v>0.94273989999999996</v>
      </c>
      <c r="I167" s="19">
        <f>SUMIFS([1]Master!$K$2:$K$10000,[1]Master!$A$2:$A$10000,$I$12,[1]Master!$F$2:$F$10000,"&lt;="&amp;$C167)</f>
        <v>14527765.333534941</v>
      </c>
      <c r="J167" s="19">
        <f t="shared" ref="J167" si="400">((((1+1.85%)^(1/252))-1)*D166)+SUM(J166)</f>
        <v>8711.5251387078715</v>
      </c>
      <c r="K167" s="19">
        <f>IF((NETWORKDAYS(DATE(YEAR(C167),MONTH(C167),1),C167,Feriados!$A$2:$A$842))&gt;=5,0,IF(NETWORKDAYS(DATE(YEAR(C167),MONTH(C167),1),C167,Feriados!$A$2:$A$842)=1,J166,K166))</f>
        <v>0</v>
      </c>
      <c r="L167" s="30">
        <v>-249.69</v>
      </c>
      <c r="M167" s="19">
        <f>VLOOKUP(C167,'Fluxo de Caixa'!$B$13:$U$10027,20,FALSE)</f>
        <v>23837.20623260329</v>
      </c>
      <c r="N167" s="19">
        <f>SUMIFS([1]Master!$J$2:$J$100,[1]Master!$A$2:$A$100,"="&amp;$I$12,[1]Master!$E$2:$E$100,"="&amp;C167,[1]Master!$J$2:$J$100,"&gt;"&amp;0)</f>
        <v>0</v>
      </c>
      <c r="O167" s="19">
        <f ca="1">-SUMIF('[1]Fluxo de Movimentações'!$A$5:$F$10001,"="&amp;$C168,'[1]Fluxo de Movimentações'!$B$5:$B$10001)</f>
        <v>0</v>
      </c>
      <c r="P167" s="19">
        <f>-SUMIFS([1]Master!$J$1:$J$200,[1]Master!$A$1:$A$200,"="&amp;$I$12,[1]Master!$G$1:$G$200,"&gt;"&amp;C167,[1]Master!$E$1:$E$200,"&lt;="&amp;C167)</f>
        <v>0</v>
      </c>
      <c r="Q167" s="30">
        <v>4925.9965000000002</v>
      </c>
      <c r="R167" s="32">
        <v>0.92865070000000005</v>
      </c>
      <c r="S167" s="30">
        <v>0</v>
      </c>
      <c r="T167" s="30">
        <v>0</v>
      </c>
      <c r="U167" s="30">
        <v>0</v>
      </c>
      <c r="V167" s="30">
        <v>0</v>
      </c>
    </row>
    <row r="168" spans="3:22" x14ac:dyDescent="0.25">
      <c r="C168" s="4">
        <v>45061</v>
      </c>
      <c r="D168" s="30">
        <v>13800655.473999999</v>
      </c>
      <c r="E168" s="32">
        <v>0.93438540000000003</v>
      </c>
      <c r="F168" s="38">
        <f t="shared" ref="F168" si="401">D168/TRUNC(E168,6)</f>
        <v>14769774.20870412</v>
      </c>
      <c r="G168" s="19">
        <f t="shared" ref="G168" si="402">H168*I168</f>
        <v>13782139.400003526</v>
      </c>
      <c r="H168" s="31">
        <v>0.94867579999999996</v>
      </c>
      <c r="I168" s="19">
        <f>SUMIFS([1]Master!$K$2:$K$10000,[1]Master!$A$2:$A$10000,$I$12,[1]Master!$F$2:$F$10000,"&lt;="&amp;$C168)</f>
        <v>14527765.333534941</v>
      </c>
      <c r="J168" s="19">
        <f t="shared" ref="J168" si="403">((((1+1.85%)^(1/252))-1)*D167)+SUM(J167)</f>
        <v>9709.2678449247469</v>
      </c>
      <c r="K168" s="19">
        <f>IF((NETWORKDAYS(DATE(YEAR(C168),MONTH(C168),1),C168,Feriados!$A$2:$A$842))&gt;=5,0,IF(NETWORKDAYS(DATE(YEAR(C168),MONTH(C168),1),C168,Feriados!$A$2:$A$842)=1,J167,K167))</f>
        <v>0</v>
      </c>
      <c r="L168" s="30">
        <v>-463.02476569613617</v>
      </c>
      <c r="M168" s="19">
        <f>VLOOKUP(C168,'Fluxo de Caixa'!$B$13:$U$10027,20,FALSE)</f>
        <v>23250.02623260329</v>
      </c>
      <c r="N168" s="19">
        <f>SUMIFS([1]Master!$J$2:$J$100,[1]Master!$A$2:$A$100,"="&amp;$I$12,[1]Master!$E$2:$E$100,"="&amp;C168,[1]Master!$J$2:$J$100,"&gt;"&amp;0)</f>
        <v>0</v>
      </c>
      <c r="O168" s="19">
        <f ca="1">-SUMIF('[1]Fluxo de Movimentações'!$A$5:$F$10001,"="&amp;$C169,'[1]Fluxo de Movimentações'!$B$5:$B$10001)</f>
        <v>0</v>
      </c>
      <c r="P168" s="19">
        <f>-SUMIFS([1]Master!$J$1:$J$200,[1]Master!$A$1:$A$200,"="&amp;$I$12,[1]Master!$G$1:$G$200,"&gt;"&amp;C168,[1]Master!$E$1:$E$200,"&lt;="&amp;C168)</f>
        <v>0</v>
      </c>
      <c r="Q168" s="30">
        <v>5438.1040000000003</v>
      </c>
      <c r="R168" s="32">
        <v>0.93441669999999999</v>
      </c>
      <c r="S168" s="30">
        <v>0</v>
      </c>
      <c r="T168" s="30">
        <v>0</v>
      </c>
      <c r="U168" s="30">
        <v>0</v>
      </c>
      <c r="V168" s="30">
        <v>0</v>
      </c>
    </row>
    <row r="169" spans="3:22" x14ac:dyDescent="0.25">
      <c r="C169" s="4">
        <v>45062</v>
      </c>
      <c r="D169" s="30">
        <v>13586932.0255</v>
      </c>
      <c r="E169" s="32">
        <v>0.91991509999999999</v>
      </c>
      <c r="F169" s="38">
        <f t="shared" ref="F169" si="404">D169/TRUNC(E169,6)</f>
        <v>14769768.973763879</v>
      </c>
      <c r="G169" s="19">
        <f t="shared" ref="G169" si="405">H169*I169</f>
        <v>13569027.251996303</v>
      </c>
      <c r="H169" s="31">
        <v>0.93400649999999996</v>
      </c>
      <c r="I169" s="19">
        <f>SUMIFS([1]Master!$K$2:$K$10000,[1]Master!$A$2:$A$10000,$I$12,[1]Master!$F$2:$F$10000,"&lt;="&amp;$C169)</f>
        <v>14527765.333534941</v>
      </c>
      <c r="J169" s="19">
        <f t="shared" ref="J169" si="406">((((1+1.85%)^(1/252))-1)*D168)+SUM(J168)</f>
        <v>10713.190142667891</v>
      </c>
      <c r="K169" s="19">
        <f>IF((NETWORKDAYS(DATE(YEAR(C169),MONTH(C169),1),C169,Feriados!$A$2:$A$842))&gt;=5,0,IF(NETWORKDAYS(DATE(YEAR(C169),MONTH(C169),1),C169,Feriados!$A$2:$A$842)=1,J168,K168))</f>
        <v>0</v>
      </c>
      <c r="L169" s="30">
        <v>0</v>
      </c>
      <c r="M169" s="19">
        <f>VLOOKUP(C169,'Fluxo de Caixa'!$B$13:$U$10027,20,FALSE)</f>
        <v>23250.02623260329</v>
      </c>
      <c r="N169" s="19">
        <f>SUMIFS([1]Master!$J$2:$J$100,[1]Master!$A$2:$A$100,"="&amp;$I$12,[1]Master!$E$2:$E$100,"="&amp;C169,[1]Master!$J$2:$J$100,"&gt;"&amp;0)</f>
        <v>0</v>
      </c>
      <c r="O169" s="19">
        <f ca="1">-SUMIF('[1]Fluxo de Movimentações'!$A$5:$F$10001,"="&amp;$C170,'[1]Fluxo de Movimentações'!$B$5:$B$10001)</f>
        <v>0</v>
      </c>
      <c r="P169" s="19">
        <f>-SUMIFS([1]Master!$J$1:$J$200,[1]Master!$A$1:$A$200,"="&amp;$I$12,[1]Master!$G$1:$G$200,"&gt;"&amp;C169,[1]Master!$E$1:$E$200,"&lt;="&amp;C169)</f>
        <v>0</v>
      </c>
      <c r="Q169" s="30">
        <v>5367.7055</v>
      </c>
      <c r="R169" s="32">
        <v>0.91991509999999999</v>
      </c>
      <c r="S169" s="30">
        <v>0</v>
      </c>
      <c r="T169" s="30">
        <v>0</v>
      </c>
      <c r="U169" s="30">
        <v>0</v>
      </c>
      <c r="V169" s="30">
        <v>0</v>
      </c>
    </row>
    <row r="170" spans="3:22" x14ac:dyDescent="0.25">
      <c r="C170" s="4">
        <v>45063</v>
      </c>
      <c r="D170" s="30">
        <v>13732794.117000001</v>
      </c>
      <c r="E170" s="32">
        <v>0.92979080000000003</v>
      </c>
      <c r="F170" s="38">
        <f t="shared" ref="F170" si="407">D170/TRUNC(E170,6)</f>
        <v>14769780.398799729</v>
      </c>
      <c r="G170" s="19">
        <f t="shared" ref="G170" si="408">H170*I170</f>
        <v>13716192.062048478</v>
      </c>
      <c r="H170" s="31">
        <v>0.94413639999999999</v>
      </c>
      <c r="I170" s="19">
        <f>SUMIFS([1]Master!$K$2:$K$10000,[1]Master!$A$2:$A$10000,$I$12,[1]Master!$F$2:$F$10000,"&lt;="&amp;$C170)</f>
        <v>14527765.333534941</v>
      </c>
      <c r="J170" s="19">
        <f t="shared" ref="J170" si="409">((((1+1.85%)^(1/252))-1)*D169)+SUM(J169)</f>
        <v>11701.565227026573</v>
      </c>
      <c r="K170" s="19">
        <f>IF((NETWORKDAYS(DATE(YEAR(C170),MONTH(C170),1),C170,Feriados!$A$2:$A$842))&gt;=5,0,IF(NETWORKDAYS(DATE(YEAR(C170),MONTH(C170),1),C170,Feriados!$A$2:$A$842)=1,J169,K169))</f>
        <v>0</v>
      </c>
      <c r="L170" s="30">
        <v>-243.95378909810802</v>
      </c>
      <c r="M170" s="19">
        <f>VLOOKUP(C170,'Fluxo de Caixa'!$B$13:$U$10027,20,FALSE)</f>
        <v>23250.02623260329</v>
      </c>
      <c r="N170" s="19">
        <f>SUMIFS([1]Master!$J$2:$J$100,[1]Master!$A$2:$A$100,"="&amp;$I$12,[1]Master!$E$2:$E$100,"="&amp;C170,[1]Master!$J$2:$J$100,"&gt;"&amp;0)</f>
        <v>0</v>
      </c>
      <c r="O170" s="19">
        <f ca="1">-SUMIF('[1]Fluxo de Movimentações'!$A$5:$F$10001,"="&amp;$C171,'[1]Fluxo de Movimentações'!$B$5:$B$10001)</f>
        <v>0</v>
      </c>
      <c r="P170" s="19">
        <f>-SUMIFS([1]Master!$J$1:$J$200,[1]Master!$A$1:$A$200,"="&amp;$I$12,[1]Master!$G$1:$G$200,"&gt;"&amp;C170,[1]Master!$E$1:$E$200,"&lt;="&amp;C170)</f>
        <v>0</v>
      </c>
      <c r="Q170" s="30">
        <v>5297.3069999999998</v>
      </c>
      <c r="R170" s="32">
        <v>0.9298073</v>
      </c>
      <c r="S170" s="30">
        <v>0</v>
      </c>
      <c r="T170" s="30">
        <v>0</v>
      </c>
      <c r="U170" s="30">
        <v>0</v>
      </c>
      <c r="V170" s="30">
        <v>0</v>
      </c>
    </row>
    <row r="171" spans="3:22" x14ac:dyDescent="0.25">
      <c r="C171" s="4">
        <v>45064</v>
      </c>
      <c r="D171" s="30">
        <v>13849839.748500001</v>
      </c>
      <c r="E171" s="32">
        <v>0.93771550000000004</v>
      </c>
      <c r="F171" s="38">
        <f t="shared" ref="F171" si="410">D171/TRUNC(E171,6)</f>
        <v>14769775.196621576</v>
      </c>
      <c r="G171" s="19">
        <f t="shared" ref="G171" si="411">H171*I171</f>
        <v>13834632.57448319</v>
      </c>
      <c r="H171" s="31">
        <v>0.9522891</v>
      </c>
      <c r="I171" s="19">
        <f>SUMIFS([1]Master!$K$2:$K$10000,[1]Master!$A$2:$A$10000,$I$12,[1]Master!$F$2:$F$10000,"&lt;="&amp;$C171)</f>
        <v>14527765.333534941</v>
      </c>
      <c r="J171" s="19">
        <f t="shared" ref="J171" si="412">((((1+1.85%)^(1/252))-1)*D170)+SUM(J170)</f>
        <v>12700.550981750021</v>
      </c>
      <c r="K171" s="19">
        <f>IF((NETWORKDAYS(DATE(YEAR(C171),MONTH(C171),1),C171,Feriados!$A$2:$A$842))&gt;=5,0,IF(NETWORKDAYS(DATE(YEAR(C171),MONTH(C171),1),C171,Feriados!$A$2:$A$842)=1,J170,K170))</f>
        <v>0</v>
      </c>
      <c r="L171" s="30">
        <v>-569.45363919750355</v>
      </c>
      <c r="M171" s="19">
        <f>VLOOKUP(C171,'Fluxo de Caixa'!$B$13:$U$10027,20,FALSE)</f>
        <v>23250.02623260329</v>
      </c>
      <c r="N171" s="19">
        <f>SUMIFS([1]Master!$J$2:$J$100,[1]Master!$A$2:$A$100,"="&amp;$I$12,[1]Master!$E$2:$E$100,"="&amp;C171,[1]Master!$J$2:$J$100,"&gt;"&amp;0)</f>
        <v>0</v>
      </c>
      <c r="O171" s="19">
        <f ca="1">-SUMIF('[1]Fluxo de Movimentações'!$A$5:$F$10001,"="&amp;$C172,'[1]Fluxo de Movimentações'!$B$5:$B$10001)</f>
        <v>0</v>
      </c>
      <c r="P171" s="19">
        <f>-SUMIFS([1]Master!$J$1:$J$200,[1]Master!$A$1:$A$200,"="&amp;$I$12,[1]Master!$G$1:$G$200,"&gt;"&amp;C171,[1]Master!$E$1:$E$200,"&lt;="&amp;C171)</f>
        <v>0</v>
      </c>
      <c r="Q171" s="30">
        <v>5226.9084999999995</v>
      </c>
      <c r="R171" s="32">
        <v>0.93775399999999998</v>
      </c>
      <c r="S171" s="30">
        <v>0</v>
      </c>
      <c r="T171" s="30">
        <v>0</v>
      </c>
      <c r="U171" s="30">
        <v>0</v>
      </c>
      <c r="V171" s="30">
        <v>0</v>
      </c>
    </row>
    <row r="172" spans="3:22" x14ac:dyDescent="0.25">
      <c r="C172" s="4">
        <v>45065</v>
      </c>
      <c r="D172" s="30">
        <v>13950054.82</v>
      </c>
      <c r="E172" s="32">
        <v>0.94450060000000002</v>
      </c>
      <c r="F172" s="38">
        <f t="shared" ref="F172" si="413">D172/TRUNC(E172,6)</f>
        <v>14769777.469560614</v>
      </c>
      <c r="G172" s="19">
        <f t="shared" ref="G172" si="414">H172*I172</f>
        <v>13936248.481885131</v>
      </c>
      <c r="H172" s="31">
        <v>0.95928369999999996</v>
      </c>
      <c r="I172" s="19">
        <f>SUMIFS([1]Master!$K$2:$K$10000,[1]Master!$A$2:$A$10000,$I$12,[1]Master!$F$2:$F$10000,"&lt;="&amp;$C172)</f>
        <v>14527765.333534941</v>
      </c>
      <c r="J172" s="19">
        <f t="shared" ref="J172" si="415">((((1+1.85%)^(1/252))-1)*D171)+SUM(J171)</f>
        <v>13708.051166787134</v>
      </c>
      <c r="K172" s="19">
        <f>IF((NETWORKDAYS(DATE(YEAR(C172),MONTH(C172),1),C172,Feriados!$A$2:$A$842))&gt;=5,0,IF(NETWORKDAYS(DATE(YEAR(C172),MONTH(C172),1),C172,Feriados!$A$2:$A$842)=1,J171,K171))</f>
        <v>0</v>
      </c>
      <c r="L172" s="30">
        <v>-892.39</v>
      </c>
      <c r="M172" s="19">
        <f>VLOOKUP(C172,'Fluxo de Caixa'!$B$13:$U$10027,20,FALSE)</f>
        <v>23250.02623260329</v>
      </c>
      <c r="N172" s="19">
        <f>SUMIFS([1]Master!$J$2:$J$100,[1]Master!$A$2:$A$100,"="&amp;$I$12,[1]Master!$E$2:$E$100,"="&amp;C172,[1]Master!$J$2:$J$100,"&gt;"&amp;0)</f>
        <v>0</v>
      </c>
      <c r="O172" s="19">
        <f ca="1">-SUMIF('[1]Fluxo de Movimentações'!$A$5:$F$10001,"="&amp;$C173,'[1]Fluxo de Movimentações'!$B$5:$B$10001)</f>
        <v>0</v>
      </c>
      <c r="P172" s="19">
        <f>-SUMIFS([1]Master!$J$1:$J$200,[1]Master!$A$1:$A$200,"="&amp;$I$12,[1]Master!$G$1:$G$200,"&gt;"&amp;C172,[1]Master!$E$1:$E$200,"&lt;="&amp;C172)</f>
        <v>0</v>
      </c>
      <c r="Q172" s="30">
        <v>5156.51</v>
      </c>
      <c r="R172" s="32">
        <v>0.94456099999999998</v>
      </c>
      <c r="S172" s="30">
        <v>0</v>
      </c>
      <c r="T172" s="30">
        <v>0</v>
      </c>
      <c r="U172" s="30">
        <v>0</v>
      </c>
      <c r="V172" s="30">
        <v>0</v>
      </c>
    </row>
    <row r="173" spans="3:22" x14ac:dyDescent="0.25">
      <c r="C173" s="4">
        <v>45068</v>
      </c>
      <c r="D173" s="30">
        <v>13948238.3521</v>
      </c>
      <c r="E173" s="32">
        <v>0.94437760000000004</v>
      </c>
      <c r="F173" s="38">
        <f t="shared" ref="F173" si="416">D173/TRUNC(E173,6)</f>
        <v>14769777.69693671</v>
      </c>
      <c r="G173" s="19">
        <f t="shared" ref="G173:G174" si="417">H173*I173</f>
        <v>13935490.132534722</v>
      </c>
      <c r="H173" s="31">
        <v>0.95923150000000001</v>
      </c>
      <c r="I173" s="19">
        <f>SUMIFS([1]Master!$K$2:$K$10000,[1]Master!$A$2:$A$10000,$I$12,[1]Master!$F$2:$F$10000,"&lt;="&amp;$C173)</f>
        <v>14527765.333534941</v>
      </c>
      <c r="J173" s="19">
        <f t="shared" ref="J173" si="418">((((1+1.85%)^(1/252))-1)*D172)+SUM(J172)</f>
        <v>14722.841450837175</v>
      </c>
      <c r="K173" s="19">
        <f>IF((NETWORKDAYS(DATE(YEAR(C173),MONTH(C173),1),C173,Feriados!$A$2:$A$842))&gt;=5,0,IF(NETWORKDAYS(DATE(YEAR(C173),MONTH(C173),1),C173,Feriados!$A$2:$A$842)=1,J172,K172))</f>
        <v>0</v>
      </c>
      <c r="L173" s="30">
        <v>-865.31955753338605</v>
      </c>
      <c r="M173" s="19">
        <f>VLOOKUP(C173,'Fluxo de Caixa'!$B$13:$U$10027,20,FALSE)</f>
        <v>23250.02623260329</v>
      </c>
      <c r="N173" s="19">
        <f>SUMIFS([1]Master!$J$2:$J$100,[1]Master!$A$2:$A$100,"="&amp;$I$12,[1]Master!$E$2:$E$100,"="&amp;C173,[1]Master!$J$2:$J$100,"&gt;"&amp;0)</f>
        <v>0</v>
      </c>
      <c r="O173" s="19">
        <f ca="1">-SUMIF('[1]Fluxo de Movimentações'!$A$5:$F$10001,"="&amp;$C174,'[1]Fluxo de Movimentações'!$B$5:$B$10001)</f>
        <v>0</v>
      </c>
      <c r="P173" s="19">
        <f>-SUMIFS([1]Master!$J$1:$J$200,[1]Master!$A$1:$A$200,"="&amp;$I$12,[1]Master!$G$1:$G$200,"&gt;"&amp;C173,[1]Master!$E$1:$E$200,"&lt;="&amp;C173)</f>
        <v>0</v>
      </c>
      <c r="Q173" s="30">
        <v>5086.1121000000003</v>
      </c>
      <c r="R173" s="32">
        <v>0.94443619999999995</v>
      </c>
      <c r="S173" s="30">
        <v>0</v>
      </c>
      <c r="T173" s="30">
        <v>0</v>
      </c>
      <c r="U173" s="30">
        <v>0</v>
      </c>
      <c r="V173" s="30">
        <v>0</v>
      </c>
    </row>
    <row r="174" spans="3:22" x14ac:dyDescent="0.25">
      <c r="C174" s="4">
        <v>45069</v>
      </c>
      <c r="D174" s="30">
        <v>13956541.0436</v>
      </c>
      <c r="E174" s="32">
        <v>0.9449398</v>
      </c>
      <c r="F174" s="38">
        <f t="shared" ref="F174" si="419">D174/TRUNC(E174,6)</f>
        <v>14769779.894363552</v>
      </c>
      <c r="G174" s="19">
        <f t="shared" si="417"/>
        <v>13944880.880046317</v>
      </c>
      <c r="H174" s="31">
        <v>0.95987789999999995</v>
      </c>
      <c r="I174" s="19">
        <f>SUMIFS([1]Master!$K$2:$K$10000,[1]Master!$A$2:$A$10000,$I$12,[1]Master!$F$2:$F$10000,"&lt;="&amp;$C174)</f>
        <v>14527765.333534941</v>
      </c>
      <c r="J174" s="19">
        <f t="shared" ref="J174" si="420">((((1+1.85%)^(1/252))-1)*D173)+SUM(J173)</f>
        <v>15737.499596770198</v>
      </c>
      <c r="K174" s="19">
        <f>IF((NETWORKDAYS(DATE(YEAR(C174),MONTH(C174),1),C174,Feriados!$A$2:$A$842))&gt;=5,0,IF(NETWORKDAYS(DATE(YEAR(C174),MONTH(C174),1),C174,Feriados!$A$2:$A$842)=1,J173,K173))</f>
        <v>0</v>
      </c>
      <c r="L174" s="30">
        <v>-872.98720798848376</v>
      </c>
      <c r="M174" s="19">
        <f>VLOOKUP(C174,'Fluxo de Caixa'!$B$13:$U$10027,20,FALSE)</f>
        <v>23250.02623260329</v>
      </c>
      <c r="N174" s="19">
        <f>SUMIFS([1]Master!$J$2:$J$100,[1]Master!$A$2:$A$100,"="&amp;$I$12,[1]Master!$E$2:$E$100,"="&amp;C174,[1]Master!$J$2:$J$100,"&gt;"&amp;0)</f>
        <v>0</v>
      </c>
      <c r="O174" s="19">
        <f ca="1">-SUMIF('[1]Fluxo de Movimentações'!$A$5:$F$10001,"="&amp;$C175,'[1]Fluxo de Movimentações'!$B$5:$B$10001)</f>
        <v>0</v>
      </c>
      <c r="P174" s="19">
        <f>-SUMIFS([1]Master!$J$1:$J$200,[1]Master!$A$1:$A$200,"="&amp;$I$12,[1]Master!$G$1:$G$200,"&gt;"&amp;C174,[1]Master!$E$1:$E$200,"&lt;="&amp;C174)</f>
        <v>0</v>
      </c>
      <c r="Q174" s="30">
        <v>5020.3735999999999</v>
      </c>
      <c r="R174" s="32">
        <v>0.94499889999999998</v>
      </c>
      <c r="S174" s="30">
        <v>0</v>
      </c>
      <c r="T174" s="30">
        <v>0</v>
      </c>
      <c r="U174" s="30">
        <v>0</v>
      </c>
      <c r="V174" s="30">
        <v>0</v>
      </c>
    </row>
    <row r="175" spans="3:22" x14ac:dyDescent="0.25">
      <c r="C175" s="4">
        <v>45070</v>
      </c>
      <c r="D175" s="30">
        <v>13969813.4351</v>
      </c>
      <c r="E175" s="32">
        <v>0.94583839999999997</v>
      </c>
      <c r="F175" s="38">
        <f t="shared" ref="F175" si="421">D175/TRUNC(E175,6)</f>
        <v>14769773.930736555</v>
      </c>
      <c r="G175" s="19">
        <f t="shared" ref="G175" si="422">H175*I175</f>
        <v>13959259.009396918</v>
      </c>
      <c r="H175" s="31">
        <v>0.96086760000000004</v>
      </c>
      <c r="I175" s="19">
        <f>SUMIFS([1]Master!$K$2:$K$10000,[1]Master!$A$2:$A$10000,$I$12,[1]Master!$F$2:$F$10000,"&lt;="&amp;$C175)</f>
        <v>14527765.333534941</v>
      </c>
      <c r="J175" s="19">
        <f t="shared" ref="J175" si="423">((((1+1.85%)^(1/252))-1)*D174)+SUM(J174)</f>
        <v>16752.761718155245</v>
      </c>
      <c r="K175" s="19">
        <f>IF((NETWORKDAYS(DATE(YEAR(C175),MONTH(C175),1),C175,Feriados!$A$2:$A$842))&gt;=5,0,IF(NETWORKDAYS(DATE(YEAR(C175),MONTH(C175),1),C175,Feriados!$A$2:$A$842)=1,J174,K174))</f>
        <v>0</v>
      </c>
      <c r="L175" s="30">
        <v>-897.72836724472882</v>
      </c>
      <c r="M175" s="19">
        <f>VLOOKUP(C175,'Fluxo de Caixa'!$B$13:$U$10027,20,FALSE)</f>
        <v>23250.02623260329</v>
      </c>
      <c r="N175" s="19">
        <f>SUMIFS([1]Master!$J$2:$J$100,[1]Master!$A$2:$A$100,"="&amp;$I$12,[1]Master!$E$2:$E$100,"="&amp;C175,[1]Master!$J$2:$J$100,"&gt;"&amp;0)</f>
        <v>0</v>
      </c>
      <c r="O175" s="19">
        <f ca="1">-SUMIF('[1]Fluxo de Movimentações'!$A$5:$F$10001,"="&amp;$C176,'[1]Fluxo de Movimentações'!$B$5:$B$10001)</f>
        <v>0</v>
      </c>
      <c r="P175" s="19">
        <f>-SUMIFS([1]Master!$J$1:$J$200,[1]Master!$A$1:$A$200,"="&amp;$I$12,[1]Master!$G$1:$G$200,"&gt;"&amp;C175,[1]Master!$E$1:$E$200,"&lt;="&amp;C175)</f>
        <v>0</v>
      </c>
      <c r="Q175" s="30">
        <v>4954.6351000000004</v>
      </c>
      <c r="R175" s="32">
        <v>0.94589920000000005</v>
      </c>
      <c r="S175" s="30">
        <v>0</v>
      </c>
      <c r="T175" s="30">
        <v>0</v>
      </c>
      <c r="U175" s="30">
        <v>0</v>
      </c>
      <c r="V175" s="30">
        <v>0</v>
      </c>
    </row>
    <row r="176" spans="3:22" x14ac:dyDescent="0.25">
      <c r="C176" s="4">
        <v>45071</v>
      </c>
      <c r="D176" s="30">
        <v>14232683.866599999</v>
      </c>
      <c r="E176" s="32">
        <v>0.9636363</v>
      </c>
      <c r="F176" s="38">
        <f t="shared" ref="F176" si="424">D176/TRUNC(E176,6)</f>
        <v>14769771.850159187</v>
      </c>
      <c r="G176" s="19">
        <f t="shared" ref="G176" si="425">H176*I176</f>
        <v>14224663.848722201</v>
      </c>
      <c r="H176" s="31">
        <v>0.97913640000000002</v>
      </c>
      <c r="I176" s="19">
        <f>SUMIFS([1]Master!$K$2:$K$10000,[1]Master!$A$2:$A$10000,$I$12,[1]Master!$F$2:$F$10000,"&lt;="&amp;$C176)</f>
        <v>14527765.333534941</v>
      </c>
      <c r="J176" s="19">
        <f t="shared" ref="J176" si="426">((((1+1.85%)^(1/252))-1)*D175)+SUM(J175)</f>
        <v>17768.989333519643</v>
      </c>
      <c r="K176" s="19">
        <f>IF((NETWORKDAYS(DATE(YEAR(C176),MONTH(C176),1),C176,Feriados!$A$2:$A$842))&gt;=5,0,IF(NETWORKDAYS(DATE(YEAR(C176),MONTH(C176),1),C176,Feriados!$A$2:$A$842)=1,J175,K175))</f>
        <v>0</v>
      </c>
      <c r="L176" s="30">
        <v>-2350.1706719506201</v>
      </c>
      <c r="M176" s="19">
        <f>VLOOKUP(C176,'Fluxo de Caixa'!$B$13:$U$10027,20,FALSE)</f>
        <v>23250.02623260329</v>
      </c>
      <c r="N176" s="19">
        <f>SUMIFS([1]Master!$J$2:$J$100,[1]Master!$A$2:$A$100,"="&amp;$I$12,[1]Master!$E$2:$E$100,"="&amp;C176,[1]Master!$J$2:$J$100,"&gt;"&amp;0)</f>
        <v>0</v>
      </c>
      <c r="O176" s="19">
        <f ca="1">-SUMIF('[1]Fluxo de Movimentações'!$A$5:$F$10001,"="&amp;$C177,'[1]Fluxo de Movimentações'!$B$5:$B$10001)</f>
        <v>0</v>
      </c>
      <c r="P176" s="19">
        <f>-SUMIFS([1]Master!$J$1:$J$200,[1]Master!$A$1:$A$200,"="&amp;$I$12,[1]Master!$G$1:$G$200,"&gt;"&amp;C176,[1]Master!$E$1:$E$200,"&lt;="&amp;C176)</f>
        <v>0</v>
      </c>
      <c r="Q176" s="30">
        <v>4888.8966</v>
      </c>
      <c r="R176" s="32">
        <v>0.96379539999999997</v>
      </c>
      <c r="S176" s="30">
        <v>0</v>
      </c>
      <c r="T176" s="30">
        <v>0</v>
      </c>
      <c r="U176" s="30">
        <v>0</v>
      </c>
      <c r="V176" s="30">
        <v>0</v>
      </c>
    </row>
    <row r="177" spans="3:22" x14ac:dyDescent="0.25">
      <c r="C177" s="4">
        <v>45072</v>
      </c>
      <c r="D177" s="30">
        <v>14242828.7481</v>
      </c>
      <c r="E177" s="32">
        <v>0.96432309999999999</v>
      </c>
      <c r="F177" s="38">
        <f t="shared" ref="F177" si="427">D177/TRUNC(E177,6)</f>
        <v>14769769.826188942</v>
      </c>
      <c r="G177" s="19">
        <f t="shared" ref="G177" si="428">H177*I177</f>
        <v>14236079.766721293</v>
      </c>
      <c r="H177" s="31">
        <v>0.97992219999999997</v>
      </c>
      <c r="I177" s="19">
        <f>SUMIFS([1]Master!$K$2:$K$10000,[1]Master!$A$2:$A$10000,$I$12,[1]Master!$F$2:$F$10000,"&lt;="&amp;$C177)</f>
        <v>14527765.333534941</v>
      </c>
      <c r="J177" s="19">
        <f t="shared" ref="J177" si="429">((((1+1.85%)^(1/252))-1)*D176)+SUM(J176)</f>
        <v>18804.339336809557</v>
      </c>
      <c r="K177" s="19">
        <f>IF((NETWORKDAYS(DATE(YEAR(C177),MONTH(C177),1),C177,Feriados!$A$2:$A$842))&gt;=5,0,IF(NETWORKDAYS(DATE(YEAR(C177),MONTH(C177),1),C177,Feriados!$A$2:$A$842)=1,J176,K176))</f>
        <v>0</v>
      </c>
      <c r="L177" s="30">
        <v>-2520.13</v>
      </c>
      <c r="M177" s="19">
        <f>VLOOKUP(C177,'Fluxo de Caixa'!$B$13:$U$10027,20,FALSE)</f>
        <v>23250.02623260329</v>
      </c>
      <c r="N177" s="19">
        <f>SUMIFS([1]Master!$J$2:$J$100,[1]Master!$A$2:$A$100,"="&amp;$I$12,[1]Master!$E$2:$E$100,"="&amp;C177,[1]Master!$J$2:$J$100,"&gt;"&amp;0)</f>
        <v>0</v>
      </c>
      <c r="O177" s="19">
        <f ca="1">-SUMIF('[1]Fluxo de Movimentações'!$A$5:$F$10001,"="&amp;$C178,'[1]Fluxo de Movimentações'!$B$5:$B$10001)</f>
        <v>0</v>
      </c>
      <c r="P177" s="19">
        <f>-SUMIFS([1]Master!$J$1:$J$200,[1]Master!$A$1:$A$200,"="&amp;$I$12,[1]Master!$G$1:$G$200,"&gt;"&amp;C177,[1]Master!$E$1:$E$200,"&lt;="&amp;C177)</f>
        <v>0</v>
      </c>
      <c r="Q177" s="30">
        <v>4823.1580999999996</v>
      </c>
      <c r="R177" s="32">
        <v>0.96449379999999996</v>
      </c>
      <c r="S177" s="30">
        <v>0</v>
      </c>
      <c r="T177" s="30">
        <v>0</v>
      </c>
      <c r="U177" s="30">
        <v>0</v>
      </c>
      <c r="V177" s="30">
        <v>0</v>
      </c>
    </row>
    <row r="178" spans="3:22" x14ac:dyDescent="0.25">
      <c r="C178" s="4">
        <v>45075</v>
      </c>
      <c r="D178" s="30">
        <v>14138507.3796</v>
      </c>
      <c r="E178" s="32">
        <v>0.95726</v>
      </c>
      <c r="F178" s="38">
        <f t="shared" ref="F178" si="430">D178/TRUNC(E178,6)</f>
        <v>14769767.231055303</v>
      </c>
      <c r="G178" s="19">
        <f t="shared" ref="G178" si="431">H178*I178</f>
        <v>14131782.033838779</v>
      </c>
      <c r="H178" s="31">
        <v>0.97274300000000002</v>
      </c>
      <c r="I178" s="19">
        <f>SUMIFS([1]Master!$K$2:$K$10000,[1]Master!$A$2:$A$10000,$I$12,[1]Master!$F$2:$F$10000,"&lt;="&amp;$C178)</f>
        <v>14527765.333534941</v>
      </c>
      <c r="J178" s="19">
        <f t="shared" ref="J178" si="432">((((1+1.85%)^(1/252))-1)*D177)+SUM(J177)</f>
        <v>19840.427324810775</v>
      </c>
      <c r="K178" s="19">
        <f>IF((NETWORKDAYS(DATE(YEAR(C178),MONTH(C178),1),C178,Feriados!$A$2:$A$842))&gt;=5,0,IF(NETWORKDAYS(DATE(YEAR(C178),MONTH(C178),1),C178,Feriados!$A$2:$A$842)=1,J177,K177))</f>
        <v>0</v>
      </c>
      <c r="L178" s="30">
        <v>-1441.94367886749</v>
      </c>
      <c r="M178" s="19">
        <f>VLOOKUP(C178,'Fluxo de Caixa'!$B$13:$U$10027,20,FALSE)</f>
        <v>23250.02623260329</v>
      </c>
      <c r="N178" s="19">
        <f>SUMIFS([1]Master!$J$2:$J$100,[1]Master!$A$2:$A$100,"="&amp;$I$12,[1]Master!$E$2:$E$100,"="&amp;C178,[1]Master!$J$2:$J$100,"&gt;"&amp;0)</f>
        <v>0</v>
      </c>
      <c r="O178" s="19">
        <f ca="1">-SUMIF('[1]Fluxo de Movimentações'!$A$5:$F$10001,"="&amp;$C179,'[1]Fluxo de Movimentações'!$B$5:$B$10001)</f>
        <v>0</v>
      </c>
      <c r="P178" s="19">
        <f>-SUMIFS([1]Master!$J$1:$J$200,[1]Master!$A$1:$A$200,"="&amp;$I$12,[1]Master!$G$1:$G$200,"&gt;"&amp;C178,[1]Master!$E$1:$E$200,"&lt;="&amp;C178)</f>
        <v>0</v>
      </c>
      <c r="Q178" s="30">
        <v>4757.4196000000002</v>
      </c>
      <c r="R178" s="32">
        <v>0.95735760000000003</v>
      </c>
      <c r="S178" s="30">
        <v>0</v>
      </c>
      <c r="T178" s="30">
        <v>0</v>
      </c>
      <c r="U178" s="30">
        <v>0</v>
      </c>
      <c r="V178" s="30">
        <v>0</v>
      </c>
    </row>
    <row r="179" spans="3:22" x14ac:dyDescent="0.25">
      <c r="C179" s="4">
        <v>45076</v>
      </c>
      <c r="D179" s="30">
        <v>13985640.4311</v>
      </c>
      <c r="E179" s="32">
        <v>0.94691000000000003</v>
      </c>
      <c r="F179" s="38">
        <f t="shared" ref="F179" si="433">D179/TRUNC(E179,6)</f>
        <v>14769767.381377321</v>
      </c>
      <c r="G179" s="19">
        <f t="shared" ref="G179" si="434">H179*I179</f>
        <v>13979467.130975865</v>
      </c>
      <c r="H179" s="31">
        <v>0.96225859999999996</v>
      </c>
      <c r="I179" s="19">
        <f>SUMIFS([1]Master!$K$2:$K$10000,[1]Master!$A$2:$A$10000,$I$12,[1]Master!$F$2:$F$10000,"&lt;="&amp;$C179)</f>
        <v>14527765.333534941</v>
      </c>
      <c r="J179" s="19">
        <f t="shared" ref="J179" si="435">((((1+1.85%)^(1/252))-1)*D178)+SUM(J178)</f>
        <v>20868.92650312353</v>
      </c>
      <c r="K179" s="19">
        <f>IF((NETWORKDAYS(DATE(YEAR(C179),MONTH(C179),1),C179,Feriados!$A$2:$A$842))&gt;=5,0,IF(NETWORKDAYS(DATE(YEAR(C179),MONTH(C179),1),C179,Feriados!$A$2:$A$842)=1,J178,K178))</f>
        <v>0</v>
      </c>
      <c r="L179" s="30">
        <v>-899.75435328458866</v>
      </c>
      <c r="M179" s="19">
        <f>VLOOKUP(C179,'Fluxo de Caixa'!$B$13:$U$10027,20,FALSE)</f>
        <v>23250.02623260329</v>
      </c>
      <c r="N179" s="19">
        <f>SUMIFS([1]Master!$J$2:$J$100,[1]Master!$A$2:$A$100,"="&amp;$I$12,[1]Master!$E$2:$E$100,"="&amp;C179,[1]Master!$J$2:$J$100,"&gt;"&amp;0)</f>
        <v>0</v>
      </c>
      <c r="O179" s="19">
        <f ca="1">-SUMIF('[1]Fluxo de Movimentações'!$A$5:$F$10001,"="&amp;$C180,'[1]Fluxo de Movimentações'!$B$5:$B$10001)</f>
        <v>0</v>
      </c>
      <c r="P179" s="19">
        <f>-SUMIFS([1]Master!$J$1:$J$200,[1]Master!$A$1:$A$200,"="&amp;$I$12,[1]Master!$G$1:$G$200,"&gt;"&amp;C179,[1]Master!$E$1:$E$200,"&lt;="&amp;C179)</f>
        <v>0</v>
      </c>
      <c r="Q179" s="30">
        <v>4691.6810999999998</v>
      </c>
      <c r="R179" s="32">
        <v>0.94697089999999995</v>
      </c>
      <c r="S179" s="30">
        <v>0</v>
      </c>
      <c r="T179" s="30">
        <v>0</v>
      </c>
      <c r="U179" s="30">
        <v>0</v>
      </c>
      <c r="V179" s="30">
        <v>0</v>
      </c>
    </row>
    <row r="180" spans="3:22" x14ac:dyDescent="0.25">
      <c r="C180" s="4">
        <v>45077</v>
      </c>
      <c r="D180" s="30">
        <v>13972630.102600001</v>
      </c>
      <c r="E180" s="32">
        <v>0.94602909999999996</v>
      </c>
      <c r="F180" s="38">
        <f t="shared" ref="F180" si="436">D180/TRUNC(E180,6)</f>
        <v>14769769.322716324</v>
      </c>
      <c r="G180" s="19">
        <f t="shared" ref="G180" si="437">H180*I180</f>
        <v>13967477.366246101</v>
      </c>
      <c r="H180" s="31">
        <v>0.96143330000000005</v>
      </c>
      <c r="I180" s="19">
        <f>SUMIFS([1]Master!$K$2:$K$10000,[1]Master!$A$2:$A$10000,$I$12,[1]Master!$F$2:$F$10000,"&lt;="&amp;$C180)</f>
        <v>14527765.333534941</v>
      </c>
      <c r="J180" s="19">
        <f t="shared" ref="J180:J182" si="438">((((1+1.85%)^(1/252))-1)*D179)+SUM(J179)</f>
        <v>21886.305445989772</v>
      </c>
      <c r="K180" s="19">
        <f>IF((NETWORKDAYS(DATE(YEAR(C180),MONTH(C180),1),C180,Feriados!$A$2:$A$842))&gt;=5,0,IF(NETWORKDAYS(DATE(YEAR(C180),MONTH(C180),1),C180,Feriados!$A$2:$A$842)=1,J179,K179))</f>
        <v>0</v>
      </c>
      <c r="L180" s="30">
        <v>-837.21920072682428</v>
      </c>
      <c r="M180" s="19">
        <f>VLOOKUP(C180,'Fluxo de Caixa'!$B$13:$U$10027,20,FALSE)</f>
        <v>23250.02623260329</v>
      </c>
      <c r="N180" s="19">
        <f>SUMIFS([1]Master!$J$2:$J$100,[1]Master!$A$2:$A$100,"="&amp;$I$12,[1]Master!$E$2:$E$100,"="&amp;C180,[1]Master!$J$2:$J$100,"&gt;"&amp;0)</f>
        <v>0</v>
      </c>
      <c r="O180" s="19">
        <f ca="1">-SUMIF('[1]Fluxo de Movimentações'!$A$5:$F$10001,"="&amp;$C181,'[1]Fluxo de Movimentações'!$B$5:$B$10001)</f>
        <v>0</v>
      </c>
      <c r="P180" s="19">
        <f>-SUMIFS([1]Master!$J$1:$J$200,[1]Master!$A$1:$A$200,"="&amp;$I$12,[1]Master!$G$1:$G$200,"&gt;"&amp;C180,[1]Master!$E$1:$E$200,"&lt;="&amp;C180)</f>
        <v>0</v>
      </c>
      <c r="Q180" s="30">
        <v>4625.9426000000003</v>
      </c>
      <c r="R180" s="32">
        <v>0.94608579999999998</v>
      </c>
      <c r="S180" s="30">
        <v>0</v>
      </c>
      <c r="T180" s="30">
        <v>0</v>
      </c>
      <c r="U180" s="30">
        <v>0</v>
      </c>
      <c r="V180" s="30">
        <v>0</v>
      </c>
    </row>
    <row r="181" spans="3:22" x14ac:dyDescent="0.25">
      <c r="C181" s="4">
        <v>45078</v>
      </c>
      <c r="D181" s="30">
        <v>14265395.2831</v>
      </c>
      <c r="E181" s="32">
        <v>0.96585100000000002</v>
      </c>
      <c r="F181" s="38">
        <f t="shared" ref="F181" si="439">D181/TRUNC(E181,6)</f>
        <v>14769768.093732884</v>
      </c>
      <c r="G181" s="19">
        <f t="shared" ref="G181" si="440">H181*I181</f>
        <v>14263025.865861934</v>
      </c>
      <c r="H181" s="31">
        <v>0.98177700000000001</v>
      </c>
      <c r="I181" s="19">
        <f>SUMIFS([1]Master!$K$2:$K$10000,[1]Master!$A$2:$A$10000,$I$12,[1]Master!$F$2:$F$10000,"&lt;="&amp;$C181)</f>
        <v>14527765.333534941</v>
      </c>
      <c r="J181" s="19">
        <f>((((1+1.85%)^(1/252))-1)*D180)</f>
        <v>1016.432512538586</v>
      </c>
      <c r="K181" s="19">
        <f>IF((NETWORKDAYS(DATE(YEAR(C181),MONTH(C181),1),C181,Feriados!$A$2:$A$842))&gt;=5,0,IF(NETWORKDAYS(DATE(YEAR(C181),MONTH(C181),1),C181,Feriados!$A$2:$A$842)=1,J180,K180))</f>
        <v>21886.305445989772</v>
      </c>
      <c r="L181" s="30">
        <v>-2537.1</v>
      </c>
      <c r="M181" s="19">
        <f>VLOOKUP(C181,'Fluxo de Caixa'!$B$13:$U$10027,20,FALSE)</f>
        <v>23250.02623260329</v>
      </c>
      <c r="N181" s="19">
        <f>SUMIFS([1]Master!$J$2:$J$100,[1]Master!$A$2:$A$100,"="&amp;$I$12,[1]Master!$E$2:$E$100,"="&amp;C181,[1]Master!$J$2:$J$100,"&gt;"&amp;0)</f>
        <v>0</v>
      </c>
      <c r="O181" s="19">
        <f ca="1">-SUMIF('[1]Fluxo de Movimentações'!$A$5:$F$10001,"="&amp;$C182,'[1]Fluxo de Movimentações'!$B$5:$B$10001)</f>
        <v>0</v>
      </c>
      <c r="P181" s="19">
        <f>-SUMIFS([1]Master!$J$1:$J$200,[1]Master!$A$1:$A$200,"="&amp;$I$12,[1]Master!$G$1:$G$200,"&gt;"&amp;C181,[1]Master!$E$1:$E$200,"&lt;="&amp;C181)</f>
        <v>0</v>
      </c>
      <c r="Q181" s="30">
        <v>4558.9331000000002</v>
      </c>
      <c r="R181" s="32">
        <v>0.96602279999999996</v>
      </c>
      <c r="S181" s="30">
        <v>0</v>
      </c>
      <c r="T181" s="30">
        <v>0</v>
      </c>
      <c r="U181" s="30">
        <v>0</v>
      </c>
      <c r="V181" s="30">
        <v>0</v>
      </c>
    </row>
    <row r="182" spans="3:22" x14ac:dyDescent="0.25">
      <c r="C182" s="4">
        <v>45079</v>
      </c>
      <c r="D182" s="30">
        <v>14414030.023600001</v>
      </c>
      <c r="E182" s="32">
        <v>0.97591450000000002</v>
      </c>
      <c r="F182" s="38">
        <f t="shared" ref="F182" si="441">D182/TRUNC(E182,6)</f>
        <v>14769774.819912411</v>
      </c>
      <c r="G182" s="19">
        <f t="shared" ref="G182" si="442">H182*I182</f>
        <v>14391899.124658709</v>
      </c>
      <c r="H182" s="31">
        <v>0.99223099999999997</v>
      </c>
      <c r="I182" s="19">
        <f>SUMIFS([1]Master!$K$2:$K$10000,[1]Master!$A$2:$A$10000,$I$12,[1]Master!$F$2:$F$10000,"&lt;="&amp;$C182)</f>
        <v>14504585.247446118</v>
      </c>
      <c r="J182" s="19">
        <f t="shared" si="438"/>
        <v>2054.1620926882333</v>
      </c>
      <c r="K182" s="19">
        <f>IF((NETWORKDAYS(DATE(YEAR(C182),MONTH(C182),1),C182,Feriados!$A$2:$A$842))&gt;=5,0,IF(NETWORKDAYS(DATE(YEAR(C182),MONTH(C182),1),C182,Feriados!$A$2:$A$842)=1,J181,K181))</f>
        <v>21886.305445989772</v>
      </c>
      <c r="L182" s="30">
        <v>-4670.88</v>
      </c>
      <c r="M182" s="19">
        <f>VLOOKUP(C182,'Fluxo de Caixa'!$B$13:$U$10027,20,FALSE)</f>
        <v>23250.02623260329</v>
      </c>
      <c r="N182" s="19">
        <f>SUMIFS([1]Master!$J$2:$J$100,[1]Master!$A$2:$A$100,"="&amp;$I$12,[1]Master!$E$2:$E$100,"="&amp;C182,[1]Master!$J$2:$J$100,"&gt;"&amp;0)</f>
        <v>0</v>
      </c>
      <c r="O182" s="19">
        <f ca="1">-SUMIF('[1]Fluxo de Movimentações'!$A$5:$F$10001,"="&amp;$C183,'[1]Fluxo de Movimentações'!$B$5:$B$10001)</f>
        <v>0</v>
      </c>
      <c r="P182" s="19">
        <f>-SUMIFS([1]Master!$J$1:$J$200,[1]Master!$A$1:$A$200,"="&amp;$I$12,[1]Master!$G$1:$G$200,"&gt;"&amp;C182,[1]Master!$E$1:$E$200,"&lt;="&amp;C182)</f>
        <v>23000</v>
      </c>
      <c r="Q182" s="30">
        <v>4491.9236000000001</v>
      </c>
      <c r="R182" s="32">
        <v>0.97623070000000001</v>
      </c>
      <c r="S182" s="30">
        <v>0</v>
      </c>
      <c r="T182" s="30">
        <v>0</v>
      </c>
      <c r="U182" s="30">
        <v>0</v>
      </c>
      <c r="V182" s="30">
        <v>0</v>
      </c>
    </row>
    <row r="183" spans="3:22" x14ac:dyDescent="0.25">
      <c r="C183" s="4">
        <v>45082</v>
      </c>
      <c r="D183" s="30">
        <v>14393474.6241</v>
      </c>
      <c r="E183" s="32">
        <v>0.97452269999999996</v>
      </c>
      <c r="F183" s="38">
        <f t="shared" ref="F183" si="443">D183/TRUNC(E183,6)</f>
        <v>14769779.054859715</v>
      </c>
      <c r="G183" s="19">
        <f t="shared" ref="G183" si="444">H183*I183</f>
        <v>14372074.257542498</v>
      </c>
      <c r="H183" s="31">
        <v>0.99086419999999997</v>
      </c>
      <c r="I183" s="19">
        <f>SUMIFS([1]Master!$K$2:$K$10000,[1]Master!$A$2:$A$10000,$I$12,[1]Master!$F$2:$F$10000,"&lt;="&amp;$C183)</f>
        <v>14504585.247446118</v>
      </c>
      <c r="J183" s="19">
        <f t="shared" ref="J183" si="445">((((1+1.85%)^(1/252))-1)*D182)+SUM(J182)</f>
        <v>3102.7040382714167</v>
      </c>
      <c r="K183" s="19">
        <f>IF((NETWORKDAYS(DATE(YEAR(C183),MONTH(C183),1),C183,Feriados!$A$2:$A$842))&gt;=5,0,IF(NETWORKDAYS(DATE(YEAR(C183),MONTH(C183),1),C183,Feriados!$A$2:$A$842)=1,J182,K182))</f>
        <v>21886.305445989772</v>
      </c>
      <c r="L183" s="30">
        <v>-4285.87</v>
      </c>
      <c r="M183" s="19">
        <f>VLOOKUP(C183,'Fluxo de Caixa'!$B$13:$U$10027,20,FALSE)</f>
        <v>23250.02623260329</v>
      </c>
      <c r="N183" s="19">
        <f>SUMIFS([1]Master!$J$2:$J$100,[1]Master!$A$2:$A$100,"="&amp;$I$12,[1]Master!$E$2:$E$100,"="&amp;C183,[1]Master!$J$2:$J$100,"&gt;"&amp;0)</f>
        <v>0</v>
      </c>
      <c r="O183" s="19">
        <f ca="1">-SUMIF('[1]Fluxo de Movimentações'!$A$5:$F$10001,"="&amp;$C184,'[1]Fluxo de Movimentações'!$B$5:$B$10001)</f>
        <v>0</v>
      </c>
      <c r="P183" s="19">
        <f>-SUMIFS([1]Master!$J$1:$J$200,[1]Master!$A$1:$A$200,"="&amp;$I$12,[1]Master!$G$1:$G$200,"&gt;"&amp;C183,[1]Master!$E$1:$E$200,"&lt;="&amp;C183)</f>
        <v>23000</v>
      </c>
      <c r="Q183" s="30">
        <v>4424.9141</v>
      </c>
      <c r="R183" s="32">
        <v>0.97481289999999998</v>
      </c>
      <c r="S183" s="30">
        <v>0</v>
      </c>
      <c r="T183" s="30">
        <v>0</v>
      </c>
      <c r="U183" s="30">
        <v>0</v>
      </c>
      <c r="V183" s="30">
        <v>0</v>
      </c>
    </row>
    <row r="184" spans="3:22" x14ac:dyDescent="0.25">
      <c r="C184" s="4">
        <v>45083</v>
      </c>
      <c r="D184" s="30">
        <v>14856054.4146</v>
      </c>
      <c r="E184" s="32">
        <v>1.0058421</v>
      </c>
      <c r="F184" s="38">
        <f t="shared" ref="F184" si="446">D184/TRUNC(E184,6)</f>
        <v>14769769.421638787</v>
      </c>
      <c r="G184" s="19">
        <f t="shared" ref="G184" si="447">H184*I184</f>
        <v>14846694.746467957</v>
      </c>
      <c r="H184" s="31">
        <v>1.0235863000000001</v>
      </c>
      <c r="I184" s="19">
        <f>SUMIFS([1]Master!$K$2:$K$10000,[1]Master!$A$2:$A$10000,$I$12,[1]Master!$F$2:$F$10000,"&lt;="&amp;$C184)</f>
        <v>14504585.247446118</v>
      </c>
      <c r="J184" s="19">
        <f t="shared" ref="J184" si="448">((((1+1.85%)^(1/252))-1)*D183)+SUM(J183)</f>
        <v>4149.7506908276901</v>
      </c>
      <c r="K184" s="19">
        <f>IF((NETWORKDAYS(DATE(YEAR(C184),MONTH(C184),1),C184,Feriados!$A$2:$A$842))&gt;=5,0,IF(NETWORKDAYS(DATE(YEAR(C184),MONTH(C184),1),C184,Feriados!$A$2:$A$842)=1,J183,K183))</f>
        <v>21886.305445989772</v>
      </c>
      <c r="L184" s="30">
        <v>-15212.499307964052</v>
      </c>
      <c r="M184" s="19">
        <f>VLOOKUP(C184,'Fluxo de Caixa'!$B$13:$U$10027,20,FALSE)</f>
        <v>46250.02623260329</v>
      </c>
      <c r="N184" s="19">
        <f>SUMIFS([1]Master!$J$2:$J$100,[1]Master!$A$2:$A$100,"="&amp;$I$12,[1]Master!$E$2:$E$100,"="&amp;C184,[1]Master!$J$2:$J$100,"&gt;"&amp;0)</f>
        <v>0</v>
      </c>
      <c r="O184" s="19">
        <f ca="1">-SUMIF('[1]Fluxo de Movimentações'!$A$5:$F$10001,"="&amp;$C185,'[1]Fluxo de Movimentações'!$B$5:$B$10001)</f>
        <v>0</v>
      </c>
      <c r="P184" s="19">
        <f>-SUMIFS([1]Master!$J$1:$J$200,[1]Master!$A$1:$A$200,"="&amp;$I$12,[1]Master!$G$1:$G$200,"&gt;"&amp;C184,[1]Master!$E$1:$E$200,"&lt;="&amp;C184)</f>
        <v>0</v>
      </c>
      <c r="Q184" s="30">
        <v>4357.9045999999998</v>
      </c>
      <c r="R184" s="32">
        <v>1.0068721</v>
      </c>
      <c r="S184" s="30">
        <v>0</v>
      </c>
      <c r="T184" s="30">
        <v>0</v>
      </c>
      <c r="U184" s="30">
        <v>0</v>
      </c>
      <c r="V184" s="30">
        <v>0</v>
      </c>
    </row>
    <row r="185" spans="3:22" x14ac:dyDescent="0.25">
      <c r="C185" s="4">
        <v>45084</v>
      </c>
      <c r="D185" s="30">
        <v>14973893.165100001</v>
      </c>
      <c r="E185" s="32">
        <v>1.0138205</v>
      </c>
      <c r="F185" s="38">
        <f t="shared" ref="F185" si="449">D185/TRUNC(E185,6)</f>
        <v>14769774.876309406</v>
      </c>
      <c r="G185" s="19">
        <f t="shared" ref="G185" si="450">H185*I185</f>
        <v>14970471.075135564</v>
      </c>
      <c r="H185" s="31">
        <v>1.0321199000000001</v>
      </c>
      <c r="I185" s="19">
        <f>SUMIFS([1]Master!$K$2:$K$10000,[1]Master!$A$2:$A$10000,$I$12,[1]Master!$F$2:$F$10000,"&lt;="&amp;$C185)</f>
        <v>14504585.247446118</v>
      </c>
      <c r="J185" s="19">
        <f t="shared" ref="J185" si="451">((((1+1.85%)^(1/252))-1)*D184)+SUM(J184)</f>
        <v>5230.4474962367176</v>
      </c>
      <c r="K185" s="19">
        <f>IF((NETWORKDAYS(DATE(YEAR(C185),MONTH(C185),1),C185,Feriados!$A$2:$A$842))&gt;=5,0,IF(NETWORKDAYS(DATE(YEAR(C185),MONTH(C185),1),C185,Feriados!$A$2:$A$842)=1,J184,K184))</f>
        <v>0</v>
      </c>
      <c r="L185" s="30">
        <v>-20002.381278201799</v>
      </c>
      <c r="M185" s="19">
        <f>VLOOKUP(C185,'Fluxo de Caixa'!$B$13:$U$10027,20,FALSE)</f>
        <v>24167.836232603291</v>
      </c>
      <c r="N185" s="19">
        <f>SUMIFS([1]Master!$J$2:$J$100,[1]Master!$A$2:$A$100,"="&amp;$I$12,[1]Master!$E$2:$E$100,"="&amp;C185,[1]Master!$J$2:$J$100,"&gt;"&amp;0)</f>
        <v>0</v>
      </c>
      <c r="O185" s="19">
        <f ca="1">-SUMIF('[1]Fluxo de Movimentações'!$A$5:$F$10001,"="&amp;$C186,'[1]Fluxo de Movimentações'!$B$5:$B$10001)</f>
        <v>0</v>
      </c>
      <c r="P185" s="19">
        <f>-SUMIFS([1]Master!$J$1:$J$200,[1]Master!$A$1:$A$200,"="&amp;$I$12,[1]Master!$G$1:$G$200,"&gt;"&amp;C185,[1]Master!$E$1:$E$200,"&lt;="&amp;C185)</f>
        <v>0</v>
      </c>
      <c r="Q185" s="30">
        <v>4486.8950999999997</v>
      </c>
      <c r="R185" s="32">
        <v>1.0151748</v>
      </c>
      <c r="S185" s="30">
        <v>0</v>
      </c>
      <c r="T185" s="30">
        <v>0</v>
      </c>
      <c r="U185" s="30">
        <v>0</v>
      </c>
      <c r="V185" s="30">
        <v>0</v>
      </c>
    </row>
    <row r="186" spans="3:22" x14ac:dyDescent="0.25">
      <c r="C186" s="4">
        <v>45086</v>
      </c>
      <c r="D186" s="30">
        <v>15169364.477499999</v>
      </c>
      <c r="E186" s="32">
        <v>1.0270550000000001</v>
      </c>
      <c r="F186" s="38">
        <f t="shared" ref="F186" si="452">D186/TRUNC(E186,6)</f>
        <v>14769768.393610857</v>
      </c>
      <c r="G186" s="19">
        <f t="shared" ref="G186" si="453">H186*I186</f>
        <v>15174715.941838948</v>
      </c>
      <c r="H186" s="31">
        <v>1.0462012999999999</v>
      </c>
      <c r="I186" s="19">
        <f>SUMIFS([1]Master!$K$2:$K$10000,[1]Master!$A$2:$A$10000,$I$12,[1]Master!$F$2:$F$10000,"&lt;="&amp;$C186)</f>
        <v>14504585.247446118</v>
      </c>
      <c r="J186" s="19">
        <f t="shared" ref="J186" si="454">((((1+1.85%)^(1/252))-1)*D185)+SUM(J185)</f>
        <v>6319.7164270341382</v>
      </c>
      <c r="K186" s="19">
        <f>IF((NETWORKDAYS(DATE(YEAR(C186),MONTH(C186),1),C186,Feriados!$A$2:$A$842))&gt;=5,0,IF(NETWORKDAYS(DATE(YEAR(C186),MONTH(C186),1),C186,Feriados!$A$2:$A$842)=1,J185,K185))</f>
        <v>0</v>
      </c>
      <c r="L186" s="30">
        <v>-27615.119999999999</v>
      </c>
      <c r="M186" s="19">
        <f>VLOOKUP(C186,'Fluxo de Caixa'!$B$13:$U$10027,20,FALSE)</f>
        <v>24167.836232603291</v>
      </c>
      <c r="N186" s="19">
        <f>SUMIFS([1]Master!$J$2:$J$100,[1]Master!$A$2:$A$100,"="&amp;$I$12,[1]Master!$E$2:$E$100,"="&amp;C186,[1]Master!$J$2:$J$100,"&gt;"&amp;0)</f>
        <v>0</v>
      </c>
      <c r="O186" s="19">
        <f ca="1">-SUMIF('[1]Fluxo de Movimentações'!$A$5:$F$10001,"="&amp;$C187,'[1]Fluxo de Movimentações'!$B$5:$B$10001)</f>
        <v>0</v>
      </c>
      <c r="P186" s="19">
        <f>-SUMIFS([1]Master!$J$1:$J$200,[1]Master!$A$1:$A$200,"="&amp;$I$12,[1]Master!$G$1:$G$200,"&gt;"&amp;C186,[1]Master!$E$1:$E$200,"&lt;="&amp;C186)</f>
        <v>0</v>
      </c>
      <c r="Q186" s="30">
        <v>4415.3275000000003</v>
      </c>
      <c r="R186" s="32">
        <v>1.0289246999999999</v>
      </c>
      <c r="S186" s="30">
        <v>0</v>
      </c>
      <c r="T186" s="30">
        <v>0</v>
      </c>
      <c r="U186" s="30">
        <v>0</v>
      </c>
      <c r="V186" s="30">
        <v>0</v>
      </c>
    </row>
    <row r="187" spans="3:22" x14ac:dyDescent="0.25">
      <c r="C187" s="4">
        <v>45089</v>
      </c>
      <c r="D187" s="30">
        <v>15252043.199899999</v>
      </c>
      <c r="E187" s="32">
        <v>1.0326529</v>
      </c>
      <c r="F187" s="38">
        <f t="shared" ref="F187" si="455">D187/TRUNC(E187,6)</f>
        <v>14769780.332483742</v>
      </c>
      <c r="G187" s="19">
        <f t="shared" ref="G187" si="456">H187*I187</f>
        <v>15262417.916537633</v>
      </c>
      <c r="H187" s="31">
        <v>1.0522478</v>
      </c>
      <c r="I187" s="19">
        <f>SUMIFS([1]Master!$K$2:$K$10000,[1]Master!$A$2:$A$10000,$I$12,[1]Master!$F$2:$F$10000,"&lt;="&amp;$C187)</f>
        <v>14504585.247446118</v>
      </c>
      <c r="J187" s="19">
        <f t="shared" ref="J187" si="457">((((1+1.85%)^(1/252))-1)*D186)+SUM(J186)</f>
        <v>7423.204828019564</v>
      </c>
      <c r="K187" s="19">
        <f>IF((NETWORKDAYS(DATE(YEAR(C187),MONTH(C187),1),C187,Feriados!$A$2:$A$842))&gt;=5,0,IF(NETWORKDAYS(DATE(YEAR(C187),MONTH(C187),1),C187,Feriados!$A$2:$A$842)=1,J186,K186))</f>
        <v>0</v>
      </c>
      <c r="L187" s="30">
        <v>-31463.3176153479</v>
      </c>
      <c r="M187" s="19">
        <f>VLOOKUP(C187,'Fluxo de Caixa'!$B$13:$U$10027,20,FALSE)</f>
        <v>24167.836232603291</v>
      </c>
      <c r="N187" s="19">
        <f>SUMIFS([1]Master!$J$2:$J$100,[1]Master!$A$2:$A$100,"="&amp;$I$12,[1]Master!$E$2:$E$100,"="&amp;C187,[1]Master!$J$2:$J$100,"&gt;"&amp;0)</f>
        <v>0</v>
      </c>
      <c r="O187" s="19">
        <f ca="1">-SUMIF('[1]Fluxo de Movimentações'!$A$5:$F$10001,"="&amp;$C188,'[1]Fluxo de Movimentações'!$B$5:$B$10001)</f>
        <v>0</v>
      </c>
      <c r="P187" s="19">
        <f>-SUMIFS([1]Master!$J$1:$J$200,[1]Master!$A$1:$A$200,"="&amp;$I$12,[1]Master!$G$1:$G$200,"&gt;"&amp;C187,[1]Master!$E$1:$E$200,"&lt;="&amp;C187)</f>
        <v>0</v>
      </c>
      <c r="Q187" s="30">
        <v>4343.7599</v>
      </c>
      <c r="R187" s="32">
        <v>1.0347831000000001</v>
      </c>
      <c r="S187" s="30">
        <v>0</v>
      </c>
      <c r="T187" s="30">
        <v>0</v>
      </c>
      <c r="U187" s="30">
        <v>0</v>
      </c>
      <c r="V187" s="30">
        <v>0</v>
      </c>
    </row>
    <row r="188" spans="3:22" x14ac:dyDescent="0.25">
      <c r="C188" s="4">
        <v>45090</v>
      </c>
      <c r="D188" s="30">
        <v>15065225.4823</v>
      </c>
      <c r="E188" s="32">
        <v>1.0200042</v>
      </c>
      <c r="F188" s="38">
        <f t="shared" ref="F188" si="458">D188/TRUNC(E188,6)</f>
        <v>14769770.983545164</v>
      </c>
      <c r="G188" s="19">
        <f t="shared" ref="G188" si="459">H188*I188</f>
        <v>15068265.340249419</v>
      </c>
      <c r="H188" s="31">
        <v>1.0388622000000001</v>
      </c>
      <c r="I188" s="19">
        <f>SUMIFS([1]Master!$K$2:$K$10000,[1]Master!$A$2:$A$10000,$I$12,[1]Master!$F$2:$F$10000,"&lt;="&amp;$C188)</f>
        <v>14504585.247446118</v>
      </c>
      <c r="J188" s="19">
        <f t="shared" ref="J188" si="460">((((1+1.85%)^(1/252))-1)*D187)+SUM(J187)</f>
        <v>8532.7076544156262</v>
      </c>
      <c r="K188" s="19">
        <f>IF((NETWORKDAYS(DATE(YEAR(C188),MONTH(C188),1),C188,Feriados!$A$2:$A$842))&gt;=5,0,IF(NETWORKDAYS(DATE(YEAR(C188),MONTH(C188),1),C188,Feriados!$A$2:$A$842)=1,J187,K187))</f>
        <v>0</v>
      </c>
      <c r="L188" s="30">
        <v>-22947.377410073099</v>
      </c>
      <c r="M188" s="19">
        <f>VLOOKUP(C188,'Fluxo de Caixa'!$B$13:$U$10027,20,FALSE)</f>
        <v>24167.836232603291</v>
      </c>
      <c r="N188" s="19">
        <f>SUMIFS([1]Master!$J$2:$J$100,[1]Master!$A$2:$A$100,"="&amp;$I$12,[1]Master!$E$2:$E$100,"="&amp;C188,[1]Master!$J$2:$J$100,"&gt;"&amp;0)</f>
        <v>0</v>
      </c>
      <c r="O188" s="19">
        <f ca="1">-SUMIF('[1]Fluxo de Movimentações'!$A$5:$F$10001,"="&amp;$C189,'[1]Fluxo de Movimentações'!$B$5:$B$10001)</f>
        <v>0</v>
      </c>
      <c r="P188" s="19">
        <f>-SUMIFS([1]Master!$J$1:$J$200,[1]Master!$A$1:$A$200,"="&amp;$I$12,[1]Master!$G$1:$G$200,"&gt;"&amp;C188,[1]Master!$E$1:$E$200,"&lt;="&amp;C188)</f>
        <v>0</v>
      </c>
      <c r="Q188" s="30">
        <v>4272.1922999999997</v>
      </c>
      <c r="R188" s="32">
        <v>1.0215578999999999</v>
      </c>
      <c r="S188" s="30">
        <v>0</v>
      </c>
      <c r="T188" s="30">
        <v>0</v>
      </c>
      <c r="U188" s="30">
        <v>0</v>
      </c>
      <c r="V188" s="30">
        <v>0</v>
      </c>
    </row>
    <row r="189" spans="3:22" x14ac:dyDescent="0.25">
      <c r="C189" s="4">
        <v>45091</v>
      </c>
      <c r="D189" s="30">
        <v>15284297.9847</v>
      </c>
      <c r="E189" s="32">
        <v>1.0348367000000001</v>
      </c>
      <c r="F189" s="38">
        <f t="shared" ref="F189" si="461">D189/TRUNC(E189,6)</f>
        <v>14769777.998349495</v>
      </c>
      <c r="G189" s="19">
        <f t="shared" ref="G189" si="462">H189*I189</f>
        <v>15298226.836596526</v>
      </c>
      <c r="H189" s="31">
        <v>1.0547165999999999</v>
      </c>
      <c r="I189" s="19">
        <f>SUMIFS([1]Master!$K$2:$K$10000,[1]Master!$A$2:$A$10000,$I$12,[1]Master!$F$2:$F$10000,"&lt;="&amp;$C189)</f>
        <v>14504585.247446118</v>
      </c>
      <c r="J189" s="19">
        <f t="shared" ref="J189" si="463">((((1+1.85%)^(1/252))-1)*D188)+SUM(J188)</f>
        <v>9628.6205123739237</v>
      </c>
      <c r="K189" s="19">
        <f>IF((NETWORKDAYS(DATE(YEAR(C189),MONTH(C189),1),C189,Feriados!$A$2:$A$842))&gt;=5,0,IF(NETWORKDAYS(DATE(YEAR(C189),MONTH(C189),1),C189,Feriados!$A$2:$A$842)=1,J188,K188))</f>
        <v>0</v>
      </c>
      <c r="L189" s="30">
        <v>-32668.892043527601</v>
      </c>
      <c r="M189" s="19">
        <f>VLOOKUP(C189,'Fluxo de Caixa'!$B$13:$U$10027,20,FALSE)</f>
        <v>24167.836232603291</v>
      </c>
      <c r="N189" s="19">
        <f>SUMIFS([1]Master!$J$2:$J$100,[1]Master!$A$2:$A$100,"="&amp;$I$12,[1]Master!$E$2:$E$100,"="&amp;C189,[1]Master!$J$2:$J$100,"&gt;"&amp;0)</f>
        <v>0</v>
      </c>
      <c r="O189" s="19">
        <f ca="1">-SUMIF('[1]Fluxo de Movimentações'!$A$5:$F$10001,"="&amp;$C190,'[1]Fluxo de Movimentações'!$B$5:$B$10001)</f>
        <v>0</v>
      </c>
      <c r="P189" s="19">
        <f>-SUMIFS([1]Master!$J$1:$J$200,[1]Master!$A$1:$A$200,"="&amp;$I$12,[1]Master!$G$1:$G$200,"&gt;"&amp;C189,[1]Master!$E$1:$E$200,"&lt;="&amp;C189)</f>
        <v>0</v>
      </c>
      <c r="Q189" s="30">
        <v>4200.6247000000003</v>
      </c>
      <c r="R189" s="32">
        <v>1.0370486000000001</v>
      </c>
      <c r="S189" s="30">
        <v>0</v>
      </c>
      <c r="T189" s="30">
        <v>0</v>
      </c>
      <c r="U189" s="30">
        <v>0</v>
      </c>
      <c r="V189" s="30">
        <v>0</v>
      </c>
    </row>
    <row r="190" spans="3:22" x14ac:dyDescent="0.25">
      <c r="C190" s="4">
        <v>45092</v>
      </c>
      <c r="D190" s="30">
        <v>15376331.9771</v>
      </c>
      <c r="E190" s="32">
        <v>1.0410680000000001</v>
      </c>
      <c r="F190" s="38">
        <f t="shared" ref="F190" si="464">D190/TRUNC(E190,6)</f>
        <v>14769767.178608889</v>
      </c>
      <c r="G190" s="19">
        <f t="shared" ref="G190" si="465">H190*I190</f>
        <v>15396048.660422355</v>
      </c>
      <c r="H190" s="31">
        <v>1.0614608000000001</v>
      </c>
      <c r="I190" s="19">
        <f>SUMIFS([1]Master!$K$2:$K$10000,[1]Master!$A$2:$A$10000,$I$12,[1]Master!$F$2:$F$10000,"&lt;="&amp;$C190)</f>
        <v>14504585.247446118</v>
      </c>
      <c r="J190" s="19">
        <f t="shared" ref="J190" si="466">((((1+1.85%)^(1/252))-1)*D189)+SUM(J189)</f>
        <v>10740.469698167961</v>
      </c>
      <c r="K190" s="19">
        <f>IF((NETWORKDAYS(DATE(YEAR(C190),MONTH(C190),1),C190,Feriados!$A$2:$A$842))&gt;=5,0,IF(NETWORKDAYS(DATE(YEAR(C190),MONTH(C190),1),C190,Feriados!$A$2:$A$842)=1,J189,K189))</f>
        <v>0</v>
      </c>
      <c r="L190" s="30">
        <v>-37273.325191082797</v>
      </c>
      <c r="M190" s="19">
        <f>VLOOKUP(C190,'Fluxo de Caixa'!$B$13:$U$10027,20,FALSE)</f>
        <v>23580.656232603291</v>
      </c>
      <c r="N190" s="19">
        <f>SUMIFS([1]Master!$J$2:$J$100,[1]Master!$A$2:$A$100,"="&amp;$I$12,[1]Master!$E$2:$E$100,"="&amp;C190,[1]Master!$J$2:$J$100,"&gt;"&amp;0)</f>
        <v>0</v>
      </c>
      <c r="O190" s="19">
        <f ca="1">-SUMIF('[1]Fluxo de Movimentações'!$A$5:$F$10001,"="&amp;$C191,'[1]Fluxo de Movimentações'!$B$5:$B$10001)</f>
        <v>0</v>
      </c>
      <c r="P190" s="19">
        <f>-SUMIFS([1]Master!$J$1:$J$200,[1]Master!$A$1:$A$200,"="&amp;$I$12,[1]Master!$G$1:$G$200,"&gt;"&amp;C190,[1]Master!$E$1:$E$200,"&lt;="&amp;C190)</f>
        <v>0</v>
      </c>
      <c r="Q190" s="30">
        <v>4716.2371000000003</v>
      </c>
      <c r="R190" s="32">
        <v>1.0435916000000001</v>
      </c>
      <c r="S190" s="30">
        <v>0</v>
      </c>
      <c r="T190" s="30">
        <v>0</v>
      </c>
      <c r="U190" s="30">
        <v>0</v>
      </c>
      <c r="V190" s="30">
        <v>0</v>
      </c>
    </row>
    <row r="191" spans="3:22" x14ac:dyDescent="0.25">
      <c r="C191" s="4">
        <v>45093</v>
      </c>
      <c r="D191" s="30">
        <v>15311097.590299999</v>
      </c>
      <c r="E191" s="32">
        <v>1.0366512000000001</v>
      </c>
      <c r="F191" s="38">
        <f t="shared" ref="F191" si="467">D191/TRUNC(E191,6)</f>
        <v>14769770.723512542</v>
      </c>
      <c r="G191" s="19">
        <f t="shared" ref="G191" si="468">H191*I191</f>
        <v>15328399.274828266</v>
      </c>
      <c r="H191" s="31">
        <v>1.0567968000000001</v>
      </c>
      <c r="I191" s="19">
        <f>SUMIFS([1]Master!$K$2:$K$10000,[1]Master!$A$2:$A$10000,$I$12,[1]Master!$F$2:$F$10000,"&lt;="&amp;$C191)</f>
        <v>14504585.247446118</v>
      </c>
      <c r="J191" s="19">
        <f t="shared" ref="J191" si="469">((((1+1.85%)^(1/252))-1)*D190)+SUM(J190)</f>
        <v>11859.013854160679</v>
      </c>
      <c r="K191" s="19">
        <f>IF((NETWORKDAYS(DATE(YEAR(C191),MONTH(C191),1),C191,Feriados!$A$2:$A$842))&gt;=5,0,IF(NETWORKDAYS(DATE(YEAR(C191),MONTH(C191),1),C191,Feriados!$A$2:$A$842)=1,J190,K190))</f>
        <v>0</v>
      </c>
      <c r="L191" s="30">
        <v>-33663.57</v>
      </c>
      <c r="M191" s="19">
        <f>VLOOKUP(C191,'Fluxo de Caixa'!$B$13:$U$10027,20,FALSE)</f>
        <v>23580.656232603291</v>
      </c>
      <c r="N191" s="19">
        <f>SUMIFS([1]Master!$J$2:$J$100,[1]Master!$A$2:$A$100,"="&amp;$I$12,[1]Master!$E$2:$E$100,"="&amp;C191,[1]Master!$J$2:$J$100,"&gt;"&amp;0)</f>
        <v>0</v>
      </c>
      <c r="O191" s="19">
        <f ca="1">-SUMIF('[1]Fluxo de Movimentações'!$A$5:$F$10001,"="&amp;$C192,'[1]Fluxo de Movimentações'!$B$5:$B$10001)</f>
        <v>0</v>
      </c>
      <c r="P191" s="19">
        <f>-SUMIFS([1]Master!$J$1:$J$200,[1]Master!$A$1:$A$200,"="&amp;$I$12,[1]Master!$G$1:$G$200,"&gt;"&amp;C191,[1]Master!$E$1:$E$200,"&lt;="&amp;C191)</f>
        <v>0</v>
      </c>
      <c r="Q191" s="30">
        <v>4640.0102999999999</v>
      </c>
      <c r="R191" s="32">
        <v>1.0389303999999999</v>
      </c>
      <c r="S191" s="30">
        <v>0</v>
      </c>
      <c r="T191" s="30">
        <v>0</v>
      </c>
      <c r="U191" s="30">
        <v>0</v>
      </c>
      <c r="V191" s="30">
        <v>0</v>
      </c>
    </row>
    <row r="192" spans="3:22" x14ac:dyDescent="0.25">
      <c r="C192" s="4">
        <v>45096</v>
      </c>
      <c r="D192" s="30">
        <v>15422368.2927</v>
      </c>
      <c r="E192" s="32">
        <v>1.0441849000000001</v>
      </c>
      <c r="F192" s="38">
        <f t="shared" ref="F192" si="470">D192/TRUNC(E192,6)</f>
        <v>14769780.319081694</v>
      </c>
      <c r="G192" s="19">
        <f t="shared" ref="G192" si="471">H192*I192</f>
        <v>15446547.824419864</v>
      </c>
      <c r="H192" s="31">
        <v>1.0649424000000001</v>
      </c>
      <c r="I192" s="19">
        <f>SUMIFS([1]Master!$K$2:$K$10000,[1]Master!$A$2:$A$10000,$I$12,[1]Master!$F$2:$F$10000,"&lt;="&amp;$C192)</f>
        <v>14504585.247446118</v>
      </c>
      <c r="J192" s="19">
        <f t="shared" ref="J192" si="472">((((1+1.85%)^(1/252))-1)*D191)+SUM(J191)</f>
        <v>12972.812564865562</v>
      </c>
      <c r="K192" s="19">
        <f>IF((NETWORKDAYS(DATE(YEAR(C192),MONTH(C192),1),C192,Feriados!$A$2:$A$842))&gt;=5,0,IF(NETWORKDAYS(DATE(YEAR(C192),MONTH(C192),1),C192,Feriados!$A$2:$A$842)=1,J191,K191))</f>
        <v>0</v>
      </c>
      <c r="L192" s="30">
        <v>-39356.026690977204</v>
      </c>
      <c r="M192" s="19">
        <f>VLOOKUP(C192,'Fluxo de Caixa'!$B$13:$U$10027,20,FALSE)</f>
        <v>23580.656232603291</v>
      </c>
      <c r="N192" s="19">
        <f>SUMIFS([1]Master!$J$2:$J$100,[1]Master!$A$2:$A$100,"="&amp;$I$12,[1]Master!$E$2:$E$100,"="&amp;C192,[1]Master!$J$2:$J$100,"&gt;"&amp;0)</f>
        <v>0</v>
      </c>
      <c r="O192" s="19">
        <f ca="1">-SUMIF('[1]Fluxo de Movimentações'!$A$5:$F$10001,"="&amp;$C193,'[1]Fluxo de Movimentações'!$B$5:$B$10001)</f>
        <v>0</v>
      </c>
      <c r="P192" s="19">
        <f>-SUMIFS([1]Master!$J$1:$J$200,[1]Master!$A$1:$A$200,"="&amp;$I$12,[1]Master!$G$1:$G$200,"&gt;"&amp;C192,[1]Master!$E$1:$E$200,"&lt;="&amp;C192)</f>
        <v>0</v>
      </c>
      <c r="Q192" s="30">
        <v>4568.4426999999996</v>
      </c>
      <c r="R192" s="32">
        <v>1.0468495</v>
      </c>
      <c r="S192" s="30">
        <v>0</v>
      </c>
      <c r="T192" s="30">
        <v>0</v>
      </c>
      <c r="U192" s="30">
        <v>0</v>
      </c>
      <c r="V192" s="30">
        <v>0</v>
      </c>
    </row>
    <row r="193" spans="3:22" x14ac:dyDescent="0.25">
      <c r="C193" s="4">
        <v>45097</v>
      </c>
      <c r="D193" s="30">
        <v>15501392.6251</v>
      </c>
      <c r="E193" s="32">
        <v>1.0495353000000001</v>
      </c>
      <c r="F193" s="38">
        <f t="shared" ref="F193" si="473">D193/TRUNC(E193,6)</f>
        <v>14769771.970539333</v>
      </c>
      <c r="G193" s="19">
        <f t="shared" ref="G193" si="474">H193*I193</f>
        <v>15530758.545449484</v>
      </c>
      <c r="H193" s="31">
        <v>1.0707481999999999</v>
      </c>
      <c r="I193" s="19">
        <f>SUMIFS([1]Master!$K$2:$K$10000,[1]Master!$A$2:$A$10000,$I$12,[1]Master!$F$2:$F$10000,"&lt;="&amp;$C193)</f>
        <v>14504585.247446118</v>
      </c>
      <c r="J193" s="19">
        <f t="shared" ref="J193" si="475">((((1+1.85%)^(1/252))-1)*D192)+SUM(J192)</f>
        <v>14094.705611338435</v>
      </c>
      <c r="K193" s="19">
        <f>IF((NETWORKDAYS(DATE(YEAR(C193),MONTH(C193),1),C193,Feriados!$A$2:$A$842))&gt;=5,0,IF(NETWORKDAYS(DATE(YEAR(C193),MONTH(C193),1),C193,Feriados!$A$2:$A$842)=1,J192,K192))</f>
        <v>0</v>
      </c>
      <c r="L193" s="30">
        <v>-43348.978509965302</v>
      </c>
      <c r="M193" s="19">
        <f>VLOOKUP(C193,'Fluxo de Caixa'!$B$13:$U$10027,20,FALSE)</f>
        <v>23580.656232603291</v>
      </c>
      <c r="N193" s="19">
        <f>SUMIFS([1]Master!$J$2:$J$100,[1]Master!$A$2:$A$100,"="&amp;$I$12,[1]Master!$E$2:$E$100,"="&amp;C193,[1]Master!$J$2:$J$100,"&gt;"&amp;0)</f>
        <v>0</v>
      </c>
      <c r="O193" s="19">
        <f ca="1">-SUMIF('[1]Fluxo de Movimentações'!$A$5:$F$10001,"="&amp;$C194,'[1]Fluxo de Movimentações'!$B$5:$B$10001)</f>
        <v>0</v>
      </c>
      <c r="P193" s="19">
        <f>-SUMIFS([1]Master!$J$1:$J$200,[1]Master!$A$1:$A$200,"="&amp;$I$12,[1]Master!$G$1:$G$200,"&gt;"&amp;C193,[1]Master!$E$1:$E$200,"&lt;="&amp;C193)</f>
        <v>0</v>
      </c>
      <c r="Q193" s="30">
        <v>4496.8751000000002</v>
      </c>
      <c r="R193" s="32">
        <v>1.0524703</v>
      </c>
      <c r="S193" s="30">
        <v>0</v>
      </c>
      <c r="T193" s="30">
        <v>0</v>
      </c>
      <c r="U193" s="30">
        <v>0</v>
      </c>
      <c r="V193" s="30">
        <v>0</v>
      </c>
    </row>
    <row r="194" spans="3:22" x14ac:dyDescent="0.25">
      <c r="C194" s="4">
        <v>45098</v>
      </c>
      <c r="D194" s="30">
        <v>15604527.737500001</v>
      </c>
      <c r="E194" s="32">
        <v>1.0565180999999999</v>
      </c>
      <c r="F194" s="38">
        <f t="shared" ref="F194" si="476">D194/TRUNC(E194,6)</f>
        <v>14769769.883239092</v>
      </c>
      <c r="G194" s="19">
        <f t="shared" ref="G194" si="477">H194*I194</f>
        <v>15641300.89053732</v>
      </c>
      <c r="H194" s="31">
        <v>1.0783693999999999</v>
      </c>
      <c r="I194" s="19">
        <f>SUMIFS([1]Master!$K$2:$K$10000,[1]Master!$A$2:$A$10000,$I$12,[1]Master!$F$2:$F$10000,"&lt;="&amp;$C194)</f>
        <v>14504585.247446118</v>
      </c>
      <c r="J194" s="19">
        <f t="shared" ref="J194" si="478">((((1+1.85%)^(1/252))-1)*D193)+SUM(J193)</f>
        <v>15222.347246312056</v>
      </c>
      <c r="K194" s="19">
        <f>IF((NETWORKDAYS(DATE(YEAR(C194),MONTH(C194),1),C194,Feriados!$A$2:$A$842))&gt;=5,0,IF(NETWORKDAYS(DATE(YEAR(C194),MONTH(C194),1),C194,Feriados!$A$2:$A$842)=1,J193,K193))</f>
        <v>0</v>
      </c>
      <c r="L194" s="30">
        <v>-49556.985247535296</v>
      </c>
      <c r="M194" s="19">
        <f>VLOOKUP(C194,'Fluxo de Caixa'!$B$13:$U$10027,20,FALSE)</f>
        <v>23580.656232603291</v>
      </c>
      <c r="N194" s="19">
        <f>SUMIFS([1]Master!$J$2:$J$100,[1]Master!$A$2:$A$100,"="&amp;$I$12,[1]Master!$E$2:$E$100,"="&amp;C194,[1]Master!$J$2:$J$100,"&gt;"&amp;0)</f>
        <v>0</v>
      </c>
      <c r="O194" s="19">
        <f ca="1">-SUMIF('[1]Fluxo de Movimentações'!$A$5:$F$10001,"="&amp;$C195,'[1]Fluxo de Movimentações'!$B$5:$B$10001)</f>
        <v>0</v>
      </c>
      <c r="P194" s="19">
        <f>-SUMIFS([1]Master!$J$1:$J$200,[1]Master!$A$1:$A$200,"="&amp;$I$12,[1]Master!$G$1:$G$200,"&gt;"&amp;C194,[1]Master!$E$1:$E$200,"&lt;="&amp;C194)</f>
        <v>0</v>
      </c>
      <c r="Q194" s="30">
        <v>4425.3074999999999</v>
      </c>
      <c r="R194" s="32">
        <v>1.0598734000000001</v>
      </c>
      <c r="S194" s="30">
        <v>0</v>
      </c>
      <c r="T194" s="30">
        <v>0</v>
      </c>
      <c r="U194" s="30">
        <v>0</v>
      </c>
      <c r="V194" s="30">
        <v>0</v>
      </c>
    </row>
    <row r="195" spans="3:22" x14ac:dyDescent="0.25">
      <c r="C195" s="4">
        <v>45099</v>
      </c>
      <c r="D195" s="30">
        <v>15428737.4199</v>
      </c>
      <c r="E195" s="32">
        <v>1.0446161</v>
      </c>
      <c r="F195" s="38">
        <f t="shared" ref="F195" si="479">D195/TRUNC(E195,6)</f>
        <v>14769769.388847195</v>
      </c>
      <c r="G195" s="19">
        <f t="shared" ref="G195" si="480">H195*I195</f>
        <v>15456338.419461889</v>
      </c>
      <c r="H195" s="31">
        <v>1.0656174</v>
      </c>
      <c r="I195" s="19">
        <f>SUMIFS([1]Master!$K$2:$K$10000,[1]Master!$A$2:$A$10000,$I$12,[1]Master!$F$2:$F$10000,"&lt;="&amp;$C195)</f>
        <v>14504585.247446118</v>
      </c>
      <c r="J195" s="19">
        <f t="shared" ref="J195" si="481">((((1+1.85%)^(1/252))-1)*D194)+SUM(J194)</f>
        <v>16357.491397322952</v>
      </c>
      <c r="K195" s="19">
        <f>IF((NETWORKDAYS(DATE(YEAR(C195),MONTH(C195),1),C195,Feriados!$A$2:$A$842))&gt;=5,0,IF(NETWORKDAYS(DATE(YEAR(C195),MONTH(C195),1),C195,Feriados!$A$2:$A$842)=1,J194,K194))</f>
        <v>0</v>
      </c>
      <c r="L195" s="30">
        <v>-39178.135047310301</v>
      </c>
      <c r="M195" s="19">
        <f>VLOOKUP(C195,'Fluxo de Caixa'!$B$13:$U$10027,20,FALSE)</f>
        <v>23580.656232603291</v>
      </c>
      <c r="N195" s="19">
        <f>SUMIFS([1]Master!$J$2:$J$100,[1]Master!$A$2:$A$100,"="&amp;$I$12,[1]Master!$E$2:$E$100,"="&amp;C195,[1]Master!$J$2:$J$100,"&gt;"&amp;0)</f>
        <v>0</v>
      </c>
      <c r="O195" s="19">
        <f ca="1">-SUMIF('[1]Fluxo de Movimentações'!$A$5:$F$10001,"="&amp;$C196,'[1]Fluxo de Movimentações'!$B$5:$B$10001)</f>
        <v>0</v>
      </c>
      <c r="P195" s="19">
        <f>-SUMIFS([1]Master!$J$1:$J$200,[1]Master!$A$1:$A$200,"="&amp;$I$12,[1]Master!$G$1:$G$200,"&gt;"&amp;C195,[1]Master!$E$1:$E$200,"&lt;="&amp;C195)</f>
        <v>0</v>
      </c>
      <c r="Q195" s="30">
        <v>4353.7398999999996</v>
      </c>
      <c r="R195" s="32">
        <v>1.0472687000000001</v>
      </c>
      <c r="S195" s="30">
        <v>0</v>
      </c>
      <c r="T195" s="30">
        <v>0</v>
      </c>
      <c r="U195" s="30">
        <v>0</v>
      </c>
      <c r="V195" s="30">
        <v>0</v>
      </c>
    </row>
    <row r="196" spans="3:22" x14ac:dyDescent="0.25">
      <c r="C196" s="4">
        <v>45100</v>
      </c>
      <c r="D196" s="30">
        <v>15653400.032299999</v>
      </c>
      <c r="E196" s="32">
        <v>1.0598270999999999</v>
      </c>
      <c r="F196" s="38">
        <f t="shared" ref="F196" si="482">D196/TRUNC(E196,6)</f>
        <v>14769769.058818089</v>
      </c>
      <c r="G196" s="19">
        <f t="shared" ref="G196" si="483">H196*I196</f>
        <v>15695395.741217673</v>
      </c>
      <c r="H196" s="31">
        <v>1.0820989000000001</v>
      </c>
      <c r="I196" s="19">
        <f>SUMIFS([1]Master!$K$2:$K$10000,[1]Master!$A$2:$A$10000,$I$12,[1]Master!$F$2:$F$10000,"&lt;="&amp;$C196)</f>
        <v>14504585.247446118</v>
      </c>
      <c r="J196" s="19">
        <f t="shared" ref="J196" si="484">((((1+1.85%)^(1/252))-1)*D195)+SUM(J195)</f>
        <v>17479.847763007387</v>
      </c>
      <c r="K196" s="19">
        <f>IF((NETWORKDAYS(DATE(YEAR(C196),MONTH(C196),1),C196,Feriados!$A$2:$A$842))&gt;=5,0,IF(NETWORKDAYS(DATE(YEAR(C196),MONTH(C196),1),C196,Feriados!$A$2:$A$842)=1,J195,K195))</f>
        <v>0</v>
      </c>
      <c r="L196" s="30">
        <v>-52378.95</v>
      </c>
      <c r="M196" s="19">
        <f>VLOOKUP(C196,'Fluxo de Caixa'!$B$13:$U$10027,20,FALSE)</f>
        <v>23580.656232603291</v>
      </c>
      <c r="N196" s="19">
        <f>SUMIFS([1]Master!$J$2:$J$100,[1]Master!$A$2:$A$100,"="&amp;$I$12,[1]Master!$E$2:$E$100,"="&amp;C196,[1]Master!$J$2:$J$100,"&gt;"&amp;0)</f>
        <v>0</v>
      </c>
      <c r="O196" s="19">
        <f ca="1">-SUMIF('[1]Fluxo de Movimentações'!$A$5:$F$10001,"="&amp;$C197,'[1]Fluxo de Movimentações'!$B$5:$B$10001)</f>
        <v>0</v>
      </c>
      <c r="P196" s="19">
        <f>-SUMIFS([1]Master!$J$1:$J$200,[1]Master!$A$1:$A$200,"="&amp;$I$12,[1]Master!$G$1:$G$200,"&gt;"&amp;C196,[1]Master!$E$1:$E$200,"&lt;="&amp;C196)</f>
        <v>0</v>
      </c>
      <c r="Q196" s="30">
        <v>4282.1723000000002</v>
      </c>
      <c r="R196" s="32">
        <v>1.0633733999999999</v>
      </c>
      <c r="S196" s="30">
        <v>0</v>
      </c>
      <c r="T196" s="30">
        <v>0</v>
      </c>
      <c r="U196" s="30">
        <v>0</v>
      </c>
      <c r="V196" s="30">
        <v>0</v>
      </c>
    </row>
    <row r="197" spans="3:22" x14ac:dyDescent="0.25">
      <c r="C197" s="4">
        <v>45103</v>
      </c>
      <c r="D197" s="30">
        <v>15527939.0447</v>
      </c>
      <c r="E197" s="32">
        <v>1.0513326000000001</v>
      </c>
      <c r="F197" s="38">
        <f t="shared" ref="F197" si="485">D197/TRUNC(E197,6)</f>
        <v>14769776.858975092</v>
      </c>
      <c r="G197" s="19">
        <f t="shared" ref="G197" si="486">H197*I197</f>
        <v>15562832.534807164</v>
      </c>
      <c r="H197" s="31">
        <v>1.0729595000000001</v>
      </c>
      <c r="I197" s="19">
        <f>SUMIFS([1]Master!$K$2:$K$10000,[1]Master!$A$2:$A$10000,$I$12,[1]Master!$F$2:$F$10000,"&lt;="&amp;$C197)</f>
        <v>14504585.247446118</v>
      </c>
      <c r="J197" s="19">
        <f t="shared" ref="J197" si="487">((((1+1.85%)^(1/252))-1)*D196)+SUM(J196)</f>
        <v>18618.547106493312</v>
      </c>
      <c r="K197" s="19">
        <f>IF((NETWORKDAYS(DATE(YEAR(C197),MONTH(C197),1),C197,Feriados!$A$2:$A$842))&gt;=5,0,IF(NETWORKDAYS(DATE(YEAR(C197),MONTH(C197),1),C197,Feriados!$A$2:$A$842)=1,J196,K196))</f>
        <v>0</v>
      </c>
      <c r="L197" s="30">
        <v>-44066.445419041702</v>
      </c>
      <c r="M197" s="19">
        <f>VLOOKUP(C197,'Fluxo de Caixa'!$B$13:$U$10027,20,FALSE)</f>
        <v>23580.656232603291</v>
      </c>
      <c r="N197" s="19">
        <f>SUMIFS([1]Master!$J$2:$J$100,[1]Master!$A$2:$A$100,"="&amp;$I$12,[1]Master!$E$2:$E$100,"="&amp;C197,[1]Master!$J$2:$J$100,"&gt;"&amp;0)</f>
        <v>0</v>
      </c>
      <c r="O197" s="19">
        <f ca="1">-SUMIF('[1]Fluxo de Movimentações'!$A$5:$F$10001,"="&amp;$C198,'[1]Fluxo de Movimentações'!$B$5:$B$10001)</f>
        <v>0</v>
      </c>
      <c r="P197" s="19">
        <f>-SUMIFS([1]Master!$J$1:$J$200,[1]Master!$A$1:$A$200,"="&amp;$I$12,[1]Master!$G$1:$G$200,"&gt;"&amp;C197,[1]Master!$E$1:$E$200,"&lt;="&amp;C197)</f>
        <v>0</v>
      </c>
      <c r="Q197" s="30">
        <v>4210.6046999999999</v>
      </c>
      <c r="R197" s="32">
        <v>1.0543161999999999</v>
      </c>
      <c r="S197" s="30">
        <v>0</v>
      </c>
      <c r="T197" s="30">
        <v>0</v>
      </c>
      <c r="U197" s="30">
        <v>0</v>
      </c>
      <c r="V197" s="30">
        <v>0</v>
      </c>
    </row>
    <row r="198" spans="3:22" x14ac:dyDescent="0.25">
      <c r="C198" s="4">
        <v>45104</v>
      </c>
      <c r="D198" s="30">
        <v>15181839.577099999</v>
      </c>
      <c r="E198" s="32">
        <v>1.0278997000000001</v>
      </c>
      <c r="F198" s="38">
        <f t="shared" ref="F198" si="488">D198/TRUNC(E198,6)</f>
        <v>14769777.553144814</v>
      </c>
      <c r="G198" s="19">
        <f t="shared" ref="G198" si="489">H198*I198</f>
        <v>15200177.290782318</v>
      </c>
      <c r="H198" s="31">
        <v>1.0479567000000001</v>
      </c>
      <c r="I198" s="19">
        <f>SUMIFS([1]Master!$K$2:$K$10000,[1]Master!$A$2:$A$10000,$I$12,[1]Master!$F$2:$F$10000,"&lt;="&amp;$C198)</f>
        <v>14504585.247446118</v>
      </c>
      <c r="J198" s="19">
        <f t="shared" ref="J198" si="490">((((1+1.85%)^(1/252))-1)*D197)+SUM(J197)</f>
        <v>19748.119848479342</v>
      </c>
      <c r="K198" s="19">
        <f>IF((NETWORKDAYS(DATE(YEAR(C198),MONTH(C198),1),C198,Feriados!$A$2:$A$842))&gt;=5,0,IF(NETWORKDAYS(DATE(YEAR(C198),MONTH(C198),1),C198,Feriados!$A$2:$A$842)=1,J197,K197))</f>
        <v>0</v>
      </c>
      <c r="L198" s="30">
        <v>-26309.5422101146</v>
      </c>
      <c r="M198" s="19">
        <f>VLOOKUP(C198,'Fluxo de Caixa'!$B$13:$U$10027,20,FALSE)</f>
        <v>23580.656232603291</v>
      </c>
      <c r="N198" s="19">
        <f>SUMIFS([1]Master!$J$2:$J$100,[1]Master!$A$2:$A$100,"="&amp;$I$12,[1]Master!$E$2:$E$100,"="&amp;C198,[1]Master!$J$2:$J$100,"&gt;"&amp;0)</f>
        <v>0</v>
      </c>
      <c r="O198" s="19">
        <f ca="1">-SUMIF('[1]Fluxo de Movimentações'!$A$5:$F$10001,"="&amp;$C199,'[1]Fluxo de Movimentações'!$B$5:$B$10001)</f>
        <v>0</v>
      </c>
      <c r="P198" s="19">
        <f>-SUMIFS([1]Master!$J$1:$J$200,[1]Master!$A$1:$A$200,"="&amp;$I$12,[1]Master!$G$1:$G$200,"&gt;"&amp;C198,[1]Master!$E$1:$E$200,"&lt;="&amp;C198)</f>
        <v>0</v>
      </c>
      <c r="Q198" s="30">
        <v>4139.0370999999996</v>
      </c>
      <c r="R198" s="32">
        <v>1.0296810000000001</v>
      </c>
      <c r="S198" s="30">
        <v>0</v>
      </c>
      <c r="T198" s="30">
        <v>0</v>
      </c>
      <c r="U198" s="30">
        <v>0</v>
      </c>
      <c r="V198" s="30">
        <v>0</v>
      </c>
    </row>
    <row r="199" spans="3:22" x14ac:dyDescent="0.25">
      <c r="C199" s="4">
        <v>45105</v>
      </c>
      <c r="D199" s="30">
        <v>15126788.749500001</v>
      </c>
      <c r="E199" s="32">
        <v>1.0241724000000001</v>
      </c>
      <c r="F199" s="38">
        <f t="shared" ref="F199" si="491">D199/TRUNC(E199,6)</f>
        <v>14769773.777744362</v>
      </c>
      <c r="G199" s="19">
        <f t="shared" ref="G199" si="492">H199*I199</f>
        <v>15144173.636683401</v>
      </c>
      <c r="H199" s="31">
        <v>1.0440955999999999</v>
      </c>
      <c r="I199" s="19">
        <f>SUMIFS([1]Master!$K$2:$K$10000,[1]Master!$A$2:$A$10000,$I$12,[1]Master!$F$2:$F$10000,"&lt;="&amp;$C199)</f>
        <v>14504585.247446118</v>
      </c>
      <c r="J199" s="19">
        <f t="shared" ref="J199" si="493">((((1+1.85%)^(1/252))-1)*D198)+SUM(J198)</f>
        <v>20852.515744813711</v>
      </c>
      <c r="K199" s="19">
        <f>IF((NETWORKDAYS(DATE(YEAR(C199),MONTH(C199),1),C199,Feriados!$A$2:$A$842))&gt;=5,0,IF(NETWORKDAYS(DATE(YEAR(C199),MONTH(C199),1),C199,Feriados!$A$2:$A$842)=1,J198,K198))</f>
        <v>0</v>
      </c>
      <c r="L199" s="30">
        <v>-24180.763400273299</v>
      </c>
      <c r="M199" s="19">
        <f>VLOOKUP(C199,'Fluxo de Caixa'!$B$13:$U$10027,20,FALSE)</f>
        <v>23580.656232603291</v>
      </c>
      <c r="N199" s="19">
        <f>SUMIFS([1]Master!$J$2:$J$100,[1]Master!$A$2:$A$100,"="&amp;$I$12,[1]Master!$E$2:$E$100,"="&amp;C199,[1]Master!$J$2:$J$100,"&gt;"&amp;0)</f>
        <v>0</v>
      </c>
      <c r="O199" s="19">
        <f ca="1">-SUMIF('[1]Fluxo de Movimentações'!$A$5:$F$10001,"="&amp;$C200,'[1]Fluxo de Movimentações'!$B$5:$B$10001)</f>
        <v>0</v>
      </c>
      <c r="P199" s="19">
        <f>-SUMIFS([1]Master!$J$1:$J$200,[1]Master!$A$1:$A$200,"="&amp;$I$12,[1]Master!$G$1:$G$200,"&gt;"&amp;C199,[1]Master!$E$1:$E$200,"&lt;="&amp;C199)</f>
        <v>0</v>
      </c>
      <c r="Q199" s="30">
        <v>4067.4695000000002</v>
      </c>
      <c r="R199" s="32">
        <v>1.0258096000000001</v>
      </c>
      <c r="S199" s="30">
        <v>0</v>
      </c>
      <c r="T199" s="30">
        <v>0</v>
      </c>
      <c r="U199" s="30">
        <v>0</v>
      </c>
      <c r="V199" s="30">
        <v>0</v>
      </c>
    </row>
    <row r="200" spans="3:22" x14ac:dyDescent="0.25">
      <c r="C200" s="4">
        <v>45106</v>
      </c>
      <c r="D200" s="30">
        <v>15412314.741900001</v>
      </c>
      <c r="E200" s="32">
        <v>1.0435042000000001</v>
      </c>
      <c r="F200" s="38">
        <f t="shared" ref="F200" si="494">D200/TRUNC(E200,6)</f>
        <v>14769770.639978381</v>
      </c>
      <c r="G200" s="19">
        <f t="shared" ref="G200" si="495">H200*I200</f>
        <v>15444538.939363092</v>
      </c>
      <c r="H200" s="31">
        <v>1.0648039</v>
      </c>
      <c r="I200" s="19">
        <f>SUMIFS([1]Master!$K$2:$K$10000,[1]Master!$A$2:$A$10000,$I$12,[1]Master!$F$2:$F$10000,"&lt;="&amp;$C200)</f>
        <v>14504585.247446118</v>
      </c>
      <c r="J200" s="19">
        <f t="shared" ref="J200" si="496">((((1+1.85%)^(1/252))-1)*D199)+SUM(J199)</f>
        <v>21952.906994162942</v>
      </c>
      <c r="K200" s="19">
        <f>IF((NETWORKDAYS(DATE(YEAR(C200),MONTH(C200),1),C200,Feriados!$A$2:$A$842))&gt;=5,0,IF(NETWORKDAYS(DATE(YEAR(C200),MONTH(C200),1),C200,Feriados!$A$2:$A$842)=1,J199,K199))</f>
        <v>0</v>
      </c>
      <c r="L200" s="30">
        <v>-37848.107073240302</v>
      </c>
      <c r="M200" s="19">
        <f>VLOOKUP(C200,'Fluxo de Caixa'!$B$13:$U$10027,20,FALSE)</f>
        <v>23580.656232603291</v>
      </c>
      <c r="N200" s="19">
        <f>SUMIFS([1]Master!$J$2:$J$100,[1]Master!$A$2:$A$100,"="&amp;$I$12,[1]Master!$E$2:$E$100,"="&amp;C200,[1]Master!$J$2:$J$100,"&gt;"&amp;0)</f>
        <v>0</v>
      </c>
      <c r="O200" s="19">
        <f ca="1">-SUMIF('[1]Fluxo de Movimentações'!$A$5:$F$10001,"="&amp;$C201,'[1]Fluxo de Movimentações'!$B$5:$B$10001)</f>
        <v>0</v>
      </c>
      <c r="P200" s="19">
        <f>-SUMIFS([1]Master!$J$1:$J$200,[1]Master!$A$1:$A$200,"="&amp;$I$12,[1]Master!$G$1:$G$200,"&gt;"&amp;C200,[1]Master!$E$1:$E$200,"&lt;="&amp;C200)</f>
        <v>0</v>
      </c>
      <c r="Q200" s="30">
        <v>3995.9018999999998</v>
      </c>
      <c r="R200" s="32">
        <v>1.0460666999999999</v>
      </c>
      <c r="S200" s="30">
        <v>0</v>
      </c>
      <c r="T200" s="30">
        <v>0</v>
      </c>
      <c r="U200" s="30">
        <v>0</v>
      </c>
      <c r="V200" s="30">
        <v>0</v>
      </c>
    </row>
    <row r="201" spans="3:22" x14ac:dyDescent="0.25">
      <c r="C201" s="4">
        <v>45107</v>
      </c>
      <c r="D201" s="30">
        <v>15499295.224300001</v>
      </c>
      <c r="E201" s="32">
        <v>1.0493933</v>
      </c>
      <c r="F201" s="38">
        <f t="shared" ref="F201" si="497">D201/TRUNC(E201,6)</f>
        <v>14769771.881744971</v>
      </c>
      <c r="G201" s="19">
        <f t="shared" ref="G201" si="498">H201*I201</f>
        <v>15537168.12167033</v>
      </c>
      <c r="H201" s="31">
        <v>1.0711900999999999</v>
      </c>
      <c r="I201" s="19">
        <f>SUMIFS([1]Master!$K$2:$K$10000,[1]Master!$A$2:$A$10000,$I$12,[1]Master!$F$2:$F$10000,"&lt;="&amp;$C201)</f>
        <v>14504585.247446118</v>
      </c>
      <c r="J201" s="19">
        <f t="shared" ref="J201:J203" si="499">((((1+1.85%)^(1/252))-1)*D200)+SUM(J200)</f>
        <v>23074.068699734027</v>
      </c>
      <c r="K201" s="19">
        <f>IF((NETWORKDAYS(DATE(YEAR(C201),MONTH(C201),1),C201,Feriados!$A$2:$A$842))&gt;=5,0,IF(NETWORKDAYS(DATE(YEAR(C201),MONTH(C201),1),C201,Feriados!$A$2:$A$842)=1,J200,K200))</f>
        <v>0</v>
      </c>
      <c r="L201" s="30">
        <v>-42304.1</v>
      </c>
      <c r="M201" s="19">
        <f>VLOOKUP(C201,'Fluxo de Caixa'!$B$13:$U$10027,20,FALSE)</f>
        <v>23580.656232603291</v>
      </c>
      <c r="N201" s="19">
        <f>SUMIFS([1]Master!$J$2:$J$100,[1]Master!$A$2:$A$100,"="&amp;$I$12,[1]Master!$E$2:$E$100,"="&amp;C201,[1]Master!$J$2:$J$100,"&gt;"&amp;0)</f>
        <v>0</v>
      </c>
      <c r="O201" s="19">
        <f ca="1">-SUMIF('[1]Fluxo de Movimentações'!$A$5:$F$10001,"="&amp;$C202,'[1]Fluxo de Movimentações'!$B$5:$B$10001)</f>
        <v>0</v>
      </c>
      <c r="P201" s="19">
        <f>-SUMIFS([1]Master!$J$1:$J$200,[1]Master!$A$1:$A$200,"="&amp;$I$12,[1]Master!$G$1:$G$200,"&gt;"&amp;C201,[1]Master!$E$1:$E$200,"&lt;="&amp;C201)</f>
        <v>0</v>
      </c>
      <c r="Q201" s="30">
        <v>3924.3343</v>
      </c>
      <c r="R201" s="32">
        <v>1.0522575000000001</v>
      </c>
      <c r="S201" s="30">
        <v>0</v>
      </c>
      <c r="T201" s="30">
        <v>0</v>
      </c>
      <c r="U201" s="30">
        <v>0</v>
      </c>
      <c r="V201" s="30">
        <v>0</v>
      </c>
    </row>
    <row r="202" spans="3:22" x14ac:dyDescent="0.25">
      <c r="C202" s="4">
        <v>45110</v>
      </c>
      <c r="D202" s="30">
        <v>15556092.2467</v>
      </c>
      <c r="E202" s="32">
        <v>1.0532387999999999</v>
      </c>
      <c r="F202" s="38">
        <f t="shared" ref="F202" si="500">D202/TRUNC(E202,6)</f>
        <v>14769778.76481859</v>
      </c>
      <c r="G202" s="19">
        <f t="shared" ref="G202" si="501">H202*I202</f>
        <v>15598093.181543704</v>
      </c>
      <c r="H202" s="31">
        <v>1.0753904999999999</v>
      </c>
      <c r="I202" s="19">
        <f>SUMIFS([1]Master!$K$2:$K$10000,[1]Master!$A$2:$A$10000,$I$12,[1]Master!$F$2:$F$10000,"&lt;="&amp;$C202)</f>
        <v>14504585.247446118</v>
      </c>
      <c r="J202" s="19">
        <f>((((1+1.85%)^(1/252))-1)*D201)</f>
        <v>1127.4890605227633</v>
      </c>
      <c r="K202" s="19">
        <f>IF((NETWORKDAYS(DATE(YEAR(C202),MONTH(C202),1),C202,Feriados!$A$2:$A$842))&gt;=5,0,IF(NETWORKDAYS(DATE(YEAR(C202),MONTH(C202),1),C202,Feriados!$A$2:$A$842)=1,J201,K201))</f>
        <v>23074.068699734027</v>
      </c>
      <c r="L202" s="30">
        <v>-45233.053392785798</v>
      </c>
      <c r="M202" s="19">
        <f>VLOOKUP(C202,'Fluxo de Caixa'!$B$13:$U$10027,20,FALSE)</f>
        <v>23580.656232603291</v>
      </c>
      <c r="N202" s="19">
        <f>SUMIFS([1]Master!$J$2:$J$100,[1]Master!$A$2:$A$100,"="&amp;$I$12,[1]Master!$E$2:$E$100,"="&amp;C202,[1]Master!$J$2:$J$100,"&gt;"&amp;0)</f>
        <v>0</v>
      </c>
      <c r="O202" s="19">
        <f ca="1">-SUMIF('[1]Fluxo de Movimentações'!$A$5:$F$10001,"="&amp;$C203,'[1]Fluxo de Movimentações'!$B$5:$B$10001)</f>
        <v>0</v>
      </c>
      <c r="P202" s="19">
        <f>-SUMIFS([1]Master!$J$1:$J$200,[1]Master!$A$1:$A$200,"="&amp;$I$12,[1]Master!$G$1:$G$200,"&gt;"&amp;C202,[1]Master!$E$1:$E$200,"&lt;="&amp;C202)</f>
        <v>0</v>
      </c>
      <c r="Q202" s="30">
        <v>3852.7667000000001</v>
      </c>
      <c r="R202" s="32">
        <v>1.0563013000000001</v>
      </c>
      <c r="S202" s="30">
        <v>0</v>
      </c>
      <c r="T202" s="30">
        <v>0</v>
      </c>
      <c r="U202" s="30">
        <v>0</v>
      </c>
      <c r="V202" s="30">
        <v>0</v>
      </c>
    </row>
    <row r="203" spans="3:22" x14ac:dyDescent="0.25">
      <c r="C203" s="4">
        <v>45111</v>
      </c>
      <c r="D203" s="30">
        <v>15496847.869100001</v>
      </c>
      <c r="E203" s="32">
        <v>1.0492276</v>
      </c>
      <c r="F203" s="38">
        <f t="shared" ref="F203" si="502">D203/TRUNC(E203,6)</f>
        <v>14769776.100977197</v>
      </c>
      <c r="G203" s="19">
        <f t="shared" ref="G203" si="503">H203*I203</f>
        <v>15512237.335488481</v>
      </c>
      <c r="H203" s="31">
        <v>1.0711603999999999</v>
      </c>
      <c r="I203" s="19">
        <f>SUMIFS([1]Master!$K$2:$K$10000,[1]Master!$A$2:$A$10000,$I$12,[1]Master!$F$2:$F$10000,"&lt;="&amp;$C203)</f>
        <v>14481712.855972348</v>
      </c>
      <c r="J203" s="19">
        <f t="shared" si="499"/>
        <v>2259.1097941635317</v>
      </c>
      <c r="K203" s="19">
        <f>IF((NETWORKDAYS(DATE(YEAR(C203),MONTH(C203),1),C203,Feriados!$A$2:$A$842))&gt;=5,0,IF(NETWORKDAYS(DATE(YEAR(C203),MONTH(C203),1),C203,Feriados!$A$2:$A$842)=1,J202,K202))</f>
        <v>23074.068699734027</v>
      </c>
      <c r="L203" s="30">
        <v>-41918.411622133797</v>
      </c>
      <c r="M203" s="19">
        <f>VLOOKUP(C203,'Fluxo de Caixa'!$B$13:$U$10027,20,FALSE)</f>
        <v>23580.656232603291</v>
      </c>
      <c r="N203" s="19">
        <f>SUMIFS([1]Master!$J$2:$J$100,[1]Master!$A$2:$A$100,"="&amp;$I$12,[1]Master!$E$2:$E$100,"="&amp;C203,[1]Master!$J$2:$J$100,"&gt;"&amp;0)</f>
        <v>0</v>
      </c>
      <c r="O203" s="19">
        <f ca="1">-SUMIF('[1]Fluxo de Movimentações'!$A$5:$F$10001,"="&amp;$C204,'[1]Fluxo de Movimentações'!$B$5:$B$10001)</f>
        <v>0</v>
      </c>
      <c r="P203" s="19">
        <f>-SUMIFS([1]Master!$J$1:$J$200,[1]Master!$A$1:$A$200,"="&amp;$I$12,[1]Master!$G$1:$G$200,"&gt;"&amp;C203,[1]Master!$E$1:$E$200,"&lt;="&amp;C203)</f>
        <v>24500</v>
      </c>
      <c r="Q203" s="30">
        <v>3781.1990999999998</v>
      </c>
      <c r="R203" s="32">
        <v>1.0520657</v>
      </c>
      <c r="S203" s="30">
        <v>0</v>
      </c>
      <c r="T203" s="30">
        <v>0</v>
      </c>
      <c r="U203" s="30">
        <v>0</v>
      </c>
      <c r="V203" s="30">
        <v>0</v>
      </c>
    </row>
    <row r="204" spans="3:22" x14ac:dyDescent="0.25">
      <c r="C204" s="4">
        <v>45112</v>
      </c>
      <c r="D204" s="30">
        <v>15617209.331499999</v>
      </c>
      <c r="E204" s="32">
        <v>1.0573767999999999</v>
      </c>
      <c r="F204" s="38">
        <f t="shared" ref="F204" si="504">D204/TRUNC(E204,6)</f>
        <v>14769778.519183336</v>
      </c>
      <c r="G204" s="19">
        <f t="shared" ref="G204" si="505">H204*I204</f>
        <v>15640808.878566375</v>
      </c>
      <c r="H204" s="31">
        <v>1.0800386</v>
      </c>
      <c r="I204" s="19">
        <f>SUMIFS([1]Master!$K$2:$K$10000,[1]Master!$A$2:$A$10000,$I$12,[1]Master!$F$2:$F$10000,"&lt;="&amp;$C204)</f>
        <v>14481712.855972348</v>
      </c>
      <c r="J204" s="19">
        <f t="shared" ref="J204" si="506">((((1+1.85%)^(1/252))-1)*D203)+SUM(J203)</f>
        <v>3386.4208229645114</v>
      </c>
      <c r="K204" s="19">
        <f>IF((NETWORKDAYS(DATE(YEAR(C204),MONTH(C204),1),C204,Feriados!$A$2:$A$842))&gt;=5,0,IF(NETWORKDAYS(DATE(YEAR(C204),MONTH(C204),1),C204,Feriados!$A$2:$A$842)=1,J203,K203))</f>
        <v>23074.068699734027</v>
      </c>
      <c r="L204" s="30">
        <v>-48929.614608796903</v>
      </c>
      <c r="M204" s="19">
        <f>VLOOKUP(C204,'Fluxo de Caixa'!$B$13:$U$10027,20,FALSE)</f>
        <v>23580.656232603291</v>
      </c>
      <c r="N204" s="19">
        <f>SUMIFS([1]Master!$J$2:$J$100,[1]Master!$A$2:$A$100,"="&amp;$I$12,[1]Master!$E$2:$E$100,"="&amp;C204,[1]Master!$J$2:$J$100,"&gt;"&amp;0)</f>
        <v>0</v>
      </c>
      <c r="O204" s="19">
        <f ca="1">-SUMIF('[1]Fluxo de Movimentações'!$A$5:$F$10001,"="&amp;$C205,'[1]Fluxo de Movimentações'!$B$5:$B$10001)</f>
        <v>0</v>
      </c>
      <c r="P204" s="19">
        <f>-SUMIFS([1]Master!$J$1:$J$200,[1]Master!$A$1:$A$200,"="&amp;$I$12,[1]Master!$G$1:$G$200,"&gt;"&amp;C204,[1]Master!$E$1:$E$200,"&lt;="&amp;C204)</f>
        <v>24500</v>
      </c>
      <c r="Q204" s="30">
        <v>3709.6315</v>
      </c>
      <c r="R204" s="32">
        <v>1.0606895999999999</v>
      </c>
      <c r="S204" s="30">
        <v>0</v>
      </c>
      <c r="T204" s="30">
        <v>0</v>
      </c>
      <c r="U204" s="30">
        <v>0</v>
      </c>
      <c r="V204" s="30">
        <v>0</v>
      </c>
    </row>
    <row r="205" spans="3:22" x14ac:dyDescent="0.25">
      <c r="C205" s="4">
        <v>45113</v>
      </c>
      <c r="D205" s="30">
        <v>15402651.263900001</v>
      </c>
      <c r="E205" s="32">
        <v>1.0428499</v>
      </c>
      <c r="F205" s="38">
        <f t="shared" ref="F205" si="507">D205/TRUNC(E205,6)</f>
        <v>14769780.921207195</v>
      </c>
      <c r="G205" s="19">
        <f t="shared" ref="G205" si="508">H205*I205</f>
        <v>15415221.444723753</v>
      </c>
      <c r="H205" s="31">
        <v>1.0644612</v>
      </c>
      <c r="I205" s="19">
        <f>SUMIFS([1]Master!$K$2:$K$10000,[1]Master!$A$2:$A$10000,$I$12,[1]Master!$F$2:$F$10000,"&lt;="&amp;$C205)</f>
        <v>14481712.855972348</v>
      </c>
      <c r="J205" s="19">
        <f t="shared" ref="J205" si="509">((((1+1.85%)^(1/252))-1)*D204)+SUM(J204)</f>
        <v>4522.4874906639461</v>
      </c>
      <c r="K205" s="19">
        <f>IF((NETWORKDAYS(DATE(YEAR(C205),MONTH(C205),1),C205,Feriados!$A$2:$A$842))&gt;=5,0,IF(NETWORKDAYS(DATE(YEAR(C205),MONTH(C205),1),C205,Feriados!$A$2:$A$842)=1,J204,K204))</f>
        <v>23074.068699734027</v>
      </c>
      <c r="L205" s="30">
        <v>-36692.612535590197</v>
      </c>
      <c r="M205" s="19">
        <f>VLOOKUP(C205,'Fluxo de Caixa'!$B$13:$U$10027,20,FALSE)</f>
        <v>48080.656232603287</v>
      </c>
      <c r="N205" s="19">
        <f>SUMIFS([1]Master!$J$2:$J$100,[1]Master!$A$2:$A$100,"="&amp;$I$12,[1]Master!$E$2:$E$100,"="&amp;C205,[1]Master!$J$2:$J$100,"&gt;"&amp;0)</f>
        <v>0</v>
      </c>
      <c r="O205" s="19">
        <f ca="1">-SUMIF('[1]Fluxo de Movimentações'!$A$5:$F$10001,"="&amp;$C206,'[1]Fluxo de Movimentações'!$B$5:$B$10001)</f>
        <v>0</v>
      </c>
      <c r="P205" s="19">
        <f>-SUMIFS([1]Master!$J$1:$J$200,[1]Master!$A$1:$A$200,"="&amp;$I$12,[1]Master!$G$1:$G$200,"&gt;"&amp;C205,[1]Master!$E$1:$E$200,"&lt;="&amp;C205)</f>
        <v>0</v>
      </c>
      <c r="Q205" s="30">
        <v>3638.0639000000001</v>
      </c>
      <c r="R205" s="32">
        <v>1.0453342000000001</v>
      </c>
      <c r="S205" s="30">
        <v>0</v>
      </c>
      <c r="T205" s="30">
        <v>0</v>
      </c>
      <c r="U205" s="30">
        <v>0</v>
      </c>
      <c r="V205" s="30">
        <v>0</v>
      </c>
    </row>
    <row r="206" spans="3:22" x14ac:dyDescent="0.25">
      <c r="C206" s="4">
        <v>45114</v>
      </c>
      <c r="D206" s="30">
        <v>15607206.8763</v>
      </c>
      <c r="E206" s="32">
        <v>1.0566994999999999</v>
      </c>
      <c r="F206" s="38">
        <f t="shared" ref="F206" si="510">D206/TRUNC(E206,6)</f>
        <v>14769775.381920489</v>
      </c>
      <c r="G206" s="19">
        <f t="shared" ref="G206" si="511">H206*I206</f>
        <v>15632205.292958641</v>
      </c>
      <c r="H206" s="31">
        <v>1.0794444999999999</v>
      </c>
      <c r="I206" s="19">
        <f>SUMIFS([1]Master!$K$2:$K$10000,[1]Master!$A$2:$A$10000,$I$12,[1]Master!$F$2:$F$10000,"&lt;="&amp;$C206)</f>
        <v>14481712.855972348</v>
      </c>
      <c r="J206" s="19">
        <f t="shared" ref="J206" si="512">((((1+1.85%)^(1/252))-1)*D205)+SUM(J205)</f>
        <v>5642.9462309986175</v>
      </c>
      <c r="K206" s="19">
        <f>IF((NETWORKDAYS(DATE(YEAR(C206),MONTH(C206),1),C206,Feriados!$A$2:$A$842))&gt;=5,0,IF(NETWORKDAYS(DATE(YEAR(C206),MONTH(C206),1),C206,Feriados!$A$2:$A$842)=1,J205,K205))</f>
        <v>0</v>
      </c>
      <c r="L206" s="30">
        <v>-47928.86</v>
      </c>
      <c r="M206" s="19">
        <f>VLOOKUP(C206,'Fluxo de Caixa'!$B$13:$U$10027,20,FALSE)</f>
        <v>25006.696232603288</v>
      </c>
      <c r="N206" s="19">
        <f>SUMIFS([1]Master!$J$2:$J$100,[1]Master!$A$2:$A$100,"="&amp;$I$12,[1]Master!$E$2:$E$100,"="&amp;C206,[1]Master!$J$2:$J$100,"&gt;"&amp;0)</f>
        <v>0</v>
      </c>
      <c r="O206" s="19">
        <f ca="1">-SUMIF('[1]Fluxo de Movimentações'!$A$5:$F$10001,"="&amp;$C207,'[1]Fluxo de Movimentações'!$B$5:$B$10001)</f>
        <v>0</v>
      </c>
      <c r="P206" s="19">
        <f>-SUMIFS([1]Master!$J$1:$J$200,[1]Master!$A$1:$A$200,"="&amp;$I$12,[1]Master!$G$1:$G$200,"&gt;"&amp;C206,[1]Master!$E$1:$E$200,"&lt;="&amp;C206)</f>
        <v>0</v>
      </c>
      <c r="Q206" s="30">
        <v>3566.4962999999998</v>
      </c>
      <c r="R206" s="32">
        <v>1.0599445999999999</v>
      </c>
      <c r="S206" s="30">
        <v>0</v>
      </c>
      <c r="T206" s="30">
        <v>0</v>
      </c>
      <c r="U206" s="30">
        <v>0</v>
      </c>
      <c r="V206" s="30">
        <v>0</v>
      </c>
    </row>
    <row r="207" spans="3:22" x14ac:dyDescent="0.25">
      <c r="C207" s="4">
        <v>45117</v>
      </c>
      <c r="D207" s="30">
        <v>15519448.978700001</v>
      </c>
      <c r="E207" s="32">
        <v>1.0507578</v>
      </c>
      <c r="F207" s="38">
        <f t="shared" ref="F207" si="513">D207/TRUNC(E207,6)</f>
        <v>14769779.291215762</v>
      </c>
      <c r="G207" s="19">
        <f t="shared" ref="G207" si="514">H207*I207</f>
        <v>15540313.032202357</v>
      </c>
      <c r="H207" s="31">
        <v>1.0730991000000001</v>
      </c>
      <c r="I207" s="19">
        <f>SUMIFS([1]Master!$K$2:$K$10000,[1]Master!$A$2:$A$10000,$I$12,[1]Master!$F$2:$F$10000,"&lt;="&amp;$C207)</f>
        <v>14481712.855972348</v>
      </c>
      <c r="J207" s="19">
        <f t="shared" ref="J207" si="515">((((1+1.85%)^(1/252))-1)*D206)+SUM(J206)</f>
        <v>6778.2852747220477</v>
      </c>
      <c r="K207" s="19">
        <f>IF((NETWORKDAYS(DATE(YEAR(C207),MONTH(C207),1),C207,Feriados!$A$2:$A$842))&gt;=5,0,IF(NETWORKDAYS(DATE(YEAR(C207),MONTH(C207),1),C207,Feriados!$A$2:$A$842)=1,J206,K206))</f>
        <v>0</v>
      </c>
      <c r="L207" s="30">
        <v>-42587.580566914599</v>
      </c>
      <c r="M207" s="19">
        <f>VLOOKUP(C207,'Fluxo de Caixa'!$B$13:$U$10027,20,FALSE)</f>
        <v>25006.696232603288</v>
      </c>
      <c r="N207" s="19">
        <f>SUMIFS([1]Master!$J$2:$J$100,[1]Master!$A$2:$A$100,"="&amp;$I$12,[1]Master!$E$2:$E$100,"="&amp;C207,[1]Master!$J$2:$J$100,"&gt;"&amp;0)</f>
        <v>0</v>
      </c>
      <c r="O207" s="19">
        <f ca="1">-SUMIF('[1]Fluxo de Movimentações'!$A$5:$F$10001,"="&amp;$C208,'[1]Fluxo de Movimentações'!$B$5:$B$10001)</f>
        <v>0</v>
      </c>
      <c r="P207" s="19">
        <f>-SUMIFS([1]Master!$J$1:$J$200,[1]Master!$A$1:$A$200,"="&amp;$I$12,[1]Master!$G$1:$G$200,"&gt;"&amp;C207,[1]Master!$E$1:$E$200,"&lt;="&amp;C207)</f>
        <v>0</v>
      </c>
      <c r="Q207" s="30">
        <v>3494.9286999999999</v>
      </c>
      <c r="R207" s="32">
        <v>1.0536411999999999</v>
      </c>
      <c r="S207" s="30">
        <v>0</v>
      </c>
      <c r="T207" s="30">
        <v>0</v>
      </c>
      <c r="U207" s="30">
        <v>0</v>
      </c>
      <c r="V207" s="30">
        <v>0</v>
      </c>
    </row>
    <row r="208" spans="3:22" x14ac:dyDescent="0.25">
      <c r="C208" s="4">
        <v>45118</v>
      </c>
      <c r="D208" s="30">
        <v>15406411.791099999</v>
      </c>
      <c r="E208" s="32">
        <v>1.0431045000000001</v>
      </c>
      <c r="F208" s="38">
        <f t="shared" ref="F208" si="516">D208/TRUNC(E208,6)</f>
        <v>14769775.392578304</v>
      </c>
      <c r="G208" s="19">
        <f t="shared" ref="G208" si="517">H208*I208</f>
        <v>15422324.724879606</v>
      </c>
      <c r="H208" s="31">
        <v>1.0649516999999999</v>
      </c>
      <c r="I208" s="19">
        <f>SUMIFS([1]Master!$K$2:$K$10000,[1]Master!$A$2:$A$10000,$I$12,[1]Master!$F$2:$F$10000,"&lt;="&amp;$C208)</f>
        <v>14481712.855972348</v>
      </c>
      <c r="J208" s="19">
        <f t="shared" ref="J208" si="518">((((1+1.85%)^(1/252))-1)*D207)+SUM(J207)</f>
        <v>7907.2404107847387</v>
      </c>
      <c r="K208" s="19">
        <f>IF((NETWORKDAYS(DATE(YEAR(C208),MONTH(C208),1),C208,Feriados!$A$2:$A$842))&gt;=5,0,IF(NETWORKDAYS(DATE(YEAR(C208),MONTH(C208),1),C208,Feriados!$A$2:$A$842)=1,J207,K207))</f>
        <v>0</v>
      </c>
      <c r="L208" s="30">
        <v>-36435.944754750097</v>
      </c>
      <c r="M208" s="19">
        <f>VLOOKUP(C208,'Fluxo de Caixa'!$B$13:$U$10027,20,FALSE)</f>
        <v>25006.696232603288</v>
      </c>
      <c r="N208" s="19">
        <f>SUMIFS([1]Master!$J$2:$J$100,[1]Master!$A$2:$A$100,"="&amp;$I$12,[1]Master!$E$2:$E$100,"="&amp;C208,[1]Master!$J$2:$J$100,"&gt;"&amp;0)</f>
        <v>0</v>
      </c>
      <c r="O208" s="19">
        <f ca="1">-SUMIF('[1]Fluxo de Movimentações'!$A$5:$F$10001,"="&amp;$C209,'[1]Fluxo de Movimentações'!$B$5:$B$10001)</f>
        <v>0</v>
      </c>
      <c r="P208" s="19">
        <f>-SUMIFS([1]Master!$J$1:$J$200,[1]Master!$A$1:$A$200,"="&amp;$I$12,[1]Master!$G$1:$G$200,"&gt;"&amp;C208,[1]Master!$E$1:$E$200,"&lt;="&amp;C208)</f>
        <v>0</v>
      </c>
      <c r="Q208" s="30">
        <v>3423.3611000000001</v>
      </c>
      <c r="R208" s="32">
        <v>1.0455715000000001</v>
      </c>
      <c r="S208" s="30">
        <v>0</v>
      </c>
      <c r="T208" s="30">
        <v>0</v>
      </c>
      <c r="U208" s="30">
        <v>0</v>
      </c>
      <c r="V208" s="30">
        <v>0</v>
      </c>
    </row>
    <row r="209" spans="3:22" x14ac:dyDescent="0.25">
      <c r="C209" s="4">
        <v>45119</v>
      </c>
      <c r="D209" s="30">
        <v>15272193.5835</v>
      </c>
      <c r="E209" s="32">
        <v>1.0340172000000001</v>
      </c>
      <c r="F209" s="38">
        <f t="shared" ref="F209" si="519">D209/TRUNC(E209,6)</f>
        <v>14769770.306967875</v>
      </c>
      <c r="G209" s="19">
        <f t="shared" ref="G209" si="520">H209*I209</f>
        <v>15282091.058438798</v>
      </c>
      <c r="H209" s="31">
        <v>1.0552682</v>
      </c>
      <c r="I209" s="19">
        <f>SUMIFS([1]Master!$K$2:$K$10000,[1]Master!$A$2:$A$10000,$I$12,[1]Master!$F$2:$F$10000,"&lt;="&amp;$C209)</f>
        <v>14481712.855972348</v>
      </c>
      <c r="J209" s="19">
        <f t="shared" ref="J209" si="521">((((1+1.85%)^(1/252))-1)*D208)+SUM(J208)</f>
        <v>9027.9727089308089</v>
      </c>
      <c r="K209" s="19">
        <f>IF((NETWORKDAYS(DATE(YEAR(C209),MONTH(C209),1),C209,Feriados!$A$2:$A$842))&gt;=5,0,IF(NETWORKDAYS(DATE(YEAR(C209),MONTH(C209),1),C209,Feriados!$A$2:$A$842)=1,J208,K208))</f>
        <v>0</v>
      </c>
      <c r="L209" s="30">
        <v>-29228.188285152399</v>
      </c>
      <c r="M209" s="19">
        <f>VLOOKUP(C209,'Fluxo de Caixa'!$B$13:$U$10027,20,FALSE)</f>
        <v>25006.696232603281</v>
      </c>
      <c r="N209" s="19">
        <f>SUMIFS([1]Master!$J$2:$J$100,[1]Master!$A$2:$A$100,"="&amp;$I$12,[1]Master!$E$2:$E$100,"="&amp;C209,[1]Master!$J$2:$J$100,"&gt;"&amp;0)</f>
        <v>100000</v>
      </c>
      <c r="O209" s="19">
        <f ca="1">-SUMIF('[1]Fluxo de Movimentações'!$A$5:$F$10001,"="&amp;$C210,'[1]Fluxo de Movimentações'!$B$5:$B$10001)</f>
        <v>-100000</v>
      </c>
      <c r="P209" s="19">
        <f>-SUMIFS([1]Master!$J$1:$J$200,[1]Master!$A$1:$A$200,"="&amp;$I$12,[1]Master!$G$1:$G$200,"&gt;"&amp;C209,[1]Master!$E$1:$E$200,"&lt;="&amp;C209)</f>
        <v>0</v>
      </c>
      <c r="Q209" s="30">
        <v>3351.7935000000002</v>
      </c>
      <c r="R209" s="32">
        <v>1.0359961</v>
      </c>
      <c r="S209" s="30">
        <v>0</v>
      </c>
      <c r="T209" s="30">
        <v>0</v>
      </c>
      <c r="U209" s="30">
        <v>0</v>
      </c>
      <c r="V209" s="30">
        <v>0</v>
      </c>
    </row>
    <row r="210" spans="3:22" x14ac:dyDescent="0.25">
      <c r="C210" s="4">
        <v>45120</v>
      </c>
      <c r="D210" s="30">
        <v>15371246.2059</v>
      </c>
      <c r="E210" s="32">
        <v>1.0339529999999999</v>
      </c>
      <c r="F210" s="38">
        <f t="shared" ref="F210" si="522">D210/TRUNC(E210,6)</f>
        <v>14866484.459061487</v>
      </c>
      <c r="G210" s="19">
        <f t="shared" ref="G210" si="523">H210*I210</f>
        <v>15382141.744433796</v>
      </c>
      <c r="H210" s="31">
        <v>1.0552717</v>
      </c>
      <c r="I210" s="19">
        <f>SUMIFS([1]Master!$K$2:$K$10000,[1]Master!$A$2:$A$10000,$I$12,[1]Master!$F$2:$F$10000,"&lt;="&amp;$C210)</f>
        <v>14576475.181163102</v>
      </c>
      <c r="J210" s="19">
        <f t="shared" ref="J210" si="524">((((1+1.85%)^(1/252))-1)*D209)+SUM(J209)</f>
        <v>10138.941365659513</v>
      </c>
      <c r="K210" s="19">
        <f>IF((NETWORKDAYS(DATE(YEAR(C210),MONTH(C210),1),C210,Feriados!$A$2:$A$842))&gt;=5,0,IF(NETWORKDAYS(DATE(YEAR(C210),MONTH(C210),1),C210,Feriados!$A$2:$A$842)=1,J209,K209))</f>
        <v>0</v>
      </c>
      <c r="L210" s="30">
        <v>-29043.705981174298</v>
      </c>
      <c r="M210" s="19">
        <f>VLOOKUP(C210,'Fluxo de Caixa'!$B$13:$U$10027,20,FALSE)</f>
        <v>25006.696232603281</v>
      </c>
      <c r="N210" s="19">
        <f>SUMIFS([1]Master!$J$2:$J$100,[1]Master!$A$2:$A$100,"="&amp;$I$12,[1]Master!$E$2:$E$100,"="&amp;C210,[1]Master!$J$2:$J$100,"&gt;"&amp;0)</f>
        <v>0</v>
      </c>
      <c r="O210" s="19">
        <f ca="1">-SUMIF('[1]Fluxo de Movimentações'!$A$5:$F$10001,"="&amp;$C211,'[1]Fluxo de Movimentações'!$B$5:$B$10001)</f>
        <v>0</v>
      </c>
      <c r="P210" s="19">
        <f>-SUMIFS([1]Master!$J$1:$J$200,[1]Master!$A$1:$A$200,"="&amp;$I$12,[1]Master!$G$1:$G$200,"&gt;"&amp;C210,[1]Master!$E$1:$E$200,"&lt;="&amp;C210)</f>
        <v>0</v>
      </c>
      <c r="Q210" s="30">
        <v>3280.2258999999999</v>
      </c>
      <c r="R210" s="32">
        <v>1.0359195000000001</v>
      </c>
      <c r="S210" s="30">
        <v>0</v>
      </c>
      <c r="T210" s="30">
        <v>0</v>
      </c>
      <c r="U210" s="30">
        <v>0</v>
      </c>
      <c r="V210" s="30">
        <v>0</v>
      </c>
    </row>
    <row r="211" spans="3:22" x14ac:dyDescent="0.25">
      <c r="C211" s="4">
        <v>45121</v>
      </c>
      <c r="D211" s="30">
        <v>15118883.5283</v>
      </c>
      <c r="E211" s="32">
        <v>1.0169778</v>
      </c>
      <c r="F211" s="38">
        <f t="shared" ref="F211" si="525">D211/TRUNC(E211,6)</f>
        <v>14866495.041972434</v>
      </c>
      <c r="G211" s="19">
        <f t="shared" ref="G211" si="526">H211*I211</f>
        <v>15120816.155033421</v>
      </c>
      <c r="H211" s="31">
        <v>1.0373437999999999</v>
      </c>
      <c r="I211" s="19">
        <f>SUMIFS([1]Master!$K$2:$K$10000,[1]Master!$A$2:$A$10000,$I$12,[1]Master!$F$2:$F$10000,"&lt;="&amp;$C211)</f>
        <v>14576475.181163102</v>
      </c>
      <c r="J211" s="19">
        <f t="shared" ref="J211" si="527">((((1+1.85%)^(1/252))-1)*D210)+SUM(J210)</f>
        <v>11257.115559579161</v>
      </c>
      <c r="K211" s="19">
        <f>IF((NETWORKDAYS(DATE(YEAR(C211),MONTH(C211),1),C211,Feriados!$A$2:$A$842))&gt;=5,0,IF(NETWORKDAYS(DATE(YEAR(C211),MONTH(C211),1),C211,Feriados!$A$2:$A$842)=1,J210,K210))</f>
        <v>0</v>
      </c>
      <c r="L211" s="30">
        <v>-18891.099999999999</v>
      </c>
      <c r="M211" s="19">
        <f>VLOOKUP(C211,'Fluxo de Caixa'!$B$13:$U$10027,20,FALSE)</f>
        <v>24419.516232603281</v>
      </c>
      <c r="N211" s="19">
        <f>SUMIFS([1]Master!$J$2:$J$100,[1]Master!$A$2:$A$100,"="&amp;$I$12,[1]Master!$E$2:$E$100,"="&amp;C211,[1]Master!$J$2:$J$100,"&gt;"&amp;0)</f>
        <v>0</v>
      </c>
      <c r="O211" s="19">
        <f ca="1">-SUMIF('[1]Fluxo de Movimentações'!$A$5:$F$10001,"="&amp;$C212,'[1]Fluxo de Movimentações'!$B$5:$B$10001)</f>
        <v>0</v>
      </c>
      <c r="P211" s="19">
        <f>-SUMIFS([1]Master!$J$1:$J$200,[1]Master!$A$1:$A$200,"="&amp;$I$12,[1]Master!$G$1:$G$200,"&gt;"&amp;C211,[1]Master!$E$1:$E$200,"&lt;="&amp;C211)</f>
        <v>0</v>
      </c>
      <c r="Q211" s="30">
        <v>3795.8382999999999</v>
      </c>
      <c r="R211" s="32">
        <v>1.0182484999999999</v>
      </c>
      <c r="S211" s="30">
        <v>0</v>
      </c>
      <c r="T211" s="30">
        <v>0</v>
      </c>
      <c r="U211" s="30">
        <v>0</v>
      </c>
      <c r="V211" s="30">
        <v>0</v>
      </c>
    </row>
    <row r="212" spans="3:22" x14ac:dyDescent="0.25">
      <c r="C212" s="4">
        <v>45124</v>
      </c>
      <c r="D212" s="30">
        <v>15220381.970699999</v>
      </c>
      <c r="E212" s="32">
        <v>1.0238050999999999</v>
      </c>
      <c r="F212" s="38">
        <f t="shared" ref="F212" si="528">D212/TRUNC(E212,6)</f>
        <v>14866485.288409412</v>
      </c>
      <c r="G212" s="19">
        <f t="shared" ref="G212" si="529">H212*I212</f>
        <v>15227196.728553068</v>
      </c>
      <c r="H212" s="31">
        <v>1.0446419</v>
      </c>
      <c r="I212" s="19">
        <f>SUMIFS([1]Master!$K$2:$K$10000,[1]Master!$A$2:$A$10000,$I$12,[1]Master!$F$2:$F$10000,"&lt;="&amp;$C212)</f>
        <v>14576475.181163102</v>
      </c>
      <c r="J212" s="19">
        <f t="shared" ref="J212" si="530">((((1+1.85%)^(1/252))-1)*D211)+SUM(J211)</f>
        <v>12356.931747269457</v>
      </c>
      <c r="K212" s="19">
        <f>IF((NETWORKDAYS(DATE(YEAR(C212),MONTH(C212),1),C212,Feriados!$A$2:$A$842))&gt;=5,0,IF(NETWORKDAYS(DATE(YEAR(C212),MONTH(C212),1),C212,Feriados!$A$2:$A$842)=1,J211,K211))</f>
        <v>0</v>
      </c>
      <c r="L212" s="30">
        <v>-22601.828732206701</v>
      </c>
      <c r="M212" s="19">
        <f>VLOOKUP(C212,'Fluxo de Caixa'!$B$13:$U$10027,20,FALSE)</f>
        <v>24419.516232603281</v>
      </c>
      <c r="N212" s="19">
        <f>SUMIFS([1]Master!$J$2:$J$100,[1]Master!$A$2:$A$100,"="&amp;$I$12,[1]Master!$E$2:$E$100,"="&amp;C212,[1]Master!$J$2:$J$100,"&gt;"&amp;0)</f>
        <v>0</v>
      </c>
      <c r="O212" s="19">
        <f ca="1">-SUMIF('[1]Fluxo de Movimentações'!$A$5:$F$10001,"="&amp;$C213,'[1]Fluxo de Movimentações'!$B$5:$B$10001)</f>
        <v>0</v>
      </c>
      <c r="P212" s="19">
        <f>-SUMIFS([1]Master!$J$1:$J$200,[1]Master!$A$1:$A$200,"="&amp;$I$12,[1]Master!$G$1:$G$200,"&gt;"&amp;C212,[1]Master!$E$1:$E$200,"&lt;="&amp;C212)</f>
        <v>0</v>
      </c>
      <c r="Q212" s="30">
        <v>3724.2707</v>
      </c>
      <c r="R212" s="32">
        <v>1.0253254000000001</v>
      </c>
      <c r="S212" s="30">
        <v>0</v>
      </c>
      <c r="T212" s="30">
        <v>0</v>
      </c>
      <c r="U212" s="30">
        <v>0</v>
      </c>
      <c r="V212" s="30">
        <v>0</v>
      </c>
    </row>
    <row r="213" spans="3:22" x14ac:dyDescent="0.25">
      <c r="C213" s="4">
        <v>45125</v>
      </c>
      <c r="D213" s="30">
        <v>15187348.413699999</v>
      </c>
      <c r="E213" s="32">
        <v>1.0215831</v>
      </c>
      <c r="F213" s="38">
        <f t="shared" ref="F213" si="531">D213/TRUNC(E213,6)</f>
        <v>14866485.066509526</v>
      </c>
      <c r="G213" s="19">
        <f t="shared" ref="G213" si="532">H213*I213</f>
        <v>15193962.365140015</v>
      </c>
      <c r="H213" s="31">
        <v>1.0423619</v>
      </c>
      <c r="I213" s="19">
        <f>SUMIFS([1]Master!$K$2:$K$10000,[1]Master!$A$2:$A$10000,$I$12,[1]Master!$F$2:$F$10000,"&lt;="&amp;$C213)</f>
        <v>14576475.181163102</v>
      </c>
      <c r="J213" s="19">
        <f t="shared" ref="J213" si="533">((((1+1.85%)^(1/252))-1)*D212)+SUM(J212)</f>
        <v>13464.131392195066</v>
      </c>
      <c r="K213" s="19">
        <f>IF((NETWORKDAYS(DATE(YEAR(C213),MONTH(C213),1),C213,Feriados!$A$2:$A$842))&gt;=5,0,IF(NETWORKDAYS(DATE(YEAR(C213),MONTH(C213),1),C213,Feriados!$A$2:$A$842)=1,J212,K212))</f>
        <v>0</v>
      </c>
      <c r="L213" s="30">
        <v>-21222.258707598899</v>
      </c>
      <c r="M213" s="19">
        <f>VLOOKUP(C213,'Fluxo de Caixa'!$B$13:$U$10027,20,FALSE)</f>
        <v>24419.516232603281</v>
      </c>
      <c r="N213" s="19">
        <f>SUMIFS([1]Master!$J$2:$J$100,[1]Master!$A$2:$A$100,"="&amp;$I$12,[1]Master!$E$2:$E$100,"="&amp;C213,[1]Master!$J$2:$J$100,"&gt;"&amp;0)</f>
        <v>0</v>
      </c>
      <c r="O213" s="19">
        <f ca="1">-SUMIF('[1]Fluxo de Movimentações'!$A$5:$F$10001,"="&amp;$C214,'[1]Fluxo de Movimentações'!$B$5:$B$10001)</f>
        <v>0</v>
      </c>
      <c r="P213" s="19">
        <f>-SUMIFS([1]Master!$J$1:$J$200,[1]Master!$A$1:$A$200,"="&amp;$I$12,[1]Master!$G$1:$G$200,"&gt;"&amp;C213,[1]Master!$E$1:$E$200,"&lt;="&amp;C213)</f>
        <v>0</v>
      </c>
      <c r="Q213" s="30">
        <v>3652.7037</v>
      </c>
      <c r="R213" s="32">
        <v>1.0230106000000001</v>
      </c>
      <c r="S213" s="30">
        <v>0</v>
      </c>
      <c r="T213" s="30">
        <v>0</v>
      </c>
      <c r="U213" s="30">
        <v>0</v>
      </c>
      <c r="V213" s="30">
        <v>0</v>
      </c>
    </row>
    <row r="214" spans="3:22" x14ac:dyDescent="0.25">
      <c r="C214" s="4">
        <v>45126</v>
      </c>
      <c r="D214" s="30">
        <v>15094807.7761</v>
      </c>
      <c r="E214" s="32">
        <v>1.0153582999999999</v>
      </c>
      <c r="F214" s="38">
        <f t="shared" ref="F214" si="534">D214/TRUNC(E214,6)</f>
        <v>14866488.24956321</v>
      </c>
      <c r="G214" s="19">
        <f t="shared" ref="G214" si="535">H214*I214</f>
        <v>15098982.052859556</v>
      </c>
      <c r="H214" s="31">
        <v>1.0358459</v>
      </c>
      <c r="I214" s="19">
        <f>SUMIFS([1]Master!$K$2:$K$10000,[1]Master!$A$2:$A$10000,$I$12,[1]Master!$F$2:$F$10000,"&lt;="&amp;$C214)</f>
        <v>14576475.181163102</v>
      </c>
      <c r="J214" s="19">
        <f t="shared" ref="J214" si="536">((((1+1.85%)^(1/252))-1)*D213)+SUM(J213)</f>
        <v>14568.928026299302</v>
      </c>
      <c r="K214" s="19">
        <f>IF((NETWORKDAYS(DATE(YEAR(C214),MONTH(C214),1),C214,Feriados!$A$2:$A$842))&gt;=5,0,IF(NETWORKDAYS(DATE(YEAR(C214),MONTH(C214),1),C214,Feriados!$A$2:$A$842)=1,J213,K213))</f>
        <v>0</v>
      </c>
      <c r="L214" s="30">
        <v>-17610.888582101801</v>
      </c>
      <c r="M214" s="19">
        <f>VLOOKUP(C214,'Fluxo de Caixa'!$B$13:$U$10027,20,FALSE)</f>
        <v>24419.516232603281</v>
      </c>
      <c r="N214" s="19">
        <f>SUMIFS([1]Master!$J$2:$J$100,[1]Master!$A$2:$A$100,"="&amp;$I$12,[1]Master!$E$2:$E$100,"="&amp;C214,[1]Master!$J$2:$J$100,"&gt;"&amp;0)</f>
        <v>0</v>
      </c>
      <c r="O214" s="19">
        <f ca="1">-SUMIF('[1]Fluxo de Movimentações'!$A$5:$F$10001,"="&amp;$C215,'[1]Fluxo de Movimentações'!$B$5:$B$10001)</f>
        <v>0</v>
      </c>
      <c r="P214" s="19">
        <f>-SUMIFS([1]Master!$J$1:$J$200,[1]Master!$A$1:$A$200,"="&amp;$I$12,[1]Master!$G$1:$G$200,"&gt;"&amp;C214,[1]Master!$E$1:$E$200,"&lt;="&amp;C214)</f>
        <v>0</v>
      </c>
      <c r="Q214" s="30">
        <v>3585.7961</v>
      </c>
      <c r="R214" s="32">
        <v>1.0165428999999999</v>
      </c>
      <c r="S214" s="30">
        <v>0</v>
      </c>
      <c r="T214" s="30">
        <v>0</v>
      </c>
      <c r="U214" s="30">
        <v>0</v>
      </c>
      <c r="V214" s="30">
        <v>0</v>
      </c>
    </row>
    <row r="215" spans="3:22" x14ac:dyDescent="0.25">
      <c r="C215" s="4">
        <v>45127</v>
      </c>
      <c r="D215" s="30">
        <v>15100689.7785</v>
      </c>
      <c r="E215" s="32">
        <v>1.0157539</v>
      </c>
      <c r="F215" s="38">
        <f t="shared" ref="F215" si="537">D215/TRUNC(E215,6)</f>
        <v>14866497.838057088</v>
      </c>
      <c r="G215" s="19">
        <f t="shared" ref="G215" si="538">H215*I215</f>
        <v>15106108.491575627</v>
      </c>
      <c r="H215" s="31">
        <v>1.0363347999999999</v>
      </c>
      <c r="I215" s="19">
        <f>SUMIFS([1]Master!$K$2:$K$10000,[1]Master!$A$2:$A$10000,$I$12,[1]Master!$F$2:$F$10000,"&lt;="&amp;$C215)</f>
        <v>14576475.181163102</v>
      </c>
      <c r="J215" s="19">
        <f t="shared" ref="J215" si="539">((((1+1.85%)^(1/252))-1)*D214)+SUM(J214)</f>
        <v>15666.992834534176</v>
      </c>
      <c r="K215" s="19">
        <f>IF((NETWORKDAYS(DATE(YEAR(C215),MONTH(C215),1),C215,Feriados!$A$2:$A$842))&gt;=5,0,IF(NETWORKDAYS(DATE(YEAR(C215),MONTH(C215),1),C215,Feriados!$A$2:$A$842)=1,J214,K214))</f>
        <v>0</v>
      </c>
      <c r="L215" s="30">
        <v>-17690.369899743899</v>
      </c>
      <c r="M215" s="19">
        <f>VLOOKUP(C215,'Fluxo de Caixa'!$B$13:$U$10027,20,FALSE)</f>
        <v>24419.516232603281</v>
      </c>
      <c r="N215" s="19">
        <f>SUMIFS([1]Master!$J$2:$J$100,[1]Master!$A$2:$A$100,"="&amp;$I$12,[1]Master!$E$2:$E$100,"="&amp;C215,[1]Master!$J$2:$J$100,"&gt;"&amp;0)</f>
        <v>0</v>
      </c>
      <c r="O215" s="19">
        <f ca="1">-SUMIF('[1]Fluxo de Movimentações'!$A$5:$F$10001,"="&amp;$C216,'[1]Fluxo de Movimentações'!$B$5:$B$10001)</f>
        <v>0</v>
      </c>
      <c r="P215" s="19">
        <f>-SUMIFS([1]Master!$J$1:$J$200,[1]Master!$A$1:$A$200,"="&amp;$I$12,[1]Master!$G$1:$G$200,"&gt;"&amp;C215,[1]Master!$E$1:$E$200,"&lt;="&amp;C215)</f>
        <v>0</v>
      </c>
      <c r="Q215" s="30">
        <v>3518.8885</v>
      </c>
      <c r="R215" s="32">
        <v>1.0169439</v>
      </c>
      <c r="S215" s="30">
        <v>0</v>
      </c>
      <c r="T215" s="30">
        <v>0</v>
      </c>
      <c r="U215" s="30">
        <v>0</v>
      </c>
      <c r="V215" s="30">
        <v>0</v>
      </c>
    </row>
    <row r="216" spans="3:22" x14ac:dyDescent="0.25">
      <c r="C216" s="4">
        <v>45128</v>
      </c>
      <c r="D216" s="30">
        <v>15317754.730900001</v>
      </c>
      <c r="E216" s="32">
        <v>1.0303549000000001</v>
      </c>
      <c r="F216" s="38">
        <f t="shared" ref="F216" si="540">D216/TRUNC(E216,6)</f>
        <v>14866497.078576878</v>
      </c>
      <c r="G216" s="19">
        <f t="shared" ref="G216" si="541">H216*I216</f>
        <v>15332594.847645504</v>
      </c>
      <c r="H216" s="31">
        <v>1.0518726</v>
      </c>
      <c r="I216" s="19">
        <f>SUMIFS([1]Master!$K$2:$K$10000,[1]Master!$A$2:$A$10000,$I$12,[1]Master!$F$2:$F$10000,"&lt;="&amp;$C216)</f>
        <v>14576475.181163102</v>
      </c>
      <c r="J216" s="19">
        <f t="shared" ref="J216" si="542">((((1+1.85%)^(1/252))-1)*D215)+SUM(J215)</f>
        <v>16765.485526312397</v>
      </c>
      <c r="K216" s="19">
        <f>IF((NETWORKDAYS(DATE(YEAR(C216),MONTH(C216),1),C216,Feriados!$A$2:$A$842))&gt;=5,0,IF(NETWORKDAYS(DATE(YEAR(C216),MONTH(C216),1),C216,Feriados!$A$2:$A$842)=1,J215,K215))</f>
        <v>0</v>
      </c>
      <c r="L216" s="30">
        <v>-25946.388780457401</v>
      </c>
      <c r="M216" s="19">
        <f>VLOOKUP(C216,'Fluxo de Caixa'!$B$13:$U$10027,20,FALSE)</f>
        <v>24419.516232603281</v>
      </c>
      <c r="N216" s="19">
        <f>SUMIFS([1]Master!$J$2:$J$100,[1]Master!$A$2:$A$100,"="&amp;$I$12,[1]Master!$E$2:$E$100,"="&amp;C216,[1]Master!$J$2:$J$100,"&gt;"&amp;0)</f>
        <v>0</v>
      </c>
      <c r="O216" s="19">
        <f ca="1">-SUMIF('[1]Fluxo de Movimentações'!$A$5:$F$10001,"="&amp;$C217,'[1]Fluxo de Movimentações'!$B$5:$B$10001)</f>
        <v>0</v>
      </c>
      <c r="P216" s="19">
        <f>-SUMIFS([1]Master!$J$1:$J$200,[1]Master!$A$1:$A$200,"="&amp;$I$12,[1]Master!$G$1:$G$200,"&gt;"&amp;C216,[1]Master!$E$1:$E$200,"&lt;="&amp;C216)</f>
        <v>0</v>
      </c>
      <c r="Q216" s="30">
        <v>3451.9809</v>
      </c>
      <c r="R216" s="32">
        <v>1.0321001999999999</v>
      </c>
      <c r="S216" s="30">
        <v>0</v>
      </c>
      <c r="T216" s="30">
        <v>0</v>
      </c>
      <c r="U216" s="30">
        <v>0</v>
      </c>
      <c r="V216" s="30">
        <v>0</v>
      </c>
    </row>
    <row r="217" spans="3:22" x14ac:dyDescent="0.25">
      <c r="C217" s="4">
        <f>WORKDAY($C216,1,Feriados!$A$2:$A$843)</f>
        <v>45131</v>
      </c>
      <c r="D217" s="30">
        <v>15452043.5833</v>
      </c>
      <c r="E217" s="32">
        <v>1.0393878999999999</v>
      </c>
      <c r="F217" s="38">
        <f t="shared" ref="F217" si="543">D217/TRUNC(E217,6)</f>
        <v>14866496.871040333</v>
      </c>
      <c r="G217" s="19">
        <f t="shared" ref="G217" si="544">H217*I217</f>
        <v>15474205.304030502</v>
      </c>
      <c r="H217" s="31">
        <v>1.0615876</v>
      </c>
      <c r="I217" s="19">
        <f>SUMIFS([1]Master!$K$2:$K$10000,[1]Master!$A$2:$A$10000,$I$12,[1]Master!$F$2:$F$10000,"&lt;="&amp;$C217)</f>
        <v>14576475.181163102</v>
      </c>
      <c r="J217" s="19">
        <f t="shared" ref="J217" si="545">((((1+1.85%)^(1/252))-1)*D216)+SUM(J216)</f>
        <v>17879.768507630379</v>
      </c>
      <c r="K217" s="19">
        <f>IF((NETWORKDAYS(DATE(YEAR(C217),MONTH(C217),1),C217,Feriados!$A$2:$A$842))&gt;=5,0,IF(NETWORKDAYS(DATE(YEAR(C217),MONTH(C217),1),C217,Feriados!$A$2:$A$842)=1,J216,K216))</f>
        <v>0</v>
      </c>
      <c r="L217" s="30">
        <v>-32086.765965937801</v>
      </c>
      <c r="M217" s="19">
        <f>VLOOKUP(C217,'Fluxo de Caixa'!$B$13:$U$10027,20,FALSE)</f>
        <v>24419.516232603281</v>
      </c>
      <c r="N217" s="19">
        <f>SUMIFS([1]Master!$J$2:$J$100,[1]Master!$A$2:$A$100,"="&amp;$I$12,[1]Master!$E$2:$E$100,"="&amp;C217,[1]Master!$J$2:$J$100,"&gt;"&amp;0)</f>
        <v>0</v>
      </c>
      <c r="O217" s="19">
        <f ca="1">-SUMIF('[1]Fluxo de Movimentações'!$A$5:$F$10001,"="&amp;$C218,'[1]Fluxo de Movimentações'!$B$5:$B$10001)</f>
        <v>0</v>
      </c>
      <c r="P217" s="19">
        <f>-SUMIFS([1]Master!$J$1:$J$200,[1]Master!$A$1:$A$200,"="&amp;$I$12,[1]Master!$G$1:$G$200,"&gt;"&amp;C217,[1]Master!$E$1:$E$200,"&lt;="&amp;C217)</f>
        <v>0</v>
      </c>
      <c r="Q217" s="30">
        <v>3385.0733</v>
      </c>
      <c r="R217" s="32">
        <v>1.0415462</v>
      </c>
      <c r="S217" s="30">
        <v>0</v>
      </c>
      <c r="T217" s="30">
        <v>0</v>
      </c>
      <c r="U217" s="30">
        <v>0</v>
      </c>
      <c r="V217" s="30">
        <v>0</v>
      </c>
    </row>
    <row r="218" spans="3:22" x14ac:dyDescent="0.25">
      <c r="C218" s="4">
        <f>WORKDAY($C217,1,Feriados!$A$2:$A$843)</f>
        <v>45132</v>
      </c>
      <c r="D218" s="30">
        <v>15521792.8057</v>
      </c>
      <c r="E218" s="32">
        <v>1.0440796000000001</v>
      </c>
      <c r="F218" s="38">
        <f t="shared" ref="F218" si="546">D218/TRUNC(E218,6)</f>
        <v>14866492.675075354</v>
      </c>
      <c r="G218" s="19">
        <f t="shared" ref="G218" si="547">H218*I218</f>
        <v>15548669.227493474</v>
      </c>
      <c r="H218" s="31">
        <v>1.0666960999999999</v>
      </c>
      <c r="I218" s="19">
        <f>SUMIFS([1]Master!$K$2:$K$10000,[1]Master!$A$2:$A$10000,$I$12,[1]Master!$F$2:$F$10000,"&lt;="&amp;$C218)</f>
        <v>14576475.181163102</v>
      </c>
      <c r="J218" s="19">
        <f t="shared" ref="J218" si="548">((((1+1.85%)^(1/252))-1)*D217)+SUM(J217)</f>
        <v>19003.82026938902</v>
      </c>
      <c r="K218" s="19">
        <f>IF((NETWORKDAYS(DATE(YEAR(C218),MONTH(C218),1),C218,Feriados!$A$2:$A$842))&gt;=5,0,IF(NETWORKDAYS(DATE(YEAR(C218),MONTH(C218),1),C218,Feriados!$A$2:$A$842)=1,J217,K217))</f>
        <v>0</v>
      </c>
      <c r="L218" s="30">
        <v>-35610.5097918592</v>
      </c>
      <c r="M218" s="19">
        <f>VLOOKUP(C218,'Fluxo de Caixa'!$B$13:$U$10027,20,FALSE)</f>
        <v>24419.516232603281</v>
      </c>
      <c r="N218" s="19">
        <f>SUMIFS([1]Master!$J$2:$J$100,[1]Master!$A$2:$A$100,"="&amp;$I$12,[1]Master!$E$2:$E$100,"="&amp;C218,[1]Master!$J$2:$J$100,"&gt;"&amp;0)</f>
        <v>0</v>
      </c>
      <c r="O218" s="19">
        <f ca="1">-SUMIF('[1]Fluxo de Movimentações'!$A$5:$F$10001,"="&amp;$C219,'[1]Fluxo de Movimentações'!$B$5:$B$10001)</f>
        <v>0</v>
      </c>
      <c r="P218" s="19">
        <f>-SUMIFS([1]Master!$J$1:$J$200,[1]Master!$A$1:$A$200,"="&amp;$I$12,[1]Master!$G$1:$G$200,"&gt;"&amp;C218,[1]Master!$E$1:$E$200,"&lt;="&amp;C218)</f>
        <v>0</v>
      </c>
      <c r="Q218" s="30">
        <v>3318.1657</v>
      </c>
      <c r="R218" s="32">
        <v>1.046475</v>
      </c>
      <c r="S218" s="30">
        <v>0</v>
      </c>
      <c r="T218" s="30">
        <v>0</v>
      </c>
      <c r="U218" s="30">
        <v>0</v>
      </c>
      <c r="V218" s="30">
        <v>0</v>
      </c>
    </row>
    <row r="219" spans="3:22" x14ac:dyDescent="0.25">
      <c r="C219" s="4">
        <f>WORKDAY($C218,1,Feriados!$A$2:$A$843)</f>
        <v>45133</v>
      </c>
      <c r="D219" s="30">
        <v>15576388.8981</v>
      </c>
      <c r="E219" s="32">
        <v>1.047752</v>
      </c>
      <c r="F219" s="38">
        <f t="shared" ref="F219" si="549">D219/TRUNC(E219,6)</f>
        <v>14866484.528877063</v>
      </c>
      <c r="G219" s="19">
        <f t="shared" ref="G219" si="550">H219*I219</f>
        <v>15607228.758886281</v>
      </c>
      <c r="H219" s="31">
        <v>1.0707135000000001</v>
      </c>
      <c r="I219" s="19">
        <f>SUMIFS([1]Master!$K$2:$K$10000,[1]Master!$A$2:$A$10000,$I$12,[1]Master!$F$2:$F$10000,"&lt;="&amp;$C219)</f>
        <v>14576475.181163102</v>
      </c>
      <c r="J219" s="19">
        <f t="shared" ref="J219" si="551">((((1+1.85%)^(1/252))-1)*D218)+SUM(J218)</f>
        <v>20132.945906062479</v>
      </c>
      <c r="K219" s="19">
        <f>IF((NETWORKDAYS(DATE(YEAR(C219),MONTH(C219),1),C219,Feriados!$A$2:$A$842))&gt;=5,0,IF(NETWORKDAYS(DATE(YEAR(C219),MONTH(C219),1),C219,Feriados!$A$2:$A$842)=1,J218,K218))</f>
        <v>0</v>
      </c>
      <c r="L219" s="30">
        <v>-38377.940223521196</v>
      </c>
      <c r="M219" s="19">
        <f>VLOOKUP(C219,'Fluxo de Caixa'!$B$13:$U$10027,20,FALSE)</f>
        <v>24419.516232603281</v>
      </c>
      <c r="N219" s="19">
        <f>SUMIFS([1]Master!$J$2:$J$100,[1]Master!$A$2:$A$100,"="&amp;$I$12,[1]Master!$E$2:$E$100,"="&amp;C219,[1]Master!$J$2:$J$100,"&gt;"&amp;0)</f>
        <v>0</v>
      </c>
      <c r="O219" s="19">
        <f ca="1">-SUMIF('[1]Fluxo de Movimentações'!$A$5:$F$10001,"="&amp;$C220,'[1]Fluxo de Movimentações'!$B$5:$B$10001)</f>
        <v>0</v>
      </c>
      <c r="P219" s="19">
        <f>-SUMIFS([1]Master!$J$1:$J$200,[1]Master!$A$1:$A$200,"="&amp;$I$12,[1]Master!$G$1:$G$200,"&gt;"&amp;C219,[1]Master!$E$1:$E$200,"&lt;="&amp;C219)</f>
        <v>0</v>
      </c>
      <c r="Q219" s="30">
        <v>3251.2581</v>
      </c>
      <c r="R219" s="32">
        <v>1.0503335</v>
      </c>
      <c r="S219" s="30">
        <v>0</v>
      </c>
      <c r="T219" s="30">
        <v>0</v>
      </c>
      <c r="U219" s="30">
        <v>0</v>
      </c>
      <c r="V219" s="30">
        <v>0</v>
      </c>
    </row>
    <row r="220" spans="3:22" x14ac:dyDescent="0.25">
      <c r="C220" s="4">
        <f>WORKDAY($C219,1,Feriados!$A$2:$A$843)</f>
        <v>45134</v>
      </c>
      <c r="D220" s="30">
        <v>15504501.080499999</v>
      </c>
      <c r="E220" s="32">
        <v>1.0429165</v>
      </c>
      <c r="F220" s="38">
        <f t="shared" ref="F220" si="552">D220/TRUNC(E220,6)</f>
        <v>14866490.762918586</v>
      </c>
      <c r="G220" s="19">
        <f t="shared" ref="G220" si="553">H220*I220</f>
        <v>15532505.374165082</v>
      </c>
      <c r="H220" s="31">
        <v>1.0655872</v>
      </c>
      <c r="I220" s="19">
        <f>SUMIFS([1]Master!$K$2:$K$10000,[1]Master!$A$2:$A$10000,$I$12,[1]Master!$F$2:$F$10000,"&lt;="&amp;$C220)</f>
        <v>14576475.181163102</v>
      </c>
      <c r="J220" s="19">
        <f t="shared" ref="J220" si="554">((((1+1.85%)^(1/252))-1)*D219)+SUM(J219)</f>
        <v>21266.043110219332</v>
      </c>
      <c r="K220" s="19">
        <f>IF((NETWORKDAYS(DATE(YEAR(C220),MONTH(C220),1),C220,Feriados!$A$2:$A$842))&gt;=5,0,IF(NETWORKDAYS(DATE(YEAR(C220),MONTH(C220),1),C220,Feriados!$A$2:$A$842)=1,J219,K219))</f>
        <v>0</v>
      </c>
      <c r="L220" s="30">
        <v>-34342.363568042798</v>
      </c>
      <c r="M220" s="19">
        <f>VLOOKUP(C220,'Fluxo de Caixa'!$B$13:$U$10027,20,FALSE)</f>
        <v>24419.516232603281</v>
      </c>
      <c r="N220" s="19">
        <f>SUMIFS([1]Master!$J$2:$J$100,[1]Master!$A$2:$A$100,"="&amp;$I$12,[1]Master!$E$2:$E$100,"="&amp;C220,[1]Master!$J$2:$J$100,"&gt;"&amp;0)</f>
        <v>0</v>
      </c>
      <c r="O220" s="19">
        <f ca="1">-SUMIF('[1]Fluxo de Movimentações'!$A$5:$F$10001,"="&amp;$C221,'[1]Fluxo de Movimentações'!$B$5:$B$10001)</f>
        <v>0</v>
      </c>
      <c r="P220" s="19">
        <f>-SUMIFS([1]Master!$J$1:$J$200,[1]Master!$A$1:$A$200,"="&amp;$I$12,[1]Master!$G$1:$G$200,"&gt;"&amp;C220,[1]Master!$E$1:$E$200,"&lt;="&amp;C220)</f>
        <v>0</v>
      </c>
      <c r="Q220" s="30">
        <v>3184.3505</v>
      </c>
      <c r="R220" s="32">
        <v>1.0452265000000001</v>
      </c>
      <c r="S220" s="30">
        <v>0</v>
      </c>
      <c r="T220" s="30">
        <v>0</v>
      </c>
      <c r="U220" s="30">
        <v>0</v>
      </c>
      <c r="V220" s="30">
        <v>0</v>
      </c>
    </row>
    <row r="221" spans="3:22" x14ac:dyDescent="0.25">
      <c r="C221" s="4">
        <f>WORKDAY($C220,1,Feriados!$A$2:$A$843)</f>
        <v>45135</v>
      </c>
      <c r="D221" s="30">
        <v>15558633.482899999</v>
      </c>
      <c r="E221" s="32">
        <v>1.0465576999999999</v>
      </c>
      <c r="F221" s="38">
        <f t="shared" ref="F221" si="555">D221/TRUNC(E221,6)</f>
        <v>14866494.116326202</v>
      </c>
      <c r="G221" s="19">
        <f t="shared" ref="G221" si="556">H221*I221</f>
        <v>15590529.948918739</v>
      </c>
      <c r="H221" s="31">
        <v>1.0695679</v>
      </c>
      <c r="I221" s="19">
        <f>SUMIFS([1]Master!$K$2:$K$10000,[1]Master!$A$2:$A$10000,$I$12,[1]Master!$F$2:$F$10000,"&lt;="&amp;$C221)</f>
        <v>14576475.181163102</v>
      </c>
      <c r="J221" s="19">
        <f t="shared" ref="J221" si="557">((((1+1.85%)^(1/252))-1)*D220)+SUM(J220)</f>
        <v>22393.910868342937</v>
      </c>
      <c r="K221" s="19">
        <f>IF((NETWORKDAYS(DATE(YEAR(C221),MONTH(C221),1),C221,Feriados!$A$2:$A$842))&gt;=5,0,IF(NETWORKDAYS(DATE(YEAR(C221),MONTH(C221),1),C221,Feriados!$A$2:$A$842)=1,J220,K220))</f>
        <v>0</v>
      </c>
      <c r="L221" s="30">
        <v>-37039.7791453182</v>
      </c>
      <c r="M221" s="19">
        <f>VLOOKUP(C221,'Fluxo de Caixa'!$B$13:$U$10027,20,FALSE)</f>
        <v>24419.516232603281</v>
      </c>
      <c r="N221" s="19">
        <f>SUMIFS([1]Master!$J$2:$J$100,[1]Master!$A$2:$A$100,"="&amp;$I$12,[1]Master!$E$2:$E$100,"="&amp;C221,[1]Master!$J$2:$J$100,"&gt;"&amp;0)</f>
        <v>0</v>
      </c>
      <c r="O221" s="19">
        <f ca="1">-SUMIF('[1]Fluxo de Movimentações'!$A$5:$F$10001,"="&amp;$C222,'[1]Fluxo de Movimentações'!$B$5:$B$10001)</f>
        <v>0</v>
      </c>
      <c r="P221" s="19">
        <f>-SUMIFS([1]Master!$J$1:$J$200,[1]Master!$A$1:$A$200,"="&amp;$I$12,[1]Master!$G$1:$G$200,"&gt;"&amp;C221,[1]Master!$E$1:$E$200,"&lt;="&amp;C221)</f>
        <v>0</v>
      </c>
      <c r="Q221" s="30">
        <v>3117.4429</v>
      </c>
      <c r="R221" s="32">
        <v>1.0490492</v>
      </c>
      <c r="S221" s="30">
        <v>0</v>
      </c>
      <c r="T221" s="30">
        <v>0</v>
      </c>
      <c r="U221" s="30">
        <v>0</v>
      </c>
      <c r="V221" s="30">
        <v>0</v>
      </c>
    </row>
    <row r="222" spans="3:22" x14ac:dyDescent="0.25">
      <c r="C222" s="4">
        <f>WORKDAY($C221,1,Feriados!$A$2:$A$843)</f>
        <v>45138</v>
      </c>
      <c r="D222" s="30">
        <v>15675684.5953</v>
      </c>
      <c r="E222" s="32">
        <v>1.0544312</v>
      </c>
      <c r="F222" s="38">
        <f t="shared" ref="F222" si="558">D222/TRUNC(E222,6)</f>
        <v>14866486.84958997</v>
      </c>
      <c r="G222" s="19">
        <f t="shared" ref="G222" si="559">H222*I222</f>
        <v>15714839.586911215</v>
      </c>
      <c r="H222" s="31">
        <v>1.0780959999999999</v>
      </c>
      <c r="I222" s="19">
        <f>SUMIFS([1]Master!$K$2:$K$10000,[1]Master!$A$2:$A$10000,$I$12,[1]Master!$F$2:$F$10000,"&lt;="&amp;$C222)</f>
        <v>14576475.181163102</v>
      </c>
      <c r="J222" s="19">
        <f t="shared" ref="J222:J224" si="560">((((1+1.85%)^(1/252))-1)*D221)+SUM(J221)</f>
        <v>23525.716463035402</v>
      </c>
      <c r="K222" s="19">
        <f>IF((NETWORKDAYS(DATE(YEAR(C222),MONTH(C222),1),C222,Feriados!$A$2:$A$842))&gt;=5,0,IF(NETWORKDAYS(DATE(YEAR(C222),MONTH(C222),1),C222,Feriados!$A$2:$A$842)=1,J221,K221))</f>
        <v>0</v>
      </c>
      <c r="L222" s="30">
        <v>-43099.576852255501</v>
      </c>
      <c r="M222" s="19">
        <f>VLOOKUP(C222,'Fluxo de Caixa'!$B$13:$U$10027,20,FALSE)</f>
        <v>24419.516232603281</v>
      </c>
      <c r="N222" s="19">
        <f>SUMIFS([1]Master!$J$2:$J$100,[1]Master!$A$2:$A$100,"="&amp;$I$12,[1]Master!$E$2:$E$100,"="&amp;C222,[1]Master!$J$2:$J$100,"&gt;"&amp;0)</f>
        <v>0</v>
      </c>
      <c r="O222" s="19">
        <f ca="1">-SUMIF('[1]Fluxo de Movimentações'!$A$5:$F$10001,"="&amp;$C223,'[1]Fluxo de Movimentações'!$B$5:$B$10001)</f>
        <v>0</v>
      </c>
      <c r="P222" s="19">
        <f>-SUMIFS([1]Master!$J$1:$J$200,[1]Master!$A$1:$A$200,"="&amp;$I$12,[1]Master!$G$1:$G$200,"&gt;"&amp;C222,[1]Master!$E$1:$E$200,"&lt;="&amp;C222)</f>
        <v>0</v>
      </c>
      <c r="Q222" s="30">
        <v>3050.5353</v>
      </c>
      <c r="R222" s="32">
        <v>1.0573303000000001</v>
      </c>
      <c r="S222" s="30">
        <v>0</v>
      </c>
      <c r="T222" s="30">
        <v>0</v>
      </c>
      <c r="U222" s="30">
        <v>0</v>
      </c>
      <c r="V222" s="30">
        <v>0</v>
      </c>
    </row>
    <row r="223" spans="3:22" x14ac:dyDescent="0.25">
      <c r="C223" s="4">
        <f>WORKDAY($C222,1,Feriados!$A$2:$A$843)</f>
        <v>45139</v>
      </c>
      <c r="D223" s="30">
        <v>15673710.0891</v>
      </c>
      <c r="E223" s="32">
        <v>1.0542984</v>
      </c>
      <c r="F223" s="38">
        <f t="shared" ref="F223" si="561">D223/TRUNC(E223,6)</f>
        <v>14866489.445204297</v>
      </c>
      <c r="G223" s="19">
        <f t="shared" ref="G223" si="562">H223*I223</f>
        <v>15713771.131280437</v>
      </c>
      <c r="H223" s="31">
        <v>1.0780227</v>
      </c>
      <c r="I223" s="19">
        <f>SUMIFS([1]Master!$K$2:$K$10000,[1]Master!$A$2:$A$10000,$I$12,[1]Master!$F$2:$F$10000,"&lt;="&amp;$C223)</f>
        <v>14576475.181163102</v>
      </c>
      <c r="J223" s="66">
        <f>((((1+1.85%)^(1/252))-1)*D222)</f>
        <v>1140.3204237116643</v>
      </c>
      <c r="K223" s="19">
        <f>IF((NETWORKDAYS(DATE(YEAR(C223),MONTH(C223),1),C223,Feriados!$A$2:$A$842))&gt;=5,0,IF(NETWORKDAYS(DATE(YEAR(C223),MONTH(C223),1),C223,Feriados!$A$2:$A$842)=1,J222,K222))</f>
        <v>23525.716463035402</v>
      </c>
      <c r="L223" s="30">
        <v>-42800.858486267498</v>
      </c>
      <c r="M223" s="19">
        <f>VLOOKUP(C223,'Fluxo de Caixa'!$B$13:$U$10027,20,FALSE)</f>
        <v>24419.516232603281</v>
      </c>
      <c r="N223" s="19">
        <f>SUMIFS([1]Master!$J$2:$J$100,[1]Master!$A$2:$A$100,"="&amp;$I$12,[1]Master!$E$2:$E$100,"="&amp;C223,[1]Master!$J$2:$J$100,"&gt;"&amp;0)</f>
        <v>0</v>
      </c>
      <c r="O223" s="19">
        <f ca="1">-SUMIF('[1]Fluxo de Movimentações'!$A$5:$F$10001,"="&amp;$C224,'[1]Fluxo de Movimentações'!$B$5:$B$10001)</f>
        <v>0</v>
      </c>
      <c r="P223" s="19">
        <f>-SUMIFS([1]Master!$J$1:$J$200,[1]Master!$A$1:$A$200,"="&amp;$I$12,[1]Master!$G$1:$G$200,"&gt;"&amp;C223,[1]Master!$E$1:$E$200,"&lt;="&amp;C223)</f>
        <v>0</v>
      </c>
      <c r="Q223" s="30">
        <v>2986.0590999999999</v>
      </c>
      <c r="R223" s="32">
        <v>1.0571774</v>
      </c>
      <c r="S223" s="30">
        <v>0</v>
      </c>
      <c r="T223" s="30">
        <v>0</v>
      </c>
      <c r="U223" s="30">
        <v>0</v>
      </c>
      <c r="V223" s="30">
        <v>0</v>
      </c>
    </row>
    <row r="224" spans="3:22" x14ac:dyDescent="0.25">
      <c r="C224" s="4">
        <f>WORKDAY($C223,1,Feriados!$A$2:$A$843)</f>
        <v>45140</v>
      </c>
      <c r="D224" s="30">
        <v>15721602.9429</v>
      </c>
      <c r="E224" s="32">
        <v>1.0575199</v>
      </c>
      <c r="F224" s="38">
        <f t="shared" ref="F224" si="563">D224/TRUNC(E224,6)</f>
        <v>14866496.907289607</v>
      </c>
      <c r="G224" s="19">
        <f t="shared" ref="G224" si="564">H224*I224</f>
        <v>15740234.83455505</v>
      </c>
      <c r="H224" s="31">
        <v>1.0815532999999999</v>
      </c>
      <c r="I224" s="19">
        <f>SUMIFS([1]Master!$K$2:$K$10000,[1]Master!$A$2:$A$10000,$I$12,[1]Master!$F$2:$F$10000,"&lt;="&amp;$C224)</f>
        <v>14553360.277810674</v>
      </c>
      <c r="J224" s="19">
        <f t="shared" si="560"/>
        <v>2280.4972128832915</v>
      </c>
      <c r="K224" s="19">
        <f>IF((NETWORKDAYS(DATE(YEAR(C224),MONTH(C224),1),C224,Feriados!$A$2:$A$842))&gt;=5,0,IF(NETWORKDAYS(DATE(YEAR(C224),MONTH(C224),1),C224,Feriados!$A$2:$A$842)=1,J223,K223))</f>
        <v>23525.716463035402</v>
      </c>
      <c r="L224" s="30">
        <v>-45167.046014699401</v>
      </c>
      <c r="M224" s="19">
        <f>VLOOKUP(C224,'Fluxo de Caixa'!$B$13:$U$10027,20,FALSE)</f>
        <v>24419.516232603281</v>
      </c>
      <c r="N224" s="19">
        <f>SUMIFS([1]Master!$J$2:$J$100,[1]Master!$A$2:$A$100,"="&amp;$I$12,[1]Master!$E$2:$E$100,"="&amp;C224,[1]Master!$J$2:$J$100,"&gt;"&amp;0)</f>
        <v>0</v>
      </c>
      <c r="O224" s="19">
        <f ca="1">-SUMIF('[1]Fluxo de Movimentações'!$A$5:$F$10001,"="&amp;$C225,'[1]Fluxo de Movimentações'!$B$5:$B$10001)</f>
        <v>0</v>
      </c>
      <c r="P224" s="19">
        <f>-SUMIFS([1]Master!$J$1:$J$200,[1]Master!$A$1:$A$200,"="&amp;$I$12,[1]Master!$G$1:$G$200,"&gt;"&amp;C224,[1]Master!$E$1:$E$200,"&lt;="&amp;C224)</f>
        <v>25000</v>
      </c>
      <c r="Q224" s="30">
        <v>2921.5828999999999</v>
      </c>
      <c r="R224" s="32">
        <v>1.0605580999999999</v>
      </c>
      <c r="S224" s="30">
        <v>0</v>
      </c>
      <c r="T224" s="30">
        <v>0</v>
      </c>
      <c r="U224" s="30">
        <v>0</v>
      </c>
      <c r="V224" s="30">
        <v>0</v>
      </c>
    </row>
    <row r="225" spans="3:22" x14ac:dyDescent="0.25">
      <c r="C225" s="4">
        <f>WORKDAY($C224,1,Feriados!$A$2:$A$843)</f>
        <v>45141</v>
      </c>
      <c r="D225" s="30">
        <v>15663019.6667</v>
      </c>
      <c r="E225" s="32">
        <v>1.0535793</v>
      </c>
      <c r="F225" s="38">
        <f t="shared" ref="F225" si="565">D225/TRUNC(E225,6)</f>
        <v>14866488.100749919</v>
      </c>
      <c r="G225" s="19">
        <f t="shared" ref="G225" si="566">H225*I225</f>
        <v>15679537.134844385</v>
      </c>
      <c r="H225" s="31">
        <v>1.0773826</v>
      </c>
      <c r="I225" s="19">
        <f>SUMIFS([1]Master!$K$2:$K$10000,[1]Master!$A$2:$A$10000,$I$12,[1]Master!$F$2:$F$10000,"&lt;="&amp;$C225)</f>
        <v>14553360.277810674</v>
      </c>
      <c r="J225" s="19">
        <f t="shared" ref="J225" si="567">((((1+1.85%)^(1/252))-1)*D224)+SUM(J224)</f>
        <v>3424.1579455475276</v>
      </c>
      <c r="K225" s="19">
        <f>IF((NETWORKDAYS(DATE(YEAR(C225),MONTH(C225),1),C225,Feriados!$A$2:$A$842))&gt;=5,0,IF(NETWORKDAYS(DATE(YEAR(C225),MONTH(C225),1),C225,Feriados!$A$2:$A$842)=1,J224,K224))</f>
        <v>23525.716463035402</v>
      </c>
      <c r="L225" s="30">
        <v>-41844.485417741598</v>
      </c>
      <c r="M225" s="19">
        <f>VLOOKUP(C225,'Fluxo de Caixa'!$B$13:$U$10027,20,FALSE)</f>
        <v>24419.516232603281</v>
      </c>
      <c r="N225" s="19">
        <f>SUMIFS([1]Master!$J$2:$J$100,[1]Master!$A$2:$A$100,"="&amp;$I$12,[1]Master!$E$2:$E$100,"="&amp;C225,[1]Master!$J$2:$J$100,"&gt;"&amp;0)</f>
        <v>0</v>
      </c>
      <c r="O225" s="19">
        <f ca="1">-SUMIF('[1]Fluxo de Movimentações'!$A$5:$F$10001,"="&amp;$C226,'[1]Fluxo de Movimentações'!$B$5:$B$10001)</f>
        <v>0</v>
      </c>
      <c r="P225" s="19">
        <f>-SUMIFS([1]Master!$J$1:$J$200,[1]Master!$A$1:$A$200,"="&amp;$I$12,[1]Master!$G$1:$G$200,"&gt;"&amp;C225,[1]Master!$E$1:$E$200,"&lt;="&amp;C225)</f>
        <v>25000</v>
      </c>
      <c r="Q225" s="30">
        <v>2857.1066999999998</v>
      </c>
      <c r="R225" s="32">
        <v>1.0563940000000001</v>
      </c>
      <c r="S225" s="30">
        <v>0</v>
      </c>
      <c r="T225" s="30">
        <v>0</v>
      </c>
      <c r="U225" s="30">
        <v>0</v>
      </c>
      <c r="V225" s="30">
        <v>0</v>
      </c>
    </row>
    <row r="226" spans="3:22" x14ac:dyDescent="0.25">
      <c r="C226" s="4">
        <f>WORKDAY($C225,1,Feriados!$A$2:$A$843)</f>
        <v>45142</v>
      </c>
      <c r="D226" s="30">
        <v>15743959.6905</v>
      </c>
      <c r="E226" s="32">
        <v>1.0590237</v>
      </c>
      <c r="F226" s="38">
        <f t="shared" ref="F226" si="568">D226/TRUNC(E226,6)</f>
        <v>14866494.580854241</v>
      </c>
      <c r="G226" s="19">
        <f t="shared" ref="G226" si="569">H226*I226</f>
        <v>15765924.426117444</v>
      </c>
      <c r="H226" s="31">
        <v>1.0833185000000001</v>
      </c>
      <c r="I226" s="19">
        <f>SUMIFS([1]Master!$K$2:$K$10000,[1]Master!$A$2:$A$10000,$I$12,[1]Master!$F$2:$F$10000,"&lt;="&amp;$C226)</f>
        <v>14553360.277810674</v>
      </c>
      <c r="J226" s="19">
        <f t="shared" ref="J226" si="570">((((1+1.85%)^(1/252))-1)*D225)+SUM(J225)</f>
        <v>4563.5570648874673</v>
      </c>
      <c r="K226" s="19">
        <f>IF((NETWORKDAYS(DATE(YEAR(C226),MONTH(C226),1),C226,Feriados!$A$2:$A$842))&gt;=5,0,IF(NETWORKDAYS(DATE(YEAR(C226),MONTH(C226),1),C226,Feriados!$A$2:$A$842)=1,J225,K225))</f>
        <v>23525.716463035402</v>
      </c>
      <c r="L226" s="30">
        <v>-46087.882453291502</v>
      </c>
      <c r="M226" s="19">
        <f>VLOOKUP(C226,'Fluxo de Caixa'!$B$13:$U$10027,20,FALSE)</f>
        <v>49419.516232603281</v>
      </c>
      <c r="N226" s="19">
        <f>SUMIFS([1]Master!$J$2:$J$100,[1]Master!$A$2:$A$100,"="&amp;$I$12,[1]Master!$E$2:$E$100,"="&amp;C226,[1]Master!$J$2:$J$100,"&gt;"&amp;0)</f>
        <v>0</v>
      </c>
      <c r="O226" s="19">
        <f ca="1">-SUMIF('[1]Fluxo de Movimentações'!$A$5:$F$10001,"="&amp;$C227,'[1]Fluxo de Movimentações'!$B$5:$B$10001)</f>
        <v>0</v>
      </c>
      <c r="P226" s="19">
        <f>-SUMIFS([1]Master!$J$1:$J$200,[1]Master!$A$1:$A$200,"="&amp;$I$12,[1]Master!$G$1:$G$200,"&gt;"&amp;C226,[1]Master!$E$1:$E$200,"&lt;="&amp;C226)</f>
        <v>0</v>
      </c>
      <c r="Q226" s="30">
        <v>2792.6305000000002</v>
      </c>
      <c r="R226" s="32">
        <v>1.0621239</v>
      </c>
      <c r="S226" s="30">
        <v>0</v>
      </c>
      <c r="T226" s="30">
        <v>0</v>
      </c>
      <c r="U226" s="30">
        <v>0</v>
      </c>
      <c r="V226" s="30">
        <v>0</v>
      </c>
    </row>
    <row r="227" spans="3:22" x14ac:dyDescent="0.25">
      <c r="C227" s="4">
        <f>WORKDAY($C226,1,Feriados!$A$2:$A$843)</f>
        <v>45145</v>
      </c>
      <c r="D227" s="30">
        <v>15714736.2743</v>
      </c>
      <c r="E227" s="32">
        <v>1.0570580000000001</v>
      </c>
      <c r="F227" s="38">
        <f t="shared" ref="F227" si="571">D227/TRUNC(E227,6)</f>
        <v>14866484.407005101</v>
      </c>
      <c r="G227" s="19">
        <f t="shared" ref="G227" si="572">H227*I227</f>
        <v>15736044.922131069</v>
      </c>
      <c r="H227" s="31">
        <v>1.0812653999999999</v>
      </c>
      <c r="I227" s="19">
        <f>SUMIFS([1]Master!$K$2:$K$10000,[1]Master!$A$2:$A$10000,$I$12,[1]Master!$F$2:$F$10000,"&lt;="&amp;$C227)</f>
        <v>14553360.277810674</v>
      </c>
      <c r="J227" s="19">
        <f t="shared" ref="J227" si="573">((((1+1.85%)^(1/252))-1)*D226)+SUM(J226)</f>
        <v>5708.844128812776</v>
      </c>
      <c r="K227" s="19">
        <f>IF((NETWORKDAYS(DATE(YEAR(C227),MONTH(C227),1),C227,Feriados!$A$2:$A$842))&gt;=5,0,IF(NETWORKDAYS(DATE(YEAR(C227),MONTH(C227),1),C227,Feriados!$A$2:$A$842)=1,J226,K226))</f>
        <v>0</v>
      </c>
      <c r="L227" s="30">
        <v>-44222.049967708001</v>
      </c>
      <c r="M227" s="19">
        <f>VLOOKUP(C227,'Fluxo de Caixa'!$B$13:$U$10027,20,FALSE)</f>
        <v>24210.546232603283</v>
      </c>
      <c r="N227" s="19">
        <f>SUMIFS([1]Master!$J$2:$J$100,[1]Master!$A$2:$A$100,"="&amp;$I$12,[1]Master!$E$2:$E$100,"="&amp;C227,[1]Master!$J$2:$J$100,"&gt;"&amp;0)</f>
        <v>0</v>
      </c>
      <c r="O227" s="19">
        <f ca="1">-SUMIF('[1]Fluxo de Movimentações'!$A$5:$F$10001,"="&amp;$C228,'[1]Fluxo de Movimentações'!$B$5:$B$10001)</f>
        <v>0</v>
      </c>
      <c r="P227" s="19">
        <f>-SUMIFS([1]Master!$J$1:$J$200,[1]Master!$A$1:$A$200,"="&amp;$I$12,[1]Master!$G$1:$G$200,"&gt;"&amp;C227,[1]Master!$E$1:$E$200,"&lt;="&amp;C227)</f>
        <v>0</v>
      </c>
      <c r="Q227" s="30">
        <v>2728.1543000000001</v>
      </c>
      <c r="R227" s="32">
        <v>1.0600326</v>
      </c>
      <c r="S227" s="30">
        <v>0</v>
      </c>
      <c r="T227" s="30">
        <v>0</v>
      </c>
      <c r="U227" s="30">
        <v>0</v>
      </c>
      <c r="V227" s="30">
        <v>0</v>
      </c>
    </row>
    <row r="228" spans="3:22" x14ac:dyDescent="0.25">
      <c r="C228" s="4">
        <f>WORKDAY($C227,1,Feriados!$A$2:$A$843)</f>
        <v>45146</v>
      </c>
      <c r="D228" s="30">
        <v>15655098.986400001</v>
      </c>
      <c r="E228" s="32">
        <v>1.0530465</v>
      </c>
      <c r="F228" s="38">
        <f t="shared" ref="F228" si="574">D228/TRUNC(E228,6)</f>
        <v>14866491.099534115</v>
      </c>
      <c r="G228" s="19">
        <f t="shared" ref="G228" si="575">H228*I228</f>
        <v>15674238.256367236</v>
      </c>
      <c r="H228" s="31">
        <v>1.0770185000000001</v>
      </c>
      <c r="I228" s="19">
        <f>SUMIFS([1]Master!$K$2:$K$10000,[1]Master!$A$2:$A$10000,$I$12,[1]Master!$F$2:$F$10000,"&lt;="&amp;$C228)</f>
        <v>14553360.277810674</v>
      </c>
      <c r="J228" s="19">
        <f t="shared" ref="J228" si="576">((((1+1.85%)^(1/252))-1)*D227)+SUM(J227)</f>
        <v>6852.0053488464891</v>
      </c>
      <c r="K228" s="19">
        <f>IF((NETWORKDAYS(DATE(YEAR(C228),MONTH(C228),1),C228,Feriados!$A$2:$A$842))&gt;=5,0,IF(NETWORKDAYS(DATE(YEAR(C228),MONTH(C228),1),C228,Feriados!$A$2:$A$842)=1,J227,K227))</f>
        <v>0</v>
      </c>
      <c r="L228" s="30">
        <v>-40845.029593480001</v>
      </c>
      <c r="M228" s="19">
        <f>VLOOKUP(C228,'Fluxo de Caixa'!$B$13:$U$10027,20,FALSE)</f>
        <v>25893.916232603282</v>
      </c>
      <c r="N228" s="19">
        <f>SUMIFS([1]Master!$J$2:$J$100,[1]Master!$A$2:$A$100,"="&amp;$I$12,[1]Master!$E$2:$E$100,"="&amp;C228,[1]Master!$J$2:$J$100,"&gt;"&amp;0)</f>
        <v>0</v>
      </c>
      <c r="O228" s="19">
        <f ca="1">-SUMIF('[1]Fluxo de Movimentações'!$A$5:$F$10001,"="&amp;$C229,'[1]Fluxo de Movimentações'!$B$5:$B$10001)</f>
        <v>0</v>
      </c>
      <c r="P228" s="19">
        <f>-SUMIFS([1]Master!$J$1:$J$200,[1]Master!$A$1:$A$200,"="&amp;$I$12,[1]Master!$G$1:$G$200,"&gt;"&amp;C228,[1]Master!$E$1:$E$200,"&lt;="&amp;C228)</f>
        <v>0</v>
      </c>
      <c r="Q228" s="30">
        <v>2663.6763999999998</v>
      </c>
      <c r="R228" s="32">
        <v>1.0557939999999999</v>
      </c>
      <c r="S228" s="30">
        <v>0</v>
      </c>
      <c r="T228" s="30">
        <v>0</v>
      </c>
      <c r="U228" s="30">
        <v>0</v>
      </c>
      <c r="V228" s="30">
        <v>0</v>
      </c>
    </row>
    <row r="229" spans="3:22" x14ac:dyDescent="0.25">
      <c r="C229" s="4">
        <f>WORKDAY($C228,1,Feriados!$A$2:$A$843)</f>
        <v>45147</v>
      </c>
      <c r="D229" s="30">
        <v>15521525.3083</v>
      </c>
      <c r="E229" s="32">
        <v>1.0440616</v>
      </c>
      <c r="F229" s="38">
        <f t="shared" ref="F229" si="577">D229/TRUNC(E229,6)</f>
        <v>14866492.770345796</v>
      </c>
      <c r="G229" s="19">
        <f t="shared" ref="G229" si="578">H229*I229</f>
        <v>15534536.185052447</v>
      </c>
      <c r="H229" s="31">
        <v>1.0674192</v>
      </c>
      <c r="I229" s="19">
        <f>SUMIFS([1]Master!$K$2:$K$10000,[1]Master!$A$2:$A$10000,$I$12,[1]Master!$F$2:$F$10000,"&lt;="&amp;$C229)</f>
        <v>14553360.277810674</v>
      </c>
      <c r="J229" s="19">
        <f t="shared" ref="J229" si="579">((((1+1.85%)^(1/252))-1)*D228)+SUM(J228)</f>
        <v>7990.8282819624155</v>
      </c>
      <c r="K229" s="19">
        <f>IF((NETWORKDAYS(DATE(YEAR(C229),MONTH(C229),1),C229,Feriados!$A$2:$A$842))&gt;=5,0,IF(NETWORKDAYS(DATE(YEAR(C229),MONTH(C229),1),C229,Feriados!$A$2:$A$842)=1,J228,K228))</f>
        <v>0</v>
      </c>
      <c r="L229" s="30">
        <v>-33517.900814180699</v>
      </c>
      <c r="M229" s="19">
        <f>VLOOKUP(C229,'Fluxo de Caixa'!$B$13:$U$10027,20,FALSE)</f>
        <v>25893.916232603282</v>
      </c>
      <c r="N229" s="19">
        <f>SUMIFS([1]Master!$J$2:$J$100,[1]Master!$A$2:$A$100,"="&amp;$I$12,[1]Master!$E$2:$E$100,"="&amp;C229,[1]Master!$J$2:$J$100,"&gt;"&amp;0)</f>
        <v>0</v>
      </c>
      <c r="O229" s="19">
        <f ca="1">-SUMIF('[1]Fluxo de Movimentações'!$A$5:$F$10001,"="&amp;$C230,'[1]Fluxo de Movimentações'!$B$5:$B$10001)</f>
        <v>0</v>
      </c>
      <c r="P229" s="19">
        <f>-SUMIFS([1]Master!$J$1:$J$200,[1]Master!$A$1:$A$200,"="&amp;$I$12,[1]Master!$G$1:$G$200,"&gt;"&amp;C229,[1]Master!$E$1:$E$200,"&lt;="&amp;C229)</f>
        <v>0</v>
      </c>
      <c r="Q229" s="30">
        <v>2603.7583</v>
      </c>
      <c r="R229" s="32">
        <v>1.0463161999999999</v>
      </c>
      <c r="S229" s="30">
        <v>0</v>
      </c>
      <c r="T229" s="30">
        <v>0</v>
      </c>
      <c r="U229" s="30">
        <v>0</v>
      </c>
      <c r="V229" s="30">
        <v>0</v>
      </c>
    </row>
    <row r="230" spans="3:22" x14ac:dyDescent="0.25">
      <c r="C230" s="4">
        <f>WORKDAY($C229,1,Feriados!$A$2:$A$843)</f>
        <v>45148</v>
      </c>
      <c r="D230" s="30">
        <v>15474108.4202</v>
      </c>
      <c r="E230" s="32">
        <v>1.0408721000000001</v>
      </c>
      <c r="F230" s="38">
        <f t="shared" ref="F230" si="580">D230/TRUNC(E230,6)</f>
        <v>14866485.427795155</v>
      </c>
      <c r="G230" s="19">
        <f t="shared" ref="G230" si="581">H230*I230</f>
        <v>15485584.502422005</v>
      </c>
      <c r="H230" s="31">
        <v>1.0640556000000001</v>
      </c>
      <c r="I230" s="19">
        <f>SUMIFS([1]Master!$K$2:$K$10000,[1]Master!$A$2:$A$10000,$I$12,[1]Master!$F$2:$F$10000,"&lt;="&amp;$C230)</f>
        <v>14553360.277810674</v>
      </c>
      <c r="J230" s="19">
        <f t="shared" ref="J230" si="582">((((1+1.85%)^(1/252))-1)*D229)+SUM(J229)</f>
        <v>9119.9344596612682</v>
      </c>
      <c r="K230" s="19">
        <f>IF((NETWORKDAYS(DATE(YEAR(C230),MONTH(C230),1),C230,Feriados!$A$2:$A$842))&gt;=5,0,IF(NETWORKDAYS(DATE(YEAR(C230),MONTH(C230),1),C230,Feriados!$A$2:$A$842)=1,J229,K229))</f>
        <v>0</v>
      </c>
      <c r="L230" s="30">
        <v>-30535.458623398001</v>
      </c>
      <c r="M230" s="19">
        <f>VLOOKUP(C230,'Fluxo de Caixa'!$B$13:$U$10027,20,FALSE)</f>
        <v>25893.916232603282</v>
      </c>
      <c r="N230" s="19">
        <f>SUMIFS([1]Master!$J$2:$J$100,[1]Master!$A$2:$A$100,"="&amp;$I$12,[1]Master!$E$2:$E$100,"="&amp;C230,[1]Master!$J$2:$J$100,"&gt;"&amp;0)</f>
        <v>0</v>
      </c>
      <c r="O230" s="19">
        <f ca="1">-SUMIF('[1]Fluxo de Movimentações'!$A$5:$F$10001,"="&amp;$C231,'[1]Fluxo de Movimentações'!$B$5:$B$10001)</f>
        <v>0</v>
      </c>
      <c r="P230" s="19">
        <f>-SUMIFS([1]Master!$J$1:$J$200,[1]Master!$A$1:$A$200,"="&amp;$I$12,[1]Master!$G$1:$G$200,"&gt;"&amp;C230,[1]Master!$E$1:$E$200,"&lt;="&amp;C230)</f>
        <v>0</v>
      </c>
      <c r="Q230" s="30">
        <v>2543.8402000000001</v>
      </c>
      <c r="R230" s="32">
        <v>1.0429435</v>
      </c>
      <c r="S230" s="30">
        <v>0</v>
      </c>
      <c r="T230" s="30">
        <v>0</v>
      </c>
      <c r="U230" s="30">
        <v>0</v>
      </c>
      <c r="V230" s="30">
        <v>0</v>
      </c>
    </row>
    <row r="231" spans="3:22" x14ac:dyDescent="0.25">
      <c r="C231" s="4">
        <f>WORKDAY($C230,1,Feriados!$A$2:$A$843)</f>
        <v>45149</v>
      </c>
      <c r="D231" s="30">
        <v>15348965.122099999</v>
      </c>
      <c r="E231" s="32">
        <v>1.0324542999999999</v>
      </c>
      <c r="F231" s="38">
        <f t="shared" ref="F231" si="583">D231/TRUNC(E231,6)</f>
        <v>14866488.116758712</v>
      </c>
      <c r="G231" s="19">
        <f t="shared" ref="G231" si="584">H231*I231</f>
        <v>15355669.565894045</v>
      </c>
      <c r="H231" s="31">
        <v>1.0551288000000001</v>
      </c>
      <c r="I231" s="19">
        <f>SUMIFS([1]Master!$K$2:$K$10000,[1]Master!$A$2:$A$10000,$I$12,[1]Master!$F$2:$F$10000,"&lt;="&amp;$C231)</f>
        <v>14553360.277810674</v>
      </c>
      <c r="J231" s="19">
        <f t="shared" ref="J231" si="585">((((1+1.85%)^(1/252))-1)*D230)+SUM(J230)</f>
        <v>10245.59131777216</v>
      </c>
      <c r="K231" s="19">
        <f>IF((NETWORKDAYS(DATE(YEAR(C231),MONTH(C231),1),C231,Feriados!$A$2:$A$842))&gt;=5,0,IF(NETWORKDAYS(DATE(YEAR(C231),MONTH(C231),1),C231,Feriados!$A$2:$A$842)=1,J230,K230))</f>
        <v>0</v>
      </c>
      <c r="L231" s="30">
        <v>-24836.91</v>
      </c>
      <c r="M231" s="19">
        <f>VLOOKUP(C231,'Fluxo de Caixa'!$B$13:$U$10027,20,FALSE)</f>
        <v>25697.916232603282</v>
      </c>
      <c r="N231" s="19">
        <f>SUMIFS([1]Master!$J$2:$J$100,[1]Master!$A$2:$A$100,"="&amp;$I$12,[1]Master!$E$2:$E$100,"="&amp;C231,[1]Master!$J$2:$J$100,"&gt;"&amp;0)</f>
        <v>100000</v>
      </c>
      <c r="O231" s="19">
        <f ca="1">-SUMIF('[1]Fluxo de Movimentações'!$A$5:$F$10001,"="&amp;$C232,'[1]Fluxo de Movimentações'!$B$5:$B$10001)</f>
        <v>-100000</v>
      </c>
      <c r="P231" s="19">
        <f>-SUMIFS([1]Master!$J$1:$J$200,[1]Master!$A$1:$A$200,"="&amp;$I$12,[1]Master!$G$1:$G$200,"&gt;"&amp;C231,[1]Master!$E$1:$E$200,"&lt;="&amp;C231)</f>
        <v>0</v>
      </c>
      <c r="Q231" s="30">
        <v>2679.9220999999998</v>
      </c>
      <c r="R231" s="32">
        <v>1.0341248999999999</v>
      </c>
      <c r="S231" s="30">
        <v>0</v>
      </c>
      <c r="T231" s="30">
        <v>0</v>
      </c>
      <c r="U231" s="30">
        <v>0</v>
      </c>
      <c r="V231" s="30">
        <v>0</v>
      </c>
    </row>
    <row r="232" spans="3:22" x14ac:dyDescent="0.25">
      <c r="C232" s="4">
        <f>WORKDAY($C231,1,Feriados!$A$2:$A$843)</f>
        <v>45152</v>
      </c>
      <c r="D232" s="30">
        <v>15278071.088300001</v>
      </c>
      <c r="E232" s="32">
        <v>1.0209589999999999</v>
      </c>
      <c r="F232" s="38">
        <f t="shared" ref="F232" si="586">D232/TRUNC(E232,6)</f>
        <v>14964431.567085458</v>
      </c>
      <c r="G232" s="19">
        <f t="shared" ref="G232" si="587">H232*I232</f>
        <v>15279247.911262311</v>
      </c>
      <c r="H232" s="31">
        <v>1.0430063999999999</v>
      </c>
      <c r="I232" s="19">
        <f>SUMIFS([1]Master!$K$2:$K$10000,[1]Master!$A$2:$A$10000,$I$12,[1]Master!$F$2:$F$10000,"&lt;="&amp;$C232)</f>
        <v>14649236.966582671</v>
      </c>
      <c r="J232" s="19">
        <f t="shared" ref="J232" si="588">((((1+1.85%)^(1/252))-1)*D231)+SUM(J231)</f>
        <v>11362.14468455886</v>
      </c>
      <c r="K232" s="19">
        <f>IF((NETWORKDAYS(DATE(YEAR(C232),MONTH(C232),1),C232,Feriados!$A$2:$A$842))&gt;=5,0,IF(NETWORKDAYS(DATE(YEAR(C232),MONTH(C232),1),C232,Feriados!$A$2:$A$842)=1,J231,K231))</f>
        <v>0</v>
      </c>
      <c r="L232" s="30">
        <v>-18128.150000000001</v>
      </c>
      <c r="M232" s="19">
        <f>VLOOKUP(C232,'Fluxo de Caixa'!$B$13:$U$10027,20,FALSE)</f>
        <v>25110.736232603282</v>
      </c>
      <c r="N232" s="19">
        <f>SUMIFS([1]Master!$J$2:$J$100,[1]Master!$A$2:$A$100,"="&amp;$I$12,[1]Master!$E$2:$E$100,"="&amp;C232,[1]Master!$J$2:$J$100,"&gt;"&amp;0)</f>
        <v>0</v>
      </c>
      <c r="O232" s="19">
        <f ca="1">-SUMIF('[1]Fluxo de Movimentações'!$A$5:$F$10001,"="&amp;$C233,'[1]Fluxo de Movimentações'!$B$5:$B$10001)</f>
        <v>0</v>
      </c>
      <c r="P232" s="19">
        <f>-SUMIFS([1]Master!$J$1:$J$200,[1]Master!$A$1:$A$200,"="&amp;$I$12,[1]Master!$G$1:$G$200,"&gt;"&amp;C232,[1]Master!$E$1:$E$200,"&lt;="&amp;C232)</f>
        <v>0</v>
      </c>
      <c r="Q232" s="30">
        <v>3202.5183000000002</v>
      </c>
      <c r="R232" s="32">
        <v>1.0221784</v>
      </c>
      <c r="S232" s="30">
        <v>0</v>
      </c>
      <c r="T232" s="30">
        <v>0</v>
      </c>
      <c r="U232" s="30">
        <v>0</v>
      </c>
      <c r="V232" s="30">
        <v>0</v>
      </c>
    </row>
    <row r="233" spans="3:22" x14ac:dyDescent="0.25">
      <c r="C233" s="4">
        <f>WORKDAY($C232,1,Feriados!$A$2:$A$843)</f>
        <v>45153</v>
      </c>
      <c r="D233" s="30">
        <v>15215786.1435</v>
      </c>
      <c r="E233" s="32">
        <v>1.0167968000000001</v>
      </c>
      <c r="F233" s="38">
        <f t="shared" ref="F233" si="589">D233/TRUNC(E233,6)</f>
        <v>14964443.352943953</v>
      </c>
      <c r="G233" s="19">
        <f t="shared" ref="G233" si="590">H233*I233</f>
        <v>15215671.687751038</v>
      </c>
      <c r="H233" s="31">
        <v>1.0386664999999999</v>
      </c>
      <c r="I233" s="19">
        <f>SUMIFS([1]Master!$K$2:$K$10000,[1]Master!$A$2:$A$10000,$I$12,[1]Master!$F$2:$F$10000,"&lt;="&amp;$C233)</f>
        <v>14649236.966582671</v>
      </c>
      <c r="J233" s="19">
        <f t="shared" ref="J233" si="591">((((1+1.85%)^(1/252))-1)*D232)+SUM(J232)</f>
        <v>12473.540897655081</v>
      </c>
      <c r="K233" s="19">
        <f>IF((NETWORKDAYS(DATE(YEAR(C233),MONTH(C233),1),C233,Feriados!$A$2:$A$842))&gt;=5,0,IF(NETWORKDAYS(DATE(YEAR(C233),MONTH(C233),1),C233,Feriados!$A$2:$A$842)=1,J232,K232))</f>
        <v>0</v>
      </c>
      <c r="L233" s="30">
        <v>-15660.9010726497</v>
      </c>
      <c r="M233" s="19">
        <f>VLOOKUP(C233,'Fluxo de Caixa'!$B$13:$U$10027,20,FALSE)</f>
        <v>25110.736232603282</v>
      </c>
      <c r="N233" s="19">
        <f>SUMIFS([1]Master!$J$2:$J$100,[1]Master!$A$2:$A$100,"="&amp;$I$12,[1]Master!$E$2:$E$100,"="&amp;C233,[1]Master!$J$2:$J$100,"&gt;"&amp;0)</f>
        <v>0</v>
      </c>
      <c r="O233" s="19">
        <f ca="1">-SUMIF('[1]Fluxo de Movimentações'!$A$5:$F$10001,"="&amp;$C234,'[1]Fluxo de Movimentações'!$B$5:$B$10001)</f>
        <v>0</v>
      </c>
      <c r="P233" s="19">
        <f>-SUMIFS([1]Master!$J$1:$J$200,[1]Master!$A$1:$A$200,"="&amp;$I$12,[1]Master!$G$1:$G$200,"&gt;"&amp;C233,[1]Master!$E$1:$E$200,"&lt;="&amp;C233)</f>
        <v>0</v>
      </c>
      <c r="Q233" s="30">
        <v>3137.9335000000001</v>
      </c>
      <c r="R233" s="32">
        <v>1.0178434000000001</v>
      </c>
      <c r="S233" s="30">
        <v>0</v>
      </c>
      <c r="T233" s="30">
        <v>0</v>
      </c>
      <c r="U233" s="30">
        <v>0</v>
      </c>
      <c r="V233" s="30">
        <v>0</v>
      </c>
    </row>
    <row r="234" spans="3:22" x14ac:dyDescent="0.25">
      <c r="C234" s="4">
        <f>WORKDAY($C233,1,Feriados!$A$2:$A$843)</f>
        <v>45154</v>
      </c>
      <c r="D234" s="30">
        <v>15198236.6787</v>
      </c>
      <c r="E234" s="32">
        <v>1.0156240999999999</v>
      </c>
      <c r="F234" s="38">
        <f t="shared" ref="F234" si="592">D234/TRUNC(E234,6)</f>
        <v>14964432.387084195</v>
      </c>
      <c r="G234" s="19">
        <f t="shared" ref="G234" si="593">H234*I234</f>
        <v>15198612.651303453</v>
      </c>
      <c r="H234" s="31">
        <v>1.0375019999999999</v>
      </c>
      <c r="I234" s="19">
        <f>SUMIFS([1]Master!$K$2:$K$10000,[1]Master!$A$2:$A$10000,$I$12,[1]Master!$F$2:$F$10000,"&lt;="&amp;$C234)</f>
        <v>14649236.966582671</v>
      </c>
      <c r="J234" s="19">
        <f t="shared" ref="J234" si="594">((((1+1.85%)^(1/252))-1)*D233)+SUM(J233)</f>
        <v>13580.406221257232</v>
      </c>
      <c r="K234" s="19">
        <f>IF((NETWORKDAYS(DATE(YEAR(C234),MONTH(C234),1),C234,Feriados!$A$2:$A$842))&gt;=5,0,IF(NETWORKDAYS(DATE(YEAR(C234),MONTH(C234),1),C234,Feriados!$A$2:$A$842)=1,J233,K233))</f>
        <v>0</v>
      </c>
      <c r="L234" s="30">
        <v>-14979.8891355456</v>
      </c>
      <c r="M234" s="19">
        <f>VLOOKUP(C234,'Fluxo de Caixa'!$B$13:$U$10027,20,FALSE)</f>
        <v>25110.736232603282</v>
      </c>
      <c r="N234" s="19">
        <f>SUMIFS([1]Master!$J$2:$J$100,[1]Master!$A$2:$A$100,"="&amp;$I$12,[1]Master!$E$2:$E$100,"="&amp;C234,[1]Master!$J$2:$J$100,"&gt;"&amp;0)</f>
        <v>0</v>
      </c>
      <c r="O234" s="19">
        <f ca="1">-SUMIF('[1]Fluxo de Movimentações'!$A$5:$F$10001,"="&amp;$C235,'[1]Fluxo de Movimentações'!$B$5:$B$10001)</f>
        <v>0</v>
      </c>
      <c r="P234" s="19">
        <f>-SUMIFS([1]Master!$J$1:$J$200,[1]Master!$A$1:$A$200,"="&amp;$I$12,[1]Master!$G$1:$G$200,"&gt;"&amp;C234,[1]Master!$E$1:$E$200,"&lt;="&amp;C234)</f>
        <v>0</v>
      </c>
      <c r="Q234" s="30">
        <v>3073.3487</v>
      </c>
      <c r="R234" s="32">
        <v>1.0166250999999999</v>
      </c>
      <c r="S234" s="30">
        <v>0</v>
      </c>
      <c r="T234" s="30">
        <v>0</v>
      </c>
      <c r="U234" s="30">
        <v>0</v>
      </c>
      <c r="V234" s="30">
        <v>0</v>
      </c>
    </row>
    <row r="235" spans="3:22" x14ac:dyDescent="0.25">
      <c r="C235" s="4">
        <f>WORKDAY($C234,1,Feriados!$A$2:$A$843)</f>
        <v>45155</v>
      </c>
      <c r="D235" s="30">
        <v>15060136.313899999</v>
      </c>
      <c r="E235" s="32">
        <v>1.0063955</v>
      </c>
      <c r="F235" s="38">
        <f t="shared" ref="F235" si="595">D235/TRUNC(E235,6)</f>
        <v>14964438.72823295</v>
      </c>
      <c r="G235" s="19">
        <f t="shared" ref="G235" si="596">H235*I235</f>
        <v>15057988.76596644</v>
      </c>
      <c r="H235" s="31">
        <v>1.0279026</v>
      </c>
      <c r="I235" s="19">
        <f>SUMIFS([1]Master!$K$2:$K$10000,[1]Master!$A$2:$A$10000,$I$12,[1]Master!$F$2:$F$10000,"&lt;="&amp;$C235)</f>
        <v>14649236.966582671</v>
      </c>
      <c r="J235" s="19">
        <f t="shared" ref="J235" si="597">((((1+1.85%)^(1/252))-1)*D234)+SUM(J234)</f>
        <v>14685.994917161563</v>
      </c>
      <c r="K235" s="19">
        <f>IF((NETWORKDAYS(DATE(YEAR(C235),MONTH(C235),1),C235,Feriados!$A$2:$A$842))&gt;=5,0,IF(NETWORKDAYS(DATE(YEAR(C235),MONTH(C235),1),C235,Feriados!$A$2:$A$842)=1,J234,K234))</f>
        <v>0</v>
      </c>
      <c r="L235" s="30">
        <v>-11286.2</v>
      </c>
      <c r="M235" s="19">
        <f>VLOOKUP(C235,'Fluxo de Caixa'!$B$13:$U$10027,20,FALSE)</f>
        <v>25110.736232603282</v>
      </c>
      <c r="N235" s="19">
        <f>SUMIFS([1]Master!$J$2:$J$100,[1]Master!$A$2:$A$100,"="&amp;$I$12,[1]Master!$E$2:$E$100,"="&amp;C235,[1]Master!$J$2:$J$100,"&gt;"&amp;0)</f>
        <v>0</v>
      </c>
      <c r="O235" s="19">
        <f ca="1">-SUMIF('[1]Fluxo de Movimentações'!$A$5:$F$10001,"="&amp;$C236,'[1]Fluxo de Movimentações'!$B$5:$B$10001)</f>
        <v>0</v>
      </c>
      <c r="P235" s="19">
        <f>-SUMIFS([1]Master!$J$1:$J$200,[1]Master!$A$1:$A$200,"="&amp;$I$12,[1]Master!$G$1:$G$200,"&gt;"&amp;C235,[1]Master!$E$1:$E$200,"&lt;="&amp;C235)</f>
        <v>0</v>
      </c>
      <c r="Q235" s="30">
        <v>3008.7638999999999</v>
      </c>
      <c r="R235" s="32">
        <v>1.0071497</v>
      </c>
      <c r="S235" s="30">
        <v>0</v>
      </c>
      <c r="T235" s="30">
        <v>0</v>
      </c>
      <c r="U235" s="30">
        <v>0</v>
      </c>
      <c r="V235" s="30">
        <v>0</v>
      </c>
    </row>
    <row r="236" spans="3:22" x14ac:dyDescent="0.25">
      <c r="C236" s="4">
        <v>45156</v>
      </c>
      <c r="D236" s="30">
        <v>15381426.6591</v>
      </c>
      <c r="E236" s="32">
        <v>1.0278658000000001</v>
      </c>
      <c r="F236" s="38">
        <f t="shared" ref="F236" si="598">D236/TRUNC(E236,6)</f>
        <v>14964442.469682302</v>
      </c>
      <c r="G236" s="19">
        <f t="shared" ref="G236" si="599">H236*I236</f>
        <v>15390643.639003599</v>
      </c>
      <c r="H236" s="31">
        <v>1.0506106</v>
      </c>
      <c r="I236" s="19">
        <f>SUMIFS([1]Master!$K$2:$K$10000,[1]Master!$A$2:$A$10000,$I$12,[1]Master!$F$2:$F$10000,"&lt;="&amp;$C236)</f>
        <v>14649236.966582671</v>
      </c>
      <c r="J236" s="19">
        <f t="shared" ref="J236" si="600">((((1+1.85%)^(1/252))-1)*D235)+SUM(J235)</f>
        <v>15781.537565919047</v>
      </c>
      <c r="K236" s="19">
        <f>IF((NETWORKDAYS(DATE(YEAR(C236),MONTH(C236),1),C236,Feriados!$A$2:$A$842))&gt;=5,0,IF(NETWORKDAYS(DATE(YEAR(C236),MONTH(C236),1),C236,Feriados!$A$2:$A$842)=1,J235,K235))</f>
        <v>0</v>
      </c>
      <c r="L236" s="30">
        <v>-21490.6</v>
      </c>
      <c r="M236" s="19">
        <f>VLOOKUP(C236,'Fluxo de Caixa'!$B$13:$U$10027,20,FALSE)</f>
        <v>25110.736232603282</v>
      </c>
      <c r="N236" s="19">
        <f>SUMIFS([1]Master!$J$2:$J$100,[1]Master!$A$2:$A$100,"="&amp;$I$12,[1]Master!$E$2:$E$100,"="&amp;C236,[1]Master!$J$2:$J$100,"&gt;"&amp;0)</f>
        <v>0</v>
      </c>
      <c r="O236" s="19">
        <f ca="1">-SUMIF('[1]Fluxo de Movimentações'!$A$5:$F$10001,"="&amp;$C237,'[1]Fluxo de Movimentações'!$B$5:$B$10001)</f>
        <v>0</v>
      </c>
      <c r="P236" s="19">
        <f>-SUMIFS([1]Master!$J$1:$J$200,[1]Master!$A$1:$A$200,"="&amp;$I$12,[1]Master!$G$1:$G$200,"&gt;"&amp;C236,[1]Master!$E$1:$E$200,"&lt;="&amp;C236)</f>
        <v>0</v>
      </c>
      <c r="Q236" s="30">
        <v>2944.1790999999998</v>
      </c>
      <c r="R236" s="32">
        <v>1.0293019000000001</v>
      </c>
      <c r="S236" s="30">
        <v>0</v>
      </c>
      <c r="T236" s="30">
        <v>0</v>
      </c>
      <c r="U236" s="30">
        <v>0</v>
      </c>
      <c r="V236" s="30">
        <v>0</v>
      </c>
    </row>
    <row r="237" spans="3:22" x14ac:dyDescent="0.25">
      <c r="C237" s="4">
        <v>45159</v>
      </c>
      <c r="D237" s="30">
        <v>15271018.7543</v>
      </c>
      <c r="E237" s="32">
        <v>1.0204877999999999</v>
      </c>
      <c r="F237" s="38">
        <f t="shared" ref="F237" si="601">D237/TRUNC(E237,6)</f>
        <v>14964442.226407589</v>
      </c>
      <c r="G237" s="19">
        <f t="shared" ref="G237" si="602">H237*I237</f>
        <v>15277044.666022537</v>
      </c>
      <c r="H237" s="31">
        <v>1.042856</v>
      </c>
      <c r="I237" s="19">
        <f>SUMIFS([1]Master!$K$2:$K$10000,[1]Master!$A$2:$A$10000,$I$12,[1]Master!$F$2:$F$10000,"&lt;="&amp;$C237)</f>
        <v>14649236.966582671</v>
      </c>
      <c r="J237" s="19">
        <f t="shared" ref="J237" si="603">((((1+1.85%)^(1/252))-1)*D236)+SUM(J236)</f>
        <v>16900.452332196859</v>
      </c>
      <c r="K237" s="19">
        <f>IF((NETWORKDAYS(DATE(YEAR(C237),MONTH(C237),1),C237,Feriados!$A$2:$A$842))&gt;=5,0,IF(NETWORKDAYS(DATE(YEAR(C237),MONTH(C237),1),C237,Feriados!$A$2:$A$842)=1,J236,K236))</f>
        <v>0</v>
      </c>
      <c r="L237" s="30">
        <v>-17116.04</v>
      </c>
      <c r="M237" s="19">
        <f>VLOOKUP(C237,'Fluxo de Caixa'!$B$13:$U$10027,20,FALSE)</f>
        <v>25110.736232603282</v>
      </c>
      <c r="N237" s="19">
        <f>SUMIFS([1]Master!$J$2:$J$100,[1]Master!$A$2:$A$100,"="&amp;$I$12,[1]Master!$E$2:$E$100,"="&amp;C237,[1]Master!$J$2:$J$100,"&gt;"&amp;0)</f>
        <v>0</v>
      </c>
      <c r="O237" s="19">
        <f ca="1">-SUMIF('[1]Fluxo de Movimentações'!$A$5:$F$10001,"="&amp;$C238,'[1]Fluxo de Movimentações'!$B$5:$B$10001)</f>
        <v>0</v>
      </c>
      <c r="P237" s="19">
        <f>-SUMIFS([1]Master!$J$1:$J$200,[1]Master!$A$1:$A$200,"="&amp;$I$12,[1]Master!$G$1:$G$200,"&gt;"&amp;C237,[1]Master!$E$1:$E$200,"&lt;="&amp;C237)</f>
        <v>0</v>
      </c>
      <c r="Q237" s="30">
        <v>2879.5943000000002</v>
      </c>
      <c r="R237" s="32">
        <v>1.0216315</v>
      </c>
      <c r="S237" s="30">
        <v>0</v>
      </c>
      <c r="T237" s="30">
        <v>0</v>
      </c>
      <c r="U237" s="30">
        <v>0</v>
      </c>
      <c r="V237" s="30">
        <v>0</v>
      </c>
    </row>
    <row r="238" spans="3:22" x14ac:dyDescent="0.25">
      <c r="C238" s="4">
        <v>45160</v>
      </c>
      <c r="D238" s="30">
        <v>15798785.7095</v>
      </c>
      <c r="E238" s="32">
        <v>1.0557558</v>
      </c>
      <c r="F238" s="38">
        <f t="shared" ref="F238" si="604">D238/TRUNC(E238,6)</f>
        <v>14964443.179999147</v>
      </c>
      <c r="G238" s="19">
        <f t="shared" ref="G238" si="605">H238*I238</f>
        <v>15830044.571968853</v>
      </c>
      <c r="H238" s="31">
        <v>1.0806054</v>
      </c>
      <c r="I238" s="19">
        <f>SUMIFS([1]Master!$K$2:$K$10000,[1]Master!$A$2:$A$10000,$I$12,[1]Master!$F$2:$F$10000,"&lt;="&amp;$C238)</f>
        <v>14649236.966582671</v>
      </c>
      <c r="J238" s="19">
        <f t="shared" ref="J238" si="606">((((1+1.85%)^(1/252))-1)*D237)+SUM(J237)</f>
        <v>18011.335526518931</v>
      </c>
      <c r="K238" s="19">
        <f>IF((NETWORKDAYS(DATE(YEAR(C238),MONTH(C238),1),C238,Feriados!$A$2:$A$842))&gt;=5,0,IF(NETWORKDAYS(DATE(YEAR(C238),MONTH(C238),1),C238,Feriados!$A$2:$A$842)=1,J237,K237))</f>
        <v>0</v>
      </c>
      <c r="L238" s="30">
        <v>-41173.519999999997</v>
      </c>
      <c r="M238" s="19">
        <f>VLOOKUP(C238,'Fluxo de Caixa'!$B$13:$U$10027,20,FALSE)</f>
        <v>25110.736232603282</v>
      </c>
      <c r="N238" s="19">
        <f>SUMIFS([1]Master!$J$2:$J$100,[1]Master!$A$2:$A$100,"="&amp;$I$12,[1]Master!$E$2:$E$100,"="&amp;C238,[1]Master!$J$2:$J$100,"&gt;"&amp;0)</f>
        <v>0</v>
      </c>
      <c r="O238" s="19">
        <f ca="1">-SUMIF('[1]Fluxo de Movimentações'!$A$5:$F$10001,"="&amp;$C239,'[1]Fluxo de Movimentações'!$B$5:$B$10001)</f>
        <v>0</v>
      </c>
      <c r="P238" s="19">
        <f>-SUMIFS([1]Master!$J$1:$J$200,[1]Master!$A$1:$A$200,"="&amp;$I$12,[1]Master!$G$1:$G$200,"&gt;"&amp;C238,[1]Master!$E$1:$E$200,"&lt;="&amp;C238)</f>
        <v>0</v>
      </c>
      <c r="Q238" s="30">
        <v>2815.0095000000001</v>
      </c>
      <c r="R238" s="32">
        <v>1.0585073</v>
      </c>
      <c r="S238" s="30">
        <v>0</v>
      </c>
      <c r="T238" s="30">
        <v>0</v>
      </c>
      <c r="U238" s="30">
        <v>0</v>
      </c>
      <c r="V238" s="30">
        <v>0</v>
      </c>
    </row>
    <row r="239" spans="3:22" x14ac:dyDescent="0.25">
      <c r="C239" s="4">
        <v>45161</v>
      </c>
      <c r="D239" s="30">
        <v>16105175.924699999</v>
      </c>
      <c r="E239" s="32">
        <v>1.0762304</v>
      </c>
      <c r="F239" s="38">
        <f t="shared" ref="F239:F240" si="607">D239/TRUNC(E239,6)</f>
        <v>14964436.899826245</v>
      </c>
      <c r="G239" s="19">
        <f t="shared" ref="G239:G241" si="608">H239*I239</f>
        <v>16156835.355448291</v>
      </c>
      <c r="H239" s="31">
        <v>1.1029131000000001</v>
      </c>
      <c r="I239" s="19">
        <f>SUMIFS([1]Master!$K$2:$K$10000,[1]Master!$A$2:$A$10000,$I$12,[1]Master!$F$2:$F$10000,"&lt;="&amp;$C239)</f>
        <v>14649236.966582671</v>
      </c>
      <c r="J239" s="19">
        <f t="shared" ref="J239:J241" si="609">((((1+1.85%)^(1/252))-1)*D238)+SUM(J238)</f>
        <v>19160.610883831774</v>
      </c>
      <c r="K239" s="19">
        <f>IF((NETWORKDAYS(DATE(YEAR(C239),MONTH(C239),1),C239,Feriados!$A$2:$A$842))&gt;=5,0,IF(NETWORKDAYS(DATE(YEAR(C239),MONTH(C239),1),C239,Feriados!$A$2:$A$842)=1,J238,K238))</f>
        <v>0</v>
      </c>
      <c r="L239" s="30">
        <v>-60360.246021352803</v>
      </c>
      <c r="M239" s="19">
        <f>VLOOKUP(C239,'Fluxo de Caixa'!$B$13:$U$10027,20,FALSE)</f>
        <v>25110.736232603282</v>
      </c>
      <c r="N239" s="19">
        <f>SUMIFS([1]Master!$J$2:$J$100,[1]Master!$A$2:$A$100,"="&amp;$I$12,[1]Master!$E$2:$E$100,"="&amp;C239,[1]Master!$J$2:$J$100,"&gt;"&amp;0)</f>
        <v>0</v>
      </c>
      <c r="O239" s="19">
        <f ca="1">-SUMIF('[1]Fluxo de Movimentações'!$A$5:$F$10001,"="&amp;$C240,'[1]Fluxo de Movimentações'!$B$5:$B$10001)</f>
        <v>0</v>
      </c>
      <c r="P239" s="19">
        <f>-SUMIFS([1]Master!$J$1:$J$200,[1]Master!$A$1:$A$200,"="&amp;$I$12,[1]Master!$G$1:$G$200,"&gt;"&amp;C239,[1]Master!$E$1:$E$200,"&lt;="&amp;C239)</f>
        <v>0</v>
      </c>
      <c r="Q239" s="30">
        <v>2750.4247</v>
      </c>
      <c r="R239" s="32">
        <v>1.0802639999999999</v>
      </c>
      <c r="S239" s="30">
        <v>0</v>
      </c>
      <c r="T239" s="30">
        <v>0</v>
      </c>
      <c r="U239" s="30">
        <v>0</v>
      </c>
      <c r="V239" s="30">
        <v>0</v>
      </c>
    </row>
    <row r="240" spans="3:22" x14ac:dyDescent="0.25">
      <c r="C240" s="4">
        <f>WORKDAY(C239,1,Feriados!$A$2:$A$842)</f>
        <v>45162</v>
      </c>
      <c r="D240" s="30">
        <v>16078895.529899999</v>
      </c>
      <c r="E240" s="32">
        <v>1.0744742</v>
      </c>
      <c r="F240" s="38">
        <f t="shared" si="607"/>
        <v>14964434.253318368</v>
      </c>
      <c r="G240" s="19">
        <f t="shared" si="608"/>
        <v>16129719.617823146</v>
      </c>
      <c r="H240" s="31">
        <v>1.1010621</v>
      </c>
      <c r="I240" s="19">
        <f>SUMIFS([1]Master!$K$2:$K$10000,[1]Master!$A$2:$A$10000,$I$12,[1]Master!$F$2:$F$10000,"&lt;="&amp;$C240)</f>
        <v>14649236.966582671</v>
      </c>
      <c r="J240" s="19">
        <f t="shared" ref="J240" si="610">((((1+1.85%)^(1/252))-1)*D239)+SUM(J239)</f>
        <v>20332.174455601467</v>
      </c>
      <c r="K240" s="19">
        <f>IF((NETWORKDAYS(DATE(YEAR(C240),MONTH(C240),1),C240,Feriados!$A$2:$A$842))&gt;=5,0,IF(NETWORKDAYS(DATE(YEAR(C240),MONTH(C240),1),C240,Feriados!$A$2:$A$842)=1,J239,K239))</f>
        <v>0</v>
      </c>
      <c r="L240" s="30">
        <v>-58288.75</v>
      </c>
      <c r="M240" s="19">
        <f>VLOOKUP(C240,'Fluxo de Caixa'!$B$13:$U$10027,20,FALSE)</f>
        <v>25110.736232603282</v>
      </c>
      <c r="N240" s="19">
        <f>SUMIFS([1]Master!$J$2:$J$100,[1]Master!$A$2:$A$100,"="&amp;$I$12,[1]Master!$E$2:$E$100,"="&amp;C240,[1]Master!$J$2:$J$100,"&gt;"&amp;0)</f>
        <v>0</v>
      </c>
      <c r="O240" s="19">
        <f ca="1">-SUMIF('[1]Fluxo de Movimentações'!$A$5:$F$10001,"="&amp;$C241,'[1]Fluxo de Movimentações'!$B$5:$B$10001)</f>
        <v>0</v>
      </c>
      <c r="P240" s="19">
        <f>-SUMIFS([1]Master!$J$1:$J$200,[1]Master!$A$1:$A$200,"="&amp;$I$12,[1]Master!$G$1:$G$200,"&gt;"&amp;C240,[1]Master!$E$1:$E$200,"&lt;="&amp;C240)</f>
        <v>0</v>
      </c>
      <c r="Q240" s="30">
        <v>2685.8398999999999</v>
      </c>
      <c r="R240" s="32">
        <v>1.0783693999999999</v>
      </c>
      <c r="S240" s="30">
        <v>0</v>
      </c>
      <c r="T240" s="30">
        <v>0</v>
      </c>
      <c r="U240" s="30">
        <v>0</v>
      </c>
      <c r="V240" s="30">
        <v>0</v>
      </c>
    </row>
    <row r="241" spans="3:22" x14ac:dyDescent="0.25">
      <c r="C241" s="4">
        <f>WORKDAY(C240,1,Feriados!$A$2:$A$842)</f>
        <v>45163</v>
      </c>
      <c r="D241" s="30">
        <v>15806400.2051</v>
      </c>
      <c r="E241" s="32">
        <v>1.0562647000000001</v>
      </c>
      <c r="F241" s="38">
        <f t="shared" ref="F241" si="611">D241/TRUNC(E241,6)</f>
        <v>14964440.902179757</v>
      </c>
      <c r="G241" s="19">
        <f t="shared" si="608"/>
        <v>15841081.307099478</v>
      </c>
      <c r="H241" s="31">
        <v>1.0813588000000001</v>
      </c>
      <c r="I241" s="19">
        <f>SUMIFS([1]Master!$K$2:$K$10000,[1]Master!$A$2:$A$10000,$I$12,[1]Master!$F$2:$F$10000,"&lt;="&amp;$C241)</f>
        <v>14649236.966582671</v>
      </c>
      <c r="J241" s="19">
        <f t="shared" si="609"/>
        <v>21501.826272209753</v>
      </c>
      <c r="K241" s="19">
        <f>IF((NETWORKDAYS(DATE(YEAR(C241),MONTH(C241),1),C241,Feriados!$A$2:$A$842))&gt;=5,0,IF(NETWORKDAYS(DATE(YEAR(C241),MONTH(C241),1),C241,Feriados!$A$2:$A$842)=1,J240,K240))</f>
        <v>0</v>
      </c>
      <c r="L241" s="30">
        <v>-40911.519753952402</v>
      </c>
      <c r="M241" s="19">
        <f>VLOOKUP(C241,'Fluxo de Caixa'!$B$13:$U$10027,20,FALSE)</f>
        <v>25110.736232603282</v>
      </c>
      <c r="N241" s="19">
        <f>SUMIFS([1]Master!$J$2:$J$100,[1]Master!$A$2:$A$100,"="&amp;$I$12,[1]Master!$E$2:$E$100,"="&amp;C241,[1]Master!$J$2:$J$100,"&gt;"&amp;0)</f>
        <v>0</v>
      </c>
      <c r="O241" s="19">
        <f ca="1">-SUMIF('[1]Fluxo de Movimentações'!$A$5:$F$10001,"="&amp;$C242,'[1]Fluxo de Movimentações'!$B$5:$B$10001)</f>
        <v>0</v>
      </c>
      <c r="P241" s="19">
        <f>-SUMIFS([1]Master!$J$1:$J$200,[1]Master!$A$1:$A$200,"="&amp;$I$12,[1]Master!$G$1:$G$200,"&gt;"&amp;C241,[1]Master!$E$1:$E$200,"&lt;="&amp;C241)</f>
        <v>0</v>
      </c>
      <c r="Q241" s="30">
        <v>2621.2550999999999</v>
      </c>
      <c r="R241" s="32">
        <v>1.0589986</v>
      </c>
      <c r="S241" s="30">
        <v>0</v>
      </c>
      <c r="T241" s="30">
        <v>0</v>
      </c>
      <c r="U241" s="30">
        <v>0</v>
      </c>
      <c r="V241" s="30">
        <v>0</v>
      </c>
    </row>
    <row r="242" spans="3:22" x14ac:dyDescent="0.25">
      <c r="C242" s="4">
        <f>WORKDAY(C241,1,Feriados!$A$2:$A$842)</f>
        <v>45166</v>
      </c>
      <c r="D242" s="30">
        <v>15731504.510299999</v>
      </c>
      <c r="E242" s="32">
        <v>1.0512598</v>
      </c>
      <c r="F242" s="38">
        <f t="shared" ref="F242" si="612">D242/TRUNC(E242,6)</f>
        <v>14964442.169151464</v>
      </c>
      <c r="G242" s="19">
        <f t="shared" ref="G242" si="613">H242*I242</f>
        <v>15762753.301962854</v>
      </c>
      <c r="H242" s="31">
        <v>1.0760118999999999</v>
      </c>
      <c r="I242" s="19">
        <f>SUMIFS([1]Master!$K$2:$K$10000,[1]Master!$A$2:$A$10000,$I$12,[1]Master!$F$2:$F$10000,"&lt;="&amp;$C242)</f>
        <v>14649236.966582671</v>
      </c>
      <c r="J242" s="19">
        <f t="shared" ref="J242" si="614">((((1+1.85%)^(1/252))-1)*D241)+SUM(J241)</f>
        <v>22651.655542482258</v>
      </c>
      <c r="K242" s="19">
        <f>IF((NETWORKDAYS(DATE(YEAR(C242),MONTH(C242),1),C242,Feriados!$A$2:$A$842))&gt;=5,0,IF(NETWORKDAYS(DATE(YEAR(C242),MONTH(C242),1),C242,Feriados!$A$2:$A$842)=1,J241,K241))</f>
        <v>0</v>
      </c>
      <c r="L242" s="30">
        <v>-36264.81</v>
      </c>
      <c r="M242" s="19">
        <f>VLOOKUP(C242,'Fluxo de Caixa'!$B$13:$U$10027,20,FALSE)</f>
        <v>25110.736232603282</v>
      </c>
      <c r="N242" s="19">
        <f>SUMIFS([1]Master!$J$2:$J$100,[1]Master!$A$2:$A$100,"="&amp;$I$12,[1]Master!$E$2:$E$100,"="&amp;C242,[1]Master!$J$2:$J$100,"&gt;"&amp;0)</f>
        <v>0</v>
      </c>
      <c r="O242" s="19">
        <f ca="1">-SUMIF('[1]Fluxo de Movimentações'!$A$5:$F$10001,"="&amp;$C243,'[1]Fluxo de Movimentações'!$B$5:$B$10001)</f>
        <v>0</v>
      </c>
      <c r="P242" s="19">
        <f>-SUMIFS([1]Master!$J$1:$J$200,[1]Master!$A$1:$A$200,"="&amp;$I$12,[1]Master!$G$1:$G$200,"&gt;"&amp;C242,[1]Master!$E$1:$E$200,"&lt;="&amp;C242)</f>
        <v>0</v>
      </c>
      <c r="Q242" s="30">
        <v>2556.6703000000002</v>
      </c>
      <c r="R242" s="32">
        <v>1.0536832</v>
      </c>
      <c r="S242" s="30">
        <v>0</v>
      </c>
      <c r="T242" s="30">
        <v>0</v>
      </c>
      <c r="U242" s="30">
        <v>0</v>
      </c>
      <c r="V242" s="30">
        <v>0</v>
      </c>
    </row>
    <row r="243" spans="3:22" x14ac:dyDescent="0.25">
      <c r="C243" s="4">
        <v>45167</v>
      </c>
      <c r="D243" s="30">
        <v>15810739.9055</v>
      </c>
      <c r="E243" s="32">
        <v>1.0565547</v>
      </c>
      <c r="F243" s="38">
        <f t="shared" ref="F243" si="615">D243/TRUNC(E243,6)</f>
        <v>14964440.914046988</v>
      </c>
      <c r="G243" s="19">
        <f t="shared" ref="G243" si="616">H243*I243</f>
        <v>15847222.267235868</v>
      </c>
      <c r="H243" s="31">
        <v>1.0817779999999999</v>
      </c>
      <c r="I243" s="19">
        <f>SUMIFS([1]Master!$K$2:$K$10000,[1]Master!$A$2:$A$10000,$I$12,[1]Master!$F$2:$F$10000,"&lt;="&amp;$C243)</f>
        <v>14649236.966582671</v>
      </c>
      <c r="J243" s="19">
        <f t="shared" ref="J243" si="617">((((1+1.85%)^(1/252))-1)*D242)+SUM(J242)</f>
        <v>23796.036560086162</v>
      </c>
      <c r="K243" s="19">
        <f>IF((NETWORKDAYS(DATE(YEAR(C243),MONTH(C243),1),C243,Feriados!$A$2:$A$842))&gt;=5,0,IF(NETWORKDAYS(DATE(YEAR(C243),MONTH(C243),1),C243,Feriados!$A$2:$A$842)=1,J242,K242))</f>
        <v>0</v>
      </c>
      <c r="L243" s="30">
        <v>-40289.42</v>
      </c>
      <c r="M243" s="19">
        <f>VLOOKUP(C243,'Fluxo de Caixa'!$B$13:$U$10027,20,FALSE)</f>
        <v>25110.736232603282</v>
      </c>
      <c r="N243" s="19">
        <f>SUMIFS([1]Master!$J$2:$J$100,[1]Master!$A$2:$A$100,"="&amp;$I$12,[1]Master!$E$2:$E$100,"="&amp;C243,[1]Master!$J$2:$J$100,"&gt;"&amp;0)</f>
        <v>0</v>
      </c>
      <c r="O243" s="19">
        <f ca="1">-SUMIF('[1]Fluxo de Movimentações'!$A$5:$F$10001,"="&amp;$C244,'[1]Fluxo de Movimentações'!$B$5:$B$10001)</f>
        <v>0</v>
      </c>
      <c r="P243" s="19">
        <f>-SUMIFS([1]Master!$J$1:$J$200,[1]Master!$A$1:$A$200,"="&amp;$I$12,[1]Master!$G$1:$G$200,"&gt;"&amp;C243,[1]Master!$E$1:$E$200,"&lt;="&amp;C243)</f>
        <v>0</v>
      </c>
      <c r="Q243" s="30">
        <v>2492.0855000000001</v>
      </c>
      <c r="R243" s="32">
        <v>1.059247</v>
      </c>
      <c r="S243" s="30">
        <v>0</v>
      </c>
      <c r="T243" s="30">
        <v>0</v>
      </c>
      <c r="U243" s="30">
        <v>0</v>
      </c>
      <c r="V243" s="30">
        <v>0</v>
      </c>
    </row>
    <row r="244" spans="3:22" x14ac:dyDescent="0.25">
      <c r="C244" s="4">
        <v>45168</v>
      </c>
      <c r="D244" s="30">
        <v>15761018.2007</v>
      </c>
      <c r="E244" s="32">
        <v>1.0532319999999999</v>
      </c>
      <c r="F244" s="38">
        <f t="shared" ref="F244" si="618">D244/TRUNC(E244,6)</f>
        <v>14964431.5788924</v>
      </c>
      <c r="G244" s="19">
        <f t="shared" ref="G244" si="619">H244*I244</f>
        <v>15795756.567924868</v>
      </c>
      <c r="H244" s="31">
        <v>1.0782647999999999</v>
      </c>
      <c r="I244" s="19">
        <f>SUMIFS([1]Master!$K$2:$K$10000,[1]Master!$A$2:$A$10000,$I$12,[1]Master!$F$2:$F$10000,"&lt;="&amp;$C244)</f>
        <v>14649236.966582671</v>
      </c>
      <c r="J244" s="19">
        <f t="shared" ref="J244" si="620">((((1+1.85%)^(1/252))-1)*D243)+SUM(J243)</f>
        <v>24946.181519856556</v>
      </c>
      <c r="K244" s="19">
        <f>IF((NETWORKDAYS(DATE(YEAR(C244),MONTH(C244),1),C244,Feriados!$A$2:$A$842))&gt;=5,0,IF(NETWORKDAYS(DATE(YEAR(C244),MONTH(C244),1),C244,Feriados!$A$2:$A$842)=1,J243,K243))</f>
        <v>0</v>
      </c>
      <c r="L244" s="30">
        <v>-37330.699999999997</v>
      </c>
      <c r="M244" s="19">
        <f>VLOOKUP(C244,'Fluxo de Caixa'!$B$13:$U$10027,20,FALSE)</f>
        <v>25110.736232603282</v>
      </c>
      <c r="N244" s="19">
        <f>SUMIFS([1]Master!$J$2:$J$100,[1]Master!$A$2:$A$100,"="&amp;$I$12,[1]Master!$E$2:$E$100,"="&amp;C244,[1]Master!$J$2:$J$100,"&gt;"&amp;0)</f>
        <v>0</v>
      </c>
      <c r="O244" s="19">
        <f ca="1">-SUMIF('[1]Fluxo de Movimentações'!$A$5:$F$10001,"="&amp;$C245,'[1]Fluxo de Movimentações'!$B$5:$B$10001)</f>
        <v>0</v>
      </c>
      <c r="P244" s="19">
        <f>-SUMIFS([1]Master!$J$1:$J$200,[1]Master!$A$1:$A$200,"="&amp;$I$12,[1]Master!$G$1:$G$200,"&gt;"&amp;C244,[1]Master!$E$1:$E$200,"&lt;="&amp;C244)</f>
        <v>0</v>
      </c>
      <c r="Q244" s="30">
        <v>2427.5007000000001</v>
      </c>
      <c r="R244" s="32">
        <v>1.0557266999999999</v>
      </c>
      <c r="S244" s="30">
        <v>0</v>
      </c>
      <c r="T244" s="30">
        <v>0</v>
      </c>
      <c r="U244" s="30">
        <v>0</v>
      </c>
      <c r="V244" s="30">
        <v>0</v>
      </c>
    </row>
    <row r="245" spans="3:22" x14ac:dyDescent="0.25">
      <c r="C245" s="4">
        <v>45169</v>
      </c>
      <c r="D245" s="30">
        <v>15527877.255899999</v>
      </c>
      <c r="E245" s="32">
        <v>1.0376524</v>
      </c>
      <c r="F245" s="38">
        <f t="shared" ref="F245" si="621">D245/TRUNC(E245,6)</f>
        <v>14964436.300320338</v>
      </c>
      <c r="G245" s="19">
        <f t="shared" ref="G245" si="622">H245*I245</f>
        <v>15552029.887893353</v>
      </c>
      <c r="H245" s="31">
        <v>1.0616273000000001</v>
      </c>
      <c r="I245" s="19">
        <f>SUMIFS([1]Master!$K$2:$K$10000,[1]Master!$A$2:$A$10000,$I$12,[1]Master!$F$2:$F$10000,"&lt;="&amp;$C245)</f>
        <v>14649236.966582671</v>
      </c>
      <c r="J245" s="19">
        <f t="shared" ref="J245:J247" si="623">((((1+1.85%)^(1/252))-1)*D244)+SUM(J244)</f>
        <v>26092.70949721444</v>
      </c>
      <c r="K245" s="19">
        <f>IF((NETWORKDAYS(DATE(YEAR(C245),MONTH(C245),1),C245,Feriados!$A$2:$A$842))&gt;=5,0,IF(NETWORKDAYS(DATE(YEAR(C245),MONTH(C245),1),C245,Feriados!$A$2:$A$842)=1,J244,K244))</f>
        <v>0</v>
      </c>
      <c r="L245" s="30">
        <v>-25533.86</v>
      </c>
      <c r="M245" s="19">
        <f>VLOOKUP(C245,'Fluxo de Caixa'!$B$13:$U$10027,20,FALSE)</f>
        <v>25110.736232603282</v>
      </c>
      <c r="N245" s="19">
        <f>SUMIFS([1]Master!$J$2:$J$100,[1]Master!$A$2:$A$100,"="&amp;$I$12,[1]Master!$E$2:$E$100,"="&amp;C245,[1]Master!$J$2:$J$100,"&gt;"&amp;0)</f>
        <v>0</v>
      </c>
      <c r="O245" s="19">
        <f ca="1">-SUMIF('[1]Fluxo de Movimentações'!$A$5:$F$10001,"="&amp;$C246,'[1]Fluxo de Movimentações'!$B$5:$B$10001)</f>
        <v>0</v>
      </c>
      <c r="P245" s="19">
        <f>-SUMIFS([1]Master!$J$1:$J$200,[1]Master!$A$1:$A$200,"="&amp;$I$12,[1]Master!$G$1:$G$200,"&gt;"&amp;C245,[1]Master!$E$1:$E$200,"&lt;="&amp;C245)</f>
        <v>0</v>
      </c>
      <c r="Q245" s="30">
        <v>2362.9159</v>
      </c>
      <c r="R245" s="32">
        <v>1.0393587</v>
      </c>
      <c r="S245" s="30">
        <v>0</v>
      </c>
      <c r="T245" s="30">
        <v>0</v>
      </c>
      <c r="U245" s="30">
        <v>0</v>
      </c>
      <c r="V245" s="30">
        <v>0</v>
      </c>
    </row>
    <row r="246" spans="3:22" x14ac:dyDescent="0.25">
      <c r="C246" s="4">
        <v>45170</v>
      </c>
      <c r="D246" s="30">
        <v>15721925.2816</v>
      </c>
      <c r="E246" s="32">
        <v>1.0506196000000001</v>
      </c>
      <c r="F246" s="38">
        <f t="shared" ref="F246" si="624">D246/TRUNC(E246,6)</f>
        <v>14964440.279111648</v>
      </c>
      <c r="G246" s="19">
        <f t="shared" ref="G246" si="625">H246*I246</f>
        <v>15756416.042051112</v>
      </c>
      <c r="H246" s="31">
        <v>1.0755793</v>
      </c>
      <c r="I246" s="19">
        <f>SUMIFS([1]Master!$K$2:$K$10000,[1]Master!$A$2:$A$10000,$I$12,[1]Master!$F$2:$F$10000,"&lt;="&amp;$C246)</f>
        <v>14649236.966582671</v>
      </c>
      <c r="J246" s="19">
        <f>((((1+1.85%)^(1/252))-1)*D245)</f>
        <v>1129.5682471883601</v>
      </c>
      <c r="K246" s="19">
        <f>IF((NETWORKDAYS(DATE(YEAR(C246),MONTH(C246),1),C246,Feriados!$A$2:$A$842))&gt;=5,0,IF(NETWORKDAYS(DATE(YEAR(C246),MONTH(C246),1),C246,Feriados!$A$2:$A$842)=1,J245,K245))</f>
        <v>26092.70949721444</v>
      </c>
      <c r="L246" s="30">
        <v>-34674.01</v>
      </c>
      <c r="M246" s="19">
        <f>VLOOKUP(C246,'Fluxo de Caixa'!$B$13:$U$10027,20,FALSE)</f>
        <v>25110.736232603282</v>
      </c>
      <c r="N246" s="19">
        <f>SUMIFS([1]Master!$J$2:$J$100,[1]Master!$A$2:$A$100,"="&amp;$I$12,[1]Master!$E$2:$E$100,"="&amp;C246,[1]Master!$J$2:$J$100,"&gt;"&amp;0)</f>
        <v>0</v>
      </c>
      <c r="O246" s="19">
        <f ca="1">-SUMIF('[1]Fluxo de Movimentações'!$A$5:$F$10001,"="&amp;$C247,'[1]Fluxo de Movimentações'!$B$5:$B$10001)</f>
        <v>0</v>
      </c>
      <c r="P246" s="19">
        <f>-SUMIFS([1]Master!$J$1:$J$200,[1]Master!$A$1:$A$200,"="&amp;$I$12,[1]Master!$G$1:$G$200,"&gt;"&amp;C246,[1]Master!$E$1:$E$200,"&lt;="&amp;C246)</f>
        <v>0</v>
      </c>
      <c r="Q246" s="30">
        <v>2294.5016000000001</v>
      </c>
      <c r="R246" s="32">
        <v>1.0529367000000001</v>
      </c>
      <c r="S246" s="30">
        <v>0</v>
      </c>
      <c r="T246" s="30">
        <v>0</v>
      </c>
      <c r="U246" s="30">
        <v>0</v>
      </c>
      <c r="V246" s="30">
        <v>0</v>
      </c>
    </row>
    <row r="247" spans="3:22" x14ac:dyDescent="0.25">
      <c r="C247" s="4">
        <v>45173</v>
      </c>
      <c r="D247" s="30">
        <v>15764564.067299999</v>
      </c>
      <c r="E247" s="32">
        <v>1.053469</v>
      </c>
      <c r="F247" s="38">
        <f t="shared" ref="F247" si="626">D247/TRUNC(E247,6)</f>
        <v>14964430.910923814</v>
      </c>
      <c r="G247" s="19">
        <f t="shared" ref="G247" si="627">H247*I247</f>
        <v>15774304.776848931</v>
      </c>
      <c r="H247" s="31">
        <v>1.0787118</v>
      </c>
      <c r="I247" s="19">
        <f>SUMIFS([1]Master!$K$2:$K$10000,[1]Master!$A$2:$A$10000,$I$12,[1]Master!$F$2:$F$10000,"&lt;="&amp;$C247)</f>
        <v>14623280.07985908</v>
      </c>
      <c r="J247" s="19">
        <f t="shared" si="623"/>
        <v>2273.2524282322011</v>
      </c>
      <c r="K247" s="19">
        <f>IF((NETWORKDAYS(DATE(YEAR(C247),MONTH(C247),1),C247,Feriados!$A$2:$A$842))&gt;=5,0,IF(NETWORKDAYS(DATE(YEAR(C247),MONTH(C247),1),C247,Feriados!$A$2:$A$842)=1,J246,K246))</f>
        <v>26092.70949721444</v>
      </c>
      <c r="L247" s="30">
        <v>-36711.870000000003</v>
      </c>
      <c r="M247" s="19">
        <f>VLOOKUP(C247,'Fluxo de Caixa'!$B$13:$U$10027,20,FALSE)</f>
        <v>25110.736232603282</v>
      </c>
      <c r="N247" s="19">
        <f>SUMIFS([1]Master!$J$2:$J$100,[1]Master!$A$2:$A$100,"="&amp;$I$12,[1]Master!$E$2:$E$100,"="&amp;C247,[1]Master!$J$2:$J$100,"&gt;"&amp;0)</f>
        <v>0</v>
      </c>
      <c r="O247" s="19">
        <f ca="1">-SUMIF('[1]Fluxo de Movimentações'!$A$5:$F$10001,"="&amp;$C248,'[1]Fluxo de Movimentações'!$B$5:$B$10001)</f>
        <v>0</v>
      </c>
      <c r="P247" s="19">
        <f>-SUMIFS([1]Master!$J$1:$J$200,[1]Master!$A$1:$A$200,"="&amp;$I$12,[1]Master!$G$1:$G$200,"&gt;"&amp;C247,[1]Master!$E$1:$E$200,"&lt;="&amp;C247)</f>
        <v>28000</v>
      </c>
      <c r="Q247" s="30">
        <v>2226.0873000000001</v>
      </c>
      <c r="R247" s="32">
        <v>1.0559223</v>
      </c>
      <c r="S247" s="30">
        <v>0</v>
      </c>
      <c r="T247" s="30">
        <v>0</v>
      </c>
      <c r="U247" s="30">
        <v>0</v>
      </c>
      <c r="V247" s="30">
        <v>0</v>
      </c>
    </row>
    <row r="248" spans="3:22" x14ac:dyDescent="0.25">
      <c r="C248" s="4">
        <v>45174</v>
      </c>
      <c r="D248" s="30">
        <v>15678067.153000001</v>
      </c>
      <c r="E248" s="32">
        <v>1.0476888</v>
      </c>
      <c r="F248" s="38">
        <f t="shared" ref="F248" si="628">D248/TRUNC(E248,6)</f>
        <v>14964442.804537229</v>
      </c>
      <c r="G248" s="19">
        <f t="shared" ref="G248" si="629">H248*I248</f>
        <v>15684067.440132137</v>
      </c>
      <c r="H248" s="31">
        <v>1.072541</v>
      </c>
      <c r="I248" s="19">
        <f>SUMIFS([1]Master!$K$2:$K$10000,[1]Master!$A$2:$A$10000,$I$12,[1]Master!$F$2:$F$10000,"&lt;="&amp;$C248)</f>
        <v>14623280.07985908</v>
      </c>
      <c r="J248" s="19">
        <f t="shared" ref="J248" si="630">((((1+1.85%)^(1/252))-1)*D247)+SUM(J247)</f>
        <v>3420.0383480154496</v>
      </c>
      <c r="K248" s="19">
        <f>IF((NETWORKDAYS(DATE(YEAR(C248),MONTH(C248),1),C248,Feriados!$A$2:$A$842))&gt;=5,0,IF(NETWORKDAYS(DATE(YEAR(C248),MONTH(C248),1),C248,Feriados!$A$2:$A$842)=1,J247,K247))</f>
        <v>26092.70949721444</v>
      </c>
      <c r="L248" s="30">
        <v>-31756.25</v>
      </c>
      <c r="M248" s="19">
        <f>VLOOKUP(C248,'Fluxo de Caixa'!$B$13:$U$10027,20,FALSE)</f>
        <v>25110.736232603282</v>
      </c>
      <c r="N248" s="19">
        <f>SUMIFS([1]Master!$J$2:$J$100,[1]Master!$A$2:$A$100,"="&amp;$I$12,[1]Master!$E$2:$E$100,"="&amp;C248,[1]Master!$J$2:$J$100,"&gt;"&amp;0)</f>
        <v>0</v>
      </c>
      <c r="O248" s="19">
        <f ca="1">-SUMIF('[1]Fluxo de Movimentações'!$A$5:$F$10001,"="&amp;$C249,'[1]Fluxo de Movimentações'!$B$5:$B$10001)</f>
        <v>0</v>
      </c>
      <c r="P248" s="19">
        <f>-SUMIFS([1]Master!$J$1:$J$200,[1]Master!$A$1:$A$200,"="&amp;$I$12,[1]Master!$G$1:$G$200,"&gt;"&amp;C248,[1]Master!$E$1:$E$200,"&lt;="&amp;C248)</f>
        <v>28000</v>
      </c>
      <c r="Q248" s="30">
        <v>2157.6729999999998</v>
      </c>
      <c r="R248" s="32">
        <v>1.0498109</v>
      </c>
      <c r="S248" s="30">
        <v>0</v>
      </c>
      <c r="T248" s="30">
        <v>0</v>
      </c>
      <c r="U248" s="30">
        <v>0</v>
      </c>
      <c r="V248" s="30">
        <v>0</v>
      </c>
    </row>
    <row r="249" spans="3:22" x14ac:dyDescent="0.25">
      <c r="C249" s="4">
        <v>45175</v>
      </c>
      <c r="D249" s="30">
        <v>15457409.788699999</v>
      </c>
      <c r="E249" s="32">
        <v>1.0329434</v>
      </c>
      <c r="F249" s="38">
        <f t="shared" ref="F249" si="631">D249/TRUNC(E249,6)</f>
        <v>14964436.361638542</v>
      </c>
      <c r="G249" s="19">
        <f t="shared" ref="G249" si="632">H249*I249</f>
        <v>15454751.011231819</v>
      </c>
      <c r="H249" s="31">
        <v>1.0568594</v>
      </c>
      <c r="I249" s="19">
        <f>SUMIFS([1]Master!$K$2:$K$10000,[1]Master!$A$2:$A$10000,$I$12,[1]Master!$F$2:$F$10000,"&lt;="&amp;$C249)</f>
        <v>14623280.07985908</v>
      </c>
      <c r="J249" s="19">
        <f t="shared" ref="J249" si="633">((((1+1.85%)^(1/252))-1)*D248)+SUM(J248)</f>
        <v>4560.5320897847378</v>
      </c>
      <c r="K249" s="19">
        <f>IF((NETWORKDAYS(DATE(YEAR(C249),MONTH(C249),1),C249,Feriados!$A$2:$A$842))&gt;=5,0,IF(NETWORKDAYS(DATE(YEAR(C249),MONTH(C249),1),C249,Feriados!$A$2:$A$842)=1,J248,K248))</f>
        <v>26092.70949721444</v>
      </c>
      <c r="L249" s="30">
        <v>-22007.557694193601</v>
      </c>
      <c r="M249" s="19">
        <f>VLOOKUP(C249,'Fluxo de Caixa'!$B$13:$U$10027,20,FALSE)</f>
        <v>53110.736232603282</v>
      </c>
      <c r="N249" s="19">
        <f>SUMIFS([1]Master!$J$2:$J$100,[1]Master!$A$2:$A$100,"="&amp;$I$12,[1]Master!$E$2:$E$100,"="&amp;C249,[1]Master!$J$2:$J$100,"&gt;"&amp;0)</f>
        <v>0</v>
      </c>
      <c r="O249" s="19">
        <f ca="1">-SUMIF('[1]Fluxo de Movimentações'!$A$5:$F$10001,"="&amp;$C250,'[1]Fluxo de Movimentações'!$B$5:$B$10001)</f>
        <v>0</v>
      </c>
      <c r="P249" s="19">
        <f>-SUMIFS([1]Master!$J$1:$J$200,[1]Master!$A$1:$A$200,"="&amp;$I$12,[1]Master!$G$1:$G$200,"&gt;"&amp;C249,[1]Master!$E$1:$E$200,"&lt;="&amp;C249)</f>
        <v>0</v>
      </c>
      <c r="Q249" s="30">
        <v>2089.2586999999999</v>
      </c>
      <c r="R249" s="32">
        <v>1.0344059999999999</v>
      </c>
      <c r="S249" s="30">
        <v>0</v>
      </c>
      <c r="T249" s="30">
        <v>0</v>
      </c>
      <c r="U249" s="30">
        <v>0</v>
      </c>
      <c r="V249" s="30">
        <v>0</v>
      </c>
    </row>
    <row r="250" spans="3:22" x14ac:dyDescent="0.25">
      <c r="C250" s="4">
        <f>WORKDAY($C249,1,Feriados!$A$2:$A$843)</f>
        <v>45177</v>
      </c>
      <c r="D250" s="30">
        <v>15398873.304400001</v>
      </c>
      <c r="E250" s="32">
        <v>1.0290315999999999</v>
      </c>
      <c r="F250" s="38">
        <f t="shared" ref="F250" si="634">D250/TRUNC(E250,6)</f>
        <v>14964440.628513621</v>
      </c>
      <c r="G250" s="19">
        <f t="shared" ref="G250" si="635">H250*I250</f>
        <v>15394975.42924938</v>
      </c>
      <c r="H250" s="31">
        <v>1.0527717000000001</v>
      </c>
      <c r="I250" s="19">
        <f>SUMIFS([1]Master!$K$2:$K$10000,[1]Master!$A$2:$A$10000,$I$12,[1]Master!$F$2:$F$10000,"&lt;="&amp;$C250)</f>
        <v>14623280.07985908</v>
      </c>
      <c r="J250" s="19">
        <f t="shared" ref="J250" si="636">((((1+1.85%)^(1/252))-1)*D249)+SUM(J249)</f>
        <v>5684.974213672589</v>
      </c>
      <c r="K250" s="19">
        <f>IF((NETWORKDAYS(DATE(YEAR(C250),MONTH(C250),1),C250,Feriados!$A$2:$A$842))&gt;=5,0,IF(NETWORKDAYS(DATE(YEAR(C250),MONTH(C250),1),C250,Feriados!$A$2:$A$842)=1,J249,K249))</f>
        <v>0</v>
      </c>
      <c r="L250" s="30">
        <v>-19456.330000000002</v>
      </c>
      <c r="M250" s="19">
        <f>VLOOKUP(C250,'Fluxo de Caixa'!$B$13:$U$10027,20,FALSE)</f>
        <v>27018.136232603283</v>
      </c>
      <c r="N250" s="19">
        <f>SUMIFS([1]Master!$J$2:$J$100,[1]Master!$A$2:$A$100,"="&amp;$I$12,[1]Master!$E$2:$E$100,"="&amp;C250,[1]Master!$J$2:$J$100,"&gt;"&amp;0)</f>
        <v>0</v>
      </c>
      <c r="O250" s="19">
        <f ca="1">-SUMIF('[1]Fluxo de Movimentações'!$A$5:$F$10001,"="&amp;$C251,'[1]Fluxo de Movimentações'!$B$5:$B$10001)</f>
        <v>0</v>
      </c>
      <c r="P250" s="19">
        <f>-SUMIFS([1]Master!$J$1:$J$200,[1]Master!$A$1:$A$200,"="&amp;$I$12,[1]Master!$G$1:$G$200,"&gt;"&amp;C250,[1]Master!$E$1:$E$200,"&lt;="&amp;C250)</f>
        <v>0</v>
      </c>
      <c r="Q250" s="30">
        <v>2020.8444</v>
      </c>
      <c r="R250" s="32">
        <v>1.0303317999999999</v>
      </c>
      <c r="S250" s="30">
        <v>0</v>
      </c>
      <c r="T250" s="30">
        <v>0</v>
      </c>
      <c r="U250" s="30">
        <v>0</v>
      </c>
      <c r="V250" s="30">
        <v>0</v>
      </c>
    </row>
    <row r="251" spans="3:22" x14ac:dyDescent="0.25">
      <c r="C251" s="4">
        <f>WORKDAY($C250,1,Feriados!$A$2:$A$843)</f>
        <v>45180</v>
      </c>
      <c r="D251" s="30">
        <v>15575448.190099999</v>
      </c>
      <c r="E251" s="32">
        <v>1.0408313</v>
      </c>
      <c r="F251" s="38">
        <f t="shared" ref="F251" si="637">D251/TRUNC(E251,6)</f>
        <v>14964435.331096018</v>
      </c>
      <c r="G251" s="19">
        <f t="shared" ref="G251" si="638">H251*I251</f>
        <v>15579557.782057401</v>
      </c>
      <c r="H251" s="31">
        <v>1.0653942000000001</v>
      </c>
      <c r="I251" s="19">
        <f>SUMIFS([1]Master!$K$2:$K$10000,[1]Master!$A$2:$A$10000,$I$12,[1]Master!$F$2:$F$10000,"&lt;="&amp;$C251)</f>
        <v>14623280.07985908</v>
      </c>
      <c r="J251" s="19">
        <f t="shared" ref="J251" si="639">((((1+1.85%)^(1/252))-1)*D250)+SUM(J250)</f>
        <v>6805.1581280912615</v>
      </c>
      <c r="K251" s="19">
        <f>IF((NETWORKDAYS(DATE(YEAR(C251),MONTH(C251),1),C251,Feriados!$A$2:$A$842))&gt;=5,0,IF(NETWORKDAYS(DATE(YEAR(C251),MONTH(C251),1),C251,Feriados!$A$2:$A$842)=1,J250,K250))</f>
        <v>0</v>
      </c>
      <c r="L251" s="30">
        <v>-26275.200000000001</v>
      </c>
      <c r="M251" s="19">
        <f>VLOOKUP(C251,'Fluxo de Caixa'!$B$13:$U$10027,20,FALSE)</f>
        <v>27018.136232603283</v>
      </c>
      <c r="N251" s="19">
        <f>SUMIFS([1]Master!$J$2:$J$100,[1]Master!$A$2:$A$100,"="&amp;$I$12,[1]Master!$E$2:$E$100,"="&amp;C251,[1]Master!$J$2:$J$100,"&gt;"&amp;0)</f>
        <v>0</v>
      </c>
      <c r="O251" s="19">
        <f ca="1">-SUMIF('[1]Fluxo de Movimentações'!$A$5:$F$10001,"="&amp;$C252,'[1]Fluxo de Movimentações'!$B$5:$B$10001)</f>
        <v>0</v>
      </c>
      <c r="P251" s="19">
        <f>-SUMIFS([1]Master!$J$1:$J$200,[1]Master!$A$1:$A$200,"="&amp;$I$12,[1]Master!$G$1:$G$200,"&gt;"&amp;C251,[1]Master!$E$1:$E$200,"&lt;="&amp;C251)</f>
        <v>0</v>
      </c>
      <c r="Q251" s="30">
        <v>1952.4301</v>
      </c>
      <c r="R251" s="32">
        <v>1.0425871</v>
      </c>
      <c r="S251" s="30">
        <v>0</v>
      </c>
      <c r="T251" s="30">
        <v>0</v>
      </c>
      <c r="U251" s="30">
        <v>0</v>
      </c>
      <c r="V251" s="30">
        <v>0</v>
      </c>
    </row>
    <row r="252" spans="3:22" x14ac:dyDescent="0.25">
      <c r="C252" s="4">
        <v>45181</v>
      </c>
      <c r="D252" s="30">
        <v>15911660.515799999</v>
      </c>
      <c r="E252" s="32">
        <v>1.0632987</v>
      </c>
      <c r="F252" s="38">
        <f t="shared" ref="F252" si="640">D252/TRUNC(E252,6)</f>
        <v>14964441.309773928</v>
      </c>
      <c r="G252" s="19">
        <f t="shared" ref="G252" si="641">H252*I252</f>
        <v>15934223.505474262</v>
      </c>
      <c r="H252" s="31">
        <v>1.0896477</v>
      </c>
      <c r="I252" s="19">
        <f>SUMIFS([1]Master!$K$2:$K$10000,[1]Master!$A$2:$A$10000,$I$12,[1]Master!$F$2:$F$10000,"&lt;="&amp;$C252)</f>
        <v>14623280.07985908</v>
      </c>
      <c r="J252" s="19">
        <f t="shared" ref="J252" si="642">((((1+1.85%)^(1/252))-1)*D251)+SUM(J251)</f>
        <v>7938.1869008798603</v>
      </c>
      <c r="K252" s="19">
        <f>IF((NETWORKDAYS(DATE(YEAR(C252),MONTH(C252),1),C252,Feriados!$A$2:$A$842))&gt;=5,0,IF(NETWORKDAYS(DATE(YEAR(C252),MONTH(C252),1),C252,Feriados!$A$2:$A$842)=1,J251,K251))</f>
        <v>0</v>
      </c>
      <c r="L252" s="30">
        <v>-43527.17</v>
      </c>
      <c r="M252" s="19">
        <f>VLOOKUP(C252,'Fluxo de Caixa'!$B$13:$U$10027,20,FALSE)</f>
        <v>27018.136232603283</v>
      </c>
      <c r="N252" s="19">
        <f>SUMIFS([1]Master!$J$2:$J$100,[1]Master!$A$2:$A$100,"="&amp;$I$12,[1]Master!$E$2:$E$100,"="&amp;C252,[1]Master!$J$2:$J$100,"&gt;"&amp;0)</f>
        <v>0</v>
      </c>
      <c r="O252" s="19">
        <f ca="1">-SUMIF('[1]Fluxo de Movimentações'!$A$5:$F$10001,"="&amp;$C253,'[1]Fluxo de Movimentações'!$B$5:$B$10001)</f>
        <v>0</v>
      </c>
      <c r="P252" s="19">
        <f>-SUMIFS([1]Master!$J$1:$J$200,[1]Master!$A$1:$A$200,"="&amp;$I$12,[1]Master!$G$1:$G$200,"&gt;"&amp;C252,[1]Master!$E$1:$E$200,"&lt;="&amp;C252)</f>
        <v>0</v>
      </c>
      <c r="Q252" s="30">
        <v>1884.0157999999999</v>
      </c>
      <c r="R252" s="32">
        <v>1.0662073999999999</v>
      </c>
      <c r="S252" s="30">
        <v>0</v>
      </c>
      <c r="T252" s="30">
        <v>0</v>
      </c>
      <c r="U252" s="30">
        <v>0</v>
      </c>
      <c r="V252" s="30">
        <v>0</v>
      </c>
    </row>
    <row r="253" spans="3:22" x14ac:dyDescent="0.25">
      <c r="C253" s="4">
        <v>45182</v>
      </c>
      <c r="D253" s="30">
        <v>15993512.181500001</v>
      </c>
      <c r="E253" s="32">
        <v>1.0687685</v>
      </c>
      <c r="F253" s="38">
        <f t="shared" ref="F253" si="643">D253/TRUNC(E253,6)</f>
        <v>14964437.727832422</v>
      </c>
      <c r="G253" s="19">
        <f t="shared" ref="G253" si="644">H253*I253</f>
        <v>16021733.600456163</v>
      </c>
      <c r="H253" s="31">
        <v>1.0956319999999999</v>
      </c>
      <c r="I253" s="19">
        <f>SUMIFS([1]Master!$K$2:$K$10000,[1]Master!$A$2:$A$10000,$I$12,[1]Master!$F$2:$F$10000,"&lt;="&amp;$C253)</f>
        <v>14623280.07985908</v>
      </c>
      <c r="J253" s="19">
        <f t="shared" ref="J253" si="645">((((1+1.85%)^(1/252))-1)*D252)+SUM(J252)</f>
        <v>9095.6732837567779</v>
      </c>
      <c r="K253" s="19">
        <f>IF((NETWORKDAYS(DATE(YEAR(C253),MONTH(C253),1),C253,Feriados!$A$2:$A$842))&gt;=5,0,IF(NETWORKDAYS(DATE(YEAR(C253),MONTH(C253),1),C253,Feriados!$A$2:$A$842)=1,J252,K252))</f>
        <v>0</v>
      </c>
      <c r="L253" s="30">
        <v>-47959.698725002199</v>
      </c>
      <c r="M253" s="19">
        <f>VLOOKUP(C253,'Fluxo de Caixa'!$B$13:$U$10027,20,FALSE)</f>
        <v>27018.136232603283</v>
      </c>
      <c r="N253" s="19">
        <f>SUMIFS([1]Master!$J$2:$J$100,[1]Master!$A$2:$A$100,"="&amp;$I$12,[1]Master!$E$2:$E$100,"="&amp;C253,[1]Master!$J$2:$J$100,"&gt;"&amp;0)</f>
        <v>0</v>
      </c>
      <c r="O253" s="19">
        <f ca="1">-SUMIF('[1]Fluxo de Movimentações'!$A$5:$F$10001,"="&amp;$C254,'[1]Fluxo de Movimentações'!$B$5:$B$10001)</f>
        <v>0</v>
      </c>
      <c r="P253" s="19">
        <f>-SUMIFS([1]Master!$J$1:$J$200,[1]Master!$A$1:$A$200,"="&amp;$I$12,[1]Master!$G$1:$G$200,"&gt;"&amp;C253,[1]Master!$E$1:$E$200,"&lt;="&amp;C253)</f>
        <v>0</v>
      </c>
      <c r="Q253" s="30">
        <v>1815.6015</v>
      </c>
      <c r="R253" s="32">
        <v>1.0719734000000001</v>
      </c>
      <c r="S253" s="30">
        <v>0</v>
      </c>
      <c r="T253" s="30">
        <v>0</v>
      </c>
      <c r="U253" s="30">
        <v>0</v>
      </c>
      <c r="V253" s="30">
        <v>0</v>
      </c>
    </row>
    <row r="254" spans="3:22" x14ac:dyDescent="0.25">
      <c r="C254" s="4">
        <v>45183</v>
      </c>
      <c r="D254" s="30">
        <v>15979980.087200001</v>
      </c>
      <c r="E254" s="32">
        <v>1.0678642</v>
      </c>
      <c r="F254" s="38">
        <f t="shared" ref="F254" si="646">D254/TRUNC(E254,6)</f>
        <v>14964433.754860172</v>
      </c>
      <c r="G254" s="19">
        <f t="shared" ref="G254" si="647">H254*I254</f>
        <v>16008226.076646397</v>
      </c>
      <c r="H254" s="31">
        <v>1.0947083</v>
      </c>
      <c r="I254" s="19">
        <f>SUMIFS([1]Master!$K$2:$K$10000,[1]Master!$A$2:$A$10000,$I$12,[1]Master!$F$2:$F$10000,"&lt;="&amp;$C254)</f>
        <v>14623280.07985908</v>
      </c>
      <c r="J254" s="19">
        <f t="shared" ref="J254" si="648">((((1+1.85%)^(1/252))-1)*D253)+SUM(J253)</f>
        <v>10259.113928187318</v>
      </c>
      <c r="K254" s="19">
        <f>IF((NETWORKDAYS(DATE(YEAR(C254),MONTH(C254),1),C254,Feriados!$A$2:$A$842))&gt;=5,0,IF(NETWORKDAYS(DATE(YEAR(C254),MONTH(C254),1),C254,Feriados!$A$2:$A$842)=1,J253,K253))</f>
        <v>0</v>
      </c>
      <c r="L254" s="30">
        <v>-46752.42</v>
      </c>
      <c r="M254" s="19">
        <f>VLOOKUP(C254,'Fluxo de Caixa'!$B$13:$U$10027,20,FALSE)</f>
        <v>27018.136232603283</v>
      </c>
      <c r="N254" s="19">
        <f>SUMIFS([1]Master!$J$2:$J$100,[1]Master!$A$2:$A$100,"="&amp;$I$12,[1]Master!$E$2:$E$100,"="&amp;C254,[1]Master!$J$2:$J$100,"&gt;"&amp;0)</f>
        <v>0</v>
      </c>
      <c r="O254" s="19">
        <f ca="1">-SUMIF('[1]Fluxo de Movimentações'!$A$5:$F$10001,"="&amp;$C255,'[1]Fluxo de Movimentações'!$B$5:$B$10001)</f>
        <v>0</v>
      </c>
      <c r="P254" s="19">
        <f>-SUMIFS([1]Master!$J$1:$J$200,[1]Master!$A$1:$A$200,"="&amp;$I$12,[1]Master!$G$1:$G$200,"&gt;"&amp;C254,[1]Master!$E$1:$E$200,"&lt;="&amp;C254)</f>
        <v>0</v>
      </c>
      <c r="Q254" s="30">
        <v>1747.1872000000001</v>
      </c>
      <c r="R254" s="32">
        <v>1.0709884000000001</v>
      </c>
      <c r="S254" s="30">
        <v>0</v>
      </c>
      <c r="T254" s="30">
        <v>0</v>
      </c>
      <c r="U254" s="30">
        <v>0</v>
      </c>
      <c r="V254" s="30">
        <v>0</v>
      </c>
    </row>
    <row r="255" spans="3:22" x14ac:dyDescent="0.25">
      <c r="C255" s="4">
        <v>45184</v>
      </c>
      <c r="D255" s="30">
        <v>15953903.8629</v>
      </c>
      <c r="E255" s="32">
        <v>1.0661216</v>
      </c>
      <c r="F255" s="38">
        <f t="shared" ref="F255" si="649">D255/TRUNC(E255,6)</f>
        <v>14964440.117866544</v>
      </c>
      <c r="G255" s="19">
        <f t="shared" ref="G255" si="650">H255*I255</f>
        <v>15981659.963725317</v>
      </c>
      <c r="H255" s="31">
        <v>1.0928916</v>
      </c>
      <c r="I255" s="19">
        <f>SUMIFS([1]Master!$K$2:$K$10000,[1]Master!$A$2:$A$10000,$I$12,[1]Master!$F$2:$F$10000,"&lt;="&amp;$C255)</f>
        <v>14623280.07985908</v>
      </c>
      <c r="J255" s="19">
        <f t="shared" ref="J255" si="651">((((1+1.85%)^(1/252))-1)*D254)+SUM(J254)</f>
        <v>11421.570186678473</v>
      </c>
      <c r="K255" s="19">
        <f>IF((NETWORKDAYS(DATE(YEAR(C255),MONTH(C255),1),C255,Feriados!$A$2:$A$842))&gt;=5,0,IF(NETWORKDAYS(DATE(YEAR(C255),MONTH(C255),1),C255,Feriados!$A$2:$A$842)=1,J254,K254))</f>
        <v>0</v>
      </c>
      <c r="L255" s="30">
        <v>-45031.66</v>
      </c>
      <c r="M255" s="19">
        <f>VLOOKUP(C255,'Fluxo de Caixa'!$B$13:$U$10027,20,FALSE)</f>
        <v>27018.136232603283</v>
      </c>
      <c r="N255" s="19">
        <f>SUMIFS([1]Master!$J$2:$J$100,[1]Master!$A$2:$A$100,"="&amp;$I$12,[1]Master!$E$2:$E$100,"="&amp;C255,[1]Master!$J$2:$J$100,"&gt;"&amp;0)</f>
        <v>0</v>
      </c>
      <c r="O255" s="19">
        <f ca="1">-SUMIF('[1]Fluxo de Movimentações'!$A$5:$F$10001,"="&amp;$C256,'[1]Fluxo de Movimentações'!$B$5:$B$10001)</f>
        <v>0</v>
      </c>
      <c r="P255" s="19">
        <f>-SUMIFS([1]Master!$J$1:$J$200,[1]Master!$A$1:$A$200,"="&amp;$I$12,[1]Master!$G$1:$G$200,"&gt;"&amp;C255,[1]Master!$E$1:$E$200,"&lt;="&amp;C255)</f>
        <v>0</v>
      </c>
      <c r="Q255" s="30">
        <v>1678.7728999999999</v>
      </c>
      <c r="R255" s="32">
        <v>1.0691309</v>
      </c>
      <c r="S255" s="30">
        <v>0</v>
      </c>
      <c r="T255" s="30">
        <v>0</v>
      </c>
      <c r="U255" s="30">
        <v>0</v>
      </c>
      <c r="V255" s="30">
        <v>0</v>
      </c>
    </row>
    <row r="256" spans="3:22" x14ac:dyDescent="0.25">
      <c r="C256" s="4">
        <v>45187</v>
      </c>
      <c r="D256" s="30">
        <v>15861015.5386</v>
      </c>
      <c r="E256" s="32">
        <v>1.0599144</v>
      </c>
      <c r="F256" s="38">
        <f t="shared" ref="F256" si="652">D256/TRUNC(E256,6)</f>
        <v>14964436.30200186</v>
      </c>
      <c r="G256" s="19">
        <f t="shared" ref="G256" si="653">H256*I256</f>
        <v>15884638.887379477</v>
      </c>
      <c r="H256" s="31">
        <v>1.0862569</v>
      </c>
      <c r="I256" s="19">
        <f>SUMIFS([1]Master!$K$2:$K$10000,[1]Master!$A$2:$A$10000,$I$12,[1]Master!$F$2:$F$10000,"&lt;="&amp;$C256)</f>
        <v>14623280.07985908</v>
      </c>
      <c r="J256" s="19">
        <f t="shared" ref="J256" si="654">((((1+1.85%)^(1/252))-1)*D255)+SUM(J255)</f>
        <v>12582.129542296785</v>
      </c>
      <c r="K256" s="19">
        <f>IF((NETWORKDAYS(DATE(YEAR(C256),MONTH(C256),1),C256,Feriados!$A$2:$A$842))&gt;=5,0,IF(NETWORKDAYS(DATE(YEAR(C256),MONTH(C256),1),C256,Feriados!$A$2:$A$842)=1,J255,K255))</f>
        <v>0</v>
      </c>
      <c r="L256" s="30">
        <v>-39669.949999999997</v>
      </c>
      <c r="M256" s="19">
        <f>VLOOKUP(C256,'Fluxo de Caixa'!$B$13:$U$10027,20,FALSE)</f>
        <v>27018.136232603283</v>
      </c>
      <c r="N256" s="19">
        <f>SUMIFS([1]Master!$J$2:$J$100,[1]Master!$A$2:$A$100,"="&amp;$I$12,[1]Master!$E$2:$E$100,"="&amp;C256,[1]Master!$J$2:$J$100,"&gt;"&amp;0)</f>
        <v>0</v>
      </c>
      <c r="O256" s="19">
        <f ca="1">-SUMIF('[1]Fluxo de Movimentações'!$A$5:$F$10001,"="&amp;$C257,'[1]Fluxo de Movimentações'!$B$5:$B$10001)</f>
        <v>0</v>
      </c>
      <c r="P256" s="19">
        <f>-SUMIFS([1]Master!$J$1:$J$200,[1]Master!$A$1:$A$200,"="&amp;$I$12,[1]Master!$G$1:$G$200,"&gt;"&amp;C256,[1]Master!$E$1:$E$200,"&lt;="&amp;C256)</f>
        <v>0</v>
      </c>
      <c r="Q256" s="30">
        <v>1610.3586</v>
      </c>
      <c r="R256" s="32">
        <v>1.0625652999999999</v>
      </c>
      <c r="S256" s="30">
        <v>0</v>
      </c>
      <c r="T256" s="30">
        <v>0</v>
      </c>
      <c r="U256" s="30">
        <v>0</v>
      </c>
      <c r="V256" s="30">
        <v>0</v>
      </c>
    </row>
    <row r="257" spans="3:22" x14ac:dyDescent="0.25">
      <c r="C257" s="4">
        <v>45188</v>
      </c>
      <c r="D257" s="30">
        <v>15798747.4443</v>
      </c>
      <c r="E257" s="32">
        <v>1.0557532999999999</v>
      </c>
      <c r="F257" s="38">
        <f t="shared" ref="F257" si="655">D257/TRUNC(E257,6)</f>
        <v>14964435.28391584</v>
      </c>
      <c r="G257" s="19">
        <f t="shared" ref="G257" si="656">H257*I257</f>
        <v>15819888.465513868</v>
      </c>
      <c r="H257" s="31">
        <v>1.0818289999999999</v>
      </c>
      <c r="I257" s="19">
        <f>SUMIFS([1]Master!$K$2:$K$10000,[1]Master!$A$2:$A$10000,$I$12,[1]Master!$F$2:$F$10000,"&lt;="&amp;$C257)</f>
        <v>14623280.07985908</v>
      </c>
      <c r="J257" s="19">
        <f t="shared" ref="J257" si="657">((((1+1.85%)^(1/252))-1)*D256)+SUM(J256)</f>
        <v>13735.931779737599</v>
      </c>
      <c r="K257" s="19">
        <f>IF((NETWORKDAYS(DATE(YEAR(C257),MONTH(C257),1),C257,Feriados!$A$2:$A$842))&gt;=5,0,IF(NETWORKDAYS(DATE(YEAR(C257),MONTH(C257),1),C257,Feriados!$A$2:$A$842)=1,J256,K256))</f>
        <v>0</v>
      </c>
      <c r="L257" s="30">
        <v>-35965.410000000003</v>
      </c>
      <c r="M257" s="19">
        <f>VLOOKUP(C257,'Fluxo de Caixa'!$B$13:$U$10027,20,FALSE)</f>
        <v>27018.136232603283</v>
      </c>
      <c r="N257" s="19">
        <f>SUMIFS([1]Master!$J$2:$J$100,[1]Master!$A$2:$A$100,"="&amp;$I$12,[1]Master!$E$2:$E$100,"="&amp;C257,[1]Master!$J$2:$J$100,"&gt;"&amp;0)</f>
        <v>0</v>
      </c>
      <c r="O257" s="19">
        <f ca="1">-SUMIF('[1]Fluxo de Movimentações'!$A$5:$F$10001,"="&amp;$C258,'[1]Fluxo de Movimentações'!$B$5:$B$10001)</f>
        <v>0</v>
      </c>
      <c r="P257" s="19">
        <f>-SUMIFS([1]Master!$J$1:$J$200,[1]Master!$A$1:$A$200,"="&amp;$I$12,[1]Master!$G$1:$G$200,"&gt;"&amp;C257,[1]Master!$E$1:$E$200,"&lt;="&amp;C257)</f>
        <v>0</v>
      </c>
      <c r="Q257" s="30">
        <v>1541.9443000000001</v>
      </c>
      <c r="R257" s="32">
        <v>1.0581567000000001</v>
      </c>
      <c r="S257" s="30">
        <v>0</v>
      </c>
      <c r="T257" s="30">
        <v>0</v>
      </c>
      <c r="U257" s="30">
        <v>0</v>
      </c>
      <c r="V257" s="30">
        <v>0</v>
      </c>
    </row>
    <row r="258" spans="3:22" x14ac:dyDescent="0.25">
      <c r="C258" s="4">
        <v>45189</v>
      </c>
      <c r="D258" s="30">
        <v>15961439.841</v>
      </c>
      <c r="E258" s="32">
        <v>1.0666252000000001</v>
      </c>
      <c r="F258" s="38">
        <f t="shared" ref="F258" si="658">D258/TRUNC(E258,6)</f>
        <v>14964434.399156218</v>
      </c>
      <c r="G258" s="19">
        <f t="shared" ref="G258" si="659">H258*I258</f>
        <v>15992275.002735285</v>
      </c>
      <c r="H258" s="31">
        <v>1.0936174999999999</v>
      </c>
      <c r="I258" s="19">
        <f>SUMIFS([1]Master!$K$2:$K$10000,[1]Master!$A$2:$A$10000,$I$12,[1]Master!$F$2:$F$10000,"&lt;="&amp;$C258)</f>
        <v>14623280.07985908</v>
      </c>
      <c r="J258" s="19">
        <f t="shared" ref="J258" si="660">((((1+1.85%)^(1/252))-1)*D257)+SUM(J257)</f>
        <v>14885.20435346617</v>
      </c>
      <c r="K258" s="19">
        <f>IF((NETWORKDAYS(DATE(YEAR(C258),MONTH(C258),1),C258,Feriados!$A$2:$A$842))&gt;=5,0,IF(NETWORKDAYS(DATE(YEAR(C258),MONTH(C258),1),C258,Feriados!$A$2:$A$842)=1,J257,K257))</f>
        <v>0</v>
      </c>
      <c r="L258" s="30">
        <v>-44441.858112924201</v>
      </c>
      <c r="M258" s="19">
        <f>VLOOKUP(C258,'Fluxo de Caixa'!$B$13:$U$10027,20,FALSE)</f>
        <v>26430.956232603283</v>
      </c>
      <c r="N258" s="19">
        <f>SUMIFS([1]Master!$J$2:$J$100,[1]Master!$A$2:$A$100,"="&amp;$I$12,[1]Master!$E$2:$E$100,"="&amp;C258,[1]Master!$J$2:$J$100,"&gt;"&amp;0)</f>
        <v>0</v>
      </c>
      <c r="O258" s="19">
        <f ca="1">-SUMIF('[1]Fluxo de Movimentações'!$A$5:$F$10001,"="&amp;$C259,'[1]Fluxo de Movimentações'!$B$5:$B$10001)</f>
        <v>0</v>
      </c>
      <c r="P258" s="19">
        <f>-SUMIFS([1]Master!$J$1:$J$200,[1]Master!$A$1:$A$200,"="&amp;$I$12,[1]Master!$G$1:$G$200,"&gt;"&amp;C258,[1]Master!$E$1:$E$200,"&lt;="&amp;C258)</f>
        <v>0</v>
      </c>
      <c r="Q258" s="30">
        <v>2060.7109999999998</v>
      </c>
      <c r="R258" s="32">
        <v>1.0695950999999999</v>
      </c>
      <c r="S258" s="30">
        <v>0</v>
      </c>
      <c r="T258" s="30">
        <v>0</v>
      </c>
      <c r="U258" s="30">
        <v>0</v>
      </c>
      <c r="V258" s="30">
        <v>0</v>
      </c>
    </row>
    <row r="259" spans="3:22" x14ac:dyDescent="0.25">
      <c r="C259" s="4">
        <v>45190</v>
      </c>
      <c r="D259" s="30">
        <v>15719444.2367</v>
      </c>
      <c r="E259" s="32">
        <v>1.0504538000000001</v>
      </c>
      <c r="F259" s="38">
        <f t="shared" ref="F259" si="661">D259/TRUNC(E259,6)</f>
        <v>14964443.184702218</v>
      </c>
      <c r="G259" s="19">
        <f t="shared" ref="G259" si="662">H259*I259</f>
        <v>15738072.675795065</v>
      </c>
      <c r="H259" s="31">
        <v>1.0762341</v>
      </c>
      <c r="I259" s="19">
        <f>SUMIFS([1]Master!$K$2:$K$10000,[1]Master!$A$2:$A$10000,$I$12,[1]Master!$F$2:$F$10000,"&lt;="&amp;$C259)</f>
        <v>14623280.07985908</v>
      </c>
      <c r="J259" s="19">
        <f t="shared" ref="J259" si="663">((((1+1.85%)^(1/252))-1)*D258)+SUM(J258)</f>
        <v>16046.311910324934</v>
      </c>
      <c r="K259" s="19">
        <f>IF((NETWORKDAYS(DATE(YEAR(C259),MONTH(C259),1),C259,Feriados!$A$2:$A$842))&gt;=5,0,IF(NETWORKDAYS(DATE(YEAR(C259),MONTH(C259),1),C259,Feriados!$A$2:$A$842)=1,J258,K258))</f>
        <v>0</v>
      </c>
      <c r="L259" s="30">
        <v>-31005.63</v>
      </c>
      <c r="M259" s="19">
        <f>VLOOKUP(C259,'Fluxo de Caixa'!$B$13:$U$10027,20,FALSE)</f>
        <v>26430.956232603283</v>
      </c>
      <c r="N259" s="19">
        <f>SUMIFS([1]Master!$J$2:$J$100,[1]Master!$A$2:$A$100,"="&amp;$I$12,[1]Master!$E$2:$E$100,"="&amp;C259,[1]Master!$J$2:$J$100,"&gt;"&amp;0)</f>
        <v>0</v>
      </c>
      <c r="O259" s="19">
        <f ca="1">-SUMIF('[1]Fluxo de Movimentações'!$A$5:$F$10001,"="&amp;$C260,'[1]Fluxo de Movimentações'!$B$5:$B$10001)</f>
        <v>0</v>
      </c>
      <c r="P259" s="19">
        <f>-SUMIFS([1]Master!$J$1:$J$200,[1]Master!$A$1:$A$200,"="&amp;$I$12,[1]Master!$G$1:$G$200,"&gt;"&amp;C259,[1]Master!$E$1:$E$200,"&lt;="&amp;C259)</f>
        <v>0</v>
      </c>
      <c r="Q259" s="30">
        <v>1992.2967000000001</v>
      </c>
      <c r="R259" s="32">
        <v>1.0525258</v>
      </c>
      <c r="S259" s="30">
        <v>0</v>
      </c>
      <c r="T259" s="30">
        <v>0</v>
      </c>
      <c r="U259" s="30">
        <v>0</v>
      </c>
      <c r="V259" s="30">
        <v>0</v>
      </c>
    </row>
    <row r="260" spans="3:22" x14ac:dyDescent="0.25">
      <c r="C260" s="4">
        <v>45191</v>
      </c>
      <c r="D260" s="30">
        <v>15625331.112400001</v>
      </c>
      <c r="E260" s="32">
        <v>1.0441647000000001</v>
      </c>
      <c r="F260" s="38">
        <f t="shared" ref="F260" si="664">D260/TRUNC(E260,6)</f>
        <v>14964441.517232925</v>
      </c>
      <c r="G260" s="19">
        <f t="shared" ref="G260" si="665">H260*I260</f>
        <v>15640609.976390814</v>
      </c>
      <c r="H260" s="31">
        <v>1.0695692000000001</v>
      </c>
      <c r="I260" s="19">
        <f>SUMIFS([1]Master!$K$2:$K$10000,[1]Master!$A$2:$A$10000,$I$12,[1]Master!$F$2:$F$10000,"&lt;="&amp;$C260)</f>
        <v>14623280.07985908</v>
      </c>
      <c r="J260" s="19">
        <f t="shared" ref="J260" si="666">((((1+1.85%)^(1/252))-1)*D259)+SUM(J259)</f>
        <v>17189.815608905352</v>
      </c>
      <c r="K260" s="19">
        <f>IF((NETWORKDAYS(DATE(YEAR(C260),MONTH(C260),1),C260,Feriados!$A$2:$A$842))&gt;=5,0,IF(NETWORKDAYS(DATE(YEAR(C260),MONTH(C260),1),C260,Feriados!$A$2:$A$842)=1,J259,K259))</f>
        <v>0</v>
      </c>
      <c r="L260" s="30">
        <v>-26444.14</v>
      </c>
      <c r="M260" s="19">
        <f>VLOOKUP(C260,'Fluxo de Caixa'!$B$13:$U$10027,20,FALSE)</f>
        <v>26430.956232603283</v>
      </c>
      <c r="N260" s="19">
        <f>SUMIFS([1]Master!$J$2:$J$100,[1]Master!$A$2:$A$100,"="&amp;$I$12,[1]Master!$E$2:$E$100,"="&amp;C260,[1]Master!$J$2:$J$100,"&gt;"&amp;0)</f>
        <v>0</v>
      </c>
      <c r="O260" s="19">
        <f ca="1">-SUMIF('[1]Fluxo de Movimentações'!$A$5:$F$10001,"="&amp;$C261,'[1]Fluxo de Movimentações'!$B$5:$B$10001)</f>
        <v>0</v>
      </c>
      <c r="P260" s="19">
        <f>-SUMIFS([1]Master!$J$1:$J$200,[1]Master!$A$1:$A$200,"="&amp;$I$12,[1]Master!$G$1:$G$200,"&gt;"&amp;C260,[1]Master!$E$1:$E$200,"&lt;="&amp;C260)</f>
        <v>0</v>
      </c>
      <c r="Q260" s="30">
        <v>1923.8824</v>
      </c>
      <c r="R260" s="32">
        <v>1.0459319</v>
      </c>
      <c r="S260" s="30">
        <v>0</v>
      </c>
      <c r="T260" s="30">
        <v>0</v>
      </c>
      <c r="U260" s="30">
        <v>0</v>
      </c>
      <c r="V260" s="30">
        <v>0</v>
      </c>
    </row>
    <row r="261" spans="3:22" x14ac:dyDescent="0.25">
      <c r="C261" s="4">
        <v>45194</v>
      </c>
      <c r="D261" s="30">
        <v>15651195.188100001</v>
      </c>
      <c r="E261" s="32">
        <v>1.0458931</v>
      </c>
      <c r="F261" s="38">
        <f t="shared" ref="F261" si="667">D261/TRUNC(E261,6)</f>
        <v>14964432.487931367</v>
      </c>
      <c r="G261" s="19">
        <f t="shared" ref="G261" si="668">H261*I261</f>
        <v>15668500.958487127</v>
      </c>
      <c r="H261" s="31">
        <v>1.0714764999999999</v>
      </c>
      <c r="I261" s="19">
        <f>SUMIFS([1]Master!$K$2:$K$10000,[1]Master!$A$2:$A$10000,$I$12,[1]Master!$F$2:$F$10000,"&lt;="&amp;$C261)</f>
        <v>14623280.07985908</v>
      </c>
      <c r="J261" s="19">
        <f t="shared" ref="J261" si="669">((((1+1.85%)^(1/252))-1)*D260)+SUM(J260)</f>
        <v>18326.473091798911</v>
      </c>
      <c r="K261" s="19">
        <f>IF((NETWORKDAYS(DATE(YEAR(C261),MONTH(C261),1),C261,Feriados!$A$2:$A$842))&gt;=5,0,IF(NETWORKDAYS(DATE(YEAR(C261),MONTH(C261),1),C261,Feriados!$A$2:$A$842)=1,J260,K260))</f>
        <v>0</v>
      </c>
      <c r="L261" s="30">
        <v>-27265.98</v>
      </c>
      <c r="M261" s="19">
        <f>VLOOKUP(C261,'Fluxo de Caixa'!$B$13:$U$10027,20,FALSE)</f>
        <v>26430.956232603283</v>
      </c>
      <c r="N261" s="19">
        <f>SUMIFS([1]Master!$J$2:$J$100,[1]Master!$A$2:$A$100,"="&amp;$I$12,[1]Master!$E$2:$E$100,"="&amp;C261,[1]Master!$J$2:$J$100,"&gt;"&amp;0)</f>
        <v>0</v>
      </c>
      <c r="O261" s="19">
        <f ca="1">-SUMIF('[1]Fluxo de Movimentações'!$A$5:$F$10001,"="&amp;$C262,'[1]Fluxo de Movimentações'!$B$5:$B$10001)</f>
        <v>0</v>
      </c>
      <c r="P261" s="19">
        <f>-SUMIFS([1]Master!$J$1:$J$200,[1]Master!$A$1:$A$200,"="&amp;$I$12,[1]Master!$G$1:$G$200,"&gt;"&amp;C261,[1]Master!$E$1:$E$200,"&lt;="&amp;C261)</f>
        <v>0</v>
      </c>
      <c r="Q261" s="30">
        <v>1855.4681</v>
      </c>
      <c r="R261" s="32">
        <v>1.0477151</v>
      </c>
      <c r="S261" s="30">
        <v>0</v>
      </c>
      <c r="T261" s="30">
        <v>0</v>
      </c>
      <c r="U261" s="30">
        <v>0</v>
      </c>
      <c r="V261" s="30">
        <v>0</v>
      </c>
    </row>
    <row r="262" spans="3:22" x14ac:dyDescent="0.25">
      <c r="C262" s="4">
        <v>45195</v>
      </c>
      <c r="D262" s="30">
        <v>15461305.3138</v>
      </c>
      <c r="E262" s="32">
        <v>1.0332037000000001</v>
      </c>
      <c r="F262" s="38">
        <f t="shared" ref="F262" si="670">D262/TRUNC(E262,6)</f>
        <v>14964440.979942953</v>
      </c>
      <c r="G262" s="19">
        <f t="shared" ref="G262" si="671">H262*I262</f>
        <v>15471987.47146195</v>
      </c>
      <c r="H262" s="31">
        <v>1.0580381000000001</v>
      </c>
      <c r="I262" s="19">
        <f>SUMIFS([1]Master!$K$2:$K$10000,[1]Master!$A$2:$A$10000,$I$12,[1]Master!$F$2:$F$10000,"&lt;="&amp;$C262)</f>
        <v>14623280.07985908</v>
      </c>
      <c r="J262" s="19">
        <f t="shared" ref="J262" si="672">((((1+1.85%)^(1/252))-1)*D261)+SUM(J261)</f>
        <v>19465.01204491355</v>
      </c>
      <c r="K262" s="19">
        <f>IF((NETWORKDAYS(DATE(YEAR(C262),MONTH(C262),1),C262,Feriados!$A$2:$A$842))&gt;=5,0,IF(NETWORKDAYS(DATE(YEAR(C262),MONTH(C262),1),C262,Feriados!$A$2:$A$842)=1,J261,K261))</f>
        <v>0</v>
      </c>
      <c r="L262" s="30">
        <v>-19435.419999999998</v>
      </c>
      <c r="M262" s="19">
        <f>VLOOKUP(C262,'Fluxo de Caixa'!$B$13:$U$10027,20,FALSE)</f>
        <v>26430.956232603283</v>
      </c>
      <c r="N262" s="19">
        <f>SUMIFS([1]Master!$J$2:$J$100,[1]Master!$A$2:$A$100,"="&amp;$I$12,[1]Master!$E$2:$E$100,"="&amp;C262,[1]Master!$J$2:$J$100,"&gt;"&amp;0)</f>
        <v>0</v>
      </c>
      <c r="O262" s="19">
        <f ca="1">-SUMIF('[1]Fluxo de Movimentações'!$A$5:$F$10001,"="&amp;$C263,'[1]Fluxo de Movimentações'!$B$5:$B$10001)</f>
        <v>0</v>
      </c>
      <c r="P262" s="19">
        <f>-SUMIFS([1]Master!$J$1:$J$200,[1]Master!$A$1:$A$200,"="&amp;$I$12,[1]Master!$G$1:$G$200,"&gt;"&amp;C262,[1]Master!$E$1:$E$200,"&lt;="&amp;C262)</f>
        <v>0</v>
      </c>
      <c r="Q262" s="30">
        <v>1787.0537999999999</v>
      </c>
      <c r="R262" s="32">
        <v>1.0345024</v>
      </c>
      <c r="S262" s="30">
        <v>0</v>
      </c>
      <c r="T262" s="30">
        <v>0</v>
      </c>
      <c r="U262" s="30">
        <v>0</v>
      </c>
      <c r="V262" s="30">
        <v>0</v>
      </c>
    </row>
    <row r="263" spans="3:22" x14ac:dyDescent="0.25">
      <c r="C263" s="4">
        <v>45196</v>
      </c>
      <c r="D263" s="30">
        <v>15370690.409499999</v>
      </c>
      <c r="E263" s="32">
        <v>1.0271482999999999</v>
      </c>
      <c r="F263" s="38">
        <f t="shared" ref="F263" si="673">D263/TRUNC(E263,6)</f>
        <v>14964435.903589357</v>
      </c>
      <c r="G263" s="19">
        <f t="shared" ref="G263" si="674">H263*I263</f>
        <v>15379041.903274365</v>
      </c>
      <c r="H263" s="31">
        <v>1.0516821000000001</v>
      </c>
      <c r="I263" s="19">
        <f>SUMIFS([1]Master!$K$2:$K$10000,[1]Master!$A$2:$A$10000,$I$12,[1]Master!$F$2:$F$10000,"&lt;="&amp;$C263)</f>
        <v>14623280.07985908</v>
      </c>
      <c r="J263" s="19">
        <f t="shared" ref="J263" si="675">((((1+1.85%)^(1/252))-1)*D262)+SUM(J262)</f>
        <v>20589.737546972581</v>
      </c>
      <c r="K263" s="19">
        <f>IF((NETWORKDAYS(DATE(YEAR(C263),MONTH(C263),1),C263,Feriados!$A$2:$A$842))&gt;=5,0,IF(NETWORKDAYS(DATE(YEAR(C263),MONTH(C263),1),C263,Feriados!$A$2:$A$842)=1,J262,K262))</f>
        <v>0</v>
      </c>
      <c r="L263" s="30">
        <v>-15911.610772984501</v>
      </c>
      <c r="M263" s="19">
        <f>VLOOKUP(C263,'Fluxo de Caixa'!$B$13:$U$10027,20,FALSE)</f>
        <v>26430.956232603283</v>
      </c>
      <c r="N263" s="19">
        <f>SUMIFS([1]Master!$J$2:$J$100,[1]Master!$A$2:$A$100,"="&amp;$I$12,[1]Master!$E$2:$E$100,"="&amp;C263,[1]Master!$J$2:$J$100,"&gt;"&amp;0)</f>
        <v>0</v>
      </c>
      <c r="O263" s="19">
        <f ca="1">-SUMIF('[1]Fluxo de Movimentações'!$A$5:$F$10001,"="&amp;$C264,'[1]Fluxo de Movimentações'!$B$5:$B$10001)</f>
        <v>0</v>
      </c>
      <c r="P263" s="19">
        <f>-SUMIFS([1]Master!$J$1:$J$200,[1]Master!$A$1:$A$200,"="&amp;$I$12,[1]Master!$G$1:$G$200,"&gt;"&amp;C263,[1]Master!$E$1:$E$200,"&lt;="&amp;C263)</f>
        <v>0</v>
      </c>
      <c r="Q263" s="30">
        <v>1718.6395</v>
      </c>
      <c r="R263" s="32">
        <v>1.0282115999999999</v>
      </c>
      <c r="S263" s="30">
        <v>0</v>
      </c>
      <c r="T263" s="30">
        <v>0</v>
      </c>
      <c r="U263" s="30">
        <v>0</v>
      </c>
      <c r="V263" s="30">
        <v>0</v>
      </c>
    </row>
    <row r="264" spans="3:22" x14ac:dyDescent="0.25">
      <c r="C264" s="4">
        <v>45197</v>
      </c>
      <c r="D264" s="30">
        <v>15619482.835200001</v>
      </c>
      <c r="E264" s="32">
        <v>1.0437738999999999</v>
      </c>
      <c r="F264" s="38">
        <f t="shared" ref="F264" si="676">D264/TRUNC(E264,6)</f>
        <v>14964444.218426803</v>
      </c>
      <c r="G264" s="19">
        <f t="shared" ref="G264" si="677">H264*I264</f>
        <v>15638441.343954967</v>
      </c>
      <c r="H264" s="31">
        <v>1.0694208999999999</v>
      </c>
      <c r="I264" s="19">
        <f>SUMIFS([1]Master!$K$2:$K$10000,[1]Master!$A$2:$A$10000,$I$12,[1]Master!$F$2:$F$10000,"&lt;="&amp;$C264)</f>
        <v>14623280.07985908</v>
      </c>
      <c r="J264" s="19">
        <f t="shared" ref="J264" si="678">((((1+1.85%)^(1/252))-1)*D263)+SUM(J263)</f>
        <v>21707.871309740243</v>
      </c>
      <c r="K264" s="19">
        <f>IF((NETWORKDAYS(DATE(YEAR(C264),MONTH(C264),1),C264,Feriados!$A$2:$A$842))&gt;=5,0,IF(NETWORKDAYS(DATE(YEAR(C264),MONTH(C264),1),C264,Feriados!$A$2:$A$842)=1,J263,K263))</f>
        <v>0</v>
      </c>
      <c r="L264" s="30">
        <v>-25332.09</v>
      </c>
      <c r="M264" s="19">
        <f>VLOOKUP(C264,'Fluxo de Caixa'!$B$13:$U$10027,20,FALSE)</f>
        <v>26430.956232603283</v>
      </c>
      <c r="N264" s="19">
        <f>SUMIFS([1]Master!$J$2:$J$100,[1]Master!$A$2:$A$100,"="&amp;$I$12,[1]Master!$E$2:$E$100,"="&amp;C264,[1]Master!$J$2:$J$100,"&gt;"&amp;0)</f>
        <v>0</v>
      </c>
      <c r="O264" s="19">
        <f ca="1">-SUMIF('[1]Fluxo de Movimentações'!$A$5:$F$10001,"="&amp;$C265,'[1]Fluxo de Movimentações'!$B$5:$B$10001)</f>
        <v>0</v>
      </c>
      <c r="P264" s="19">
        <f>-SUMIFS([1]Master!$J$1:$J$200,[1]Master!$A$1:$A$200,"="&amp;$I$12,[1]Master!$G$1:$G$200,"&gt;"&amp;C264,[1]Master!$E$1:$E$200,"&lt;="&amp;C264)</f>
        <v>0</v>
      </c>
      <c r="Q264" s="30">
        <v>1650.2252000000001</v>
      </c>
      <c r="R264" s="32">
        <v>1.0454667</v>
      </c>
      <c r="S264" s="30">
        <v>0</v>
      </c>
      <c r="T264" s="30">
        <v>0</v>
      </c>
      <c r="U264" s="30">
        <v>0</v>
      </c>
      <c r="V264" s="30">
        <v>0</v>
      </c>
    </row>
    <row r="265" spans="3:22" x14ac:dyDescent="0.25">
      <c r="C265" s="4">
        <v>45198</v>
      </c>
      <c r="D265" s="30">
        <v>15755629.4309</v>
      </c>
      <c r="E265" s="32">
        <v>1.0528719</v>
      </c>
      <c r="F265" s="38">
        <f t="shared" ref="F265" si="679">D265/TRUNC(E265,6)</f>
        <v>14964444.296499763</v>
      </c>
      <c r="G265" s="19">
        <f t="shared" ref="G265" si="680">H265*I265</f>
        <v>15781636.889480975</v>
      </c>
      <c r="H265" s="31">
        <v>1.0792132000000001</v>
      </c>
      <c r="I265" s="19">
        <f>SUMIFS([1]Master!$K$2:$K$10000,[1]Master!$A$2:$A$10000,$I$12,[1]Master!$F$2:$F$10000,"&lt;="&amp;$C265)</f>
        <v>14623280.07985908</v>
      </c>
      <c r="J265" s="19">
        <f t="shared" ref="J265:J267" si="681">((((1+1.85%)^(1/252))-1)*D264)+SUM(J264)</f>
        <v>22844.103362414524</v>
      </c>
      <c r="K265" s="19">
        <f>IF((NETWORKDAYS(DATE(YEAR(C265),MONTH(C265),1),C265,Feriados!$A$2:$A$842))&gt;=5,0,IF(NETWORKDAYS(DATE(YEAR(C265),MONTH(C265),1),C265,Feriados!$A$2:$A$842)=1,J264,K264))</f>
        <v>0</v>
      </c>
      <c r="L265" s="30">
        <v>-31176.400000000001</v>
      </c>
      <c r="M265" s="19">
        <f>VLOOKUP(C265,'Fluxo de Caixa'!$B$13:$U$10027,20,FALSE)</f>
        <v>26430.956232603283</v>
      </c>
      <c r="N265" s="19">
        <f>SUMIFS([1]Master!$J$2:$J$100,[1]Master!$A$2:$A$100,"="&amp;$I$12,[1]Master!$E$2:$E$100,"="&amp;C265,[1]Master!$J$2:$J$100,"&gt;"&amp;0)</f>
        <v>0</v>
      </c>
      <c r="O265" s="19">
        <f ca="1">-SUMIF('[1]Fluxo de Movimentações'!$A$5:$F$10001,"="&amp;$C266,'[1]Fluxo de Movimentações'!$B$5:$B$10001)</f>
        <v>0</v>
      </c>
      <c r="P265" s="19">
        <f>-SUMIFS([1]Master!$J$1:$J$200,[1]Master!$A$1:$A$200,"="&amp;$I$12,[1]Master!$G$1:$G$200,"&gt;"&amp;C265,[1]Master!$E$1:$E$200,"&lt;="&amp;C265)</f>
        <v>0</v>
      </c>
      <c r="Q265" s="30">
        <v>1581.8108999999999</v>
      </c>
      <c r="R265" s="32">
        <v>1.0549553</v>
      </c>
      <c r="S265" s="30">
        <v>0</v>
      </c>
      <c r="T265" s="30">
        <v>0</v>
      </c>
      <c r="U265" s="30">
        <v>0</v>
      </c>
      <c r="V265" s="30">
        <v>0</v>
      </c>
    </row>
    <row r="266" spans="3:22" x14ac:dyDescent="0.25">
      <c r="C266" s="4">
        <v>45201</v>
      </c>
      <c r="D266" s="30">
        <v>15631864.684699999</v>
      </c>
      <c r="E266" s="32">
        <v>1.0446013000000001</v>
      </c>
      <c r="F266" s="38">
        <f t="shared" ref="F266" si="682">D266/TRUNC(E266,6)</f>
        <v>14964435.880015433</v>
      </c>
      <c r="G266" s="19">
        <f t="shared" ref="G266" si="683">H266*I266</f>
        <v>15653276.661595987</v>
      </c>
      <c r="H266" s="31">
        <v>1.0704354</v>
      </c>
      <c r="I266" s="19">
        <f>SUMIFS([1]Master!$K$2:$K$10000,[1]Master!$A$2:$A$10000,$I$12,[1]Master!$F$2:$F$10000,"&lt;="&amp;$C266)</f>
        <v>14623280.07985908</v>
      </c>
      <c r="J266" s="19">
        <f>((((1+1.85%)^(1/252))-1)*D265)</f>
        <v>1146.1359737918365</v>
      </c>
      <c r="K266" s="19">
        <f>IF((NETWORKDAYS(DATE(YEAR(C266),MONTH(C266),1),C266,Feriados!$A$2:$A$842))&gt;=5,0,IF(NETWORKDAYS(DATE(YEAR(C266),MONTH(C266),1),C266,Feriados!$A$2:$A$842)=1,J265,K265))</f>
        <v>22844.103362414524</v>
      </c>
      <c r="L266" s="30">
        <v>-25367.77</v>
      </c>
      <c r="M266" s="19">
        <f>VLOOKUP(C266,'Fluxo de Caixa'!$B$13:$U$10027,20,FALSE)</f>
        <v>26430.956232603283</v>
      </c>
      <c r="N266" s="19">
        <f>SUMIFS([1]Master!$J$2:$J$100,[1]Master!$A$2:$A$100,"="&amp;$I$12,[1]Master!$E$2:$E$100,"="&amp;C266,[1]Master!$J$2:$J$100,"&gt;"&amp;0)</f>
        <v>0</v>
      </c>
      <c r="O266" s="19">
        <f ca="1">-SUMIF('[1]Fluxo de Movimentações'!$A$5:$F$10001,"="&amp;$C267,'[1]Fluxo de Movimentações'!$B$5:$B$10001)</f>
        <v>0</v>
      </c>
      <c r="P266" s="19">
        <f>-SUMIFS([1]Master!$J$1:$J$200,[1]Master!$A$1:$A$200,"="&amp;$I$12,[1]Master!$G$1:$G$200,"&gt;"&amp;C266,[1]Master!$E$1:$E$200,"&lt;="&amp;C266)</f>
        <v>0</v>
      </c>
      <c r="Q266" s="30">
        <v>1514.7946999999999</v>
      </c>
      <c r="R266" s="32">
        <v>1.0462965</v>
      </c>
      <c r="S266" s="30">
        <v>0</v>
      </c>
      <c r="T266" s="30">
        <v>0</v>
      </c>
      <c r="U266" s="30">
        <v>0</v>
      </c>
      <c r="V266" s="30">
        <v>0</v>
      </c>
    </row>
    <row r="267" spans="3:22" x14ac:dyDescent="0.25">
      <c r="C267" s="4">
        <v>45202</v>
      </c>
      <c r="D267" s="30">
        <v>15355346.078500001</v>
      </c>
      <c r="E267" s="32">
        <v>1.0261229000000001</v>
      </c>
      <c r="F267" s="38">
        <f t="shared" ref="F267" si="684">D267/TRUNC(E267,6)</f>
        <v>14964444.850125035</v>
      </c>
      <c r="G267" s="19">
        <f t="shared" ref="G267" si="685">H267*I267</f>
        <v>15343363.751802592</v>
      </c>
      <c r="H267" s="31">
        <v>1.0508835000000001</v>
      </c>
      <c r="I267" s="19">
        <f>SUMIFS([1]Master!$K$2:$K$10000,[1]Master!$A$2:$A$10000,$I$12,[1]Master!$F$2:$F$10000,"&lt;="&amp;$C267)</f>
        <v>14600442.1534857</v>
      </c>
      <c r="J267" s="19">
        <f t="shared" si="681"/>
        <v>2283.2687383796765</v>
      </c>
      <c r="K267" s="19">
        <f>IF((NETWORKDAYS(DATE(YEAR(C267),MONTH(C267),1),C267,Feriados!$A$2:$A$842))&gt;=5,0,IF(NETWORKDAYS(DATE(YEAR(C267),MONTH(C267),1),C267,Feriados!$A$2:$A$842)=1,J266,K266))</f>
        <v>22844.103362414524</v>
      </c>
      <c r="L267" s="30">
        <v>-14769.32</v>
      </c>
      <c r="M267" s="19">
        <f>VLOOKUP(C267,'Fluxo de Caixa'!$B$13:$U$10027,20,FALSE)</f>
        <v>26430.956232603283</v>
      </c>
      <c r="N267" s="19">
        <f>SUMIFS([1]Master!$J$2:$J$100,[1]Master!$A$2:$A$100,"="&amp;$I$12,[1]Master!$E$2:$E$100,"="&amp;C267,[1]Master!$J$2:$J$100,"&gt;"&amp;0)</f>
        <v>0</v>
      </c>
      <c r="O267" s="19">
        <f ca="1">-SUMIF('[1]Fluxo de Movimentações'!$A$5:$F$10001,"="&amp;$C268,'[1]Fluxo de Movimentações'!$B$5:$B$10001)</f>
        <v>0</v>
      </c>
      <c r="P267" s="19">
        <f>-SUMIFS([1]Master!$J$1:$J$200,[1]Master!$A$1:$A$200,"="&amp;$I$12,[1]Master!$G$1:$G$200,"&gt;"&amp;C267,[1]Master!$E$1:$E$200,"&lt;="&amp;C267)</f>
        <v>24000</v>
      </c>
      <c r="Q267" s="30">
        <v>1447.7784999999999</v>
      </c>
      <c r="R267" s="32">
        <v>1.0271098999999999</v>
      </c>
      <c r="S267" s="30">
        <v>0</v>
      </c>
      <c r="T267" s="30">
        <v>0</v>
      </c>
      <c r="U267" s="30">
        <v>0</v>
      </c>
      <c r="V267" s="30">
        <v>0</v>
      </c>
    </row>
    <row r="268" spans="3:22" x14ac:dyDescent="0.25">
      <c r="C268" s="4">
        <v>45203</v>
      </c>
      <c r="D268" s="30">
        <v>15524709.1823</v>
      </c>
      <c r="E268" s="32">
        <v>1.0374406</v>
      </c>
      <c r="F268" s="38">
        <f t="shared" ref="F268" si="686">D268/TRUNC(E268,6)</f>
        <v>14964440.528898057</v>
      </c>
      <c r="G268" s="19">
        <f t="shared" ref="G268" si="687">H268*I268</f>
        <v>15519796.954829525</v>
      </c>
      <c r="H268" s="31">
        <v>1.0629675999999999</v>
      </c>
      <c r="I268" s="19">
        <f>SUMIFS([1]Master!$K$2:$K$10000,[1]Master!$A$2:$A$10000,$I$12,[1]Master!$F$2:$F$10000,"&lt;="&amp;$C268)</f>
        <v>14600442.1534857</v>
      </c>
      <c r="J268" s="19">
        <f t="shared" ref="J268" si="688">((((1+1.85%)^(1/252))-1)*D267)+SUM(J267)</f>
        <v>3400.2862848876193</v>
      </c>
      <c r="K268" s="19">
        <f>IF((NETWORKDAYS(DATE(YEAR(C268),MONTH(C268),1),C268,Feriados!$A$2:$A$842))&gt;=5,0,IF(NETWORKDAYS(DATE(YEAR(C268),MONTH(C268),1),C268,Feriados!$A$2:$A$842)=1,J267,K267))</f>
        <v>22844.103362414524</v>
      </c>
      <c r="L268" s="30">
        <v>-20655.39</v>
      </c>
      <c r="M268" s="19">
        <f>VLOOKUP(C268,'Fluxo de Caixa'!$B$13:$U$10027,20,FALSE)</f>
        <v>26430.956232603283</v>
      </c>
      <c r="N268" s="19">
        <f>SUMIFS([1]Master!$J$2:$J$100,[1]Master!$A$2:$A$100,"="&amp;$I$12,[1]Master!$E$2:$E$100,"="&amp;C268,[1]Master!$J$2:$J$100,"&gt;"&amp;0)</f>
        <v>0</v>
      </c>
      <c r="O268" s="19">
        <f ca="1">-SUMIF('[1]Fluxo de Movimentações'!$A$5:$F$10001,"="&amp;$C269,'[1]Fluxo de Movimentações'!$B$5:$B$10001)</f>
        <v>0</v>
      </c>
      <c r="P268" s="19">
        <f>-SUMIFS([1]Master!$J$1:$J$200,[1]Master!$A$1:$A$200,"="&amp;$I$12,[1]Master!$G$1:$G$200,"&gt;"&amp;C268,[1]Master!$E$1:$E$200,"&lt;="&amp;C268)</f>
        <v>24000</v>
      </c>
      <c r="Q268" s="30">
        <v>1380.7623000000001</v>
      </c>
      <c r="R268" s="32">
        <v>1.0388208999999999</v>
      </c>
      <c r="S268" s="30">
        <v>0</v>
      </c>
      <c r="T268" s="30">
        <v>0</v>
      </c>
      <c r="U268" s="30">
        <v>0</v>
      </c>
      <c r="V268" s="30">
        <v>0</v>
      </c>
    </row>
    <row r="269" spans="3:22" x14ac:dyDescent="0.25">
      <c r="C269" s="4">
        <v>45204</v>
      </c>
      <c r="D269" s="30">
        <v>15453764.676100001</v>
      </c>
      <c r="E269" s="32">
        <v>1.0326998000000001</v>
      </c>
      <c r="F269" s="38">
        <f t="shared" ref="F269" si="689">D269/TRUNC(E269,6)</f>
        <v>14964442.37488368</v>
      </c>
      <c r="G269" s="19">
        <f t="shared" ref="G269" si="690">H269*I269</f>
        <v>15447108.653568396</v>
      </c>
      <c r="H269" s="31">
        <v>1.0579890999999999</v>
      </c>
      <c r="I269" s="19">
        <f>SUMIFS([1]Master!$K$2:$K$10000,[1]Master!$A$2:$A$10000,$I$12,[1]Master!$F$2:$F$10000,"&lt;="&amp;$C269)</f>
        <v>14600442.1534857</v>
      </c>
      <c r="J269" s="19">
        <f t="shared" ref="J269" si="691">((((1+1.85%)^(1/252))-1)*D268)+SUM(J268)</f>
        <v>4529.6240720276201</v>
      </c>
      <c r="K269" s="19">
        <f>IF((NETWORKDAYS(DATE(YEAR(C269),MONTH(C269),1),C269,Feriados!$A$2:$A$842))&gt;=5,0,IF(NETWORKDAYS(DATE(YEAR(C269),MONTH(C269),1),C269,Feriados!$A$2:$A$842)=1,J268,K268))</f>
        <v>22844.103362414524</v>
      </c>
      <c r="L269" s="68">
        <v>-17715.25</v>
      </c>
      <c r="M269" s="19">
        <f>VLOOKUP(C269,'Fluxo de Caixa'!$B$13:$U$10027,20,FALSE)</f>
        <v>50430.956232603283</v>
      </c>
      <c r="N269" s="19">
        <f>SUMIFS([1]Master!$J$2:$J$100,[1]Master!$A$2:$A$100,"="&amp;$I$12,[1]Master!$E$2:$E$100,"="&amp;C269,[1]Master!$J$2:$J$100,"&gt;"&amp;0)</f>
        <v>0</v>
      </c>
      <c r="O269" s="19">
        <f ca="1">-SUMIF('[1]Fluxo de Movimentações'!$A$5:$F$10001,"="&amp;$C270,'[1]Fluxo de Movimentações'!$B$5:$B$10001)</f>
        <v>0</v>
      </c>
      <c r="P269" s="19">
        <f>-SUMIFS([1]Master!$J$1:$J$200,[1]Master!$A$1:$A$200,"="&amp;$I$12,[1]Master!$G$1:$G$200,"&gt;"&amp;C269,[1]Master!$E$1:$E$200,"&lt;="&amp;C269)</f>
        <v>0</v>
      </c>
      <c r="Q269" s="30">
        <v>1313.7461000000001</v>
      </c>
      <c r="R269" s="32">
        <v>1.0338836</v>
      </c>
      <c r="S269" s="30">
        <v>0</v>
      </c>
      <c r="T269" s="30">
        <v>0</v>
      </c>
      <c r="U269" s="30">
        <v>0</v>
      </c>
      <c r="V269" s="30">
        <v>0</v>
      </c>
    </row>
    <row r="270" spans="3:22" x14ac:dyDescent="0.25">
      <c r="C270" s="4">
        <v>45205</v>
      </c>
      <c r="D270" s="30">
        <v>15386534.899900001</v>
      </c>
      <c r="E270" s="32">
        <v>1.0282070999999999</v>
      </c>
      <c r="F270" s="38">
        <f t="shared" ref="F270" si="692">D270/TRUNC(E270,6)</f>
        <v>14964433.134475838</v>
      </c>
      <c r="G270" s="19">
        <f t="shared" ref="G270" si="693">H270*I270</f>
        <v>15378488.035491232</v>
      </c>
      <c r="H270" s="31">
        <v>1.0532892</v>
      </c>
      <c r="I270" s="19">
        <f>SUMIFS([1]Master!$K$2:$K$10000,[1]Master!$A$2:$A$10000,$I$12,[1]Master!$F$2:$F$10000,"&lt;="&amp;$C270)</f>
        <v>14600442.1534857</v>
      </c>
      <c r="J270" s="19">
        <f t="shared" ref="J270" si="694">((((1+1.85%)^(1/252))-1)*D269)+SUM(J269)</f>
        <v>5653.8010338857539</v>
      </c>
      <c r="K270" s="19">
        <f>IF((NETWORKDAYS(DATE(YEAR(C270),MONTH(C270),1),C270,Feriados!$A$2:$A$842))&gt;=5,0,IF(NETWORKDAYS(DATE(YEAR(C270),MONTH(C270),1),C270,Feriados!$A$2:$A$842)=1,J269,K269))</f>
        <v>0</v>
      </c>
      <c r="L270" s="30">
        <v>-15133.23</v>
      </c>
      <c r="M270" s="19">
        <f>VLOOKUP(C270,'Fluxo de Caixa'!$B$13:$U$10027,20,FALSE)</f>
        <v>27586.852870188784</v>
      </c>
      <c r="N270" s="19">
        <f>SUMIFS([1]Master!$J$2:$J$100,[1]Master!$A$2:$A$100,"="&amp;$I$12,[1]Master!$E$2:$E$100,"="&amp;C270,[1]Master!$J$2:$J$100,"&gt;"&amp;0)</f>
        <v>0</v>
      </c>
      <c r="O270" s="19">
        <f ca="1">-SUMIF('[1]Fluxo de Movimentações'!$A$5:$F$10001,"="&amp;$C271,'[1]Fluxo de Movimentações'!$B$5:$B$10001)</f>
        <v>0</v>
      </c>
      <c r="P270" s="19">
        <f>-SUMIFS([1]Master!$J$1:$J$200,[1]Master!$A$1:$A$200,"="&amp;$I$12,[1]Master!$G$1:$G$200,"&gt;"&amp;C270,[1]Master!$E$1:$E$200,"&lt;="&amp;C270)</f>
        <v>0</v>
      </c>
      <c r="Q270" s="30">
        <v>1246.7299</v>
      </c>
      <c r="R270" s="32">
        <v>1.0292184</v>
      </c>
      <c r="S270" s="30">
        <v>0</v>
      </c>
      <c r="T270" s="30">
        <v>0</v>
      </c>
      <c r="U270" s="30">
        <v>0</v>
      </c>
      <c r="V270" s="30">
        <v>0</v>
      </c>
    </row>
    <row r="271" spans="3:22" x14ac:dyDescent="0.25">
      <c r="C271" s="4">
        <v>45208</v>
      </c>
      <c r="D271" s="30">
        <v>15460434.3937</v>
      </c>
      <c r="E271" s="32">
        <v>1.0331455</v>
      </c>
      <c r="F271" s="38">
        <f t="shared" ref="F271" si="695">D271/TRUNC(E271,6)</f>
        <v>14964438.093104066</v>
      </c>
      <c r="G271" s="19">
        <f t="shared" ref="G271" si="696">H271*I271</f>
        <v>15455974.042043995</v>
      </c>
      <c r="H271" s="31">
        <v>1.0585963</v>
      </c>
      <c r="I271" s="19">
        <f>SUMIFS([1]Master!$K$2:$K$10000,[1]Master!$A$2:$A$10000,$I$12,[1]Master!$F$2:$F$10000,"&lt;="&amp;$C271)</f>
        <v>14600442.1534857</v>
      </c>
      <c r="J271" s="19">
        <f t="shared" ref="J271" si="697">((((1+1.85%)^(1/252))-1)*D270)+SUM(J270)</f>
        <v>6773.0873967772941</v>
      </c>
      <c r="K271" s="19">
        <f>IF((NETWORKDAYS(DATE(YEAR(C271),MONTH(C271),1),C271,Feriados!$A$2:$A$842))&gt;=5,0,IF(NETWORKDAYS(DATE(YEAR(C271),MONTH(C271),1),C271,Feriados!$A$2:$A$842)=1,J270,K270))</f>
        <v>0</v>
      </c>
      <c r="L271" s="30">
        <v>-17533.439999999999</v>
      </c>
      <c r="M271" s="19">
        <f>VLOOKUP(C271,'Fluxo de Caixa'!$B$13:$U$10027,20,FALSE)</f>
        <v>27586.852870188784</v>
      </c>
      <c r="N271" s="19">
        <f>SUMIFS([1]Master!$J$2:$J$100,[1]Master!$A$2:$A$100,"="&amp;$I$12,[1]Master!$E$2:$E$100,"="&amp;C271,[1]Master!$J$2:$J$100,"&gt;"&amp;0)</f>
        <v>0</v>
      </c>
      <c r="O271" s="19">
        <f ca="1">-SUMIF('[1]Fluxo de Movimentações'!$A$5:$F$10001,"="&amp;$C272,'[1]Fluxo de Movimentações'!$B$5:$B$10001)</f>
        <v>0</v>
      </c>
      <c r="P271" s="19">
        <f>-SUMIFS([1]Master!$J$1:$J$200,[1]Master!$A$1:$A$200,"="&amp;$I$12,[1]Master!$G$1:$G$200,"&gt;"&amp;C271,[1]Master!$E$1:$E$200,"&lt;="&amp;C271)</f>
        <v>0</v>
      </c>
      <c r="Q271" s="30">
        <v>1179.7137</v>
      </c>
      <c r="R271" s="32">
        <v>1.0343172</v>
      </c>
      <c r="S271" s="30">
        <v>0</v>
      </c>
      <c r="T271" s="30">
        <v>0</v>
      </c>
      <c r="U271" s="30">
        <v>0</v>
      </c>
      <c r="V271" s="30">
        <v>0</v>
      </c>
    </row>
    <row r="272" spans="3:22" x14ac:dyDescent="0.25">
      <c r="C272" s="4">
        <v>45209</v>
      </c>
      <c r="D272" s="30">
        <v>15847196.3675</v>
      </c>
      <c r="E272" s="32">
        <v>1.0589909</v>
      </c>
      <c r="F272" s="38">
        <f t="shared" ref="F272" si="698">D272/TRUNC(E272,6)</f>
        <v>14964443.82619288</v>
      </c>
      <c r="G272" s="19">
        <f t="shared" ref="G272" si="699">H272*I272</f>
        <v>15860304.086600475</v>
      </c>
      <c r="H272" s="31">
        <v>1.0862893</v>
      </c>
      <c r="I272" s="19">
        <f>SUMIFS([1]Master!$K$2:$K$10000,[1]Master!$A$2:$A$10000,$I$12,[1]Master!$F$2:$F$10000,"&lt;="&amp;$C272)</f>
        <v>14600442.1534857</v>
      </c>
      <c r="J272" s="19">
        <f t="shared" ref="J272" si="700">((((1+1.85%)^(1/252))-1)*D271)+SUM(J271)</f>
        <v>7897.7495441565725</v>
      </c>
      <c r="K272" s="19">
        <f>IF((NETWORKDAYS(DATE(YEAR(C272),MONTH(C272),1),C272,Feriados!$A$2:$A$842))&gt;=5,0,IF(NETWORKDAYS(DATE(YEAR(C272),MONTH(C272),1),C272,Feriados!$A$2:$A$842)=1,J271,K271))</f>
        <v>0</v>
      </c>
      <c r="L272" s="30">
        <v>-33909.839999999997</v>
      </c>
      <c r="M272" s="19">
        <f>VLOOKUP(C272,'Fluxo de Caixa'!$B$13:$U$10027,20,FALSE)</f>
        <v>27586.852870188784</v>
      </c>
      <c r="N272" s="19">
        <f>SUMIFS([1]Master!$J$2:$J$100,[1]Master!$A$2:$A$100,"="&amp;$I$12,[1]Master!$E$2:$E$100,"="&amp;C272,[1]Master!$J$2:$J$100,"&gt;"&amp;0)</f>
        <v>0</v>
      </c>
      <c r="O272" s="19">
        <f ca="1">-SUMIF('[1]Fluxo de Movimentações'!$A$5:$F$10001,"="&amp;$C273,'[1]Fluxo de Movimentações'!$B$5:$B$10001)</f>
        <v>0</v>
      </c>
      <c r="P272" s="19">
        <f>-SUMIFS([1]Master!$J$1:$J$200,[1]Master!$A$1:$A$200,"="&amp;$I$12,[1]Master!$G$1:$G$200,"&gt;"&amp;C272,[1]Master!$E$1:$E$200,"&lt;="&amp;C272)</f>
        <v>0</v>
      </c>
      <c r="Q272" s="30">
        <v>1112.6975</v>
      </c>
      <c r="R272" s="32">
        <v>1.0612569000000001</v>
      </c>
      <c r="S272" s="30">
        <v>0</v>
      </c>
      <c r="T272" s="30">
        <v>0</v>
      </c>
      <c r="U272" s="30">
        <v>0</v>
      </c>
      <c r="V272" s="30">
        <v>0</v>
      </c>
    </row>
    <row r="273" spans="3:22" x14ac:dyDescent="0.25">
      <c r="C273" s="4">
        <v>45210</v>
      </c>
      <c r="D273" s="30">
        <v>15810831.822699999</v>
      </c>
      <c r="E273" s="32">
        <v>1.0565608</v>
      </c>
      <c r="F273" s="38">
        <f t="shared" ref="F273" si="701">D273/TRUNC(E273,6)</f>
        <v>14964442.930548195</v>
      </c>
      <c r="G273" s="19">
        <f t="shared" ref="G273" si="702">H273*I273</f>
        <v>15823318.246537264</v>
      </c>
      <c r="H273" s="31">
        <v>1.0837561</v>
      </c>
      <c r="I273" s="19">
        <f>SUMIFS([1]Master!$K$2:$K$10000,[1]Master!$A$2:$A$10000,$I$12,[1]Master!$F$2:$F$10000,"&lt;="&amp;$C273)</f>
        <v>14600442.1534857</v>
      </c>
      <c r="J273" s="19">
        <f t="shared" ref="J273" si="703">((((1+1.85%)^(1/252))-1)*D272)+SUM(J272)</f>
        <v>9050.5465123889953</v>
      </c>
      <c r="K273" s="19">
        <f>IF((NETWORKDAYS(DATE(YEAR(C273),MONTH(C273),1),C273,Feriados!$A$2:$A$842))&gt;=5,0,IF(NETWORKDAYS(DATE(YEAR(C273),MONTH(C273),1),C273,Feriados!$A$2:$A$842)=1,J272,K272))</f>
        <v>0</v>
      </c>
      <c r="L273" s="30">
        <v>-32068.74</v>
      </c>
      <c r="M273" s="19">
        <f>VLOOKUP(C273,'Fluxo de Caixa'!$B$13:$U$10027,20,FALSE)</f>
        <v>27586.852870188784</v>
      </c>
      <c r="N273" s="19">
        <f>SUMIFS([1]Master!$J$2:$J$100,[1]Master!$A$2:$A$100,"="&amp;$I$12,[1]Master!$E$2:$E$100,"="&amp;C273,[1]Master!$J$2:$J$100,"&gt;"&amp;0)</f>
        <v>0</v>
      </c>
      <c r="O273" s="19">
        <f ca="1">-SUMIF('[1]Fluxo de Movimentações'!$A$5:$F$10001,"="&amp;$C274,'[1]Fluxo de Movimentações'!$B$5:$B$10001)</f>
        <v>0</v>
      </c>
      <c r="P273" s="19">
        <f>-SUMIFS([1]Master!$J$1:$J$200,[1]Master!$A$1:$A$200,"="&amp;$I$12,[1]Master!$G$1:$G$200,"&gt;"&amp;C273,[1]Master!$E$1:$E$200,"&lt;="&amp;C273)</f>
        <v>0</v>
      </c>
      <c r="Q273" s="30">
        <v>1045.6827000000001</v>
      </c>
      <c r="R273" s="32">
        <v>1.0587038</v>
      </c>
      <c r="S273" s="30">
        <v>0</v>
      </c>
      <c r="T273" s="30">
        <v>0</v>
      </c>
      <c r="U273" s="30">
        <v>0</v>
      </c>
      <c r="V273" s="30">
        <v>0</v>
      </c>
    </row>
    <row r="274" spans="3:22" x14ac:dyDescent="0.25">
      <c r="C274" s="4">
        <v>45212</v>
      </c>
      <c r="D274" s="30">
        <v>15363005.1032</v>
      </c>
      <c r="E274" s="32">
        <v>1.0266348000000001</v>
      </c>
      <c r="F274" s="38">
        <f t="shared" ref="F274" si="704">D274/TRUNC(E274,6)</f>
        <v>14964442.150951555</v>
      </c>
      <c r="G274" s="19">
        <f t="shared" ref="G274" si="705">H274*I274</f>
        <v>15358784.7388051</v>
      </c>
      <c r="H274" s="31">
        <v>1.0519396999999999</v>
      </c>
      <c r="I274" s="19">
        <f>SUMIFS([1]Master!$K$2:$K$10000,[1]Master!$A$2:$A$10000,$I$12,[1]Master!$F$2:$F$10000,"&lt;="&amp;$C274)</f>
        <v>14600442.1534857</v>
      </c>
      <c r="J274" s="19">
        <f t="shared" ref="J274" si="706">((((1+1.85%)^(1/252))-1)*D273)+SUM(J273)</f>
        <v>10200.698158633577</v>
      </c>
      <c r="K274" s="19">
        <f>IF((NETWORKDAYS(DATE(YEAR(C274),MONTH(C274),1),C274,Feriados!$A$2:$A$842))&gt;=5,0,IF(NETWORKDAYS(DATE(YEAR(C274),MONTH(C274),1),C274,Feriados!$A$2:$A$842)=1,J273,K273))</f>
        <v>0</v>
      </c>
      <c r="L274" s="30">
        <v>-14149.45</v>
      </c>
      <c r="M274" s="19">
        <f>VLOOKUP(C274,'Fluxo de Caixa'!$B$13:$U$10027,20,FALSE)</f>
        <v>27586.852870188784</v>
      </c>
      <c r="N274" s="19">
        <f>SUMIFS([1]Master!$J$2:$J$100,[1]Master!$A$2:$A$100,"="&amp;$I$12,[1]Master!$E$2:$E$100,"="&amp;C274,[1]Master!$J$2:$J$100,"&gt;"&amp;0)</f>
        <v>0</v>
      </c>
      <c r="O274" s="19">
        <f ca="1">-SUMIF('[1]Fluxo de Movimentações'!$A$5:$F$10001,"="&amp;$C275,'[1]Fluxo de Movimentações'!$B$5:$B$10001)</f>
        <v>0</v>
      </c>
      <c r="P274" s="19">
        <f>-SUMIFS([1]Master!$J$1:$J$200,[1]Master!$A$1:$A$200,"="&amp;$I$12,[1]Master!$G$1:$G$200,"&gt;"&amp;C274,[1]Master!$E$1:$E$200,"&lt;="&amp;C274)</f>
        <v>0</v>
      </c>
      <c r="Q274" s="30">
        <v>983.33320000000003</v>
      </c>
      <c r="R274" s="32">
        <v>1.0275802999999999</v>
      </c>
      <c r="S274" s="30">
        <v>0</v>
      </c>
      <c r="T274" s="30">
        <v>0</v>
      </c>
      <c r="U274" s="30">
        <v>0</v>
      </c>
      <c r="V274" s="30">
        <v>0</v>
      </c>
    </row>
    <row r="275" spans="3:22" x14ac:dyDescent="0.25">
      <c r="C275" s="4">
        <v>45215</v>
      </c>
      <c r="D275" s="30">
        <v>15419927.374500001</v>
      </c>
      <c r="E275" s="32">
        <v>1.0304386000000001</v>
      </c>
      <c r="F275" s="38">
        <f t="shared" ref="F275" si="707">D275/TRUNC(E275,6)</f>
        <v>14964439.757171223</v>
      </c>
      <c r="G275" s="19">
        <f t="shared" ref="G275" si="708">H275*I275</f>
        <v>15418239.199298311</v>
      </c>
      <c r="H275" s="31">
        <v>1.0560118000000001</v>
      </c>
      <c r="I275" s="19">
        <f>SUMIFS([1]Master!$K$2:$K$10000,[1]Master!$A$2:$A$10000,$I$12,[1]Master!$F$2:$F$10000,"&lt;="&amp;$C275)</f>
        <v>14600442.1534857</v>
      </c>
      <c r="J275" s="19">
        <f t="shared" ref="J275" si="709">((((1+1.85%)^(1/252))-1)*D274)+SUM(J274)</f>
        <v>11318.272857349963</v>
      </c>
      <c r="K275" s="19">
        <f>IF((NETWORKDAYS(DATE(YEAR(C275),MONTH(C275),1),C275,Feriados!$A$2:$A$842))&gt;=5,0,IF(NETWORKDAYS(DATE(YEAR(C275),MONTH(C275),1),C275,Feriados!$A$2:$A$842)=1,J274,K274))</f>
        <v>0</v>
      </c>
      <c r="L275" s="30">
        <v>-15501.72</v>
      </c>
      <c r="M275" s="19">
        <f>VLOOKUP(C275,'Fluxo de Caixa'!$B$13:$U$10027,20,FALSE)</f>
        <v>26999.672870188784</v>
      </c>
      <c r="N275" s="19">
        <f>SUMIFS([1]Master!$J$2:$J$100,[1]Master!$A$2:$A$100,"="&amp;$I$12,[1]Master!$E$2:$E$100,"="&amp;C275,[1]Master!$J$2:$J$100,"&gt;"&amp;0)</f>
        <v>0</v>
      </c>
      <c r="O275" s="19">
        <f ca="1">-SUMIF('[1]Fluxo de Movimentações'!$A$5:$F$10001,"="&amp;$C276,'[1]Fluxo de Movimentações'!$B$5:$B$10001)</f>
        <v>0</v>
      </c>
      <c r="P275" s="19">
        <f>-SUMIFS([1]Master!$J$1:$J$200,[1]Master!$A$1:$A$200,"="&amp;$I$12,[1]Master!$G$1:$G$200,"&gt;"&amp;C275,[1]Master!$E$1:$E$200,"&lt;="&amp;C275)</f>
        <v>0</v>
      </c>
      <c r="Q275" s="30">
        <v>1508.1645000000001</v>
      </c>
      <c r="R275" s="32">
        <v>1.0314745000000001</v>
      </c>
      <c r="S275" s="30">
        <v>0</v>
      </c>
      <c r="T275" s="30">
        <v>0</v>
      </c>
      <c r="U275" s="30">
        <v>0</v>
      </c>
      <c r="V275" s="30">
        <v>0</v>
      </c>
    </row>
    <row r="276" spans="3:22" x14ac:dyDescent="0.25">
      <c r="C276" s="4">
        <v>45216</v>
      </c>
      <c r="D276" s="30">
        <v>15196917.785</v>
      </c>
      <c r="E276" s="32">
        <v>1.0155358999999999</v>
      </c>
      <c r="F276" s="38">
        <f t="shared" ref="F276" si="710">D276/TRUNC(E276,6)</f>
        <v>14964445.129906895</v>
      </c>
      <c r="G276" s="19">
        <f t="shared" ref="G276" si="711">H276*I276</f>
        <v>15190463.541438643</v>
      </c>
      <c r="H276" s="31">
        <v>1.0404112000000001</v>
      </c>
      <c r="I276" s="19">
        <f>SUMIFS([1]Master!$K$2:$K$10000,[1]Master!$A$2:$A$10000,$I$12,[1]Master!$F$2:$F$10000,"&lt;="&amp;$C276)</f>
        <v>14600442.1534857</v>
      </c>
      <c r="J276" s="19">
        <f t="shared" ref="J276" si="712">((((1+1.85%)^(1/252))-1)*D275)+SUM(J275)</f>
        <v>12439.988340357639</v>
      </c>
      <c r="K276" s="19">
        <f>IF((NETWORKDAYS(DATE(YEAR(C276),MONTH(C276),1),C276,Feriados!$A$2:$A$842))&gt;=5,0,IF(NETWORKDAYS(DATE(YEAR(C276),MONTH(C276),1),C276,Feriados!$A$2:$A$842)=1,J275,K275))</f>
        <v>0</v>
      </c>
      <c r="L276" s="30">
        <v>-9551.59</v>
      </c>
      <c r="M276" s="19">
        <f>VLOOKUP(C276,'Fluxo de Caixa'!$B$13:$U$10027,20,FALSE)</f>
        <v>26999.672870188784</v>
      </c>
      <c r="N276" s="19">
        <f>SUMIFS([1]Master!$J$2:$J$100,[1]Master!$A$2:$A$100,"="&amp;$I$12,[1]Master!$E$2:$E$100,"="&amp;C276,[1]Master!$J$2:$J$100,"&gt;"&amp;0)</f>
        <v>0</v>
      </c>
      <c r="O276" s="19">
        <f ca="1">-SUMIF('[1]Fluxo de Movimentações'!$A$5:$F$10001,"="&amp;$C277,'[1]Fluxo de Movimentações'!$B$5:$B$10001)</f>
        <v>0</v>
      </c>
      <c r="P276" s="19">
        <f>-SUMIFS([1]Master!$J$1:$J$200,[1]Master!$A$1:$A$200,"="&amp;$I$12,[1]Master!$G$1:$G$200,"&gt;"&amp;C276,[1]Master!$E$1:$E$200,"&lt;="&amp;C276)</f>
        <v>0</v>
      </c>
      <c r="Q276" s="30">
        <v>1445.8150000000001</v>
      </c>
      <c r="R276" s="32">
        <v>1.0161742</v>
      </c>
      <c r="S276" s="30">
        <v>0</v>
      </c>
      <c r="T276" s="30">
        <v>0</v>
      </c>
      <c r="U276" s="30">
        <v>0</v>
      </c>
      <c r="V276" s="30">
        <v>0</v>
      </c>
    </row>
    <row r="277" spans="3:22" x14ac:dyDescent="0.25">
      <c r="C277" s="4">
        <v>45217</v>
      </c>
      <c r="D277" s="30">
        <v>14843903.3355</v>
      </c>
      <c r="E277" s="32">
        <v>0.99194570000000004</v>
      </c>
      <c r="F277" s="38">
        <f t="shared" ref="F277" si="713">D277/TRUNC(E277,6)</f>
        <v>14964441.915126342</v>
      </c>
      <c r="G277" s="19">
        <f t="shared" ref="G277" si="714">H277*I277</f>
        <v>14831775.939098174</v>
      </c>
      <c r="H277" s="31">
        <v>1.0158442999999999</v>
      </c>
      <c r="I277" s="19">
        <f>SUMIFS([1]Master!$K$2:$K$10000,[1]Master!$A$2:$A$10000,$I$12,[1]Master!$F$2:$F$10000,"&lt;="&amp;$C277)</f>
        <v>14600442.1534857</v>
      </c>
      <c r="J277" s="19">
        <f t="shared" ref="J277" si="715">((((1+1.85%)^(1/252))-1)*D276)+SUM(J276)</f>
        <v>13545.481093949935</v>
      </c>
      <c r="K277" s="19">
        <f>IF((NETWORKDAYS(DATE(YEAR(C277),MONTH(C277),1),C277,Feriados!$A$2:$A$842))&gt;=5,0,IF(NETWORKDAYS(DATE(YEAR(C277),MONTH(C277),1),C277,Feriados!$A$2:$A$842)=1,J276,K276))</f>
        <v>0</v>
      </c>
      <c r="L277" s="30">
        <v>-2710.6072907450398</v>
      </c>
      <c r="M277" s="19">
        <f>VLOOKUP(C277,'Fluxo de Caixa'!$B$13:$U$10027,20,FALSE)</f>
        <v>26803.672870188784</v>
      </c>
      <c r="N277" s="19">
        <f>SUMIFS([1]Master!$J$2:$J$100,[1]Master!$A$2:$A$100,"="&amp;$I$12,[1]Master!$E$2:$E$100,"="&amp;C277,[1]Master!$J$2:$J$100,"&gt;"&amp;0)</f>
        <v>0</v>
      </c>
      <c r="O277" s="19">
        <f ca="1">-SUMIF('[1]Fluxo de Movimentações'!$A$5:$F$10001,"="&amp;$C278,'[1]Fluxo de Movimentações'!$B$5:$B$10001)</f>
        <v>0</v>
      </c>
      <c r="P277" s="19">
        <f>-SUMIFS([1]Master!$J$1:$J$200,[1]Master!$A$1:$A$200,"="&amp;$I$12,[1]Master!$G$1:$G$200,"&gt;"&amp;C277,[1]Master!$E$1:$E$200,"&lt;="&amp;C277)</f>
        <v>0</v>
      </c>
      <c r="Q277" s="30">
        <v>1579.4655</v>
      </c>
      <c r="R277" s="32">
        <v>0.99212679999999998</v>
      </c>
      <c r="S277" s="30">
        <v>0</v>
      </c>
      <c r="T277" s="30">
        <v>0</v>
      </c>
      <c r="U277" s="30">
        <v>0</v>
      </c>
      <c r="V277" s="30">
        <v>0</v>
      </c>
    </row>
    <row r="278" spans="3:22" x14ac:dyDescent="0.25">
      <c r="C278" s="4">
        <v>45218</v>
      </c>
      <c r="D278" s="30">
        <v>14970495.419299999</v>
      </c>
      <c r="E278" s="32">
        <v>1.0004052000000001</v>
      </c>
      <c r="F278" s="38">
        <f t="shared" ref="F278" si="716">D278/TRUNC(E278,6)</f>
        <v>14964434.823196605</v>
      </c>
      <c r="G278" s="19">
        <f t="shared" ref="G278" si="717">H278*I278</f>
        <v>14961293.541353317</v>
      </c>
      <c r="H278" s="31">
        <v>1.0247151000000001</v>
      </c>
      <c r="I278" s="19">
        <f>SUMIFS([1]Master!$K$2:$K$10000,[1]Master!$A$2:$A$10000,$I$12,[1]Master!$F$2:$F$10000,"&lt;="&amp;$C278)</f>
        <v>14600442.1534857</v>
      </c>
      <c r="J278" s="19">
        <f t="shared" ref="J278" si="718">((((1+1.85%)^(1/252))-1)*D277)+SUM(J277)</f>
        <v>14625.293974731389</v>
      </c>
      <c r="K278" s="19">
        <f>IF((NETWORKDAYS(DATE(YEAR(C278),MONTH(C278),1),C278,Feriados!$A$2:$A$842))&gt;=5,0,IF(NETWORKDAYS(DATE(YEAR(C278),MONTH(C278),1),C278,Feriados!$A$2:$A$842)=1,J277,K277))</f>
        <v>0</v>
      </c>
      <c r="L278" s="30">
        <v>-4489.29</v>
      </c>
      <c r="M278" s="19">
        <f>VLOOKUP(C278,'Fluxo de Caixa'!$B$13:$U$10027,20,FALSE)</f>
        <v>26803.672870188784</v>
      </c>
      <c r="N278" s="19">
        <f>SUMIFS([1]Master!$J$2:$J$100,[1]Master!$A$2:$A$100,"="&amp;$I$12,[1]Master!$E$2:$E$100,"="&amp;C278,[1]Master!$J$2:$J$100,"&gt;"&amp;0)</f>
        <v>0</v>
      </c>
      <c r="O278" s="19">
        <f ca="1">-SUMIF('[1]Fluxo de Movimentações'!$A$5:$F$10001,"="&amp;$C279,'[1]Fluxo de Movimentações'!$B$5:$B$10001)</f>
        <v>0</v>
      </c>
      <c r="P278" s="19">
        <f>-SUMIFS([1]Master!$J$1:$J$200,[1]Master!$A$1:$A$200,"="&amp;$I$12,[1]Master!$G$1:$G$200,"&gt;"&amp;C278,[1]Master!$E$1:$E$200,"&lt;="&amp;C278)</f>
        <v>0</v>
      </c>
      <c r="Q278" s="30">
        <v>1512.4493</v>
      </c>
      <c r="R278" s="32">
        <v>1.0007052000000001</v>
      </c>
      <c r="S278" s="30">
        <v>0</v>
      </c>
      <c r="T278" s="30">
        <v>0</v>
      </c>
      <c r="U278" s="30">
        <v>0</v>
      </c>
      <c r="V278" s="30">
        <v>0</v>
      </c>
    </row>
    <row r="279" spans="3:22" x14ac:dyDescent="0.25">
      <c r="C279" s="4">
        <v>45219</v>
      </c>
      <c r="D279" s="30">
        <v>15033342.073100001</v>
      </c>
      <c r="E279" s="32">
        <v>1.004605</v>
      </c>
      <c r="F279" s="38">
        <f t="shared" ref="F279" si="719">D279/TRUNC(E279,6)</f>
        <v>14964430.868948493</v>
      </c>
      <c r="G279" s="19">
        <f t="shared" ref="G279" si="720">H279*I279</f>
        <v>15026138.485089591</v>
      </c>
      <c r="H279" s="31">
        <v>1.0291564</v>
      </c>
      <c r="I279" s="19">
        <f>SUMIFS([1]Master!$K$2:$K$10000,[1]Master!$A$2:$A$10000,$I$12,[1]Master!$F$2:$F$10000,"&lt;="&amp;$C279)</f>
        <v>14600442.1534857</v>
      </c>
      <c r="J279" s="19">
        <f t="shared" ref="J279" si="721">((((1+1.85%)^(1/252))-1)*D278)+SUM(J278)</f>
        <v>15714.315738082516</v>
      </c>
      <c r="K279" s="19">
        <f>IF((NETWORKDAYS(DATE(YEAR(C279),MONTH(C279),1),C279,Feriados!$A$2:$A$842))&gt;=5,0,IF(NETWORKDAYS(DATE(YEAR(C279),MONTH(C279),1),C279,Feriados!$A$2:$A$842)=1,J278,K278))</f>
        <v>0</v>
      </c>
      <c r="L279" s="30">
        <v>-5331.55</v>
      </c>
      <c r="M279" s="19">
        <f>VLOOKUP(C279,'Fluxo de Caixa'!$B$13:$U$10027,20,FALSE)</f>
        <v>26803.672870188784</v>
      </c>
      <c r="N279" s="19">
        <f>SUMIFS([1]Master!$J$2:$J$100,[1]Master!$A$2:$A$100,"="&amp;$I$12,[1]Master!$E$2:$E$100,"="&amp;C279,[1]Master!$J$2:$J$100,"&gt;"&amp;0)</f>
        <v>0</v>
      </c>
      <c r="O279" s="19">
        <f ca="1">-SUMIF('[1]Fluxo de Movimentações'!$A$5:$F$10001,"="&amp;$C280,'[1]Fluxo de Movimentações'!$B$5:$B$10001)</f>
        <v>0</v>
      </c>
      <c r="P279" s="19">
        <f>-SUMIFS([1]Master!$J$1:$J$200,[1]Master!$A$1:$A$200,"="&amp;$I$12,[1]Master!$G$1:$G$200,"&gt;"&amp;C279,[1]Master!$E$1:$E$200,"&lt;="&amp;C279)</f>
        <v>0</v>
      </c>
      <c r="Q279" s="30">
        <v>1445.4331</v>
      </c>
      <c r="R279" s="32">
        <v>1.0049612999999999</v>
      </c>
      <c r="S279" s="30">
        <v>0</v>
      </c>
      <c r="T279" s="30">
        <v>0</v>
      </c>
      <c r="U279" s="30">
        <v>0</v>
      </c>
      <c r="V279" s="30">
        <v>0</v>
      </c>
    </row>
    <row r="280" spans="3:22" x14ac:dyDescent="0.25">
      <c r="C280" s="4">
        <v>45222</v>
      </c>
      <c r="D280" s="30">
        <v>15262084.3069</v>
      </c>
      <c r="E280" s="32">
        <v>1.0198906999999999</v>
      </c>
      <c r="F280" s="38">
        <f t="shared" ref="F280" si="722">D280/TRUNC(E280,6)</f>
        <v>14964441.564188296</v>
      </c>
      <c r="G280" s="19">
        <f t="shared" ref="G280" si="723">H280*I280</f>
        <v>15261374.968889693</v>
      </c>
      <c r="H280" s="31">
        <v>1.0452680000000001</v>
      </c>
      <c r="I280" s="19">
        <f>SUMIFS([1]Master!$K$2:$K$10000,[1]Master!$A$2:$A$10000,$I$12,[1]Master!$F$2:$F$10000,"&lt;="&amp;$C280)</f>
        <v>14600442.1534857</v>
      </c>
      <c r="J280" s="19">
        <f t="shared" ref="J280" si="724">((((1+1.85%)^(1/252))-1)*D279)+SUM(J279)</f>
        <v>16807.909252189049</v>
      </c>
      <c r="K280" s="19">
        <f>IF((NETWORKDAYS(DATE(YEAR(C280),MONTH(C280),1),C280,Feriados!$A$2:$A$842))&gt;=5,0,IF(NETWORKDAYS(DATE(YEAR(C280),MONTH(C280),1),C280,Feriados!$A$2:$A$842)=1,J279,K279))</f>
        <v>0</v>
      </c>
      <c r="L280" s="30">
        <v>-10665.19</v>
      </c>
      <c r="M280" s="19">
        <f>VLOOKUP(C280,'Fluxo de Caixa'!$B$13:$U$10027,20,FALSE)</f>
        <v>26803.672870188784</v>
      </c>
      <c r="N280" s="19">
        <f>SUMIFS([1]Master!$J$2:$J$100,[1]Master!$A$2:$A$100,"="&amp;$I$12,[1]Master!$E$2:$E$100,"="&amp;C280,[1]Master!$J$2:$J$100,"&gt;"&amp;0)</f>
        <v>0</v>
      </c>
      <c r="O280" s="19">
        <f ca="1">-SUMIF('[1]Fluxo de Movimentações'!$A$5:$F$10001,"="&amp;$C281,'[1]Fluxo de Movimentações'!$B$5:$B$10001)</f>
        <v>0</v>
      </c>
      <c r="P280" s="19">
        <f>-SUMIFS([1]Master!$J$1:$J$200,[1]Master!$A$1:$A$200,"="&amp;$I$12,[1]Master!$G$1:$G$200,"&gt;"&amp;C280,[1]Master!$E$1:$E$200,"&lt;="&amp;C280)</f>
        <v>0</v>
      </c>
      <c r="Q280" s="30">
        <v>1378.4168999999999</v>
      </c>
      <c r="R280" s="32">
        <v>1.0206033999999999</v>
      </c>
      <c r="S280" s="30">
        <v>0</v>
      </c>
      <c r="T280" s="30">
        <v>0</v>
      </c>
      <c r="U280" s="30">
        <v>0</v>
      </c>
      <c r="V280" s="30">
        <v>0</v>
      </c>
    </row>
    <row r="281" spans="3:22" x14ac:dyDescent="0.25">
      <c r="C281" s="4">
        <v>45223</v>
      </c>
      <c r="D281" s="30">
        <v>15367186.670700001</v>
      </c>
      <c r="E281" s="32">
        <v>1.0269142</v>
      </c>
      <c r="F281" s="38">
        <f t="shared" ref="F281" si="725">D281/TRUNC(E281,6)</f>
        <v>14964433.896801485</v>
      </c>
      <c r="G281" s="19">
        <f t="shared" ref="G281" si="726">H281*I281</f>
        <v>15370241.705762941</v>
      </c>
      <c r="H281" s="31">
        <v>1.0527244</v>
      </c>
      <c r="I281" s="19">
        <f>SUMIFS([1]Master!$K$2:$K$10000,[1]Master!$A$2:$A$10000,$I$12,[1]Master!$F$2:$F$10000,"&lt;="&amp;$C281)</f>
        <v>14600442.1534857</v>
      </c>
      <c r="J281" s="19">
        <f t="shared" ref="J281" si="727">((((1+1.85%)^(1/252))-1)*D280)+SUM(J280)</f>
        <v>17918.142514268424</v>
      </c>
      <c r="K281" s="19">
        <f>IF((NETWORKDAYS(DATE(YEAR(C281),MONTH(C281),1),C281,Feriados!$A$2:$A$842))&gt;=5,0,IF(NETWORKDAYS(DATE(YEAR(C281),MONTH(C281),1),C281,Feriados!$A$2:$A$842)=1,J280,K280))</f>
        <v>0</v>
      </c>
      <c r="L281" s="30">
        <v>-13252.32</v>
      </c>
      <c r="M281" s="19">
        <f>VLOOKUP(C281,'Fluxo de Caixa'!$B$13:$U$10027,20,FALSE)</f>
        <v>26803.672870188784</v>
      </c>
      <c r="N281" s="19">
        <f>SUMIFS([1]Master!$J$2:$J$100,[1]Master!$A$2:$A$100,"="&amp;$I$12,[1]Master!$E$2:$E$100,"="&amp;C281,[1]Master!$J$2:$J$100,"&gt;"&amp;0)</f>
        <v>0</v>
      </c>
      <c r="O281" s="19">
        <f ca="1">-SUMIF('[1]Fluxo de Movimentações'!$A$5:$F$10001,"="&amp;$C282,'[1]Fluxo de Movimentações'!$B$5:$B$10001)</f>
        <v>0</v>
      </c>
      <c r="P281" s="19">
        <f>-SUMIFS([1]Master!$J$1:$J$200,[1]Master!$A$1:$A$200,"="&amp;$I$12,[1]Master!$G$1:$G$200,"&gt;"&amp;C281,[1]Master!$E$1:$E$200,"&lt;="&amp;C281)</f>
        <v>0</v>
      </c>
      <c r="Q281" s="30">
        <v>1311.4006999999999</v>
      </c>
      <c r="R281" s="32">
        <v>1.0277997999999999</v>
      </c>
      <c r="S281" s="30">
        <v>0</v>
      </c>
      <c r="T281" s="30">
        <v>0</v>
      </c>
      <c r="U281" s="30">
        <v>0</v>
      </c>
      <c r="V281" s="30">
        <v>0</v>
      </c>
    </row>
    <row r="282" spans="3:22" x14ac:dyDescent="0.25">
      <c r="C282" s="4">
        <v>45224</v>
      </c>
      <c r="D282" s="30">
        <v>15133473.8345</v>
      </c>
      <c r="E282" s="32">
        <v>1.0112962999999999</v>
      </c>
      <c r="F282" s="38">
        <f t="shared" ref="F282" si="728">D282/TRUNC(E282,6)</f>
        <v>14964435.570297915</v>
      </c>
      <c r="G282" s="19">
        <f t="shared" ref="G282" si="729">H282*I282</f>
        <v>15131492.355580712</v>
      </c>
      <c r="H282" s="31">
        <v>1.0363722</v>
      </c>
      <c r="I282" s="19">
        <f>SUMIFS([1]Master!$K$2:$K$10000,[1]Master!$A$2:$A$10000,$I$12,[1]Master!$F$2:$F$10000,"&lt;="&amp;$C282)</f>
        <v>14600442.1534857</v>
      </c>
      <c r="J282" s="19">
        <f t="shared" ref="J282" si="730">((((1+1.85%)^(1/252))-1)*D281)+SUM(J281)</f>
        <v>19036.021399178044</v>
      </c>
      <c r="K282" s="19">
        <f>IF((NETWORKDAYS(DATE(YEAR(C282),MONTH(C282),1),C282,Feriados!$A$2:$A$842))&gt;=5,0,IF(NETWORKDAYS(DATE(YEAR(C282),MONTH(C282),1),C282,Feriados!$A$2:$A$842)=1,J281,K281))</f>
        <v>0</v>
      </c>
      <c r="L282" s="30">
        <v>-7030.9262534503996</v>
      </c>
      <c r="M282" s="19">
        <f>VLOOKUP(C282,'Fluxo de Caixa'!$B$13:$U$10027,20,FALSE)</f>
        <v>26803.672870188784</v>
      </c>
      <c r="N282" s="19">
        <f>SUMIFS([1]Master!$J$2:$J$100,[1]Master!$A$2:$A$100,"="&amp;$I$12,[1]Master!$E$2:$E$100,"="&amp;C282,[1]Master!$J$2:$J$100,"&gt;"&amp;0)</f>
        <v>0</v>
      </c>
      <c r="O282" s="19">
        <f ca="1">-SUMIF('[1]Fluxo de Movimentações'!$A$5:$F$10001,"="&amp;$C283,'[1]Fluxo de Movimentações'!$B$5:$B$10001)</f>
        <v>0</v>
      </c>
      <c r="P282" s="19">
        <f>-SUMIFS([1]Master!$J$1:$J$200,[1]Master!$A$1:$A$200,"="&amp;$I$12,[1]Master!$G$1:$G$200,"&gt;"&amp;C282,[1]Master!$E$1:$E$200,"&lt;="&amp;C282)</f>
        <v>0</v>
      </c>
      <c r="Q282" s="30">
        <v>1244.3844999999999</v>
      </c>
      <c r="R282" s="32">
        <v>1.0117661</v>
      </c>
      <c r="S282" s="30">
        <v>0</v>
      </c>
      <c r="T282" s="30">
        <v>0</v>
      </c>
      <c r="U282" s="30">
        <v>0</v>
      </c>
      <c r="V282" s="30">
        <v>0</v>
      </c>
    </row>
    <row r="283" spans="3:22" x14ac:dyDescent="0.25">
      <c r="C283" s="4">
        <v>45225</v>
      </c>
      <c r="D283" s="30">
        <v>15505050.4583</v>
      </c>
      <c r="E283" s="32">
        <v>1.0361269</v>
      </c>
      <c r="F283" s="38">
        <f t="shared" ref="F283" si="731">D283/TRUNC(E283,6)</f>
        <v>14964444.921081025</v>
      </c>
      <c r="G283" s="19">
        <f t="shared" ref="G283" si="732">H283*I283</f>
        <v>15514197.685263665</v>
      </c>
      <c r="H283" s="31">
        <v>1.0625841</v>
      </c>
      <c r="I283" s="19">
        <f>SUMIFS([1]Master!$K$2:$K$10000,[1]Master!$A$2:$A$10000,$I$12,[1]Master!$F$2:$F$10000,"&lt;="&amp;$C283)</f>
        <v>14600442.1534857</v>
      </c>
      <c r="J283" s="19">
        <f t="shared" ref="J283" si="733">((((1+1.85%)^(1/252))-1)*D282)+SUM(J282)</f>
        <v>20136.898951942825</v>
      </c>
      <c r="K283" s="19">
        <f>IF((NETWORKDAYS(DATE(YEAR(C283),MONTH(C283),1),C283,Feriados!$A$2:$A$842))&gt;=5,0,IF(NETWORKDAYS(DATE(YEAR(C283),MONTH(C283),1),C283,Feriados!$A$2:$A$842)=1,J282,K282))</f>
        <v>0</v>
      </c>
      <c r="L283" s="30">
        <v>-16991.740000000002</v>
      </c>
      <c r="M283" s="19">
        <f>VLOOKUP(C283,'Fluxo de Caixa'!$B$13:$U$10027,20,FALSE)</f>
        <v>26803.672870188784</v>
      </c>
      <c r="N283" s="19">
        <f>SUMIFS([1]Master!$J$2:$J$100,[1]Master!$A$2:$A$100,"="&amp;$I$12,[1]Master!$E$2:$E$100,"="&amp;C283,[1]Master!$J$2:$J$100,"&gt;"&amp;0)</f>
        <v>0</v>
      </c>
      <c r="O283" s="19">
        <f ca="1">-SUMIF('[1]Fluxo de Movimentações'!$A$5:$F$10001,"="&amp;$C284,'[1]Fluxo de Movimentações'!$B$5:$B$10001)</f>
        <v>0</v>
      </c>
      <c r="P283" s="19">
        <f>-SUMIFS([1]Master!$J$1:$J$200,[1]Master!$A$1:$A$200,"="&amp;$I$12,[1]Master!$G$1:$G$200,"&gt;"&amp;C283,[1]Master!$E$1:$E$200,"&lt;="&amp;C283)</f>
        <v>0</v>
      </c>
      <c r="Q283" s="30">
        <v>1177.3683000000001</v>
      </c>
      <c r="R283" s="32">
        <v>1.0372623999999999</v>
      </c>
      <c r="S283" s="30">
        <v>0</v>
      </c>
      <c r="T283" s="30">
        <v>0</v>
      </c>
      <c r="U283" s="30">
        <v>0</v>
      </c>
      <c r="V283" s="30">
        <v>0</v>
      </c>
    </row>
    <row r="284" spans="3:22" x14ac:dyDescent="0.25">
      <c r="C284" s="4">
        <v>45226</v>
      </c>
      <c r="D284" s="30">
        <v>15089576.952099999</v>
      </c>
      <c r="E284" s="32">
        <v>1.0083629000000001</v>
      </c>
      <c r="F284" s="38">
        <f t="shared" ref="F284" si="734">D284/TRUNC(E284,6)</f>
        <v>14964444.269121604</v>
      </c>
      <c r="G284" s="19">
        <f t="shared" ref="G284" si="735">H284*I284</f>
        <v>15088717.440203646</v>
      </c>
      <c r="H284" s="31">
        <v>1.0334425</v>
      </c>
      <c r="I284" s="19">
        <f>SUMIFS([1]Master!$K$2:$K$10000,[1]Master!$A$2:$A$10000,$I$12,[1]Master!$F$2:$F$10000,"&lt;="&amp;$C284)</f>
        <v>14600442.1534857</v>
      </c>
      <c r="J284" s="19">
        <f t="shared" ref="J284" si="736">((((1+1.85%)^(1/252))-1)*D283)+SUM(J283)</f>
        <v>21264.806674300326</v>
      </c>
      <c r="K284" s="19">
        <f>IF((NETWORKDAYS(DATE(YEAR(C284),MONTH(C284),1),C284,Feriados!$A$2:$A$842))&gt;=5,0,IF(NETWORKDAYS(DATE(YEAR(C284),MONTH(C284),1),C284,Feriados!$A$2:$A$842)=1,J283,K283))</f>
        <v>0</v>
      </c>
      <c r="L284" s="30">
        <v>-5790.08</v>
      </c>
      <c r="M284" s="19">
        <f>VLOOKUP(C284,'Fluxo de Caixa'!$B$13:$U$10027,20,FALSE)</f>
        <v>26803.672870188784</v>
      </c>
      <c r="N284" s="19">
        <f>SUMIFS([1]Master!$J$2:$J$100,[1]Master!$A$2:$A$100,"="&amp;$I$12,[1]Master!$E$2:$E$100,"="&amp;C284,[1]Master!$J$2:$J$100,"&gt;"&amp;0)</f>
        <v>0</v>
      </c>
      <c r="O284" s="19">
        <f ca="1">-SUMIF('[1]Fluxo de Movimentações'!$A$5:$F$10001,"="&amp;$C285,'[1]Fluxo de Movimentações'!$B$5:$B$10001)</f>
        <v>0</v>
      </c>
      <c r="P284" s="19">
        <f>-SUMIFS([1]Master!$J$1:$J$200,[1]Master!$A$1:$A$200,"="&amp;$I$12,[1]Master!$G$1:$G$200,"&gt;"&amp;C284,[1]Master!$E$1:$E$200,"&lt;="&amp;C284)</f>
        <v>0</v>
      </c>
      <c r="Q284" s="30">
        <v>1110.3521000000001</v>
      </c>
      <c r="R284" s="32">
        <v>1.0087497999999999</v>
      </c>
      <c r="S284" s="30">
        <v>0</v>
      </c>
      <c r="T284" s="30">
        <v>0</v>
      </c>
      <c r="U284" s="30">
        <v>0</v>
      </c>
      <c r="V284" s="30">
        <v>0</v>
      </c>
    </row>
    <row r="285" spans="3:22" x14ac:dyDescent="0.25">
      <c r="C285" s="4">
        <v>45229</v>
      </c>
      <c r="D285" s="30">
        <v>14914107.275900001</v>
      </c>
      <c r="E285" s="32">
        <v>0.99663710000000005</v>
      </c>
      <c r="F285" s="38">
        <f t="shared" ref="F285" si="737">D285/TRUNC(E285,6)</f>
        <v>14964432.662945487</v>
      </c>
      <c r="G285" s="19">
        <f t="shared" ref="G285" si="738">H285*I285</f>
        <v>14911757.161214968</v>
      </c>
      <c r="H285" s="31">
        <v>1.0213223</v>
      </c>
      <c r="I285" s="19">
        <f>SUMIFS([1]Master!$K$2:$K$10000,[1]Master!$A$2:$A$10000,$I$12,[1]Master!$F$2:$F$10000,"&lt;="&amp;$C285)</f>
        <v>14600442.1534857</v>
      </c>
      <c r="J285" s="19">
        <f t="shared" ref="J285" si="739">((((1+1.85%)^(1/252))-1)*D284)+SUM(J284)</f>
        <v>22362.4909686633</v>
      </c>
      <c r="K285" s="19">
        <f>IF((NETWORKDAYS(DATE(YEAR(C285),MONTH(C285),1),C285,Feriados!$A$2:$A$842))&gt;=5,0,IF(NETWORKDAYS(DATE(YEAR(C285),MONTH(C285),1),C285,Feriados!$A$2:$A$842)=1,J284,K284))</f>
        <v>0</v>
      </c>
      <c r="L285" s="30">
        <v>-3134.78</v>
      </c>
      <c r="M285" s="19">
        <f>VLOOKUP(C285,'Fluxo de Caixa'!$B$13:$U$10027,20,FALSE)</f>
        <v>26803.672870188784</v>
      </c>
      <c r="N285" s="19">
        <f>SUMIFS([1]Master!$J$2:$J$100,[1]Master!$A$2:$A$100,"="&amp;$I$12,[1]Master!$E$2:$E$100,"="&amp;C285,[1]Master!$J$2:$J$100,"&gt;"&amp;0)</f>
        <v>0</v>
      </c>
      <c r="O285" s="19">
        <f ca="1">-SUMIF('[1]Fluxo de Movimentações'!$A$5:$F$10001,"="&amp;$C286,'[1]Fluxo de Movimentações'!$B$5:$B$10001)</f>
        <v>0</v>
      </c>
      <c r="P285" s="19">
        <f>-SUMIFS([1]Master!$J$1:$J$200,[1]Master!$A$1:$A$200,"="&amp;$I$12,[1]Master!$G$1:$G$200,"&gt;"&amp;C285,[1]Master!$E$1:$E$200,"&lt;="&amp;C285)</f>
        <v>0</v>
      </c>
      <c r="Q285" s="30">
        <v>1043.3359</v>
      </c>
      <c r="R285" s="32">
        <v>0.99684660000000003</v>
      </c>
      <c r="S285" s="30">
        <v>0</v>
      </c>
      <c r="T285" s="30">
        <v>0</v>
      </c>
      <c r="U285" s="30">
        <v>0</v>
      </c>
      <c r="V285" s="30">
        <v>0</v>
      </c>
    </row>
    <row r="286" spans="3:22" x14ac:dyDescent="0.25">
      <c r="C286" s="4">
        <v>45230</v>
      </c>
      <c r="D286" s="30">
        <v>15028003.4497</v>
      </c>
      <c r="E286" s="32">
        <v>1.0042481999999999</v>
      </c>
      <c r="F286" s="38">
        <f t="shared" ref="F286" si="740">D286/TRUNC(E286,6)</f>
        <v>14964434.531808876</v>
      </c>
      <c r="G286" s="19">
        <f t="shared" ref="G286" si="741">H286*I286</f>
        <v>15028401.553623382</v>
      </c>
      <c r="H286" s="31">
        <v>1.0293114000000001</v>
      </c>
      <c r="I286" s="19">
        <f>SUMIFS([1]Master!$K$2:$K$10000,[1]Master!$A$2:$A$10000,$I$12,[1]Master!$F$2:$F$10000,"&lt;="&amp;$C286)</f>
        <v>14600442.1534857</v>
      </c>
      <c r="J286" s="19">
        <f t="shared" ref="J286:J288" si="742">((((1+1.85%)^(1/252))-1)*D285)+SUM(J285)</f>
        <v>23447.410802610113</v>
      </c>
      <c r="K286" s="19">
        <f>IF((NETWORKDAYS(DATE(YEAR(C286),MONTH(C286),1),C286,Feriados!$A$2:$A$842))&gt;=5,0,IF(NETWORKDAYS(DATE(YEAR(C286),MONTH(C286),1),C286,Feriados!$A$2:$A$842)=1,J285,K285))</f>
        <v>0</v>
      </c>
      <c r="L286" s="30">
        <v>-4731.07</v>
      </c>
      <c r="M286" s="19">
        <f>VLOOKUP(C286,'Fluxo de Caixa'!$B$13:$U$10027,20,FALSE)</f>
        <v>26803.672870188784</v>
      </c>
      <c r="N286" s="19">
        <f>SUMIFS([1]Master!$J$2:$J$100,[1]Master!$A$2:$A$100,"="&amp;$I$12,[1]Master!$E$2:$E$100,"="&amp;C286,[1]Master!$J$2:$J$100,"&gt;"&amp;0)</f>
        <v>0</v>
      </c>
      <c r="O286" s="19">
        <f ca="1">-SUMIF('[1]Fluxo de Movimentações'!$A$5:$F$10001,"="&amp;$C287,'[1]Fluxo de Movimentações'!$B$5:$B$10001)</f>
        <v>0</v>
      </c>
      <c r="P286" s="19">
        <f>-SUMIFS([1]Master!$J$1:$J$200,[1]Master!$A$1:$A$200,"="&amp;$I$12,[1]Master!$G$1:$G$200,"&gt;"&amp;C286,[1]Master!$E$1:$E$200,"&lt;="&amp;C286)</f>
        <v>0</v>
      </c>
      <c r="Q286" s="30">
        <v>976.31970000000001</v>
      </c>
      <c r="R286" s="32">
        <v>1.0045644</v>
      </c>
      <c r="S286" s="30">
        <v>0</v>
      </c>
      <c r="T286" s="30">
        <v>0</v>
      </c>
      <c r="U286" s="30">
        <v>0</v>
      </c>
      <c r="V286" s="30">
        <v>0</v>
      </c>
    </row>
    <row r="287" spans="3:22" x14ac:dyDescent="0.25">
      <c r="C287" s="4">
        <v>45231</v>
      </c>
      <c r="D287" s="30">
        <v>15355022.715500001</v>
      </c>
      <c r="E287" s="32">
        <v>1.0261013000000001</v>
      </c>
      <c r="F287" s="38">
        <f t="shared" ref="F287" si="743">D287/TRUNC(E287,6)</f>
        <v>14964435.972189873</v>
      </c>
      <c r="G287" s="19">
        <f t="shared" ref="G287" si="744">H287*I287</f>
        <v>15364005.856919188</v>
      </c>
      <c r="H287" s="31">
        <v>1.0522973</v>
      </c>
      <c r="I287" s="19">
        <f>SUMIFS([1]Master!$K$2:$K$10000,[1]Master!$A$2:$A$10000,$I$12,[1]Master!$F$2:$F$10000,"&lt;="&amp;$C287)</f>
        <v>14600442.1534857</v>
      </c>
      <c r="J287" s="19">
        <f>((((1+1.85%)^(1/252))-1)*D286)</f>
        <v>1093.2051584171527</v>
      </c>
      <c r="K287" s="19">
        <f>IF((NETWORKDAYS(DATE(YEAR(C287),MONTH(C287),1),C287,Feriados!$A$2:$A$842))&gt;=5,0,IF(NETWORKDAYS(DATE(YEAR(C287),MONTH(C287),1),C287,Feriados!$A$2:$A$842)=1,J286,K286))</f>
        <v>23447.410802610113</v>
      </c>
      <c r="L287" s="30">
        <v>-12154.5</v>
      </c>
      <c r="M287" s="19">
        <f>VLOOKUP(C287,'Fluxo de Caixa'!$B$13:$U$10027,20,FALSE)</f>
        <v>26803.672870188784</v>
      </c>
      <c r="N287" s="19">
        <f>SUMIFS([1]Master!$J$2:$J$100,[1]Master!$A$2:$A$100,"="&amp;$I$12,[1]Master!$E$2:$E$100,"="&amp;C287,[1]Master!$J$2:$J$100,"&gt;"&amp;0)</f>
        <v>0</v>
      </c>
      <c r="O287" s="19">
        <f ca="1">-SUMIF('[1]Fluxo de Movimentações'!$A$5:$F$10001,"="&amp;$C288,'[1]Fluxo de Movimentações'!$B$5:$B$10001)</f>
        <v>0</v>
      </c>
      <c r="P287" s="19">
        <f>-SUMIFS([1]Master!$J$1:$J$200,[1]Master!$A$1:$A$200,"="&amp;$I$12,[1]Master!$G$1:$G$200,"&gt;"&amp;C287,[1]Master!$E$1:$E$200,"&lt;="&amp;C287)</f>
        <v>0</v>
      </c>
      <c r="Q287" s="30">
        <v>907.90549999999996</v>
      </c>
      <c r="R287" s="32">
        <v>1.0269136000000001</v>
      </c>
      <c r="S287" s="30">
        <v>0</v>
      </c>
      <c r="T287" s="30">
        <v>0</v>
      </c>
      <c r="U287" s="30">
        <v>0</v>
      </c>
      <c r="V287" s="30">
        <v>0</v>
      </c>
    </row>
    <row r="288" spans="3:22" x14ac:dyDescent="0.25">
      <c r="C288" s="4">
        <v>45233</v>
      </c>
      <c r="D288" s="30">
        <v>15964533.1713</v>
      </c>
      <c r="E288" s="32">
        <v>1.0668318999999999</v>
      </c>
      <c r="F288" s="38">
        <f t="shared" ref="F288" si="745">D288/TRUNC(E288,6)</f>
        <v>14964444.388380164</v>
      </c>
      <c r="G288" s="19">
        <f t="shared" ref="G288" si="746">H288*I288</f>
        <v>15973527.932511738</v>
      </c>
      <c r="H288" s="31">
        <v>1.0957564</v>
      </c>
      <c r="I288" s="19">
        <f>SUMIFS([1]Master!$K$2:$K$10000,[1]Master!$A$2:$A$10000,$I$12,[1]Master!$F$2:$F$10000,"&lt;="&amp;$C288)</f>
        <v>14577626.863517966</v>
      </c>
      <c r="J288" s="19">
        <f t="shared" si="742"/>
        <v>2210.1991820332605</v>
      </c>
      <c r="K288" s="19">
        <f>IF((NETWORKDAYS(DATE(YEAR(C288),MONTH(C288),1),C288,Feriados!$A$2:$A$842))&gt;=5,0,IF(NETWORKDAYS(DATE(YEAR(C288),MONTH(C288),1),C288,Feriados!$A$2:$A$842)=1,J287,K287))</f>
        <v>23447.410802610113</v>
      </c>
      <c r="L288" s="30">
        <v>-35980.71</v>
      </c>
      <c r="M288" s="19">
        <f>VLOOKUP(C288,'Fluxo de Caixa'!$B$13:$U$10027,20,FALSE)</f>
        <v>26803.672870188784</v>
      </c>
      <c r="N288" s="19">
        <f>SUMIFS([1]Master!$J$2:$J$100,[1]Master!$A$2:$A$100,"="&amp;$I$12,[1]Master!$E$2:$E$100,"="&amp;C288,[1]Master!$J$2:$J$100,"&gt;"&amp;0)</f>
        <v>0</v>
      </c>
      <c r="O288" s="19">
        <f ca="1">-SUMIF('[1]Fluxo de Movimentações'!$A$5:$F$10001,"="&amp;$C289,'[1]Fluxo de Movimentações'!$B$5:$B$10001)</f>
        <v>0</v>
      </c>
      <c r="P288" s="19">
        <f>-SUMIFS([1]Master!$J$1:$J$200,[1]Master!$A$1:$A$200,"="&amp;$I$12,[1]Master!$G$1:$G$200,"&gt;"&amp;C288,[1]Master!$E$1:$E$200,"&lt;="&amp;C288)</f>
        <v>25000</v>
      </c>
      <c r="Q288" s="30">
        <v>839.49130000000002</v>
      </c>
      <c r="R288" s="32">
        <v>1.0692364000000001</v>
      </c>
      <c r="S288" s="30">
        <v>0</v>
      </c>
      <c r="T288" s="30">
        <v>0</v>
      </c>
      <c r="U288" s="30">
        <v>0</v>
      </c>
      <c r="V288" s="30">
        <v>0</v>
      </c>
    </row>
    <row r="289" spans="3:22" x14ac:dyDescent="0.25">
      <c r="C289" s="4">
        <v>45236</v>
      </c>
      <c r="D289" s="30">
        <v>15848989.2871</v>
      </c>
      <c r="E289" s="32">
        <v>1.0591107</v>
      </c>
      <c r="F289" s="38">
        <f t="shared" ref="F289" si="747">D289/TRUNC(E289,6)</f>
        <v>14964441.169566901</v>
      </c>
      <c r="G289" s="19">
        <f t="shared" ref="G289" si="748">H289*I289</f>
        <v>15852727.511981823</v>
      </c>
      <c r="H289" s="31">
        <v>1.0874697</v>
      </c>
      <c r="I289" s="19">
        <f>SUMIFS([1]Master!$K$2:$K$10000,[1]Master!$A$2:$A$10000,$I$12,[1]Master!$F$2:$F$10000,"&lt;="&amp;$C289)</f>
        <v>14577626.863517966</v>
      </c>
      <c r="J289" s="19">
        <f t="shared" ref="J289" si="749">((((1+1.85%)^(1/252))-1)*D288)+SUM(J288)</f>
        <v>3371.5317617736055</v>
      </c>
      <c r="K289" s="19">
        <f>IF((NETWORKDAYS(DATE(YEAR(C289),MONTH(C289),1),C289,Feriados!$A$2:$A$842))&gt;=5,0,IF(NETWORKDAYS(DATE(YEAR(C289),MONTH(C289),1),C289,Feriados!$A$2:$A$842)=1,J288,K288))</f>
        <v>23447.410802610113</v>
      </c>
      <c r="L289" s="30">
        <v>-29494.43</v>
      </c>
      <c r="M289" s="19">
        <f>VLOOKUP(C289,'Fluxo de Caixa'!$B$13:$U$10027,20,FALSE)</f>
        <v>26803.672870188784</v>
      </c>
      <c r="N289" s="19">
        <f>SUMIFS([1]Master!$J$2:$J$100,[1]Master!$A$2:$A$100,"="&amp;$I$12,[1]Master!$E$2:$E$100,"="&amp;C289,[1]Master!$J$2:$J$100,"&gt;"&amp;0)</f>
        <v>0</v>
      </c>
      <c r="O289" s="19">
        <f ca="1">-SUMIF('[1]Fluxo de Movimentações'!$A$5:$F$10001,"="&amp;$C290,'[1]Fluxo de Movimentações'!$B$5:$B$10001)</f>
        <v>0</v>
      </c>
      <c r="P289" s="19">
        <f>-SUMIFS([1]Master!$J$1:$J$200,[1]Master!$A$1:$A$200,"="&amp;$I$12,[1]Master!$G$1:$G$200,"&gt;"&amp;C289,[1]Master!$E$1:$E$200,"&lt;="&amp;C289)</f>
        <v>25000</v>
      </c>
      <c r="Q289" s="30">
        <v>771.07709999999997</v>
      </c>
      <c r="R289" s="32">
        <v>1.0610816999999999</v>
      </c>
      <c r="S289" s="30">
        <v>0</v>
      </c>
      <c r="T289" s="30">
        <v>0</v>
      </c>
      <c r="U289" s="30">
        <v>0</v>
      </c>
      <c r="V289" s="30">
        <v>0</v>
      </c>
    </row>
    <row r="290" spans="3:22" x14ac:dyDescent="0.25">
      <c r="C290" s="4">
        <v>45237</v>
      </c>
      <c r="D290" s="30">
        <v>16251971.6829</v>
      </c>
      <c r="E290" s="32">
        <v>1.0860401</v>
      </c>
      <c r="F290" s="38">
        <f t="shared" ref="F290" si="750">D290/TRUNC(E290,6)</f>
        <v>14964431.957294393</v>
      </c>
      <c r="G290" s="19">
        <f t="shared" ref="G290" si="751">H290*I290</f>
        <v>16279321.353465067</v>
      </c>
      <c r="H290" s="31">
        <v>1.1167332999999999</v>
      </c>
      <c r="I290" s="19">
        <f>SUMIFS([1]Master!$K$2:$K$10000,[1]Master!$A$2:$A$10000,$I$12,[1]Master!$F$2:$F$10000,"&lt;="&amp;$C290)</f>
        <v>14577626.863517966</v>
      </c>
      <c r="J290" s="19">
        <f t="shared" ref="J290" si="752">((((1+1.85%)^(1/252))-1)*D289)+SUM(J289)</f>
        <v>4524.4591551128578</v>
      </c>
      <c r="K290" s="19">
        <f>IF((NETWORKDAYS(DATE(YEAR(C290),MONTH(C290),1),C290,Feriados!$A$2:$A$842))&gt;=5,0,IF(NETWORKDAYS(DATE(YEAR(C290),MONTH(C290),1),C290,Feriados!$A$2:$A$842)=1,J289,K289))</f>
        <v>23447.410802610113</v>
      </c>
      <c r="L290" s="30">
        <v>-51884.54</v>
      </c>
      <c r="M290" s="19">
        <f>VLOOKUP(C290,'Fluxo de Caixa'!$B$13:$U$10027,20,FALSE)</f>
        <v>51803.672870188784</v>
      </c>
      <c r="N290" s="19">
        <f>SUMIFS([1]Master!$J$2:$J$100,[1]Master!$A$2:$A$100,"="&amp;$I$12,[1]Master!$E$2:$E$100,"="&amp;C290,[1]Master!$J$2:$J$100,"&gt;"&amp;0)</f>
        <v>0</v>
      </c>
      <c r="O290" s="19">
        <f ca="1">-SUMIF('[1]Fluxo de Movimentações'!$A$5:$F$10001,"="&amp;$C291,'[1]Fluxo de Movimentações'!$B$5:$B$10001)</f>
        <v>0</v>
      </c>
      <c r="P290" s="19">
        <f>-SUMIFS([1]Master!$J$1:$J$200,[1]Master!$A$1:$A$200,"="&amp;$I$12,[1]Master!$G$1:$G$200,"&gt;"&amp;C290,[1]Master!$E$1:$E$200,"&lt;="&amp;C290)</f>
        <v>0</v>
      </c>
      <c r="Q290" s="30">
        <v>702.66290000000004</v>
      </c>
      <c r="R290" s="32">
        <v>1.0895071999999999</v>
      </c>
      <c r="S290" s="30">
        <v>0</v>
      </c>
      <c r="T290" s="30">
        <v>0</v>
      </c>
      <c r="U290" s="30">
        <v>0</v>
      </c>
      <c r="V290" s="30">
        <v>0</v>
      </c>
    </row>
    <row r="291" spans="3:22" x14ac:dyDescent="0.25">
      <c r="C291" s="4">
        <v>45238</v>
      </c>
      <c r="D291" s="30">
        <v>16327080.808700001</v>
      </c>
      <c r="E291" s="32">
        <v>1.0910591999999999</v>
      </c>
      <c r="F291" s="38">
        <f t="shared" ref="F291" si="753">D291/TRUNC(E291,6)</f>
        <v>14964434.378617473</v>
      </c>
      <c r="G291" s="19">
        <f t="shared" ref="G291" si="754">H291*I291</f>
        <v>16360415.233944133</v>
      </c>
      <c r="H291" s="31">
        <v>1.1222962000000001</v>
      </c>
      <c r="I291" s="19">
        <f>SUMIFS([1]Master!$K$2:$K$10000,[1]Master!$A$2:$A$10000,$I$12,[1]Master!$F$2:$F$10000,"&lt;="&amp;$C291)</f>
        <v>14577626.863517966</v>
      </c>
      <c r="J291" s="19">
        <f t="shared" ref="J291" si="755">((((1+1.85%)^(1/252))-1)*D290)+SUM(J290)</f>
        <v>5706.7013163994552</v>
      </c>
      <c r="K291" s="19">
        <f>IF((NETWORKDAYS(DATE(YEAR(C291),MONTH(C291),1),C291,Feriados!$A$2:$A$842))&gt;=5,0,IF(NETWORKDAYS(DATE(YEAR(C291),MONTH(C291),1),C291,Feriados!$A$2:$A$842)=1,J290,K290))</f>
        <v>0</v>
      </c>
      <c r="L291" s="30">
        <v>-56618.64</v>
      </c>
      <c r="M291" s="19">
        <f>VLOOKUP(C291,'Fluxo de Caixa'!$B$13:$U$10027,20,FALSE)</f>
        <v>28356.262067578671</v>
      </c>
      <c r="N291" s="19">
        <f>SUMIFS([1]Master!$J$2:$J$100,[1]Master!$A$2:$A$100,"="&amp;$I$12,[1]Master!$E$2:$E$100,"="&amp;C291,[1]Master!$J$2:$J$100,"&gt;"&amp;0)</f>
        <v>0</v>
      </c>
      <c r="O291" s="19">
        <f ca="1">-SUMIF('[1]Fluxo de Movimentações'!$A$5:$F$10001,"="&amp;$C292,'[1]Fluxo de Movimentações'!$B$5:$B$10001)</f>
        <v>0</v>
      </c>
      <c r="P291" s="19">
        <f>-SUMIFS([1]Master!$J$1:$J$200,[1]Master!$A$1:$A$200,"="&amp;$I$12,[1]Master!$G$1:$G$200,"&gt;"&amp;C291,[1]Master!$E$1:$E$200,"&lt;="&amp;C291)</f>
        <v>0</v>
      </c>
      <c r="Q291" s="30">
        <v>634.24869999999999</v>
      </c>
      <c r="R291" s="32">
        <v>1.0948427999999999</v>
      </c>
      <c r="S291" s="30">
        <v>0</v>
      </c>
      <c r="T291" s="30">
        <v>0</v>
      </c>
      <c r="U291" s="30">
        <v>0</v>
      </c>
      <c r="V291" s="30">
        <v>0</v>
      </c>
    </row>
    <row r="292" spans="3:22" x14ac:dyDescent="0.25">
      <c r="C292" s="4">
        <v>45239</v>
      </c>
      <c r="D292" s="30">
        <v>16250769.134500001</v>
      </c>
      <c r="E292" s="32">
        <v>1.0859597000000001</v>
      </c>
      <c r="F292" s="38">
        <f t="shared" ref="F292" si="756">D292/TRUNC(E292,6)</f>
        <v>14964440.770323744</v>
      </c>
      <c r="G292" s="19">
        <f t="shared" ref="G292" si="757">H292*I292</f>
        <v>16279800.957388878</v>
      </c>
      <c r="H292" s="31">
        <v>1.1167662</v>
      </c>
      <c r="I292" s="19">
        <f>SUMIFS([1]Master!$K$2:$K$10000,[1]Master!$A$2:$A$10000,$I$12,[1]Master!$F$2:$F$10000,"&lt;="&amp;$C292)</f>
        <v>14577626.863517966</v>
      </c>
      <c r="J292" s="19">
        <f t="shared" ref="J292" si="758">((((1+1.85%)^(1/252))-1)*D291)+SUM(J291)</f>
        <v>6894.4072562940091</v>
      </c>
      <c r="K292" s="19">
        <f>IF((NETWORKDAYS(DATE(YEAR(C292),MONTH(C292),1),C292,Feriados!$A$2:$A$842))&gt;=5,0,IF(NETWORKDAYS(DATE(YEAR(C292),MONTH(C292),1),C292,Feriados!$A$2:$A$842)=1,J291,K291))</f>
        <v>0</v>
      </c>
      <c r="L292" s="30">
        <v>-51059.93</v>
      </c>
      <c r="M292" s="19">
        <f>VLOOKUP(C292,'Fluxo de Caixa'!$B$13:$U$10027,20,FALSE)</f>
        <v>28356.262067578671</v>
      </c>
      <c r="N292" s="19">
        <f>SUMIFS([1]Master!$J$2:$J$100,[1]Master!$A$2:$A$100,"="&amp;$I$12,[1]Master!$E$2:$E$100,"="&amp;C292,[1]Master!$J$2:$J$100,"&gt;"&amp;0)</f>
        <v>0</v>
      </c>
      <c r="O292" s="19">
        <f ca="1">-SUMIF('[1]Fluxo de Movimentações'!$A$5:$F$10001,"="&amp;$C293,'[1]Fluxo de Movimentações'!$B$5:$B$10001)</f>
        <v>0</v>
      </c>
      <c r="P292" s="19">
        <f>-SUMIFS([1]Master!$J$1:$J$200,[1]Master!$A$1:$A$200,"="&amp;$I$12,[1]Master!$G$1:$G$200,"&gt;"&amp;C292,[1]Master!$E$1:$E$200,"&lt;="&amp;C292)</f>
        <v>0</v>
      </c>
      <c r="Q292" s="30">
        <v>565.83450000000005</v>
      </c>
      <c r="R292" s="32">
        <v>1.0893717999999999</v>
      </c>
      <c r="S292" s="30">
        <v>0</v>
      </c>
      <c r="T292" s="30">
        <v>0</v>
      </c>
      <c r="U292" s="30">
        <v>0</v>
      </c>
      <c r="V292" s="30">
        <v>0</v>
      </c>
    </row>
    <row r="293" spans="3:22" x14ac:dyDescent="0.25">
      <c r="C293" s="4">
        <v>45240</v>
      </c>
      <c r="D293" s="30">
        <v>16320878.680299999</v>
      </c>
      <c r="E293" s="32">
        <v>1.0906448</v>
      </c>
      <c r="F293" s="38">
        <f t="shared" ref="F293" si="759">D293/TRUNC(E293,6)</f>
        <v>14964441.816303028</v>
      </c>
      <c r="G293" s="19">
        <f t="shared" ref="G293" si="760">H293*I293</f>
        <v>16355824.739244811</v>
      </c>
      <c r="H293" s="31">
        <v>1.1219813000000001</v>
      </c>
      <c r="I293" s="19">
        <f>SUMIFS([1]Master!$K$2:$K$10000,[1]Master!$A$2:$A$10000,$I$12,[1]Master!$F$2:$F$10000,"&lt;="&amp;$C293)</f>
        <v>14577626.863517966</v>
      </c>
      <c r="J293" s="19">
        <f t="shared" ref="J293" si="761">((((1+1.85%)^(1/252))-1)*D292)+SUM(J292)</f>
        <v>8076.5619387535935</v>
      </c>
      <c r="K293" s="19">
        <f>IF((NETWORKDAYS(DATE(YEAR(C293),MONTH(C293),1),C293,Feriados!$A$2:$A$842))&gt;=5,0,IF(NETWORKDAYS(DATE(YEAR(C293),MONTH(C293),1),C293,Feriados!$A$2:$A$842)=1,J292,K292))</f>
        <v>0</v>
      </c>
      <c r="L293" s="30">
        <v>-55723.6</v>
      </c>
      <c r="M293" s="19">
        <f>VLOOKUP(C293,'Fluxo de Caixa'!$B$13:$U$10027,20,FALSE)</f>
        <v>28356.262067578671</v>
      </c>
      <c r="N293" s="19">
        <f>SUMIFS([1]Master!$J$2:$J$100,[1]Master!$A$2:$A$100,"="&amp;$I$12,[1]Master!$E$2:$E$100,"="&amp;C293,[1]Master!$J$2:$J$100,"&gt;"&amp;0)</f>
        <v>0</v>
      </c>
      <c r="O293" s="19">
        <f ca="1">-SUMIF('[1]Fluxo de Movimentações'!$A$5:$F$10001,"="&amp;$C294,'[1]Fluxo de Movimentações'!$B$5:$B$10001)</f>
        <v>0</v>
      </c>
      <c r="P293" s="19">
        <f>-SUMIFS([1]Master!$J$1:$J$200,[1]Master!$A$1:$A$200,"="&amp;$I$12,[1]Master!$G$1:$G$200,"&gt;"&amp;C293,[1]Master!$E$1:$E$200,"&lt;="&amp;C293)</f>
        <v>0</v>
      </c>
      <c r="Q293" s="30">
        <v>497.4203</v>
      </c>
      <c r="R293" s="32">
        <v>1.0943685000000001</v>
      </c>
      <c r="S293" s="30">
        <v>0</v>
      </c>
      <c r="T293" s="30">
        <v>0</v>
      </c>
      <c r="U293" s="30">
        <v>0</v>
      </c>
      <c r="V293" s="30">
        <v>0</v>
      </c>
    </row>
    <row r="294" spans="3:22" x14ac:dyDescent="0.25">
      <c r="C294" s="4">
        <v>45243</v>
      </c>
      <c r="D294" s="30">
        <v>16225009.4561</v>
      </c>
      <c r="E294" s="32">
        <v>1.0842383</v>
      </c>
      <c r="F294" s="38">
        <f t="shared" ref="F294" si="762">D294/TRUNC(E294,6)</f>
        <v>14964435.35100227</v>
      </c>
      <c r="G294" s="19">
        <f t="shared" ref="G294" si="763">H294*I294</f>
        <v>16254336.758783685</v>
      </c>
      <c r="H294" s="31">
        <v>1.1150194</v>
      </c>
      <c r="I294" s="19">
        <f>SUMIFS([1]Master!$K$2:$K$10000,[1]Master!$A$2:$A$10000,$I$12,[1]Master!$F$2:$F$10000,"&lt;="&amp;$C294)</f>
        <v>14577626.863517966</v>
      </c>
      <c r="J294" s="19">
        <f t="shared" ref="J294" si="764">((((1+1.85%)^(1/252))-1)*D293)+SUM(J293)</f>
        <v>9263.8167076870322</v>
      </c>
      <c r="K294" s="19">
        <f>IF((NETWORKDAYS(DATE(YEAR(C294),MONTH(C294),1),C294,Feriados!$A$2:$A$842))&gt;=5,0,IF(NETWORKDAYS(DATE(YEAR(C294),MONTH(C294),1),C294,Feriados!$A$2:$A$842)=1,J293,K293))</f>
        <v>0</v>
      </c>
      <c r="L294" s="30">
        <v>-48849.18</v>
      </c>
      <c r="M294" s="19">
        <f>VLOOKUP(C294,'Fluxo de Caixa'!$B$13:$U$10027,20,FALSE)</f>
        <v>28356.262067578671</v>
      </c>
      <c r="N294" s="19">
        <f>SUMIFS([1]Master!$J$2:$J$100,[1]Master!$A$2:$A$100,"="&amp;$I$12,[1]Master!$E$2:$E$100,"="&amp;C294,[1]Master!$J$2:$J$100,"&gt;"&amp;0)</f>
        <v>0</v>
      </c>
      <c r="O294" s="19">
        <f ca="1">-SUMIF('[1]Fluxo de Movimentações'!$A$5:$F$10001,"="&amp;$C295,'[1]Fluxo de Movimentações'!$B$5:$B$10001)</f>
        <v>0</v>
      </c>
      <c r="P294" s="19">
        <f>-SUMIFS([1]Master!$J$1:$J$200,[1]Master!$A$1:$A$200,"="&amp;$I$12,[1]Master!$G$1:$G$200,"&gt;"&amp;C294,[1]Master!$E$1:$E$200,"&lt;="&amp;C294)</f>
        <v>0</v>
      </c>
      <c r="Q294" s="30">
        <v>429.0061</v>
      </c>
      <c r="R294" s="32">
        <v>1.0875026999999999</v>
      </c>
      <c r="S294" s="30">
        <v>0</v>
      </c>
      <c r="T294" s="30">
        <v>0</v>
      </c>
      <c r="U294" s="30">
        <v>0</v>
      </c>
      <c r="V294" s="30">
        <v>0</v>
      </c>
    </row>
    <row r="295" spans="3:22" x14ac:dyDescent="0.25">
      <c r="C295" s="4">
        <v>45244</v>
      </c>
      <c r="D295" s="30">
        <v>16585789.5319</v>
      </c>
      <c r="E295" s="32">
        <v>1.1083475</v>
      </c>
      <c r="F295" s="38">
        <f t="shared" ref="F295" si="765">D295/TRUNC(E295,6)</f>
        <v>14964437.610152777</v>
      </c>
      <c r="G295" s="19">
        <f t="shared" ref="G295" si="766">H295*I295</f>
        <v>16640531.62294006</v>
      </c>
      <c r="H295" s="31">
        <v>1.1415116999999999</v>
      </c>
      <c r="I295" s="19">
        <f>SUMIFS([1]Master!$K$2:$K$10000,[1]Master!$A$2:$A$10000,$I$12,[1]Master!$F$2:$F$10000,"&lt;="&amp;$C295)</f>
        <v>14577626.863517966</v>
      </c>
      <c r="J295" s="19">
        <f t="shared" ref="J295" si="767">((((1+1.85%)^(1/252))-1)*D294)+SUM(J294)</f>
        <v>10444.097514258825</v>
      </c>
      <c r="K295" s="19">
        <f>IF((NETWORKDAYS(DATE(YEAR(C295),MONTH(C295),1),C295,Feriados!$A$2:$A$842))&gt;=5,0,IF(NETWORKDAYS(DATE(YEAR(C295),MONTH(C295),1),C295,Feriados!$A$2:$A$842)=1,J294,K294))</f>
        <v>0</v>
      </c>
      <c r="L295" s="30">
        <v>-73015.27</v>
      </c>
      <c r="M295" s="19">
        <f>VLOOKUP(C295,'Fluxo de Caixa'!$B$13:$U$10027,20,FALSE)</f>
        <v>28356.262067578671</v>
      </c>
      <c r="N295" s="19">
        <f>SUMIFS([1]Master!$J$2:$J$100,[1]Master!$A$2:$A$100,"="&amp;$I$12,[1]Master!$E$2:$E$100,"="&amp;C295,[1]Master!$J$2:$J$100,"&gt;"&amp;0)</f>
        <v>0</v>
      </c>
      <c r="O295" s="19">
        <f ca="1">-SUMIF('[1]Fluxo de Movimentações'!$A$5:$F$10001,"="&amp;$C296,'[1]Fluxo de Movimentações'!$B$5:$B$10001)</f>
        <v>0</v>
      </c>
      <c r="P295" s="19">
        <f>-SUMIFS([1]Master!$J$1:$J$200,[1]Master!$A$1:$A$200,"="&amp;$I$12,[1]Master!$G$1:$G$200,"&gt;"&amp;C295,[1]Master!$E$1:$E$200,"&lt;="&amp;C295)</f>
        <v>0</v>
      </c>
      <c r="Q295" s="30">
        <v>360.59190000000001</v>
      </c>
      <c r="R295" s="32">
        <v>1.1132267</v>
      </c>
      <c r="S295" s="30">
        <v>0</v>
      </c>
      <c r="T295" s="30">
        <v>0</v>
      </c>
      <c r="U295" s="30">
        <v>0</v>
      </c>
      <c r="V295" s="30">
        <v>0</v>
      </c>
    </row>
    <row r="296" spans="3:22" x14ac:dyDescent="0.25">
      <c r="C296" s="4">
        <v>45246</v>
      </c>
      <c r="D296" s="30">
        <v>16894777.379700001</v>
      </c>
      <c r="E296" s="32">
        <v>1.1289956000000001</v>
      </c>
      <c r="F296" s="38">
        <f t="shared" ref="F296" si="768">D296/TRUNC(E296,6)</f>
        <v>14964439.505666547</v>
      </c>
      <c r="G296" s="19">
        <f t="shared" ref="G296" si="769">H296*I296</f>
        <v>16984492.186547454</v>
      </c>
      <c r="H296" s="31">
        <v>1.1651068</v>
      </c>
      <c r="I296" s="19">
        <f>SUMIFS([1]Master!$K$2:$K$10000,[1]Master!$A$2:$A$10000,$I$12,[1]Master!$F$2:$F$10000,"&lt;="&amp;$C296)</f>
        <v>14577626.863517966</v>
      </c>
      <c r="J296" s="19">
        <f t="shared" ref="J296" si="770">((((1+1.85%)^(1/252))-1)*D295)+SUM(J295)</f>
        <v>11650.623100533976</v>
      </c>
      <c r="K296" s="19">
        <f>IF((NETWORKDAYS(DATE(YEAR(C296),MONTH(C296),1),C296,Feriados!$A$2:$A$842))&gt;=5,0,IF(NETWORKDAYS(DATE(YEAR(C296),MONTH(C296),1),C296,Feriados!$A$2:$A$842)=1,J295,K295))</f>
        <v>0</v>
      </c>
      <c r="L296" s="30">
        <v>-106713.06</v>
      </c>
      <c r="M296" s="19">
        <f>VLOOKUP(C296,'Fluxo de Caixa'!$B$13:$U$10027,20,FALSE)</f>
        <v>27769.082067578671</v>
      </c>
      <c r="N296" s="19">
        <f>SUMIFS([1]Master!$J$2:$J$100,[1]Master!$A$2:$A$100,"="&amp;$I$12,[1]Master!$E$2:$E$100,"="&amp;C296,[1]Master!$J$2:$J$100,"&gt;"&amp;0)</f>
        <v>0</v>
      </c>
      <c r="O296" s="19">
        <f ca="1">-SUMIF('[1]Fluxo de Movimentações'!$A$5:$F$10001,"="&amp;$C297,'[1]Fluxo de Movimentações'!$B$5:$B$10001)</f>
        <v>0</v>
      </c>
      <c r="P296" s="19">
        <f>-SUMIFS([1]Master!$J$1:$J$200,[1]Master!$A$1:$A$200,"="&amp;$I$12,[1]Master!$G$1:$G$200,"&gt;"&amp;C296,[1]Master!$E$1:$E$200,"&lt;="&amp;C296)</f>
        <v>0</v>
      </c>
      <c r="Q296" s="30">
        <v>879.35969999999998</v>
      </c>
      <c r="R296" s="32">
        <v>1.1361266999999999</v>
      </c>
      <c r="S296" s="30">
        <v>0</v>
      </c>
      <c r="T296" s="30">
        <v>0</v>
      </c>
      <c r="U296" s="30">
        <v>0</v>
      </c>
      <c r="V296" s="30">
        <v>0</v>
      </c>
    </row>
    <row r="297" spans="3:22" x14ac:dyDescent="0.25">
      <c r="C297" s="4">
        <v>45247</v>
      </c>
      <c r="D297" s="30">
        <v>16701753.535499999</v>
      </c>
      <c r="E297" s="32">
        <v>1.1160968</v>
      </c>
      <c r="F297" s="38">
        <f t="shared" ref="F297" si="771">D297/TRUNC(E297,6)</f>
        <v>14964441.710659297</v>
      </c>
      <c r="G297" s="19">
        <f t="shared" ref="G297" si="772">H297*I297</f>
        <v>16766219.921757314</v>
      </c>
      <c r="H297" s="31">
        <v>1.1501337</v>
      </c>
      <c r="I297" s="19">
        <f>SUMIFS([1]Master!$K$2:$K$10000,[1]Master!$A$2:$A$10000,$I$12,[1]Master!$F$2:$F$10000,"&lt;="&amp;$C297)</f>
        <v>14577626.863517966</v>
      </c>
      <c r="J297" s="19">
        <f t="shared" ref="J297" si="773">((((1+1.85%)^(1/252))-1)*D296)+SUM(J296)</f>
        <v>12879.6258648477</v>
      </c>
      <c r="K297" s="19">
        <f>IF((NETWORKDAYS(DATE(YEAR(C297),MONTH(C297),1),C297,Feriados!$A$2:$A$842))&gt;=5,0,IF(NETWORKDAYS(DATE(YEAR(C297),MONTH(C297),1),C297,Feriados!$A$2:$A$842)=1,J296,K296))</f>
        <v>0</v>
      </c>
      <c r="L297" s="30">
        <v>-80167.22</v>
      </c>
      <c r="M297" s="19">
        <f>VLOOKUP(C297,'Fluxo de Caixa'!$B$13:$U$10027,20,FALSE)</f>
        <v>27769.082067578671</v>
      </c>
      <c r="N297" s="19">
        <f>SUMIFS([1]Master!$J$2:$J$100,[1]Master!$A$2:$A$100,"="&amp;$I$12,[1]Master!$E$2:$E$100,"="&amp;C297,[1]Master!$J$2:$J$100,"&gt;"&amp;0)</f>
        <v>0</v>
      </c>
      <c r="O297" s="19">
        <f ca="1">-SUMIF('[1]Fluxo de Movimentações'!$A$5:$F$10001,"="&amp;$C298,'[1]Fluxo de Movimentações'!$B$5:$B$10001)</f>
        <v>0</v>
      </c>
      <c r="P297" s="19">
        <f>-SUMIFS([1]Master!$J$1:$J$200,[1]Master!$A$1:$A$200,"="&amp;$I$12,[1]Master!$G$1:$G$200,"&gt;"&amp;C297,[1]Master!$E$1:$E$200,"&lt;="&amp;C297)</f>
        <v>0</v>
      </c>
      <c r="Q297" s="30">
        <v>810.94550000000004</v>
      </c>
      <c r="R297" s="32">
        <v>1.121454</v>
      </c>
      <c r="S297" s="30">
        <v>0</v>
      </c>
      <c r="T297" s="30">
        <v>0</v>
      </c>
      <c r="U297" s="30">
        <v>0</v>
      </c>
      <c r="V297" s="30">
        <v>0</v>
      </c>
    </row>
    <row r="298" spans="3:22" x14ac:dyDescent="0.25">
      <c r="C298" s="4">
        <v>45250</v>
      </c>
      <c r="D298" s="30">
        <v>16726462.601299999</v>
      </c>
      <c r="E298" s="32">
        <v>1.117748</v>
      </c>
      <c r="F298" s="38">
        <f t="shared" ref="F298" si="774">D298/TRUNC(E298,6)</f>
        <v>14964430.803096941</v>
      </c>
      <c r="G298" s="19">
        <f t="shared" ref="G298" si="775">H298*I298</f>
        <v>16793720.614835341</v>
      </c>
      <c r="H298" s="31">
        <v>1.1520201999999999</v>
      </c>
      <c r="I298" s="19">
        <f>SUMIFS([1]Master!$K$2:$K$10000,[1]Master!$A$2:$A$10000,$I$12,[1]Master!$F$2:$F$10000,"&lt;="&amp;$C298)</f>
        <v>14577626.863517966</v>
      </c>
      <c r="J298" s="19">
        <f t="shared" ref="J298" si="776">((((1+1.85%)^(1/252))-1)*D297)+SUM(J297)</f>
        <v>14094.587198915333</v>
      </c>
      <c r="K298" s="19">
        <f>IF((NETWORKDAYS(DATE(YEAR(C298),MONTH(C298),1),C298,Feriados!$A$2:$A$842))&gt;=5,0,IF(NETWORKDAYS(DATE(YEAR(C298),MONTH(C298),1),C298,Feriados!$A$2:$A$842)=1,J297,K297))</f>
        <v>0</v>
      </c>
      <c r="L298" s="30">
        <v>-81675.47</v>
      </c>
      <c r="M298" s="19">
        <f>VLOOKUP(C298,'Fluxo de Caixa'!$B$13:$U$10027,20,FALSE)</f>
        <v>27769.082067578671</v>
      </c>
      <c r="N298" s="19">
        <f>SUMIFS([1]Master!$J$2:$J$100,[1]Master!$A$2:$A$100,"="&amp;$I$12,[1]Master!$E$2:$E$100,"="&amp;C298,[1]Master!$J$2:$J$100,"&gt;"&amp;0)</f>
        <v>0</v>
      </c>
      <c r="O298" s="19">
        <f ca="1">-SUMIF('[1]Fluxo de Movimentações'!$A$5:$F$10001,"="&amp;$C299,'[1]Fluxo de Movimentações'!$B$5:$B$10001)</f>
        <v>0</v>
      </c>
      <c r="P298" s="19">
        <f>-SUMIFS([1]Master!$J$1:$J$200,[1]Master!$A$1:$A$200,"="&amp;$I$12,[1]Master!$G$1:$G$200,"&gt;"&amp;C298,[1]Master!$E$1:$E$200,"&lt;="&amp;C298)</f>
        <v>0</v>
      </c>
      <c r="Q298" s="30">
        <v>742.53129999999999</v>
      </c>
      <c r="R298" s="32">
        <v>1.1232059000000001</v>
      </c>
      <c r="S298" s="30">
        <v>0</v>
      </c>
      <c r="T298" s="30">
        <v>0</v>
      </c>
      <c r="U298" s="30">
        <v>0</v>
      </c>
      <c r="V298" s="30">
        <v>0</v>
      </c>
    </row>
    <row r="299" spans="3:22" x14ac:dyDescent="0.25">
      <c r="C299" s="4">
        <v>45251</v>
      </c>
      <c r="D299" s="30">
        <v>16551157.347100001</v>
      </c>
      <c r="E299" s="32">
        <v>1.1060331999999999</v>
      </c>
      <c r="F299" s="38">
        <f t="shared" ref="F299" si="777">D299/TRUNC(E299,6)</f>
        <v>14964433.563103452</v>
      </c>
      <c r="G299" s="19">
        <f t="shared" ref="G299" si="778">H299*I299</f>
        <v>16607198.421353942</v>
      </c>
      <c r="H299" s="31">
        <v>1.1392251</v>
      </c>
      <c r="I299" s="19">
        <f>SUMIFS([1]Master!$K$2:$K$10000,[1]Master!$A$2:$A$10000,$I$12,[1]Master!$F$2:$F$10000,"&lt;="&amp;$C299)</f>
        <v>14577626.863517966</v>
      </c>
      <c r="J299" s="19">
        <f t="shared" ref="J299" si="779">((((1+1.85%)^(1/252))-1)*D298)+SUM(J298)</f>
        <v>15311.345982543226</v>
      </c>
      <c r="K299" s="19">
        <f>IF((NETWORKDAYS(DATE(YEAR(C299),MONTH(C299),1),C299,Feriados!$A$2:$A$842))&gt;=5,0,IF(NETWORKDAYS(DATE(YEAR(C299),MONTH(C299),1),C299,Feriados!$A$2:$A$842)=1,J298,K298))</f>
        <v>0</v>
      </c>
      <c r="L299" s="30">
        <v>-69173.37</v>
      </c>
      <c r="M299" s="19">
        <f>VLOOKUP(C299,'Fluxo de Caixa'!$B$13:$U$10027,20,FALSE)</f>
        <v>27769.082067578671</v>
      </c>
      <c r="N299" s="19">
        <f>SUMIFS([1]Master!$J$2:$J$100,[1]Master!$A$2:$A$100,"="&amp;$I$12,[1]Master!$E$2:$E$100,"="&amp;C299,[1]Master!$J$2:$J$100,"&gt;"&amp;0)</f>
        <v>0</v>
      </c>
      <c r="O299" s="19">
        <f ca="1">-SUMIF('[1]Fluxo de Movimentações'!$A$5:$F$10001,"="&amp;$C300,'[1]Fluxo de Movimentações'!$B$5:$B$10001)</f>
        <v>0</v>
      </c>
      <c r="P299" s="19">
        <f>-SUMIFS([1]Master!$J$1:$J$200,[1]Master!$A$1:$A$200,"="&amp;$I$12,[1]Master!$G$1:$G$200,"&gt;"&amp;C299,[1]Master!$E$1:$E$200,"&lt;="&amp;C299)</f>
        <v>0</v>
      </c>
      <c r="Q299" s="30">
        <v>674.11710000000005</v>
      </c>
      <c r="R299" s="32">
        <v>1.1106556999999999</v>
      </c>
      <c r="S299" s="30">
        <v>0</v>
      </c>
      <c r="T299" s="30">
        <v>0</v>
      </c>
      <c r="U299" s="30">
        <v>0</v>
      </c>
      <c r="V299" s="30">
        <v>0</v>
      </c>
    </row>
    <row r="300" spans="3:22" x14ac:dyDescent="0.25">
      <c r="C300" s="4">
        <v>45252</v>
      </c>
      <c r="D300" s="30">
        <v>16680494.342900001</v>
      </c>
      <c r="E300" s="32">
        <v>1.1146761000000001</v>
      </c>
      <c r="F300" s="38">
        <f t="shared" ref="F300" si="780">D300/TRUNC(E300,6)</f>
        <v>14964433.021703169</v>
      </c>
      <c r="G300" s="19">
        <f t="shared" ref="G300" si="781">H300*I300</f>
        <v>16746219.417700568</v>
      </c>
      <c r="H300" s="31">
        <v>1.1487617000000001</v>
      </c>
      <c r="I300" s="19">
        <f>SUMIFS([1]Master!$K$2:$K$10000,[1]Master!$A$2:$A$10000,$I$12,[1]Master!$F$2:$F$10000,"&lt;="&amp;$C300)</f>
        <v>14577626.863517966</v>
      </c>
      <c r="J300" s="19">
        <f t="shared" ref="J300" si="782">((((1+1.85%)^(1/252))-1)*D299)+SUM(J299)</f>
        <v>16515.352266557278</v>
      </c>
      <c r="K300" s="19">
        <f>IF((NETWORKDAYS(DATE(YEAR(C300),MONTH(C300),1),C300,Feriados!$A$2:$A$842))&gt;=5,0,IF(NETWORKDAYS(DATE(YEAR(C300),MONTH(C300),1),C300,Feriados!$A$2:$A$842)=1,J299,K299))</f>
        <v>0</v>
      </c>
      <c r="L300" s="30">
        <v>-77584.960000000006</v>
      </c>
      <c r="M300" s="19">
        <f>VLOOKUP(C300,'Fluxo de Caixa'!$B$13:$U$10027,20,FALSE)</f>
        <v>27769.082067578671</v>
      </c>
      <c r="N300" s="19">
        <f>SUMIFS([1]Master!$J$2:$J$100,[1]Master!$A$2:$A$100,"="&amp;$I$12,[1]Master!$E$2:$E$100,"="&amp;C300,[1]Master!$J$2:$J$100,"&gt;"&amp;0)</f>
        <v>0</v>
      </c>
      <c r="O300" s="19">
        <f ca="1">-SUMIF('[1]Fluxo de Movimentações'!$A$5:$F$10001,"="&amp;$C301,'[1]Fluxo de Movimentações'!$B$5:$B$10001)</f>
        <v>0</v>
      </c>
      <c r="P300" s="19">
        <f>-SUMIFS([1]Master!$J$1:$J$200,[1]Master!$A$1:$A$200,"="&amp;$I$12,[1]Master!$G$1:$G$200,"&gt;"&amp;C300,[1]Master!$E$1:$E$200,"&lt;="&amp;C300)</f>
        <v>0</v>
      </c>
      <c r="Q300" s="30">
        <v>605.7029</v>
      </c>
      <c r="R300" s="32">
        <v>1.1198608000000001</v>
      </c>
      <c r="S300" s="30">
        <v>0</v>
      </c>
      <c r="T300" s="30">
        <v>0</v>
      </c>
      <c r="U300" s="30">
        <v>0</v>
      </c>
      <c r="V300" s="30">
        <v>0</v>
      </c>
    </row>
    <row r="301" spans="3:22" x14ac:dyDescent="0.25">
      <c r="C301" s="4">
        <v>45253</v>
      </c>
      <c r="D301" s="30">
        <v>16824569.818700001</v>
      </c>
      <c r="E301" s="32">
        <v>1.124304</v>
      </c>
      <c r="F301" s="38">
        <f t="shared" ref="F301" si="783">D301/TRUNC(E301,6)</f>
        <v>14964431.166926384</v>
      </c>
      <c r="G301" s="19">
        <f t="shared" ref="G301" si="784">H301*I301</f>
        <v>16906901.309803694</v>
      </c>
      <c r="H301" s="31">
        <v>1.1597842</v>
      </c>
      <c r="I301" s="19">
        <f>SUMIFS([1]Master!$K$2:$K$10000,[1]Master!$A$2:$A$10000,$I$12,[1]Master!$F$2:$F$10000,"&lt;="&amp;$C301)</f>
        <v>14577626.863517966</v>
      </c>
      <c r="J301" s="19">
        <f t="shared" ref="J301" si="785">((((1+1.85%)^(1/252))-1)*D300)+SUM(J300)</f>
        <v>17728.767110494544</v>
      </c>
      <c r="K301" s="19">
        <f>IF((NETWORKDAYS(DATE(YEAR(C301),MONTH(C301),1),C301,Feriados!$A$2:$A$842))&gt;=5,0,IF(NETWORKDAYS(DATE(YEAR(C301),MONTH(C301),1),C301,Feriados!$A$2:$A$842)=1,J300,K300))</f>
        <v>0</v>
      </c>
      <c r="L301" s="30">
        <v>-92909.578217643095</v>
      </c>
      <c r="M301" s="19">
        <f>VLOOKUP(C301,'Fluxo de Caixa'!$B$13:$U$10027,20,FALSE)</f>
        <v>27769.082067578671</v>
      </c>
      <c r="N301" s="19">
        <f>SUMIFS([1]Master!$J$2:$J$100,[1]Master!$A$2:$A$100,"="&amp;$I$12,[1]Master!$E$2:$E$100,"="&amp;C301,[1]Master!$J$2:$J$100,"&gt;"&amp;0)</f>
        <v>0</v>
      </c>
      <c r="O301" s="19">
        <f ca="1">-SUMIF('[1]Fluxo de Movimentações'!$A$5:$F$10001,"="&amp;$C302,'[1]Fluxo de Movimentações'!$B$5:$B$10001)</f>
        <v>0</v>
      </c>
      <c r="P301" s="19">
        <f>-SUMIFS([1]Master!$J$1:$J$200,[1]Master!$A$1:$A$200,"="&amp;$I$12,[1]Master!$G$1:$G$200,"&gt;"&amp;C301,[1]Master!$E$1:$E$200,"&lt;="&amp;C301)</f>
        <v>0</v>
      </c>
      <c r="Q301" s="30">
        <v>537.28869999999995</v>
      </c>
      <c r="R301" s="32">
        <v>1.1305126999999999</v>
      </c>
      <c r="S301" s="30">
        <v>0</v>
      </c>
      <c r="T301" s="30">
        <v>0</v>
      </c>
      <c r="U301" s="30">
        <v>0</v>
      </c>
      <c r="V301" s="30">
        <v>0</v>
      </c>
    </row>
    <row r="302" spans="3:22" x14ac:dyDescent="0.25">
      <c r="C302" s="4">
        <v>45254</v>
      </c>
      <c r="D302" s="30">
        <v>16631566.9045</v>
      </c>
      <c r="E302" s="32">
        <v>1.1114066</v>
      </c>
      <c r="F302" s="38">
        <f t="shared" ref="F302" si="786">D302/TRUNC(E302,6)</f>
        <v>14964438.652031753</v>
      </c>
      <c r="G302" s="19">
        <f t="shared" ref="G302" si="787">H302*I302</f>
        <v>16695782.28651548</v>
      </c>
      <c r="H302" s="31">
        <v>1.1453017999999999</v>
      </c>
      <c r="I302" s="19">
        <f>SUMIFS([1]Master!$K$2:$K$10000,[1]Master!$A$2:$A$10000,$I$12,[1]Master!$F$2:$F$10000,"&lt;="&amp;$C302)</f>
        <v>14577626.863517966</v>
      </c>
      <c r="J302" s="19">
        <f t="shared" ref="J302" si="788">((((1+1.85%)^(1/252))-1)*D301)+SUM(J301)</f>
        <v>18952.662658264035</v>
      </c>
      <c r="K302" s="19">
        <f>IF((NETWORKDAYS(DATE(YEAR(C302),MONTH(C302),1),C302,Feriados!$A$2:$A$842))&gt;=5,0,IF(NETWORKDAYS(DATE(YEAR(C302),MONTH(C302),1),C302,Feriados!$A$2:$A$842)=1,J301,K301))</f>
        <v>0</v>
      </c>
      <c r="L302" s="30">
        <v>-73501.1496195785</v>
      </c>
      <c r="M302" s="19">
        <f>VLOOKUP(C302,'Fluxo de Caixa'!$B$13:$U$10027,20,FALSE)</f>
        <v>27269.082067578671</v>
      </c>
      <c r="N302" s="19">
        <f>SUMIFS([1]Master!$J$2:$J$100,[1]Master!$A$2:$A$100,"="&amp;$I$12,[1]Master!$E$2:$E$100,"="&amp;C302,[1]Master!$J$2:$J$100,"&gt;"&amp;0)</f>
        <v>0</v>
      </c>
      <c r="O302" s="19">
        <f ca="1">-SUMIF('[1]Fluxo de Movimentações'!$A$5:$F$10001,"="&amp;$C303,'[1]Fluxo de Movimentações'!$B$5:$B$10001)</f>
        <v>0</v>
      </c>
      <c r="P302" s="19">
        <f>-SUMIFS([1]Master!$J$1:$J$200,[1]Master!$A$1:$A$200,"="&amp;$I$12,[1]Master!$G$1:$G$200,"&gt;"&amp;C302,[1]Master!$E$1:$E$200,"&lt;="&amp;C302)</f>
        <v>0</v>
      </c>
      <c r="Q302" s="30">
        <v>968.87450000000001</v>
      </c>
      <c r="R302" s="32">
        <v>1.1163183000000001</v>
      </c>
      <c r="S302" s="30">
        <v>0</v>
      </c>
      <c r="T302" s="30">
        <v>0</v>
      </c>
      <c r="U302" s="30">
        <v>0</v>
      </c>
      <c r="V302" s="30">
        <v>0</v>
      </c>
    </row>
    <row r="303" spans="3:22" x14ac:dyDescent="0.25">
      <c r="C303" s="4">
        <v>45257</v>
      </c>
      <c r="D303" s="30">
        <v>16666564.971100001</v>
      </c>
      <c r="E303" s="32">
        <v>1.1137452999999999</v>
      </c>
      <c r="F303" s="38">
        <f t="shared" ref="F303" si="789">D303/TRUNC(E303,6)</f>
        <v>14964435.280158386</v>
      </c>
      <c r="G303" s="19">
        <f t="shared" ref="G303" si="790">H303*I303</f>
        <v>16734054.388082961</v>
      </c>
      <c r="H303" s="31">
        <v>1.1479272</v>
      </c>
      <c r="I303" s="19">
        <f>SUMIFS([1]Master!$K$2:$K$10000,[1]Master!$A$2:$A$10000,$I$12,[1]Master!$F$2:$F$10000,"&lt;="&amp;$C303)</f>
        <v>14577626.863517966</v>
      </c>
      <c r="J303" s="19">
        <f t="shared" ref="J303" si="791">((((1+1.85%)^(1/252))-1)*D302)+SUM(J302)</f>
        <v>20162.518298330604</v>
      </c>
      <c r="K303" s="19">
        <f>IF((NETWORKDAYS(DATE(YEAR(C303),MONTH(C303),1),C303,Feriados!$A$2:$A$842))&gt;=5,0,IF(NETWORKDAYS(DATE(YEAR(C303),MONTH(C303),1),C303,Feriados!$A$2:$A$842)=1,J302,K302))</f>
        <v>0</v>
      </c>
      <c r="L303" s="30">
        <v>-75501.03</v>
      </c>
      <c r="M303" s="19">
        <f>VLOOKUP(C303,'Fluxo de Caixa'!$B$13:$U$10027,20,FALSE)</f>
        <v>27269.082067578671</v>
      </c>
      <c r="N303" s="19">
        <f>SUMIFS([1]Master!$J$2:$J$100,[1]Master!$A$2:$A$100,"="&amp;$I$12,[1]Master!$E$2:$E$100,"="&amp;C303,[1]Master!$J$2:$J$100,"&gt;"&amp;0)</f>
        <v>0</v>
      </c>
      <c r="O303" s="19">
        <f ca="1">-SUMIF('[1]Fluxo de Movimentações'!$A$5:$F$10001,"="&amp;$C304,'[1]Fluxo de Movimentações'!$B$5:$B$10001)</f>
        <v>0</v>
      </c>
      <c r="P303" s="19">
        <f>-SUMIFS([1]Master!$J$1:$J$200,[1]Master!$A$1:$A$200,"="&amp;$I$12,[1]Master!$G$1:$G$200,"&gt;"&amp;C303,[1]Master!$E$1:$E$200,"&lt;="&amp;C303)</f>
        <v>0</v>
      </c>
      <c r="Q303" s="30">
        <v>904.58109999999999</v>
      </c>
      <c r="R303" s="32">
        <v>1.1187906999999999</v>
      </c>
      <c r="S303" s="30">
        <v>0</v>
      </c>
      <c r="T303" s="30">
        <v>0</v>
      </c>
      <c r="U303" s="30">
        <v>0</v>
      </c>
      <c r="V303" s="30">
        <v>0</v>
      </c>
    </row>
    <row r="304" spans="3:22" x14ac:dyDescent="0.25">
      <c r="C304" s="4">
        <v>45258</v>
      </c>
      <c r="D304" s="30">
        <v>16809856.697700001</v>
      </c>
      <c r="E304" s="32">
        <v>1.1233207999999999</v>
      </c>
      <c r="F304" s="38">
        <f t="shared" ref="F304" si="792">D304/TRUNC(E304,6)</f>
        <v>14964441.742068155</v>
      </c>
      <c r="G304" s="19">
        <f t="shared" ref="G304" si="793">H304*I304</f>
        <v>16891565.646343272</v>
      </c>
      <c r="H304" s="31">
        <v>1.1587322</v>
      </c>
      <c r="I304" s="19">
        <f>SUMIFS([1]Master!$K$2:$K$10000,[1]Master!$A$2:$A$10000,$I$12,[1]Master!$F$2:$F$10000,"&lt;="&amp;$C304)</f>
        <v>14577626.863517966</v>
      </c>
      <c r="J304" s="19">
        <f t="shared" ref="J304" si="794">((((1+1.85%)^(1/252))-1)*D303)+SUM(J303)</f>
        <v>21374.91985656054</v>
      </c>
      <c r="K304" s="19">
        <f>IF((NETWORKDAYS(DATE(YEAR(C304),MONTH(C304),1),C304,Feriados!$A$2:$A$842))&gt;=5,0,IF(NETWORKDAYS(DATE(YEAR(C304),MONTH(C304),1),C304,Feriados!$A$2:$A$842)=1,J303,K303))</f>
        <v>0</v>
      </c>
      <c r="L304" s="30">
        <v>-88443.87</v>
      </c>
      <c r="M304" s="19">
        <f>VLOOKUP(C304,'Fluxo de Caixa'!$B$13:$U$10027,20,FALSE)</f>
        <v>27269.082067578671</v>
      </c>
      <c r="N304" s="19">
        <f>SUMIFS([1]Master!$J$2:$J$100,[1]Master!$A$2:$A$100,"="&amp;$I$12,[1]Master!$E$2:$E$100,"="&amp;C304,[1]Master!$J$2:$J$100,"&gt;"&amp;0)</f>
        <v>0</v>
      </c>
      <c r="O304" s="19">
        <f ca="1">-SUMIF('[1]Fluxo de Movimentações'!$A$5:$F$10001,"="&amp;$C305,'[1]Fluxo de Movimentações'!$B$5:$B$10001)</f>
        <v>0</v>
      </c>
      <c r="P304" s="19">
        <f>-SUMIFS([1]Master!$J$1:$J$200,[1]Master!$A$1:$A$200,"="&amp;$I$12,[1]Master!$G$1:$G$200,"&gt;"&amp;C304,[1]Master!$E$1:$E$200,"&lt;="&amp;C304)</f>
        <v>0</v>
      </c>
      <c r="Q304" s="30">
        <v>840.28769999999997</v>
      </c>
      <c r="R304" s="32">
        <v>1.1292310999999999</v>
      </c>
      <c r="S304" s="30">
        <v>0</v>
      </c>
      <c r="T304" s="30">
        <v>0</v>
      </c>
      <c r="U304" s="30">
        <v>0</v>
      </c>
      <c r="V304" s="30">
        <v>0</v>
      </c>
    </row>
    <row r="305" spans="3:22" x14ac:dyDescent="0.25">
      <c r="C305" s="4">
        <v>45259</v>
      </c>
      <c r="D305" s="30">
        <v>16818662.164299998</v>
      </c>
      <c r="E305" s="32">
        <v>1.1239091999999999</v>
      </c>
      <c r="F305" s="38">
        <f t="shared" ref="F305" si="795">D305/TRUNC(E305,6)</f>
        <v>14964434.099468905</v>
      </c>
      <c r="G305" s="19">
        <f t="shared" ref="G305" si="796">H305*I305</f>
        <v>16901982.818499941</v>
      </c>
      <c r="H305" s="31">
        <v>1.1594468</v>
      </c>
      <c r="I305" s="19">
        <f>SUMIFS([1]Master!$K$2:$K$10000,[1]Master!$A$2:$A$10000,$I$12,[1]Master!$F$2:$F$10000,"&lt;="&amp;$C305)</f>
        <v>14577626.863517966</v>
      </c>
      <c r="J305" s="19">
        <f t="shared" ref="J305" si="797">((((1+1.85%)^(1/252))-1)*D304)+SUM(J304)</f>
        <v>22597.745105149741</v>
      </c>
      <c r="K305" s="19">
        <f>IF((NETWORKDAYS(DATE(YEAR(C305),MONTH(C305),1),C305,Feriados!$A$2:$A$842))&gt;=5,0,IF(NETWORKDAYS(DATE(YEAR(C305),MONTH(C305),1),C305,Feriados!$A$2:$A$842)=1,J304,K304))</f>
        <v>0</v>
      </c>
      <c r="L305" s="30">
        <v>-88768.46</v>
      </c>
      <c r="M305" s="19">
        <f>VLOOKUP(C305,'Fluxo de Caixa'!$B$13:$U$10027,20,FALSE)</f>
        <v>27269.082067578671</v>
      </c>
      <c r="N305" s="19">
        <f>SUMIFS([1]Master!$J$2:$J$100,[1]Master!$A$2:$A$100,"="&amp;$I$12,[1]Master!$E$2:$E$100,"="&amp;C305,[1]Master!$J$2:$J$100,"&gt;"&amp;0)</f>
        <v>0</v>
      </c>
      <c r="O305" s="19">
        <f ca="1">-SUMIF('[1]Fluxo de Movimentações'!$A$5:$F$10001,"="&amp;$C306,'[1]Fluxo de Movimentações'!$B$5:$B$10001)</f>
        <v>0</v>
      </c>
      <c r="P305" s="19">
        <f>-SUMIFS([1]Master!$J$1:$J$200,[1]Master!$A$1:$A$200,"="&amp;$I$12,[1]Master!$G$1:$G$200,"&gt;"&amp;C305,[1]Master!$E$1:$E$200,"&lt;="&amp;C305)</f>
        <v>0</v>
      </c>
      <c r="Q305" s="30">
        <v>775.99429999999995</v>
      </c>
      <c r="R305" s="32">
        <v>1.1298412</v>
      </c>
      <c r="S305" s="30">
        <v>0</v>
      </c>
      <c r="T305" s="30">
        <v>0</v>
      </c>
      <c r="U305" s="30">
        <v>0</v>
      </c>
      <c r="V305" s="30">
        <v>0</v>
      </c>
    </row>
    <row r="306" spans="3:22" x14ac:dyDescent="0.25">
      <c r="C306" s="4">
        <v>45260</v>
      </c>
      <c r="D306" s="30">
        <v>16917707.880899999</v>
      </c>
      <c r="E306" s="32">
        <v>1.130528</v>
      </c>
      <c r="F306" s="38">
        <f t="shared" ref="F306" si="798">D306/TRUNC(E306,6)</f>
        <v>14964430.673897507</v>
      </c>
      <c r="G306" s="19">
        <f t="shared" ref="G306" si="799">H306*I306</f>
        <v>17015288.881059323</v>
      </c>
      <c r="H306" s="31">
        <v>1.1672194</v>
      </c>
      <c r="I306" s="19">
        <f>SUMIFS([1]Master!$K$2:$K$10000,[1]Master!$A$2:$A$10000,$I$12,[1]Master!$F$2:$F$10000,"&lt;="&amp;$C306)</f>
        <v>14577626.863517966</v>
      </c>
      <c r="J306" s="19">
        <f t="shared" ref="J306:J308" si="800">((((1+1.85%)^(1/252))-1)*D305)+SUM(J305)</f>
        <v>23821.210903333013</v>
      </c>
      <c r="K306" s="19">
        <f>IF((NETWORKDAYS(DATE(YEAR(C306),MONTH(C306),1),C306,Feriados!$A$2:$A$842))&gt;=5,0,IF(NETWORKDAYS(DATE(YEAR(C306),MONTH(C306),1),C306,Feriados!$A$2:$A$842)=1,J305,K305))</f>
        <v>0</v>
      </c>
      <c r="L306" s="30">
        <v>-101741.05</v>
      </c>
      <c r="M306" s="19">
        <f>VLOOKUP(C306,'Fluxo de Caixa'!$B$13:$U$10027,20,FALSE)</f>
        <v>27269.082067578671</v>
      </c>
      <c r="N306" s="19">
        <f>SUMIFS([1]Master!$J$2:$J$100,[1]Master!$A$2:$A$100,"="&amp;$I$12,[1]Master!$E$2:$E$100,"="&amp;C306,[1]Master!$J$2:$J$100,"&gt;"&amp;0)</f>
        <v>0</v>
      </c>
      <c r="O306" s="19">
        <f ca="1">-SUMIF('[1]Fluxo de Movimentações'!$A$5:$F$10001,"="&amp;$C307,'[1]Fluxo de Movimentações'!$B$5:$B$10001)</f>
        <v>0</v>
      </c>
      <c r="P306" s="19">
        <f>-SUMIFS([1]Master!$J$1:$J$200,[1]Master!$A$1:$A$200,"="&amp;$I$12,[1]Master!$G$1:$G$200,"&gt;"&amp;C306,[1]Master!$E$1:$E$200,"&lt;="&amp;C306)</f>
        <v>0</v>
      </c>
      <c r="Q306" s="30">
        <v>711.70090000000005</v>
      </c>
      <c r="R306" s="32">
        <v>1.1373268000000001</v>
      </c>
      <c r="S306" s="30">
        <v>0</v>
      </c>
      <c r="T306" s="30">
        <v>0</v>
      </c>
      <c r="U306" s="30">
        <v>0</v>
      </c>
      <c r="V306" s="30">
        <v>0</v>
      </c>
    </row>
    <row r="307" spans="3:22" x14ac:dyDescent="0.25">
      <c r="C307" s="4">
        <v>45261</v>
      </c>
      <c r="D307" s="30">
        <v>17096340.9274</v>
      </c>
      <c r="E307" s="32">
        <v>1.1424650999999999</v>
      </c>
      <c r="F307" s="38">
        <f t="shared" ref="F307" si="801">D307/TRUNC(E307,6)</f>
        <v>14964432.982542135</v>
      </c>
      <c r="G307" s="19">
        <f t="shared" ref="G307" si="802">H307*I307</f>
        <v>17219270.698235158</v>
      </c>
      <c r="H307" s="31">
        <v>1.1812122</v>
      </c>
      <c r="I307" s="19">
        <f>SUMIFS([1]Master!$K$2:$K$10000,[1]Master!$A$2:$A$10000,$I$12,[1]Master!$F$2:$F$10000,"&lt;="&amp;$C307)</f>
        <v>14577626.863517966</v>
      </c>
      <c r="J307" s="19">
        <f>((((1+1.85%)^(1/252))-1)*D306)</f>
        <v>1230.6708330149868</v>
      </c>
      <c r="K307" s="19">
        <f>IF((NETWORKDAYS(DATE(YEAR(C307),MONTH(C307),1),C307,Feriados!$A$2:$A$842))&gt;=5,0,IF(NETWORKDAYS(DATE(YEAR(C307),MONTH(C307),1),C307,Feriados!$A$2:$A$842)=1,J306,K306))</f>
        <v>23821.210903333013</v>
      </c>
      <c r="L307" s="30">
        <v>-125794.86</v>
      </c>
      <c r="M307" s="19">
        <f>VLOOKUP(C307,'Fluxo de Caixa'!$B$13:$U$10027,20,FALSE)</f>
        <v>27269.082067578671</v>
      </c>
      <c r="N307" s="19">
        <f>SUMIFS([1]Master!$J$2:$J$100,[1]Master!$A$2:$A$100,"="&amp;$I$12,[1]Master!$E$2:$E$100,"="&amp;C307,[1]Master!$J$2:$J$100,"&gt;"&amp;0)</f>
        <v>0</v>
      </c>
      <c r="O307" s="19">
        <f ca="1">-SUMIF('[1]Fluxo de Movimentações'!$A$5:$F$10001,"="&amp;$C308,'[1]Fluxo de Movimentações'!$B$5:$B$10001)</f>
        <v>0</v>
      </c>
      <c r="P307" s="19">
        <f>-SUMIFS([1]Master!$J$1:$J$200,[1]Master!$A$1:$A$200,"="&amp;$I$12,[1]Master!$G$1:$G$200,"&gt;"&amp;C307,[1]Master!$E$1:$E$200,"&lt;="&amp;C307)</f>
        <v>0</v>
      </c>
      <c r="Q307" s="30">
        <v>647.40740000000005</v>
      </c>
      <c r="R307" s="32">
        <v>1.1508714</v>
      </c>
      <c r="S307" s="30">
        <v>0</v>
      </c>
      <c r="T307" s="30">
        <v>0</v>
      </c>
      <c r="U307" s="30">
        <v>0</v>
      </c>
      <c r="V307" s="30">
        <v>0</v>
      </c>
    </row>
    <row r="308" spans="3:22" x14ac:dyDescent="0.25">
      <c r="C308" s="4">
        <v>45264</v>
      </c>
      <c r="D308" s="30">
        <v>16955702.613899998</v>
      </c>
      <c r="E308" s="32">
        <v>1.133067</v>
      </c>
      <c r="F308" s="38">
        <f t="shared" ref="F308" si="803">D308/TRUNC(E308,6)</f>
        <v>14964430.712305626</v>
      </c>
      <c r="G308" s="19">
        <f t="shared" ref="G308" si="804">H308*I308</f>
        <v>17035046.556216963</v>
      </c>
      <c r="H308" s="31">
        <v>1.1702554000000001</v>
      </c>
      <c r="I308" s="19">
        <f>SUMIFS([1]Master!$K$2:$K$10000,[1]Master!$A$2:$A$10000,$I$12,[1]Master!$F$2:$F$10000,"&lt;="&amp;$C308)</f>
        <v>14556691.26262264</v>
      </c>
      <c r="J308" s="19">
        <f t="shared" si="800"/>
        <v>2474.3362443551118</v>
      </c>
      <c r="K308" s="19">
        <f>IF((NETWORKDAYS(DATE(YEAR(C308),MONTH(C308),1),C308,Feriados!$A$2:$A$842))&gt;=5,0,IF(NETWORKDAYS(DATE(YEAR(C308),MONTH(C308),1),C308,Feriados!$A$2:$A$842)=1,J307,K307))</f>
        <v>23821.210903333013</v>
      </c>
      <c r="L308" s="30">
        <v>-105401.08</v>
      </c>
      <c r="M308" s="19">
        <f>VLOOKUP(C308,'Fluxo de Caixa'!$B$13:$U$10027,20,FALSE)</f>
        <v>27269.082067578671</v>
      </c>
      <c r="N308" s="19">
        <f>SUMIFS([1]Master!$J$2:$J$100,[1]Master!$A$2:$A$100,"="&amp;$I$12,[1]Master!$E$2:$E$100,"="&amp;C308,[1]Master!$J$2:$J$100,"&gt;"&amp;0)</f>
        <v>0</v>
      </c>
      <c r="O308" s="19">
        <f ca="1">-SUMIF('[1]Fluxo de Movimentações'!$A$5:$F$10001,"="&amp;$C309,'[1]Fluxo de Movimentações'!$B$5:$B$10001)</f>
        <v>0</v>
      </c>
      <c r="P308" s="19">
        <f>-SUMIFS([1]Master!$J$1:$J$200,[1]Master!$A$1:$A$200,"="&amp;$I$12,[1]Master!$G$1:$G$200,"&gt;"&amp;C308,[1]Master!$E$1:$E$200,"&lt;="&amp;C308)</f>
        <v>24500</v>
      </c>
      <c r="Q308" s="30">
        <v>583.11389999999994</v>
      </c>
      <c r="R308" s="32">
        <v>1.1401104</v>
      </c>
      <c r="S308" s="30">
        <v>0</v>
      </c>
      <c r="T308" s="30">
        <v>0</v>
      </c>
      <c r="U308" s="30">
        <v>0</v>
      </c>
      <c r="V308" s="30">
        <v>0</v>
      </c>
    </row>
    <row r="309" spans="3:22" x14ac:dyDescent="0.25">
      <c r="C309" s="4">
        <v>45265</v>
      </c>
      <c r="D309" s="30">
        <v>16963994.2104</v>
      </c>
      <c r="E309" s="32">
        <v>1.133621</v>
      </c>
      <c r="F309" s="38">
        <f t="shared" ref="F309" si="805">D309/TRUNC(E309,6)</f>
        <v>14964431.860736525</v>
      </c>
      <c r="G309" s="19">
        <f t="shared" ref="G309" si="806">H309*I309</f>
        <v>17044974.219658069</v>
      </c>
      <c r="H309" s="31">
        <v>1.1709373999999999</v>
      </c>
      <c r="I309" s="19">
        <f>SUMIFS([1]Master!$K$2:$K$10000,[1]Master!$A$2:$A$10000,$I$12,[1]Master!$F$2:$F$10000,"&lt;="&amp;$C309)</f>
        <v>14556691.26262264</v>
      </c>
      <c r="J309" s="19">
        <f t="shared" ref="J309" si="807">((((1+1.85%)^(1/252))-1)*D308)+SUM(J308)</f>
        <v>3707.7709866443615</v>
      </c>
      <c r="K309" s="19">
        <f>IF((NETWORKDAYS(DATE(YEAR(C309),MONTH(C309),1),C309,Feriados!$A$2:$A$842))&gt;=5,0,IF(NETWORKDAYS(DATE(YEAR(C309),MONTH(C309),1),C309,Feriados!$A$2:$A$842)=1,J308,K308))</f>
        <v>23821.210903333013</v>
      </c>
      <c r="L309" s="30">
        <v>-105739.42</v>
      </c>
      <c r="M309" s="19">
        <f>VLOOKUP(C309,'Fluxo de Caixa'!$B$13:$U$10027,20,FALSE)</f>
        <v>27269.082067578671</v>
      </c>
      <c r="N309" s="19">
        <f>SUMIFS([1]Master!$J$2:$J$100,[1]Master!$A$2:$A$100,"="&amp;$I$12,[1]Master!$E$2:$E$100,"="&amp;C309,[1]Master!$J$2:$J$100,"&gt;"&amp;0)</f>
        <v>0</v>
      </c>
      <c r="O309" s="19">
        <f ca="1">-SUMIF('[1]Fluxo de Movimentações'!$A$5:$F$10001,"="&amp;$C310,'[1]Fluxo de Movimentações'!$B$5:$B$10001)</f>
        <v>0</v>
      </c>
      <c r="P309" s="19">
        <f>-SUMIFS([1]Master!$J$1:$J$200,[1]Master!$A$1:$A$200,"="&amp;$I$12,[1]Master!$G$1:$G$200,"&gt;"&amp;C309,[1]Master!$E$1:$E$200,"&lt;="&amp;C309)</f>
        <v>24500</v>
      </c>
      <c r="Q309" s="30">
        <v>518.82039999999995</v>
      </c>
      <c r="R309" s="32">
        <v>1.1406871000000001</v>
      </c>
      <c r="S309" s="30">
        <v>0</v>
      </c>
      <c r="T309" s="30">
        <v>0</v>
      </c>
      <c r="U309" s="30">
        <v>0</v>
      </c>
      <c r="V309" s="30">
        <v>0</v>
      </c>
    </row>
    <row r="310" spans="3:22" x14ac:dyDescent="0.25">
      <c r="C310" s="4">
        <v>45266</v>
      </c>
      <c r="D310" s="30">
        <v>16891197.426899999</v>
      </c>
      <c r="E310" s="32">
        <v>1.1287564000000001</v>
      </c>
      <c r="F310" s="38">
        <f t="shared" ref="F310" si="808">D310/TRUNC(E310,6)</f>
        <v>14964436.447646787</v>
      </c>
      <c r="G310" s="19">
        <f t="shared" ref="G310" si="809">H310*I310</f>
        <v>16962526.576015703</v>
      </c>
      <c r="H310" s="31">
        <v>1.1652735000000001</v>
      </c>
      <c r="I310" s="19">
        <f>SUMIFS([1]Master!$K$2:$K$10000,[1]Master!$A$2:$A$10000,$I$12,[1]Master!$F$2:$F$10000,"&lt;="&amp;$C310)</f>
        <v>14556691.26262264</v>
      </c>
      <c r="J310" s="19">
        <f t="shared" ref="J310" si="810">((((1+1.85%)^(1/252))-1)*D309)+SUM(J309)</f>
        <v>4941.8088972849928</v>
      </c>
      <c r="K310" s="19">
        <f>IF((NETWORKDAYS(DATE(YEAR(C310),MONTH(C310),1),C310,Feriados!$A$2:$A$842))&gt;=5,0,IF(NETWORKDAYS(DATE(YEAR(C310),MONTH(C310),1),C310,Feriados!$A$2:$A$842)=1,J309,K309))</f>
        <v>23821.210903333013</v>
      </c>
      <c r="L310" s="30">
        <v>-94790.24</v>
      </c>
      <c r="M310" s="19">
        <f>VLOOKUP(C310,'Fluxo de Caixa'!$B$13:$U$10027,20,FALSE)</f>
        <v>51769.082067578667</v>
      </c>
      <c r="N310" s="19">
        <f>SUMIFS([1]Master!$J$2:$J$100,[1]Master!$A$2:$A$100,"="&amp;$I$12,[1]Master!$E$2:$E$100,"="&amp;C310,[1]Master!$J$2:$J$100,"&gt;"&amp;0)</f>
        <v>0</v>
      </c>
      <c r="O310" s="19">
        <f ca="1">-SUMIF('[1]Fluxo de Movimentações'!$A$5:$F$10001,"="&amp;$C311,'[1]Fluxo de Movimentações'!$B$5:$B$10001)</f>
        <v>0</v>
      </c>
      <c r="P310" s="19">
        <f>-SUMIFS([1]Master!$J$1:$J$200,[1]Master!$A$1:$A$200,"="&amp;$I$12,[1]Master!$G$1:$G$200,"&gt;"&amp;C310,[1]Master!$E$1:$E$200,"&lt;="&amp;C310)</f>
        <v>0</v>
      </c>
      <c r="Q310" s="30">
        <v>454.52690000000001</v>
      </c>
      <c r="R310" s="32">
        <v>1.1350908</v>
      </c>
      <c r="S310" s="30">
        <v>0</v>
      </c>
      <c r="T310" s="30">
        <v>0</v>
      </c>
      <c r="U310" s="30">
        <v>0</v>
      </c>
      <c r="V310" s="30">
        <v>0</v>
      </c>
    </row>
    <row r="311" spans="3:22" x14ac:dyDescent="0.25">
      <c r="C311" s="4">
        <v>45267</v>
      </c>
      <c r="D311" s="30">
        <v>17014770.2434</v>
      </c>
      <c r="E311" s="32">
        <v>1.1370142000000001</v>
      </c>
      <c r="F311" s="38">
        <f t="shared" ref="F311:F316" si="811">D311/TRUNC(E311,7)</f>
        <v>14964430.737452529</v>
      </c>
      <c r="G311" s="19">
        <f t="shared" ref="G311" si="812">H311*I311</f>
        <v>17103775.974013437</v>
      </c>
      <c r="H311" s="31">
        <v>1.1749769000000001</v>
      </c>
      <c r="I311" s="19">
        <f>SUMIFS([1]Master!$K$2:$K$10000,[1]Master!$A$2:$A$10000,$I$12,[1]Master!$F$2:$F$10000,"&lt;="&amp;$C311)</f>
        <v>14556691.26262264</v>
      </c>
      <c r="J311" s="19">
        <f t="shared" ref="J311" si="813">((((1+1.85%)^(1/252))-1)*D310)+SUM(J310)</f>
        <v>6170.5512395885034</v>
      </c>
      <c r="K311" s="19">
        <f>IF((NETWORKDAYS(DATE(YEAR(C311),MONTH(C311),1),C311,Feriados!$A$2:$A$842))&gt;=5,0,IF(NETWORKDAYS(DATE(YEAR(C311),MONTH(C311),1),C311,Feriados!$A$2:$A$842)=1,J310,K310))</f>
        <v>0</v>
      </c>
      <c r="L311" s="30">
        <v>-111173.78</v>
      </c>
      <c r="M311" s="19">
        <f>VLOOKUP(C311,'Fluxo de Caixa'!$B$13:$U$10027,20,FALSE)</f>
        <v>27947.871164245666</v>
      </c>
      <c r="N311" s="19">
        <f>SUMIFS([1]Master!$J$2:$J$100,[1]Master!$A$2:$A$100,"="&amp;$I$12,[1]Master!$E$2:$E$100,"="&amp;C311,[1]Master!$J$2:$J$100,"&gt;"&amp;0)</f>
        <v>0</v>
      </c>
      <c r="O311" s="19">
        <f ca="1">-SUMIF('[1]Fluxo de Movimentações'!$A$5:$F$10001,"="&amp;$C312,'[1]Fluxo de Movimentações'!$B$5:$B$10001)</f>
        <v>0</v>
      </c>
      <c r="P311" s="19">
        <f>-SUMIFS([1]Master!$J$1:$J$200,[1]Master!$A$1:$A$200,"="&amp;$I$12,[1]Master!$G$1:$G$200,"&gt;"&amp;C311,[1]Master!$E$1:$E$200,"&lt;="&amp;C311)</f>
        <v>0</v>
      </c>
      <c r="Q311" s="30">
        <v>390.23340000000002</v>
      </c>
      <c r="R311" s="32">
        <v>1.1444434000000001</v>
      </c>
      <c r="S311" s="30">
        <v>0</v>
      </c>
      <c r="T311" s="30">
        <v>0</v>
      </c>
      <c r="U311" s="30">
        <v>0</v>
      </c>
      <c r="V311" s="30">
        <v>0</v>
      </c>
    </row>
    <row r="312" spans="3:22" x14ac:dyDescent="0.25">
      <c r="C312" s="4">
        <v>45268</v>
      </c>
      <c r="D312" s="30">
        <v>17087814.499899998</v>
      </c>
      <c r="E312" s="32">
        <v>1.1418953999999999</v>
      </c>
      <c r="F312" s="38">
        <f t="shared" si="811"/>
        <v>14964430.629898325</v>
      </c>
      <c r="G312" s="19">
        <f t="shared" ref="G312:G317" si="814">H312*I312</f>
        <v>17187471.126097009</v>
      </c>
      <c r="H312" s="31">
        <v>1.1807265</v>
      </c>
      <c r="I312" s="19">
        <f>SUMIFS([1]Master!$K$2:$K$10000,[1]Master!$A$2:$A$10000,$I$12,[1]Master!$F$2:$F$10000,"&lt;="&amp;$C312)</f>
        <v>14556691.26262264</v>
      </c>
      <c r="J312" s="19">
        <f t="shared" ref="J312" si="815">((((1+1.85%)^(1/252))-1)*D311)+SUM(J311)</f>
        <v>7408.2828292587783</v>
      </c>
      <c r="K312" s="19">
        <f>IF((NETWORKDAYS(DATE(YEAR(C312),MONTH(C312),1),C312,Feriados!$A$2:$A$842))&gt;=5,0,IF(NETWORKDAYS(DATE(YEAR(C312),MONTH(C312),1),C312,Feriados!$A$2:$A$842)=1,J311,K311))</f>
        <v>0</v>
      </c>
      <c r="L312" s="30">
        <v>-120522.66</v>
      </c>
      <c r="M312" s="19">
        <f>VLOOKUP(C312,'Fluxo de Caixa'!$B$13:$U$10027,20,FALSE)</f>
        <v>27947.871164245666</v>
      </c>
      <c r="N312" s="19">
        <f>SUMIFS([1]Master!$J$2:$J$100,[1]Master!$A$2:$A$100,"="&amp;$I$12,[1]Master!$E$2:$E$100,"="&amp;C312,[1]Master!$J$2:$J$100,"&gt;"&amp;0)</f>
        <v>0</v>
      </c>
      <c r="O312" s="19">
        <f ca="1">-SUMIF('[1]Fluxo de Movimentações'!$A$5:$F$10001,"="&amp;$C313,'[1]Fluxo de Movimentações'!$B$5:$B$10001)</f>
        <v>0</v>
      </c>
      <c r="P312" s="19">
        <f>-SUMIFS([1]Master!$J$1:$J$200,[1]Master!$A$1:$A$200,"="&amp;$I$12,[1]Master!$G$1:$G$200,"&gt;"&amp;C312,[1]Master!$E$1:$E$200,"&lt;="&amp;C312)</f>
        <v>0</v>
      </c>
      <c r="Q312" s="30">
        <v>325.93990000000002</v>
      </c>
      <c r="R312" s="32">
        <v>1.1499493000000001</v>
      </c>
      <c r="S312" s="30">
        <v>0</v>
      </c>
      <c r="T312" s="30">
        <v>0</v>
      </c>
      <c r="U312" s="30">
        <v>0</v>
      </c>
      <c r="V312" s="30">
        <v>0</v>
      </c>
    </row>
    <row r="313" spans="3:22" x14ac:dyDescent="0.25">
      <c r="C313" s="4">
        <v>45271</v>
      </c>
      <c r="D313" s="30">
        <v>16948684.446400002</v>
      </c>
      <c r="E313" s="32">
        <v>1.132598</v>
      </c>
      <c r="F313" s="38">
        <f t="shared" si="811"/>
        <v>14964430.845189556</v>
      </c>
      <c r="G313" s="19">
        <f t="shared" si="814"/>
        <v>17029461.153779496</v>
      </c>
      <c r="H313" s="31">
        <v>1.1698717000000001</v>
      </c>
      <c r="I313" s="19">
        <f>SUMIFS([1]Master!$K$2:$K$10000,[1]Master!$A$2:$A$10000,$I$12,[1]Master!$F$2:$F$10000,"&lt;="&amp;$C313)</f>
        <v>14556691.26262264</v>
      </c>
      <c r="J313" s="19">
        <f t="shared" ref="J313" si="816">((((1+1.85%)^(1/252))-1)*D312)+SUM(J312)</f>
        <v>8651.3279895750675</v>
      </c>
      <c r="K313" s="19">
        <f>IF((NETWORKDAYS(DATE(YEAR(C313),MONTH(C313),1),C313,Feriados!$A$2:$A$842))&gt;=5,0,IF(NETWORKDAYS(DATE(YEAR(C313),MONTH(C313),1),C313,Feriados!$A$2:$A$842)=1,J312,K312))</f>
        <v>0</v>
      </c>
      <c r="L313" s="30">
        <v>-100335.4</v>
      </c>
      <c r="M313" s="19">
        <f>VLOOKUP(C313,'Fluxo de Caixa'!$B$13:$U$10027,20,FALSE)</f>
        <v>27947.871164245666</v>
      </c>
      <c r="N313" s="19">
        <f>SUMIFS([1]Master!$J$2:$J$100,[1]Master!$A$2:$A$100,"="&amp;$I$12,[1]Master!$E$2:$E$100,"="&amp;C313,[1]Master!$J$2:$J$100,"&gt;"&amp;0)</f>
        <v>0</v>
      </c>
      <c r="O313" s="19">
        <f ca="1">-SUMIF('[1]Fluxo de Movimentações'!$A$5:$F$10001,"="&amp;$C314,'[1]Fluxo de Movimentações'!$B$5:$B$10001)</f>
        <v>0</v>
      </c>
      <c r="P313" s="19">
        <f>-SUMIFS([1]Master!$J$1:$J$200,[1]Master!$A$1:$A$200,"="&amp;$I$12,[1]Master!$G$1:$G$200,"&gt;"&amp;C313,[1]Master!$E$1:$E$200,"&lt;="&amp;C313)</f>
        <v>0</v>
      </c>
      <c r="Q313" s="30">
        <v>261.64640000000003</v>
      </c>
      <c r="R313" s="32">
        <v>1.1393028999999999</v>
      </c>
      <c r="S313" s="30">
        <v>0</v>
      </c>
      <c r="T313" s="30">
        <v>0</v>
      </c>
      <c r="U313" s="30">
        <v>0</v>
      </c>
      <c r="V313" s="30">
        <v>0</v>
      </c>
    </row>
    <row r="314" spans="3:22" x14ac:dyDescent="0.25">
      <c r="C314" s="4">
        <v>45272</v>
      </c>
      <c r="D314" s="30">
        <v>17014480.992899999</v>
      </c>
      <c r="E314" s="32">
        <v>1.1369948000000001</v>
      </c>
      <c r="F314" s="38">
        <f t="shared" si="811"/>
        <v>14964431.669256533</v>
      </c>
      <c r="G314" s="19">
        <f t="shared" si="814"/>
        <v>17105282.591559116</v>
      </c>
      <c r="H314" s="31">
        <v>1.1750803999999999</v>
      </c>
      <c r="I314" s="19">
        <f>SUMIFS([1]Master!$K$2:$K$10000,[1]Master!$A$2:$A$10000,$I$12,[1]Master!$F$2:$F$10000,"&lt;="&amp;$C314)</f>
        <v>14556691.26262264</v>
      </c>
      <c r="J314" s="19">
        <f t="shared" ref="J314" si="817">((((1+1.85%)^(1/252))-1)*D313)+SUM(J313)</f>
        <v>9884.252198516404</v>
      </c>
      <c r="K314" s="19">
        <f>IF((NETWORKDAYS(DATE(YEAR(C314),MONTH(C314),1),C314,Feriados!$A$2:$A$842))&gt;=5,0,IF(NETWORKDAYS(DATE(YEAR(C314),MONTH(C314),1),C314,Feriados!$A$2:$A$842)=1,J313,K313))</f>
        <v>0</v>
      </c>
      <c r="L314" s="30">
        <v>-109063.09474702</v>
      </c>
      <c r="M314" s="19">
        <f>VLOOKUP(C314,'Fluxo de Caixa'!$B$13:$U$10027,20,FALSE)</f>
        <v>27947.871164245666</v>
      </c>
      <c r="N314" s="19">
        <f>SUMIFS([1]Master!$J$2:$J$100,[1]Master!$A$2:$A$100,"="&amp;$I$12,[1]Master!$E$2:$E$100,"="&amp;C314,[1]Master!$J$2:$J$100,"&gt;"&amp;0)</f>
        <v>0</v>
      </c>
      <c r="O314" s="19">
        <f ca="1">-SUMIF('[1]Fluxo de Movimentações'!$A$5:$F$10001,"="&amp;$C315,'[1]Fluxo de Movimentações'!$B$5:$B$10001)</f>
        <v>0</v>
      </c>
      <c r="P314" s="19">
        <f>-SUMIFS([1]Master!$J$1:$J$200,[1]Master!$A$1:$A$200,"="&amp;$I$12,[1]Master!$G$1:$G$200,"&gt;"&amp;C314,[1]Master!$E$1:$E$200,"&lt;="&amp;C314)</f>
        <v>0</v>
      </c>
      <c r="Q314" s="30">
        <v>197.35290000000001</v>
      </c>
      <c r="R314" s="32">
        <v>1.1442829999999999</v>
      </c>
      <c r="S314" s="30">
        <v>0</v>
      </c>
      <c r="T314" s="30">
        <v>0</v>
      </c>
      <c r="U314" s="30">
        <v>0</v>
      </c>
      <c r="V314" s="30">
        <v>0</v>
      </c>
    </row>
    <row r="315" spans="3:22" x14ac:dyDescent="0.25">
      <c r="C315" s="4">
        <v>45273</v>
      </c>
      <c r="D315" s="30">
        <v>17466806.189399999</v>
      </c>
      <c r="E315" s="32">
        <v>1.1672214999999999</v>
      </c>
      <c r="F315" s="38">
        <f t="shared" si="811"/>
        <v>14964431.506273659</v>
      </c>
      <c r="G315" s="19">
        <f t="shared" si="814"/>
        <v>17622880.685460694</v>
      </c>
      <c r="H315" s="31">
        <v>1.2106378</v>
      </c>
      <c r="I315" s="19">
        <f>SUMIFS([1]Master!$K$2:$K$10000,[1]Master!$A$2:$A$10000,$I$12,[1]Master!$F$2:$F$10000,"&lt;="&amp;$C315)</f>
        <v>14556691.26262264</v>
      </c>
      <c r="J315" s="19">
        <f t="shared" ref="J315" si="818">((((1+1.85%)^(1/252))-1)*D314)+SUM(J314)</f>
        <v>11121.962746792875</v>
      </c>
      <c r="K315" s="19">
        <f>IF((NETWORKDAYS(DATE(YEAR(C315),MONTH(C315),1),C315,Feriados!$A$2:$A$842))&gt;=5,0,IF(NETWORKDAYS(DATE(YEAR(C315),MONTH(C315),1),C315,Feriados!$A$2:$A$842)=1,J314,K314))</f>
        <v>0</v>
      </c>
      <c r="L315" s="30">
        <v>-173034.01319843801</v>
      </c>
      <c r="M315" s="19">
        <f>VLOOKUP(C315,'Fluxo de Caixa'!$B$13:$U$10027,20,FALSE)</f>
        <v>27947.871164245666</v>
      </c>
      <c r="N315" s="19">
        <f>SUMIFS([1]Master!$J$2:$J$100,[1]Master!$A$2:$A$100,"="&amp;$I$12,[1]Master!$E$2:$E$100,"="&amp;C315,[1]Master!$J$2:$J$100,"&gt;"&amp;0)</f>
        <v>0</v>
      </c>
      <c r="O315" s="19">
        <f ca="1">-SUMIF('[1]Fluxo de Movimentações'!$A$5:$F$10001,"="&amp;$C316,'[1]Fluxo de Movimentações'!$B$5:$B$10001)</f>
        <v>0</v>
      </c>
      <c r="P315" s="19">
        <f>-SUMIFS([1]Master!$J$1:$J$200,[1]Master!$A$1:$A$200,"="&amp;$I$12,[1]Master!$G$1:$G$200,"&gt;"&amp;C315,[1]Master!$E$1:$E$200,"&lt;="&amp;C315)</f>
        <v>0</v>
      </c>
      <c r="Q315" s="30">
        <v>133.05940000000001</v>
      </c>
      <c r="R315" s="32">
        <v>1.1787844999999999</v>
      </c>
      <c r="S315" s="30">
        <v>0</v>
      </c>
      <c r="T315" s="30">
        <v>0</v>
      </c>
      <c r="U315" s="30">
        <v>0</v>
      </c>
      <c r="V315" s="30">
        <v>0</v>
      </c>
    </row>
    <row r="316" spans="3:22" x14ac:dyDescent="0.25">
      <c r="C316" s="4">
        <v>45274</v>
      </c>
      <c r="D316" s="30">
        <v>17550159.366900001</v>
      </c>
      <c r="E316" s="32">
        <v>1.1727916</v>
      </c>
      <c r="F316" s="38">
        <f t="shared" si="811"/>
        <v>14964431.33366576</v>
      </c>
      <c r="G316" s="19">
        <f t="shared" si="814"/>
        <v>17719729.263769176</v>
      </c>
      <c r="H316" s="31">
        <v>1.2172909999999999</v>
      </c>
      <c r="I316" s="19">
        <f>SUMIFS([1]Master!$K$2:$K$10000,[1]Master!$A$2:$A$10000,$I$12,[1]Master!$F$2:$F$10000,"&lt;="&amp;$C316)</f>
        <v>14556691.26262264</v>
      </c>
      <c r="J316" s="19">
        <f t="shared" ref="J316" si="819">((((1+1.85%)^(1/252))-1)*D315)+SUM(J315)</f>
        <v>12392.577482225739</v>
      </c>
      <c r="K316" s="19">
        <f>IF((NETWORKDAYS(DATE(YEAR(C316),MONTH(C316),1),C316,Feriados!$A$2:$A$842))&gt;=5,0,IF(NETWORKDAYS(DATE(YEAR(C316),MONTH(C316),1),C316,Feriados!$A$2:$A$842)=1,J315,K315))</f>
        <v>0</v>
      </c>
      <c r="L316" s="30">
        <v>-185194.47</v>
      </c>
      <c r="M316" s="19">
        <f>VLOOKUP(C316,'Fluxo de Caixa'!$B$13:$U$10027,20,FALSE)</f>
        <v>27360.691164245665</v>
      </c>
      <c r="N316" s="19">
        <f>SUMIFS([1]Master!$J$2:$J$100,[1]Master!$A$2:$A$100,"="&amp;$I$12,[1]Master!$E$2:$E$100,"="&amp;C316,[1]Master!$J$2:$J$100,"&gt;"&amp;0)</f>
        <v>0</v>
      </c>
      <c r="O316" s="19">
        <f ca="1">-SUMIF('[1]Fluxo de Movimentações'!$A$5:$F$10001,"="&amp;$C317,'[1]Fluxo de Movimentações'!$B$5:$B$10001)</f>
        <v>0</v>
      </c>
      <c r="P316" s="19">
        <f>-SUMIFS([1]Master!$J$1:$J$200,[1]Master!$A$1:$A$200,"="&amp;$I$12,[1]Master!$G$1:$G$200,"&gt;"&amp;C316,[1]Master!$E$1:$E$200,"&lt;="&amp;C316)</f>
        <v>0</v>
      </c>
      <c r="Q316" s="30">
        <v>655.94690000000003</v>
      </c>
      <c r="R316" s="32">
        <v>1.1851673</v>
      </c>
      <c r="S316" s="30">
        <v>0</v>
      </c>
      <c r="T316" s="30">
        <v>0</v>
      </c>
      <c r="U316" s="30">
        <v>0</v>
      </c>
      <c r="V316" s="30">
        <v>0</v>
      </c>
    </row>
    <row r="317" spans="3:22" x14ac:dyDescent="0.25">
      <c r="C317" s="4">
        <v>45275</v>
      </c>
      <c r="D317" s="30">
        <v>17418425.353399999</v>
      </c>
      <c r="E317" s="32">
        <v>1.1639885000000001</v>
      </c>
      <c r="F317" s="38">
        <f t="shared" ref="F317" si="820">D317/TRUNC(E317,7)</f>
        <v>14964430.794118669</v>
      </c>
      <c r="G317" s="19">
        <f t="shared" si="814"/>
        <v>17568416.825101592</v>
      </c>
      <c r="H317" s="31">
        <v>1.2068962999999999</v>
      </c>
      <c r="I317" s="19">
        <f>SUMIFS([1]Master!$K$2:$K$10000,[1]Master!$A$2:$A$10000,$I$12,[1]Master!$F$2:$F$10000,"&lt;="&amp;$C317)</f>
        <v>14556691.26262264</v>
      </c>
      <c r="J317" s="19">
        <f t="shared" ref="J317" si="821">((((1+1.85%)^(1/252))-1)*D316)+SUM(J316)</f>
        <v>13669.255705993461</v>
      </c>
      <c r="K317" s="19">
        <f>IF((NETWORKDAYS(DATE(YEAR(C317),MONTH(C317),1),C317,Feriados!$A$2:$A$842))&gt;=5,0,IF(NETWORKDAYS(DATE(YEAR(C317),MONTH(C317),1),C317,Feriados!$A$2:$A$842)=1,J316,K316))</f>
        <v>0</v>
      </c>
      <c r="L317" s="30">
        <v>-164275.14649351899</v>
      </c>
      <c r="M317" s="19">
        <f>VLOOKUP(C317,'Fluxo de Caixa'!$B$13:$U$10027,20,FALSE)</f>
        <v>27360.691164245665</v>
      </c>
      <c r="N317" s="19">
        <f>SUMIFS([1]Master!$J$2:$J$100,[1]Master!$A$2:$A$100,"="&amp;$I$12,[1]Master!$E$2:$E$100,"="&amp;C317,[1]Master!$J$2:$J$100,"&gt;"&amp;0)</f>
        <v>0</v>
      </c>
      <c r="O317" s="19">
        <f ca="1">-SUMIF('[1]Fluxo de Movimentações'!$A$5:$F$10001,"="&amp;$C318,'[1]Fluxo de Movimentações'!$B$5:$B$10001)</f>
        <v>0</v>
      </c>
      <c r="P317" s="19">
        <f>-SUMIFS([1]Master!$J$1:$J$200,[1]Master!$A$1:$A$200,"="&amp;$I$12,[1]Master!$G$1:$G$200,"&gt;"&amp;C317,[1]Master!$E$1:$E$200,"&lt;="&amp;C317)</f>
        <v>0</v>
      </c>
      <c r="Q317" s="30">
        <v>591.65340000000003</v>
      </c>
      <c r="R317" s="32">
        <v>1.1749662000000001</v>
      </c>
      <c r="S317" s="30">
        <v>0</v>
      </c>
      <c r="T317" s="30">
        <v>0</v>
      </c>
      <c r="U317" s="30">
        <v>0</v>
      </c>
      <c r="V317" s="30">
        <v>0</v>
      </c>
    </row>
    <row r="318" spans="3:22" x14ac:dyDescent="0.25">
      <c r="C318" s="4">
        <v>45278</v>
      </c>
      <c r="D318" s="30">
        <v>17498597.289900001</v>
      </c>
      <c r="E318" s="32">
        <v>1.169346</v>
      </c>
      <c r="F318" s="38">
        <f t="shared" ref="F318" si="822">D318/TRUNC(E318,7)</f>
        <v>14964430.792853443</v>
      </c>
      <c r="G318" s="19">
        <f t="shared" ref="G318" si="823">H318*I318</f>
        <v>17660709.159044873</v>
      </c>
      <c r="H318" s="31">
        <v>1.2132365000000001</v>
      </c>
      <c r="I318" s="19">
        <f>SUMIFS([1]Master!$K$2:$K$10000,[1]Master!$A$2:$A$10000,$I$12,[1]Master!$F$2:$F$10000,"&lt;="&amp;$C318)</f>
        <v>14556691.26262264</v>
      </c>
      <c r="J318" s="19">
        <f t="shared" ref="J318" si="824">((((1+1.85%)^(1/252))-1)*D317)+SUM(J317)</f>
        <v>14936.350999894335</v>
      </c>
      <c r="K318" s="19">
        <f>IF((NETWORKDAYS(DATE(YEAR(C318),MONTH(C318),1),C318,Feriados!$A$2:$A$842))&gt;=5,0,IF(NETWORKDAYS(DATE(YEAR(C318),MONTH(C318),1),C318,Feriados!$A$2:$A$842)=1,J317,K317))</f>
        <v>0</v>
      </c>
      <c r="L318" s="30">
        <v>-175064.126877053</v>
      </c>
      <c r="M318" s="19">
        <f>VLOOKUP(C318,'Fluxo de Caixa'!$B$13:$U$10027,20,FALSE)</f>
        <v>27360.691164245665</v>
      </c>
      <c r="N318" s="19">
        <f>SUMIFS([1]Master!$J$2:$J$100,[1]Master!$A$2:$A$100,"="&amp;$I$12,[1]Master!$E$2:$E$100,"="&amp;C318,[1]Master!$J$2:$J$100,"&gt;"&amp;0)</f>
        <v>0</v>
      </c>
      <c r="O318" s="19">
        <f ca="1">-SUMIF('[1]Fluxo de Movimentações'!$A$5:$F$10001,"="&amp;$C319,'[1]Fluxo de Movimentações'!$B$5:$B$10001)</f>
        <v>0</v>
      </c>
      <c r="P318" s="19">
        <f>-SUMIFS([1]Master!$J$1:$J$200,[1]Master!$A$1:$A$200,"="&amp;$I$12,[1]Master!$G$1:$G$200,"&gt;"&amp;C318,[1]Master!$E$1:$E$200,"&lt;="&amp;C318)</f>
        <v>0</v>
      </c>
      <c r="Q318" s="30">
        <v>527.35990000000004</v>
      </c>
      <c r="R318" s="32">
        <v>1.1810445999999999</v>
      </c>
      <c r="S318" s="30">
        <v>0</v>
      </c>
      <c r="T318" s="30">
        <v>0</v>
      </c>
      <c r="U318" s="30">
        <v>0</v>
      </c>
      <c r="V318" s="30">
        <v>0</v>
      </c>
    </row>
    <row r="319" spans="3:22" x14ac:dyDescent="0.25">
      <c r="C319" s="4">
        <v>45279</v>
      </c>
      <c r="D319" s="30">
        <v>17581727.887800001</v>
      </c>
      <c r="E319" s="32">
        <v>1.1749012000000001</v>
      </c>
      <c r="F319" s="38">
        <f t="shared" ref="F319" si="825">D319/TRUNC(E319,7)</f>
        <v>14964430.956236999</v>
      </c>
      <c r="G319" s="19">
        <f t="shared" ref="G319" si="826">H319*I319</f>
        <v>17757480.586889662</v>
      </c>
      <c r="H319" s="31">
        <v>1.2198844</v>
      </c>
      <c r="I319" s="19">
        <f>SUMIFS([1]Master!$K$2:$K$10000,[1]Master!$A$2:$A$10000,$I$12,[1]Master!$F$2:$F$10000,"&lt;="&amp;$C319)</f>
        <v>14556691.26262264</v>
      </c>
      <c r="J319" s="19">
        <f t="shared" ref="J319" si="827">((((1+1.85%)^(1/252))-1)*D318)+SUM(J318)</f>
        <v>16209.278364225289</v>
      </c>
      <c r="K319" s="19">
        <f>IF((NETWORKDAYS(DATE(YEAR(C319),MONTH(C319),1),C319,Feriados!$A$2:$A$842))&gt;=5,0,IF(NETWORKDAYS(DATE(YEAR(C319),MONTH(C319),1),C319,Feriados!$A$2:$A$842)=1,J318,K318))</f>
        <v>0</v>
      </c>
      <c r="L319" s="30">
        <v>-187367.739446658</v>
      </c>
      <c r="M319" s="19">
        <f>VLOOKUP(C319,'Fluxo de Caixa'!$B$13:$U$10027,20,FALSE)</f>
        <v>27360.691164245665</v>
      </c>
      <c r="N319" s="19">
        <f>SUMIFS([1]Master!$J$2:$J$100,[1]Master!$A$2:$A$100,"="&amp;$I$12,[1]Master!$E$2:$E$100,"="&amp;C319,[1]Master!$J$2:$J$100,"&gt;"&amp;0)</f>
        <v>0</v>
      </c>
      <c r="O319" s="19">
        <f ca="1">-SUMIF('[1]Fluxo de Movimentações'!$A$5:$F$10001,"="&amp;$C320,'[1]Fluxo de Movimentações'!$B$5:$B$10001)</f>
        <v>0</v>
      </c>
      <c r="P319" s="19">
        <f>-SUMIFS([1]Master!$J$1:$J$200,[1]Master!$A$1:$A$200,"="&amp;$I$12,[1]Master!$G$1:$G$200,"&gt;"&amp;C319,[1]Master!$E$1:$E$200,"&lt;="&amp;C319)</f>
        <v>0</v>
      </c>
      <c r="Q319" s="30">
        <v>463.06779999999998</v>
      </c>
      <c r="R319" s="32">
        <v>1.1874221</v>
      </c>
      <c r="S319" s="30">
        <v>0</v>
      </c>
      <c r="T319" s="30">
        <v>0</v>
      </c>
      <c r="U319" s="30">
        <v>0</v>
      </c>
      <c r="V319" s="30">
        <v>0</v>
      </c>
    </row>
    <row r="320" spans="3:22" x14ac:dyDescent="0.25">
      <c r="C320" s="4">
        <v>45280</v>
      </c>
      <c r="D320" s="30">
        <v>17482937.210999999</v>
      </c>
      <c r="E320" s="32">
        <v>1.1682995</v>
      </c>
      <c r="F320" s="38">
        <f t="shared" ref="F320" si="828">D320/TRUNC(E320,7)</f>
        <v>14964430.962266095</v>
      </c>
      <c r="G320" s="19">
        <f t="shared" ref="G320" si="829">H320*I320</f>
        <v>17643460.935567789</v>
      </c>
      <c r="H320" s="31">
        <v>1.2120515999999999</v>
      </c>
      <c r="I320" s="19">
        <f>SUMIFS([1]Master!$K$2:$K$10000,[1]Master!$A$2:$A$10000,$I$12,[1]Master!$F$2:$F$10000,"&lt;="&amp;$C320)</f>
        <v>14556691.26262264</v>
      </c>
      <c r="J320" s="19">
        <f t="shared" ref="J320" si="830">((((1+1.85%)^(1/252))-1)*D319)+SUM(J319)</f>
        <v>17488.25302544107</v>
      </c>
      <c r="K320" s="19">
        <f>IF((NETWORKDAYS(DATE(YEAR(C320),MONTH(C320),1),C320,Feriados!$A$2:$A$842))&gt;=5,0,IF(NETWORKDAYS(DATE(YEAR(C320),MONTH(C320),1),C320,Feriados!$A$2:$A$842)=1,J319,K319))</f>
        <v>0</v>
      </c>
      <c r="L320" s="30">
        <v>-170800.19113587099</v>
      </c>
      <c r="M320" s="19">
        <f>VLOOKUP(C320,'Fluxo de Caixa'!$B$13:$U$10027,20,FALSE)</f>
        <v>27360.691164245665</v>
      </c>
      <c r="N320" s="19">
        <f>SUMIFS([1]Master!$J$2:$J$100,[1]Master!$A$2:$A$100,"="&amp;$I$12,[1]Master!$E$2:$E$100,"="&amp;C320,[1]Master!$J$2:$J$100,"&gt;"&amp;0)</f>
        <v>0</v>
      </c>
      <c r="O320" s="19">
        <f ca="1">-SUMIF('[1]Fluxo de Movimentações'!$A$5:$F$10001,"="&amp;$C321,'[1]Fluxo de Movimentações'!$B$5:$B$10001)</f>
        <v>0</v>
      </c>
      <c r="P320" s="19">
        <f>-SUMIFS([1]Master!$J$1:$J$200,[1]Master!$A$1:$A$200,"="&amp;$I$12,[1]Master!$G$1:$G$200,"&gt;"&amp;C320,[1]Master!$E$1:$E$200,"&lt;="&amp;C320)</f>
        <v>0</v>
      </c>
      <c r="Q320" s="30">
        <v>403.44099999999997</v>
      </c>
      <c r="R320" s="32">
        <v>1.1797131999999999</v>
      </c>
      <c r="S320" s="30">
        <v>0</v>
      </c>
      <c r="T320" s="30">
        <v>0</v>
      </c>
      <c r="U320" s="30">
        <v>0</v>
      </c>
      <c r="V320" s="30">
        <v>0</v>
      </c>
    </row>
    <row r="321" spans="3:22" x14ac:dyDescent="0.25">
      <c r="C321" s="4">
        <v>45281</v>
      </c>
      <c r="D321" s="30">
        <v>17566809.424199998</v>
      </c>
      <c r="E321" s="32">
        <v>1.1739043</v>
      </c>
      <c r="F321" s="38">
        <f t="shared" ref="F321" si="831">D321/TRUNC(E321,7)</f>
        <v>14964430.596429367</v>
      </c>
      <c r="G321" s="19">
        <f t="shared" ref="G321" si="832">H321*I321</f>
        <v>17740233.819081709</v>
      </c>
      <c r="H321" s="31">
        <v>1.2186996000000001</v>
      </c>
      <c r="I321" s="19">
        <f>SUMIFS([1]Master!$K$2:$K$10000,[1]Master!$A$2:$A$10000,$I$12,[1]Master!$F$2:$F$10000,"&lt;="&amp;$C321)</f>
        <v>14556691.26262264</v>
      </c>
      <c r="J321" s="19">
        <f t="shared" ref="J321" si="833">((((1+1.85%)^(1/252))-1)*D320)+SUM(J320)</f>
        <v>18760.041204577396</v>
      </c>
      <c r="K321" s="19">
        <f>IF((NETWORKDAYS(DATE(YEAR(C321),MONTH(C321),1),C321,Feriados!$A$2:$A$842))&gt;=5,0,IF(NETWORKDAYS(DATE(YEAR(C321),MONTH(C321),1),C321,Feriados!$A$2:$A$842)=1,J320,K320))</f>
        <v>0</v>
      </c>
      <c r="L321" s="30">
        <v>-182369.45737602099</v>
      </c>
      <c r="M321" s="19">
        <f>VLOOKUP(C321,'Fluxo de Caixa'!$B$13:$U$10027,20,FALSE)</f>
        <v>27360.691164245665</v>
      </c>
      <c r="N321" s="19">
        <f>SUMIFS([1]Master!$J$2:$J$100,[1]Master!$A$2:$A$100,"="&amp;$I$12,[1]Master!$E$2:$E$100,"="&amp;C321,[1]Master!$J$2:$J$100,"&gt;"&amp;0)</f>
        <v>0</v>
      </c>
      <c r="O321" s="19">
        <f ca="1">-SUMIF('[1]Fluxo de Movimentações'!$A$5:$F$10001,"="&amp;$C322,'[1]Fluxo de Movimentações'!$B$5:$B$10001)</f>
        <v>0</v>
      </c>
      <c r="P321" s="19">
        <f>-SUMIFS([1]Master!$J$1:$J$200,[1]Master!$A$1:$A$200,"="&amp;$I$12,[1]Master!$G$1:$G$200,"&gt;"&amp;C321,[1]Master!$E$1:$E$200,"&lt;="&amp;C321)</f>
        <v>0</v>
      </c>
      <c r="Q321" s="30">
        <v>343.81420000000003</v>
      </c>
      <c r="R321" s="32">
        <v>1.1860911000000001</v>
      </c>
      <c r="S321" s="30">
        <v>0</v>
      </c>
      <c r="T321" s="30">
        <v>0</v>
      </c>
      <c r="U321" s="30">
        <v>0</v>
      </c>
      <c r="V321" s="30">
        <v>0</v>
      </c>
    </row>
    <row r="322" spans="3:22" x14ac:dyDescent="0.25">
      <c r="C322" s="4">
        <v>45282</v>
      </c>
      <c r="D322" s="30">
        <v>17659081.967399999</v>
      </c>
      <c r="E322" s="32">
        <v>1.1800704</v>
      </c>
      <c r="F322" s="38">
        <f t="shared" ref="F322" si="834">D322/TRUNC(E322,7)</f>
        <v>14964430.908020403</v>
      </c>
      <c r="G322" s="19">
        <f t="shared" ref="G322" si="835">H322*I322</f>
        <v>17848912.620379321</v>
      </c>
      <c r="H322" s="31">
        <v>1.2261655</v>
      </c>
      <c r="I322" s="19">
        <f>SUMIFS([1]Master!$K$2:$K$10000,[1]Master!$A$2:$A$10000,$I$12,[1]Master!$F$2:$F$10000,"&lt;="&amp;$C322)</f>
        <v>14556691.26262264</v>
      </c>
      <c r="J322" s="19">
        <f t="shared" ref="J322" si="836">((((1+1.85%)^(1/252))-1)*D321)+SUM(J321)</f>
        <v>20037.930629060451</v>
      </c>
      <c r="K322" s="19">
        <f>IF((NETWORKDAYS(DATE(YEAR(C322),MONTH(C322),1),C322,Feriados!$A$2:$A$842))&gt;=5,0,IF(NETWORKDAYS(DATE(YEAR(C322),MONTH(C322),1),C322,Feriados!$A$2:$A$842)=1,J321,K321))</f>
        <v>0</v>
      </c>
      <c r="L322" s="30">
        <v>-197438.19850246</v>
      </c>
      <c r="M322" s="19">
        <f>VLOOKUP(C322,'Fluxo de Caixa'!$B$13:$U$10027,20,FALSE)</f>
        <v>27360.691164245665</v>
      </c>
      <c r="N322" s="19">
        <f>SUMIFS([1]Master!$J$2:$J$100,[1]Master!$A$2:$A$100,"="&amp;$I$12,[1]Master!$E$2:$E$100,"="&amp;C322,[1]Master!$J$2:$J$100,"&gt;"&amp;0)</f>
        <v>0</v>
      </c>
      <c r="O322" s="19">
        <f ca="1">-SUMIF('[1]Fluxo de Movimentações'!$A$5:$F$10001,"="&amp;$C323,'[1]Fluxo de Movimentações'!$B$5:$B$10001)</f>
        <v>0</v>
      </c>
      <c r="P322" s="19">
        <f>-SUMIFS([1]Master!$J$1:$J$200,[1]Master!$A$1:$A$200,"="&amp;$I$12,[1]Master!$G$1:$G$200,"&gt;"&amp;C322,[1]Master!$E$1:$E$200,"&lt;="&amp;C322)</f>
        <v>0</v>
      </c>
      <c r="Q322" s="30">
        <v>284.18740000000003</v>
      </c>
      <c r="R322" s="32">
        <v>1.1932642</v>
      </c>
      <c r="S322" s="30">
        <v>0</v>
      </c>
      <c r="T322" s="30">
        <v>0</v>
      </c>
      <c r="U322" s="30">
        <v>0</v>
      </c>
      <c r="V322" s="30">
        <v>0</v>
      </c>
    </row>
    <row r="323" spans="3:22" x14ac:dyDescent="0.25">
      <c r="C323" s="4">
        <v>45286</v>
      </c>
      <c r="D323" s="30">
        <v>17690390.150600001</v>
      </c>
      <c r="E323" s="32">
        <v>1.1821626000000001</v>
      </c>
      <c r="F323" s="38">
        <f t="shared" ref="F323" si="837">D323/TRUNC(E323,7)</f>
        <v>14964430.570380082</v>
      </c>
      <c r="G323" s="19">
        <f t="shared" ref="G323" si="838">H323*I323</f>
        <v>17885896.805870265</v>
      </c>
      <c r="H323" s="31">
        <v>1.2287062</v>
      </c>
      <c r="I323" s="19">
        <f>SUMIFS([1]Master!$K$2:$K$10000,[1]Master!$A$2:$A$10000,$I$12,[1]Master!$F$2:$F$10000,"&lt;="&amp;$C323)</f>
        <v>14556691.26262264</v>
      </c>
      <c r="J323" s="19">
        <f t="shared" ref="J323" si="839">((((1+1.85%)^(1/252))-1)*D322)+SUM(J322)</f>
        <v>21322.532377009768</v>
      </c>
      <c r="K323" s="19">
        <f>IF((NETWORKDAYS(DATE(YEAR(C323),MONTH(C323),1),C323,Feriados!$A$2:$A$842))&gt;=5,0,IF(NETWORKDAYS(DATE(YEAR(C323),MONTH(C323),1),C323,Feriados!$A$2:$A$842)=1,J322,K322))</f>
        <v>0</v>
      </c>
      <c r="L323" s="30">
        <v>-201769.98321853601</v>
      </c>
      <c r="M323" s="19">
        <f>VLOOKUP(C323,'Fluxo de Caixa'!$B$13:$U$10027,20,FALSE)</f>
        <v>27164.691164245665</v>
      </c>
      <c r="N323" s="19">
        <f>SUMIFS([1]Master!$J$2:$J$100,[1]Master!$A$2:$A$100,"="&amp;$I$12,[1]Master!$E$2:$E$100,"="&amp;C323,[1]Master!$J$2:$J$100,"&gt;"&amp;0)</f>
        <v>0</v>
      </c>
      <c r="O323" s="19">
        <f ca="1">-SUMIF('[1]Fluxo de Movimentações'!$A$5:$F$10001,"="&amp;$C324,'[1]Fluxo de Movimentações'!$B$5:$B$10001)</f>
        <v>0</v>
      </c>
      <c r="P323" s="19">
        <f>-SUMIFS([1]Master!$J$1:$J$200,[1]Master!$A$1:$A$200,"="&amp;$I$12,[1]Master!$G$1:$G$200,"&gt;"&amp;C323,[1]Master!$E$1:$E$200,"&lt;="&amp;C323)</f>
        <v>0</v>
      </c>
      <c r="Q323" s="30">
        <v>420.56060000000002</v>
      </c>
      <c r="R323" s="32">
        <v>1.1956458999999999</v>
      </c>
      <c r="S323" s="30">
        <v>0</v>
      </c>
      <c r="T323" s="30">
        <v>0</v>
      </c>
      <c r="U323" s="30">
        <v>0</v>
      </c>
      <c r="V323" s="30">
        <v>0</v>
      </c>
    </row>
    <row r="324" spans="3:22" x14ac:dyDescent="0.25">
      <c r="C324" s="4">
        <v>45287</v>
      </c>
      <c r="D324" s="30">
        <v>17760233.417100001</v>
      </c>
      <c r="E324" s="32">
        <v>1.1868297999999999</v>
      </c>
      <c r="F324" s="38">
        <f t="shared" ref="F324" si="840">D324/TRUNC(E324,7)</f>
        <v>14964431.645632762</v>
      </c>
      <c r="G324" s="19">
        <f t="shared" ref="G324" si="841">H324*I324</f>
        <v>17968223.628975157</v>
      </c>
      <c r="H324" s="31">
        <v>1.2343618000000001</v>
      </c>
      <c r="I324" s="19">
        <f>SUMIFS([1]Master!$K$2:$K$10000,[1]Master!$A$2:$A$10000,$I$12,[1]Master!$F$2:$F$10000,"&lt;="&amp;$C324)</f>
        <v>14556691.26262264</v>
      </c>
      <c r="J324" s="19">
        <f t="shared" ref="J324" si="842">((((1+1.85%)^(1/252))-1)*D323)+SUM(J323)</f>
        <v>22609.411624261604</v>
      </c>
      <c r="K324" s="19">
        <f>IF((NETWORKDAYS(DATE(YEAR(C324),MONTH(C324),1),C324,Feriados!$A$2:$A$842))&gt;=5,0,IF(NETWORKDAYS(DATE(YEAR(C324),MONTH(C324),1),C324,Feriados!$A$2:$A$842)=1,J323,K323))</f>
        <v>0</v>
      </c>
      <c r="L324" s="30">
        <v>-212902.33142415501</v>
      </c>
      <c r="M324" s="19">
        <f>VLOOKUP(C324,'Fluxo de Caixa'!$B$13:$U$10027,20,FALSE)</f>
        <v>27164.691164245665</v>
      </c>
      <c r="N324" s="19">
        <f>SUMIFS([1]Master!$J$2:$J$100,[1]Master!$A$2:$A$100,"="&amp;$I$12,[1]Master!$E$2:$E$100,"="&amp;C324,[1]Master!$J$2:$J$100,"&gt;"&amp;0)</f>
        <v>0</v>
      </c>
      <c r="O324" s="19">
        <f ca="1">-SUMIF('[1]Fluxo de Movimentações'!$A$5:$F$10001,"="&amp;$C325,'[1]Fluxo de Movimentações'!$B$5:$B$10001)</f>
        <v>0</v>
      </c>
      <c r="P324" s="19">
        <f>-SUMIFS([1]Master!$J$1:$J$200,[1]Master!$A$1:$A$200,"="&amp;$I$12,[1]Master!$G$1:$G$200,"&gt;"&amp;C324,[1]Master!$E$1:$E$200,"&lt;="&amp;C324)</f>
        <v>0</v>
      </c>
      <c r="Q324" s="30">
        <v>356.26710000000003</v>
      </c>
      <c r="R324" s="32">
        <v>1.2010571000000001</v>
      </c>
      <c r="S324" s="30">
        <v>0</v>
      </c>
      <c r="T324" s="30">
        <v>0</v>
      </c>
      <c r="U324" s="30">
        <v>0</v>
      </c>
      <c r="V324" s="30">
        <v>0</v>
      </c>
    </row>
    <row r="325" spans="3:22" x14ac:dyDescent="0.25">
      <c r="C325" s="4">
        <v>45288</v>
      </c>
      <c r="D325" s="30">
        <v>17774767.9736</v>
      </c>
      <c r="E325" s="32">
        <v>1.1878010999999999</v>
      </c>
      <c r="F325" s="38">
        <f t="shared" ref="F325" si="843">D325/TRUNC(E325,7)</f>
        <v>14964431.312279472</v>
      </c>
      <c r="G325" s="19">
        <f t="shared" ref="G325" si="844">H325*I325</f>
        <v>17985486.409143496</v>
      </c>
      <c r="H325" s="31">
        <v>1.2355476999999999</v>
      </c>
      <c r="I325" s="19">
        <f>SUMIFS([1]Master!$K$2:$K$10000,[1]Master!$A$2:$A$10000,$I$12,[1]Master!$F$2:$F$10000,"&lt;="&amp;$C325)</f>
        <v>14556691.26262264</v>
      </c>
      <c r="J325" s="19">
        <f t="shared" ref="J325" si="845">((((1+1.85%)^(1/252))-1)*D324)+SUM(J324)</f>
        <v>23901.371587622805</v>
      </c>
      <c r="K325" s="19">
        <f>IF((NETWORKDAYS(DATE(YEAR(C325),MONTH(C325),1),C325,Feriados!$A$2:$A$842))&gt;=5,0,IF(NETWORKDAYS(DATE(YEAR(C325),MONTH(C325),1),C325,Feriados!$A$2:$A$842)=1,J324,K324))</f>
        <v>0</v>
      </c>
      <c r="L325" s="30">
        <v>-214274.31369742699</v>
      </c>
      <c r="M325" s="19">
        <f>VLOOKUP(C325,'Fluxo de Caixa'!$B$13:$U$10027,20,FALSE)</f>
        <v>27164.691164245665</v>
      </c>
      <c r="N325" s="19">
        <f>SUMIFS([1]Master!$J$2:$J$100,[1]Master!$A$2:$A$100,"="&amp;$I$12,[1]Master!$E$2:$E$100,"="&amp;C325,[1]Master!$J$2:$J$100,"&gt;"&amp;0)</f>
        <v>0</v>
      </c>
      <c r="O325" s="19">
        <f ca="1">-SUMIF('[1]Fluxo de Movimentações'!$A$5:$F$10001,"="&amp;$C326,'[1]Fluxo de Movimentações'!$B$5:$B$10001)</f>
        <v>0</v>
      </c>
      <c r="P325" s="19">
        <f>-SUMIFS([1]Master!$J$1:$J$200,[1]Master!$A$1:$A$200,"="&amp;$I$12,[1]Master!$G$1:$G$200,"&gt;"&amp;C325,[1]Master!$E$1:$E$200,"&lt;="&amp;C325)</f>
        <v>0</v>
      </c>
      <c r="Q325" s="30">
        <v>291.97359999999998</v>
      </c>
      <c r="R325" s="32">
        <v>1.2021200000000001</v>
      </c>
      <c r="S325" s="30">
        <v>0</v>
      </c>
      <c r="T325" s="30">
        <v>0</v>
      </c>
      <c r="U325" s="30">
        <v>0</v>
      </c>
      <c r="V325" s="30">
        <v>0</v>
      </c>
    </row>
    <row r="326" spans="3:22" x14ac:dyDescent="0.25">
      <c r="C326" s="4">
        <v>45289</v>
      </c>
      <c r="D326" s="30">
        <v>17777100.550099999</v>
      </c>
      <c r="E326" s="32">
        <v>1.1879569999999999</v>
      </c>
      <c r="F326" s="38">
        <f t="shared" ref="F326" si="846">D326/TRUNC(E326,7)</f>
        <v>14964430.993798597</v>
      </c>
      <c r="G326" s="19">
        <f t="shared" ref="G326" si="847">H326*I326</f>
        <v>17986739.740261208</v>
      </c>
      <c r="H326" s="31">
        <v>1.2356338</v>
      </c>
      <c r="I326" s="19">
        <f>SUMIFS([1]Master!$K$2:$K$10000,[1]Master!$A$2:$A$10000,$I$12,[1]Master!$F$2:$F$10000,"&lt;="&amp;$C326)</f>
        <v>14556691.26262264</v>
      </c>
      <c r="J326" s="19">
        <f t="shared" ref="J326" si="848">((((1+1.85%)^(1/252))-1)*D325)+SUM(J325)</f>
        <v>25194.388860572355</v>
      </c>
      <c r="K326" s="19">
        <f>IF((NETWORKDAYS(DATE(YEAR(C326),MONTH(C326),1),C326,Feriados!$A$2:$A$842))&gt;=5,0,IF(NETWORKDAYS(DATE(YEAR(C326),MONTH(C326),1),C326,Feriados!$A$2:$A$842)=1,J325,K325))</f>
        <v>0</v>
      </c>
      <c r="L326" s="30">
        <v>-211837.748600933</v>
      </c>
      <c r="M326" s="19">
        <f>VLOOKUP(C326,'Fluxo de Caixa'!$B$13:$U$10027,20,FALSE)</f>
        <v>27164.691164245665</v>
      </c>
      <c r="N326" s="19">
        <f>SUMIFS([1]Master!$J$2:$J$100,[1]Master!$A$2:$A$100,"="&amp;$I$12,[1]Master!$E$2:$E$100,"="&amp;C326,[1]Master!$J$2:$J$100,"&gt;"&amp;0)</f>
        <v>0</v>
      </c>
      <c r="O326" s="19">
        <f ca="1">-SUMIF('[1]Fluxo de Movimentações'!$A$5:$F$10001,"="&amp;$C327,'[1]Fluxo de Movimentações'!$B$5:$B$10001)</f>
        <v>0</v>
      </c>
      <c r="P326" s="19">
        <f>-SUMIFS([1]Master!$J$1:$J$200,[1]Master!$A$1:$A$200,"="&amp;$I$12,[1]Master!$G$1:$G$200,"&gt;"&amp;C326,[1]Master!$E$1:$E$200,"&lt;="&amp;C326)</f>
        <v>0</v>
      </c>
      <c r="Q326" s="30">
        <v>227.68010000000001</v>
      </c>
      <c r="R326" s="32">
        <v>1.2021131</v>
      </c>
      <c r="S326" s="30">
        <v>0</v>
      </c>
      <c r="T326" s="30">
        <v>0</v>
      </c>
      <c r="U326" s="30">
        <v>0</v>
      </c>
      <c r="V326" s="30">
        <v>0</v>
      </c>
    </row>
    <row r="327" spans="3:22" x14ac:dyDescent="0.25">
      <c r="C327" s="4">
        <v>45293</v>
      </c>
      <c r="D327" s="30">
        <v>17435787.3257</v>
      </c>
      <c r="E327" s="32">
        <v>1.1651487</v>
      </c>
      <c r="F327" s="38">
        <f t="shared" ref="F327" si="849">D327/TRUNC(E327,7)</f>
        <v>14964430.999837188</v>
      </c>
      <c r="G327" s="19">
        <f t="shared" ref="G327" si="850">H327*I327</f>
        <v>17620781.316844795</v>
      </c>
      <c r="H327" s="31">
        <v>1.2122797000000001</v>
      </c>
      <c r="I327" s="19">
        <f>SUMIFS([1]Master!$K$2:$K$10000,[1]Master!$A$2:$A$10000,$I$12,[1]Master!$F$2:$F$10000,"&lt;="&amp;$C327)</f>
        <v>14535244.066897098</v>
      </c>
      <c r="J327" s="19">
        <f>((((1+1.85%)^(1/252))-1)*D326)</f>
        <v>1293.1869551479026</v>
      </c>
      <c r="K327" s="19">
        <f>IF((NETWORKDAYS(DATE(YEAR(C327),MONTH(C327),1),C327,Feriados!$A$2:$A$842))&gt;=5,0,IF(NETWORKDAYS(DATE(YEAR(C327),MONTH(C327),1),C327,Feriados!$A$2:$A$842)=1,J326,K326))</f>
        <v>25194.388860572355</v>
      </c>
      <c r="L327" s="30">
        <v>0</v>
      </c>
      <c r="M327" s="19">
        <f>VLOOKUP(C327,'Fluxo de Caixa'!$B$13:$U$10027,20,FALSE)</f>
        <v>27164.691164245665</v>
      </c>
      <c r="N327" s="19">
        <f>SUMIFS([1]Master!$J$2:$J$100,[1]Master!$A$2:$A$100,"="&amp;$I$12,[1]Master!$E$2:$E$100,"="&amp;C327,[1]Master!$J$2:$J$100,"&gt;"&amp;0)</f>
        <v>0</v>
      </c>
      <c r="O327" s="19">
        <f ca="1">-SUMIF('[1]Fluxo de Movimentações'!$A$5:$F$10001,"="&amp;$C328,'[1]Fluxo de Movimentações'!$B$5:$B$10001)</f>
        <v>0</v>
      </c>
      <c r="P327" s="19">
        <f>-SUMIFS([1]Master!$J$1:$J$200,[1]Master!$A$1:$A$200,"="&amp;$I$12,[1]Master!$G$1:$G$200,"&gt;"&amp;C327,[1]Master!$E$1:$E$200,"&lt;="&amp;C327)</f>
        <v>26000</v>
      </c>
      <c r="Q327" s="30">
        <v>166.0557</v>
      </c>
      <c r="R327" s="32">
        <v>1.1651487</v>
      </c>
      <c r="S327" s="30">
        <f>L326</f>
        <v>-211837.748600933</v>
      </c>
      <c r="T327" s="30">
        <v>0</v>
      </c>
      <c r="U327" s="30">
        <v>0</v>
      </c>
      <c r="V327" s="30">
        <v>0</v>
      </c>
    </row>
    <row r="328" spans="3:22" x14ac:dyDescent="0.25">
      <c r="C328" s="4">
        <v>45294</v>
      </c>
      <c r="D328" s="30">
        <v>17417121.1613</v>
      </c>
      <c r="E328" s="32">
        <v>1.1639013</v>
      </c>
      <c r="F328" s="38">
        <f t="shared" ref="F328" si="851">D328/TRUNC(E328,7)</f>
        <v>14964431.400927208</v>
      </c>
      <c r="G328" s="19">
        <f t="shared" ref="G328" si="852">H328*I328</f>
        <v>17603445.131246205</v>
      </c>
      <c r="H328" s="31">
        <v>1.211087</v>
      </c>
      <c r="I328" s="19">
        <f>SUMIFS([1]Master!$K$2:$K$10000,[1]Master!$A$2:$A$10000,$I$12,[1]Master!$F$2:$F$10000,"&lt;="&amp;$C328)</f>
        <v>14535244.066897098</v>
      </c>
      <c r="J328" s="19">
        <f t="shared" ref="J328:J333" si="853">((((1+1.85%)^(1/252))-1)*D327)+SUM(J327)</f>
        <v>2561.5452376914268</v>
      </c>
      <c r="K328" s="19">
        <f>IF((NETWORKDAYS(DATE(YEAR(C328),MONTH(C328),1),C328,Feriados!$A$2:$A$842))&gt;=5,0,IF(NETWORKDAYS(DATE(YEAR(C328),MONTH(C328),1),C328,Feriados!$A$2:$A$842)=1,J327,K327))</f>
        <v>25194.388860572355</v>
      </c>
      <c r="L328" s="30">
        <v>0</v>
      </c>
      <c r="M328" s="19">
        <f>VLOOKUP(C328,'Fluxo de Caixa'!$B$13:$U$10027,20,FALSE)</f>
        <v>27164.691164245665</v>
      </c>
      <c r="N328" s="19">
        <f>SUMIFS([1]Master!$J$2:$J$100,[1]Master!$A$2:$A$100,"="&amp;$I$12,[1]Master!$E$2:$E$100,"="&amp;C328,[1]Master!$J$2:$J$100,"&gt;"&amp;0)</f>
        <v>0</v>
      </c>
      <c r="O328" s="19">
        <f ca="1">-SUMIF('[1]Fluxo de Movimentações'!$A$5:$F$10001,"="&amp;$C329,'[1]Fluxo de Movimentações'!$B$5:$B$10001)</f>
        <v>0</v>
      </c>
      <c r="P328" s="19">
        <f>-SUMIFS([1]Master!$J$1:$J$200,[1]Master!$A$1:$A$200,"="&amp;$I$12,[1]Master!$G$1:$G$200,"&gt;"&amp;C328,[1]Master!$E$1:$E$200,"&lt;="&amp;C328)</f>
        <v>26000</v>
      </c>
      <c r="Q328" s="30">
        <v>104.43129999999999</v>
      </c>
      <c r="R328" s="32">
        <v>1.1639013</v>
      </c>
      <c r="S328" s="30">
        <v>-211837.748600933</v>
      </c>
      <c r="T328" s="30">
        <v>0</v>
      </c>
      <c r="U328" s="30">
        <v>0</v>
      </c>
      <c r="V328" s="30">
        <v>0</v>
      </c>
    </row>
    <row r="329" spans="3:22" x14ac:dyDescent="0.25">
      <c r="C329" s="4">
        <v>45295</v>
      </c>
      <c r="D329" s="30">
        <v>17216748.356899999</v>
      </c>
      <c r="E329" s="32">
        <v>1.1505114000000001</v>
      </c>
      <c r="F329" s="38">
        <f t="shared" ref="F329" si="854">D329/TRUNC(E329,7)</f>
        <v>14964430.910376027</v>
      </c>
      <c r="G329" s="19">
        <f t="shared" ref="G329" si="855">H329*I329</f>
        <v>17404400.952518523</v>
      </c>
      <c r="H329" s="31">
        <v>1.1973931</v>
      </c>
      <c r="I329" s="19">
        <f>SUMIFS([1]Master!$K$2:$K$10000,[1]Master!$A$2:$A$10000,$I$12,[1]Master!$F$2:$F$10000,"&lt;="&amp;$C329)</f>
        <v>14535244.066897098</v>
      </c>
      <c r="J329" s="19">
        <f t="shared" si="853"/>
        <v>3828.5456587413573</v>
      </c>
      <c r="K329" s="19">
        <f>IF((NETWORKDAYS(DATE(YEAR(C329),MONTH(C329),1),C329,Feriados!$A$2:$A$842))&gt;=5,0,IF(NETWORKDAYS(DATE(YEAR(C329),MONTH(C329),1),C329,Feriados!$A$2:$A$842)=1,J328,K328))</f>
        <v>25194.388860572355</v>
      </c>
      <c r="L329" s="30">
        <v>0</v>
      </c>
      <c r="M329" s="19">
        <f>VLOOKUP(C329,'Fluxo de Caixa'!$B$13:$U$10027,20,FALSE)</f>
        <v>53164.691164245669</v>
      </c>
      <c r="N329" s="19">
        <f>SUMIFS([1]Master!$J$2:$J$100,[1]Master!$A$2:$A$100,"="&amp;$I$12,[1]Master!$E$2:$E$100,"="&amp;C329,[1]Master!$J$2:$J$100,"&gt;"&amp;0)</f>
        <v>0</v>
      </c>
      <c r="O329" s="19">
        <f ca="1">-SUMIF('[1]Fluxo de Movimentações'!$A$5:$F$10001,"="&amp;$C330,'[1]Fluxo de Movimentações'!$B$5:$B$10001)</f>
        <v>0</v>
      </c>
      <c r="P329" s="19">
        <f>-SUMIFS([1]Master!$J$1:$J$200,[1]Master!$A$1:$A$200,"="&amp;$I$12,[1]Master!$G$1:$G$200,"&gt;"&amp;C329,[1]Master!$E$1:$E$200,"&lt;="&amp;C329)</f>
        <v>0</v>
      </c>
      <c r="Q329" s="30">
        <v>42.806899999999999</v>
      </c>
      <c r="R329" s="32">
        <v>1.1505114000000001</v>
      </c>
      <c r="S329" s="30">
        <v>-211837.748600933</v>
      </c>
      <c r="T329" s="30">
        <v>0</v>
      </c>
      <c r="U329" s="30">
        <v>0</v>
      </c>
      <c r="V329" s="30">
        <v>0</v>
      </c>
    </row>
    <row r="330" spans="3:22" x14ac:dyDescent="0.25">
      <c r="C330" s="4">
        <v>45296</v>
      </c>
      <c r="D330" s="30">
        <v>17429346.592500001</v>
      </c>
      <c r="E330" s="32">
        <v>1.1647183000000001</v>
      </c>
      <c r="F330" s="38">
        <f t="shared" ref="F330" si="856">D330/TRUNC(E330,7)</f>
        <v>14964430.963693108</v>
      </c>
      <c r="G330" s="19">
        <f t="shared" ref="G330" si="857">H330*I330</f>
        <v>17618313.232402235</v>
      </c>
      <c r="H330" s="31">
        <v>1.2121099</v>
      </c>
      <c r="I330" s="19">
        <f>SUMIFS([1]Master!$K$2:$K$10000,[1]Master!$A$2:$A$10000,$I$12,[1]Master!$F$2:$F$10000,"&lt;="&amp;$C330)</f>
        <v>14535244.066897098</v>
      </c>
      <c r="J330" s="19">
        <f t="shared" si="853"/>
        <v>5080.9700528353605</v>
      </c>
      <c r="K330" s="19">
        <f>IF((NETWORKDAYS(DATE(YEAR(C330),MONTH(C330),1),C330,Feriados!$A$2:$A$842))&gt;=5,0,IF(NETWORKDAYS(DATE(YEAR(C330),MONTH(C330),1),C330,Feriados!$A$2:$A$842)=1,J329,K329))</f>
        <v>25194.388860572355</v>
      </c>
      <c r="L330" s="30">
        <v>0</v>
      </c>
      <c r="M330" s="19">
        <f>VLOOKUP(C330,'Fluxo de Caixa'!$B$13:$U$10027,20,FALSE)</f>
        <v>53164.691164245669</v>
      </c>
      <c r="N330" s="19">
        <f>SUMIFS([1]Master!$J$2:$J$100,[1]Master!$A$2:$A$100,"="&amp;$I$12,[1]Master!$E$2:$E$100,"="&amp;C330,[1]Master!$J$2:$J$100,"&gt;"&amp;0)</f>
        <v>0</v>
      </c>
      <c r="O330" s="19">
        <f ca="1">-SUMIF('[1]Fluxo de Movimentações'!$A$5:$F$10001,"="&amp;$C331,'[1]Fluxo de Movimentações'!$B$5:$B$10001)</f>
        <v>0</v>
      </c>
      <c r="P330" s="19">
        <f>-SUMIFS([1]Master!$J$1:$J$200,[1]Master!$A$1:$A$200,"="&amp;$I$12,[1]Master!$G$1:$G$200,"&gt;"&amp;C330,[1]Master!$E$1:$E$200,"&lt;="&amp;C330)</f>
        <v>0</v>
      </c>
      <c r="Q330" s="30">
        <v>-18.817499999999999</v>
      </c>
      <c r="R330" s="32">
        <v>1.1647183000000001</v>
      </c>
      <c r="S330" s="30">
        <v>-211837.748600933</v>
      </c>
      <c r="T330" s="30">
        <v>0</v>
      </c>
      <c r="U330" s="30">
        <v>0</v>
      </c>
      <c r="V330" s="30">
        <v>0</v>
      </c>
    </row>
    <row r="331" spans="3:22" x14ac:dyDescent="0.25">
      <c r="C331" s="4">
        <v>45299</v>
      </c>
      <c r="D331" s="30">
        <v>17662281.618099999</v>
      </c>
      <c r="E331" s="32">
        <v>1.1802842</v>
      </c>
      <c r="F331" s="38">
        <f t="shared" ref="F331" si="858">D331/TRUNC(E331,7)</f>
        <v>14964431.124385126</v>
      </c>
      <c r="G331" s="19">
        <f t="shared" ref="G331" si="859">H331*I331</f>
        <v>17640577.761028416</v>
      </c>
      <c r="H331" s="31">
        <v>1.2282268999999999</v>
      </c>
      <c r="I331" s="19">
        <f>SUMIFS([1]Master!$K$2:$K$10000,[1]Master!$A$2:$A$10000,$I$12,[1]Master!$F$2:$F$10000,"&lt;="&amp;$C331)</f>
        <v>14362637.523269044</v>
      </c>
      <c r="J331" s="19">
        <f t="shared" si="853"/>
        <v>6348.8598072219811</v>
      </c>
      <c r="K331" s="19">
        <f>IF((NETWORKDAYS(DATE(YEAR(C331),MONTH(C331),1),C331,Feriados!$A$2:$A$842))&gt;=5,0,IF(NETWORKDAYS(DATE(YEAR(C331),MONTH(C331),1),C331,Feriados!$A$2:$A$842)=1,J330,K330))</f>
        <v>0</v>
      </c>
      <c r="L331" s="30">
        <v>0</v>
      </c>
      <c r="M331" s="19">
        <f>VLOOKUP(C331,'Fluxo de Caixa'!$B$13:$U$10027,20,FALSE)</f>
        <v>27970.41116424567</v>
      </c>
      <c r="N331" s="19">
        <f>SUMIFS([1]Master!$J$2:$J$100,[1]Master!$A$2:$A$100,"="&amp;$I$12,[1]Master!$E$2:$E$100,"="&amp;C331,[1]Master!$J$2:$J$100,"&gt;"&amp;0)</f>
        <v>0</v>
      </c>
      <c r="O331" s="19">
        <f ca="1">-SUMIF('[1]Fluxo de Movimentações'!$A$5:$F$10001,"="&amp;$C332,'[1]Fluxo de Movimentações'!$B$5:$B$10001)</f>
        <v>0</v>
      </c>
      <c r="P331" s="19">
        <f>-SUMIFS([1]Master!$J$1:$J$200,[1]Master!$A$1:$A$200,"="&amp;$I$12,[1]Master!$G$1:$G$200,"&gt;"&amp;C331,[1]Master!$E$1:$E$200,"&lt;="&amp;C331)</f>
        <v>212000</v>
      </c>
      <c r="Q331" s="30">
        <v>-80.441900000000004</v>
      </c>
      <c r="R331" s="32">
        <v>1.1802842</v>
      </c>
      <c r="S331" s="30">
        <v>-211837.76</v>
      </c>
      <c r="T331" s="30">
        <v>0</v>
      </c>
      <c r="U331" s="30">
        <v>0</v>
      </c>
      <c r="V331" s="30">
        <v>0</v>
      </c>
    </row>
    <row r="332" spans="3:22" x14ac:dyDescent="0.25">
      <c r="C332" s="4">
        <v>45300</v>
      </c>
      <c r="D332" s="30">
        <v>17594355.723700002</v>
      </c>
      <c r="E332" s="32">
        <v>1.175745</v>
      </c>
      <c r="F332" s="38">
        <f t="shared" ref="F332" si="860">D332/TRUNC(E332,7)</f>
        <v>14964431.678382644</v>
      </c>
      <c r="G332" s="19">
        <f t="shared" ref="G332" si="861">H332*I332</f>
        <v>17573998.318525549</v>
      </c>
      <c r="H332" s="31">
        <v>1.2235913</v>
      </c>
      <c r="I332" s="19">
        <f>SUMIFS([1]Master!$K$2:$K$10000,[1]Master!$A$2:$A$10000,$I$12,[1]Master!$F$2:$F$10000,"&lt;="&amp;$C332)</f>
        <v>14362637.523269044</v>
      </c>
      <c r="J332" s="19">
        <f t="shared" si="853"/>
        <v>7633.694312281189</v>
      </c>
      <c r="K332" s="19">
        <f>IF((NETWORKDAYS(DATE(YEAR(C332),MONTH(C332),1),C332,Feriados!$A$2:$A$842))&gt;=5,0,IF(NETWORKDAYS(DATE(YEAR(C332),MONTH(C332),1),C332,Feriados!$A$2:$A$842)=1,J331,K331))</f>
        <v>0</v>
      </c>
      <c r="L332" s="30">
        <v>0</v>
      </c>
      <c r="M332" s="19">
        <f>VLOOKUP(C332,'Fluxo de Caixa'!$B$13:$U$10027,20,FALSE)</f>
        <v>27970.41116424567</v>
      </c>
      <c r="N332" s="19">
        <f>SUMIFS([1]Master!$J$2:$J$100,[1]Master!$A$2:$A$100,"="&amp;$I$12,[1]Master!$E$2:$E$100,"="&amp;C332,[1]Master!$J$2:$J$100,"&gt;"&amp;0)</f>
        <v>0</v>
      </c>
      <c r="O332" s="19">
        <f ca="1">-SUMIF('[1]Fluxo de Movimentações'!$A$5:$F$10001,"="&amp;$C333,'[1]Fluxo de Movimentações'!$B$5:$B$10001)</f>
        <v>0</v>
      </c>
      <c r="P332" s="19">
        <f>-SUMIFS([1]Master!$J$1:$J$200,[1]Master!$A$1:$A$200,"="&amp;$I$12,[1]Master!$G$1:$G$200,"&gt;"&amp;C332,[1]Master!$E$1:$E$200,"&lt;="&amp;C332)</f>
        <v>212000</v>
      </c>
      <c r="Q332" s="30">
        <v>-142.06630000000001</v>
      </c>
      <c r="R332" s="32">
        <v>1.175745</v>
      </c>
      <c r="S332" s="30">
        <v>-211837.76</v>
      </c>
      <c r="T332" s="30">
        <v>0</v>
      </c>
      <c r="U332" s="30">
        <v>0</v>
      </c>
      <c r="V332" s="30">
        <v>0</v>
      </c>
    </row>
    <row r="333" spans="3:22" x14ac:dyDescent="0.25">
      <c r="C333" s="4">
        <v>45301</v>
      </c>
      <c r="D333" s="30">
        <v>17552240.1193</v>
      </c>
      <c r="E333" s="32">
        <v>1.1729307</v>
      </c>
      <c r="F333" s="38">
        <f t="shared" ref="F333" si="862">D333/TRUNC(E333,7)</f>
        <v>14964430.651614798</v>
      </c>
      <c r="G333" s="19">
        <f t="shared" ref="G333" si="863">H333*I333</f>
        <v>17533224.226860743</v>
      </c>
      <c r="H333" s="31">
        <v>1.2207524000000001</v>
      </c>
      <c r="I333" s="19">
        <f>SUMIFS([1]Master!$K$2:$K$10000,[1]Master!$A$2:$A$10000,$I$12,[1]Master!$F$2:$F$10000,"&lt;="&amp;$C333)</f>
        <v>14362637.523269044</v>
      </c>
      <c r="J333" s="19">
        <f t="shared" si="853"/>
        <v>8913.5875795773954</v>
      </c>
      <c r="K333" s="19">
        <f>IF((NETWORKDAYS(DATE(YEAR(C333),MONTH(C333),1),C333,Feriados!$A$2:$A$842))&gt;=5,0,IF(NETWORKDAYS(DATE(YEAR(C333),MONTH(C333),1),C333,Feriados!$A$2:$A$842)=1,J332,K332))</f>
        <v>0</v>
      </c>
      <c r="L333" s="30">
        <v>0</v>
      </c>
      <c r="M333" s="19">
        <f>VLOOKUP(C333,'Fluxo de Caixa'!$B$13:$U$10027,20,FALSE)</f>
        <v>28132.651164245675</v>
      </c>
      <c r="N333" s="19">
        <f>SUMIFS([1]Master!$J$2:$J$100,[1]Master!$A$2:$A$100,"="&amp;$I$12,[1]Master!$E$2:$E$100,"="&amp;C333,[1]Master!$J$2:$J$100,"&gt;"&amp;0)</f>
        <v>0</v>
      </c>
      <c r="O333" s="19">
        <f ca="1">-SUMIF('[1]Fluxo de Movimentações'!$A$5:$F$10001,"="&amp;$C334,'[1]Fluxo de Movimentações'!$B$5:$B$10001)</f>
        <v>0</v>
      </c>
      <c r="P333" s="19">
        <f>-SUMIFS([1]Master!$J$1:$J$200,[1]Master!$A$1:$A$200,"="&amp;$I$12,[1]Master!$G$1:$G$200,"&gt;"&amp;C333,[1]Master!$E$1:$E$200,"&lt;="&amp;C333)</f>
        <v>0</v>
      </c>
      <c r="Q333" s="30">
        <v>-203.69069999999999</v>
      </c>
      <c r="R333" s="32">
        <v>1.1729307</v>
      </c>
      <c r="S333" s="30">
        <v>0</v>
      </c>
      <c r="T333" s="30">
        <v>0</v>
      </c>
      <c r="U333" s="30">
        <v>0</v>
      </c>
      <c r="V333" s="30">
        <v>0</v>
      </c>
    </row>
    <row r="334" spans="3:22" x14ac:dyDescent="0.25">
      <c r="C334" s="4">
        <v>45302</v>
      </c>
      <c r="D334" s="30">
        <v>17503575.344900001</v>
      </c>
      <c r="E334" s="32">
        <v>1.1696785999999999</v>
      </c>
      <c r="F334" s="38">
        <f t="shared" ref="F334" si="864">D334/TRUNC(E334,7)</f>
        <v>14964431.549743667</v>
      </c>
      <c r="G334" s="19">
        <f t="shared" ref="G334" si="865">H334*I334</f>
        <v>17485897.899957817</v>
      </c>
      <c r="H334" s="31">
        <v>1.2174573</v>
      </c>
      <c r="I334" s="19">
        <f>SUMIFS([1]Master!$K$2:$K$10000,[1]Master!$A$2:$A$10000,$I$12,[1]Master!$F$2:$F$10000,"&lt;="&amp;$C334)</f>
        <v>14362637.523269044</v>
      </c>
      <c r="J334" s="19">
        <f t="shared" ref="J334" si="866">((((1+1.85%)^(1/252))-1)*D333)+SUM(J333)</f>
        <v>10190.417166715819</v>
      </c>
      <c r="K334" s="19">
        <f>IF((NETWORKDAYS(DATE(YEAR(C334),MONTH(C334),1),C334,Feriados!$A$2:$A$842))&gt;=5,0,IF(NETWORKDAYS(DATE(YEAR(C334),MONTH(C334),1),C334,Feriados!$A$2:$A$842)=1,J333,K333))</f>
        <v>0</v>
      </c>
      <c r="L334" s="30">
        <v>0</v>
      </c>
      <c r="M334" s="19">
        <f>VLOOKUP(C334,'Fluxo de Caixa'!$B$13:$U$10027,20,FALSE)</f>
        <v>28132.651164245675</v>
      </c>
      <c r="N334" s="19">
        <f>SUMIFS([1]Master!$J$2:$J$100,[1]Master!$A$2:$A$100,"="&amp;$I$12,[1]Master!$E$2:$E$100,"="&amp;C334,[1]Master!$J$2:$J$100,"&gt;"&amp;0)</f>
        <v>0</v>
      </c>
      <c r="O334" s="19">
        <f ca="1">-SUMIF('[1]Fluxo de Movimentações'!$A$5:$F$10001,"="&amp;$C335,'[1]Fluxo de Movimentações'!$B$5:$B$10001)</f>
        <v>0</v>
      </c>
      <c r="P334" s="19">
        <f>-SUMIFS([1]Master!$J$1:$J$200,[1]Master!$A$1:$A$200,"="&amp;$I$12,[1]Master!$G$1:$G$200,"&gt;"&amp;C334,[1]Master!$E$1:$E$200,"&lt;="&amp;C334)</f>
        <v>0</v>
      </c>
      <c r="Q334" s="30">
        <v>-265.31509999999997</v>
      </c>
      <c r="R334" s="32">
        <v>1.1696785999999999</v>
      </c>
      <c r="S334" s="30">
        <v>0</v>
      </c>
      <c r="T334" s="30">
        <v>0</v>
      </c>
      <c r="U334" s="30">
        <v>0</v>
      </c>
      <c r="V334" s="30">
        <v>0</v>
      </c>
    </row>
    <row r="335" spans="3:22" x14ac:dyDescent="0.25">
      <c r="C335" s="4">
        <v>45303</v>
      </c>
      <c r="D335" s="30">
        <v>17621487.670499999</v>
      </c>
      <c r="E335" s="32">
        <v>1.1775580999999999</v>
      </c>
      <c r="F335" s="38">
        <f t="shared" ref="F335" si="867">D335/TRUNC(E335,7)</f>
        <v>14964431.623798436</v>
      </c>
      <c r="G335" s="19">
        <f t="shared" ref="G335" si="868">H335*I335</f>
        <v>17605145.134258509</v>
      </c>
      <c r="H335" s="31">
        <v>1.2257598999999999</v>
      </c>
      <c r="I335" s="19">
        <f>SUMIFS([1]Master!$K$2:$K$10000,[1]Master!$A$2:$A$10000,$I$12,[1]Master!$F$2:$F$10000,"&lt;="&amp;$C335)</f>
        <v>14362637.523269044</v>
      </c>
      <c r="J335" s="19">
        <f t="shared" ref="J335" si="869">((((1+1.85%)^(1/252))-1)*D334)+SUM(J334)</f>
        <v>11463.706657354707</v>
      </c>
      <c r="K335" s="19">
        <f>IF((NETWORKDAYS(DATE(YEAR(C335),MONTH(C335),1),C335,Feriados!$A$2:$A$842))&gt;=5,0,IF(NETWORKDAYS(DATE(YEAR(C335),MONTH(C335),1),C335,Feriados!$A$2:$A$842)=1,J334,K334))</f>
        <v>0</v>
      </c>
      <c r="L335" s="30">
        <v>0</v>
      </c>
      <c r="M335" s="19">
        <f>VLOOKUP(C335,'Fluxo de Caixa'!$B$13:$U$10027,20,FALSE)</f>
        <v>28132.651164245675</v>
      </c>
      <c r="N335" s="19">
        <f>SUMIFS([1]Master!$J$2:$J$100,[1]Master!$A$2:$A$100,"="&amp;$I$12,[1]Master!$E$2:$E$100,"="&amp;C335,[1]Master!$J$2:$J$100,"&gt;"&amp;0)</f>
        <v>0</v>
      </c>
      <c r="O335" s="19">
        <f ca="1">-SUMIF('[1]Fluxo de Movimentações'!$A$5:$F$10001,"="&amp;$C336,'[1]Fluxo de Movimentações'!$B$5:$B$10001)</f>
        <v>0</v>
      </c>
      <c r="P335" s="19">
        <f>-SUMIFS([1]Master!$J$1:$J$200,[1]Master!$A$1:$A$200,"="&amp;$I$12,[1]Master!$G$1:$G$200,"&gt;"&amp;C335,[1]Master!$E$1:$E$200,"&lt;="&amp;C335)</f>
        <v>0</v>
      </c>
      <c r="Q335" s="30">
        <v>-326.94</v>
      </c>
      <c r="R335" s="32">
        <v>1.1775580999999999</v>
      </c>
      <c r="S335" s="30">
        <v>0</v>
      </c>
      <c r="T335" s="30">
        <v>0</v>
      </c>
      <c r="U335" s="30">
        <v>0</v>
      </c>
      <c r="V335" s="30">
        <v>0</v>
      </c>
    </row>
    <row r="336" spans="3:22" x14ac:dyDescent="0.25">
      <c r="C336" s="4">
        <v>45306</v>
      </c>
      <c r="D336" s="30">
        <v>17674478.046100002</v>
      </c>
      <c r="E336" s="32">
        <v>1.1810992</v>
      </c>
      <c r="F336" s="38">
        <f t="shared" ref="F336" si="870">D336/TRUNC(E336,7)</f>
        <v>14964431.477135876</v>
      </c>
      <c r="G336" s="19">
        <f t="shared" ref="G336" si="871">H336*I336</f>
        <v>17659478.992009036</v>
      </c>
      <c r="H336" s="31">
        <v>1.2295429</v>
      </c>
      <c r="I336" s="19">
        <f>SUMIFS([1]Master!$K$2:$K$10000,[1]Master!$A$2:$A$10000,$I$12,[1]Master!$F$2:$F$10000,"&lt;="&amp;$C336)</f>
        <v>14362637.523269044</v>
      </c>
      <c r="J336" s="19">
        <f t="shared" ref="J336" si="872">((((1+1.85%)^(1/252))-1)*D335)+SUM(J335)</f>
        <v>12745.573625568599</v>
      </c>
      <c r="K336" s="19">
        <f>IF((NETWORKDAYS(DATE(YEAR(C336),MONTH(C336),1),C336,Feriados!$A$2:$A$842))&gt;=5,0,IF(NETWORKDAYS(DATE(YEAR(C336),MONTH(C336),1),C336,Feriados!$A$2:$A$842)=1,J335,K335))</f>
        <v>0</v>
      </c>
      <c r="L336" s="30">
        <v>0</v>
      </c>
      <c r="M336" s="19">
        <f>VLOOKUP(C336,'Fluxo de Caixa'!$B$13:$U$10027,20,FALSE)</f>
        <v>22952.771164245674</v>
      </c>
      <c r="N336" s="19">
        <f>SUMIFS([1]Master!$J$2:$J$100,[1]Master!$A$2:$A$100,"="&amp;$I$12,[1]Master!$E$2:$E$100,"="&amp;C336,[1]Master!$J$2:$J$100,"&gt;"&amp;0)</f>
        <v>0</v>
      </c>
      <c r="O336" s="19">
        <f ca="1">-SUMIF('[1]Fluxo de Movimentações'!$A$5:$F$10001,"="&amp;$C337,'[1]Fluxo de Movimentações'!$B$5:$B$10001)</f>
        <v>0</v>
      </c>
      <c r="P336" s="19">
        <f>-SUMIFS([1]Master!$J$1:$J$200,[1]Master!$A$1:$A$200,"="&amp;$I$12,[1]Master!$G$1:$G$200,"&gt;"&amp;C336,[1]Master!$E$1:$E$200,"&lt;="&amp;C336)</f>
        <v>0</v>
      </c>
      <c r="Q336" s="30">
        <v>4791.3161</v>
      </c>
      <c r="R336" s="32">
        <v>1.1810992</v>
      </c>
      <c r="S336" s="30">
        <v>0</v>
      </c>
      <c r="T336" s="30">
        <v>0</v>
      </c>
      <c r="U336" s="30">
        <v>0</v>
      </c>
      <c r="V336" s="30">
        <v>0</v>
      </c>
    </row>
    <row r="337" spans="3:22" x14ac:dyDescent="0.25">
      <c r="C337" s="4">
        <v>45307</v>
      </c>
      <c r="D337" s="30">
        <v>17404103.878699999</v>
      </c>
      <c r="E337" s="32">
        <v>1.1630313999999999</v>
      </c>
      <c r="F337" s="38">
        <f t="shared" ref="F337" si="873">D337/TRUNC(E337,7)</f>
        <v>14964431.638475109</v>
      </c>
      <c r="G337" s="19">
        <f t="shared" ref="G337" si="874">H337*I337</f>
        <v>17390462.482406951</v>
      </c>
      <c r="H337" s="31">
        <v>1.2108125999999999</v>
      </c>
      <c r="I337" s="19">
        <f>SUMIFS([1]Master!$K$2:$K$10000,[1]Master!$A$2:$A$10000,$I$12,[1]Master!$F$2:$F$10000,"&lt;="&amp;$C337)</f>
        <v>14362637.523269044</v>
      </c>
      <c r="J337" s="19">
        <f t="shared" ref="J337" si="875">((((1+1.85%)^(1/252))-1)*D336)+SUM(J336)</f>
        <v>14031.295354140131</v>
      </c>
      <c r="K337" s="19">
        <f>IF((NETWORKDAYS(DATE(YEAR(C337),MONTH(C337),1),C337,Feriados!$A$2:$A$842))&gt;=5,0,IF(NETWORKDAYS(DATE(YEAR(C337),MONTH(C337),1),C337,Feriados!$A$2:$A$842)=1,J336,K336))</f>
        <v>0</v>
      </c>
      <c r="L337" s="30">
        <v>0</v>
      </c>
      <c r="M337" s="19">
        <f>VLOOKUP(C337,'Fluxo de Caixa'!$B$13:$U$10027,20,FALSE)</f>
        <v>22952.771164245674</v>
      </c>
      <c r="N337" s="19">
        <f>SUMIFS([1]Master!$J$2:$J$100,[1]Master!$A$2:$A$100,"="&amp;$I$12,[1]Master!$E$2:$E$100,"="&amp;C337,[1]Master!$J$2:$J$100,"&gt;"&amp;0)</f>
        <v>0</v>
      </c>
      <c r="O337" s="19">
        <f ca="1">-SUMIF('[1]Fluxo de Movimentações'!$A$5:$F$10001,"="&amp;$C338,'[1]Fluxo de Movimentações'!$B$5:$B$10001)</f>
        <v>0</v>
      </c>
      <c r="P337" s="19">
        <f>-SUMIFS([1]Master!$J$1:$J$200,[1]Master!$A$1:$A$200,"="&amp;$I$12,[1]Master!$G$1:$G$200,"&gt;"&amp;C337,[1]Master!$E$1:$E$200,"&lt;="&amp;C337)</f>
        <v>0</v>
      </c>
      <c r="Q337" s="30">
        <v>4719.3787000000002</v>
      </c>
      <c r="R337" s="32">
        <v>1.1630313999999999</v>
      </c>
      <c r="S337" s="30">
        <v>0</v>
      </c>
      <c r="T337" s="30">
        <v>0</v>
      </c>
      <c r="U337" s="30">
        <v>0</v>
      </c>
      <c r="V337" s="30">
        <v>0</v>
      </c>
    </row>
    <row r="338" spans="3:22" x14ac:dyDescent="0.25">
      <c r="C338" s="4">
        <v>45308</v>
      </c>
      <c r="D338" s="30">
        <v>17314855.061299998</v>
      </c>
      <c r="E338" s="32">
        <v>1.1570674000000001</v>
      </c>
      <c r="F338" s="38">
        <f t="shared" ref="F338" si="876">D338/TRUNC(E338,7)</f>
        <v>14964430.819933219</v>
      </c>
      <c r="G338" s="19">
        <f t="shared" ref="G338" si="877">H338*I338</f>
        <v>17302551.650654528</v>
      </c>
      <c r="H338" s="31">
        <v>1.2046918</v>
      </c>
      <c r="I338" s="19">
        <f>SUMIFS([1]Master!$K$2:$K$10000,[1]Master!$A$2:$A$10000,$I$12,[1]Master!$F$2:$F$10000,"&lt;="&amp;$C338)</f>
        <v>14362637.523269044</v>
      </c>
      <c r="J338" s="19">
        <f t="shared" ref="J338" si="878">((((1+1.85%)^(1/252))-1)*D337)+SUM(J337)</f>
        <v>15297.348838989619</v>
      </c>
      <c r="K338" s="19">
        <f>IF((NETWORKDAYS(DATE(YEAR(C338),MONTH(C338),1),C338,Feriados!$A$2:$A$842))&gt;=5,0,IF(NETWORKDAYS(DATE(YEAR(C338),MONTH(C338),1),C338,Feriados!$A$2:$A$842)=1,J337,K337))</f>
        <v>0</v>
      </c>
      <c r="L338" s="30">
        <v>0</v>
      </c>
      <c r="M338" s="19">
        <f>VLOOKUP(C338,'Fluxo de Caixa'!$B$13:$U$10027,20,FALSE)</f>
        <v>22952.771164245674</v>
      </c>
      <c r="N338" s="19">
        <f>SUMIFS([1]Master!$J$2:$J$100,[1]Master!$A$2:$A$100,"="&amp;$I$12,[1]Master!$E$2:$E$100,"="&amp;C338,[1]Master!$J$2:$J$100,"&gt;"&amp;0)</f>
        <v>0</v>
      </c>
      <c r="O338" s="19">
        <f ca="1">-SUMIF('[1]Fluxo de Movimentações'!$A$5:$F$10001,"="&amp;$C339,'[1]Fluxo de Movimentações'!$B$5:$B$10001)</f>
        <v>0</v>
      </c>
      <c r="P338" s="19">
        <f>-SUMIFS([1]Master!$J$1:$J$200,[1]Master!$A$1:$A$200,"="&amp;$I$12,[1]Master!$G$1:$G$200,"&gt;"&amp;C338,[1]Master!$E$1:$E$200,"&lt;="&amp;C338)</f>
        <v>0</v>
      </c>
      <c r="Q338" s="30">
        <v>4647.4413000000004</v>
      </c>
      <c r="R338" s="32">
        <v>1.1570674000000001</v>
      </c>
      <c r="S338" s="30">
        <v>0</v>
      </c>
      <c r="T338" s="30">
        <v>0</v>
      </c>
      <c r="U338" s="30">
        <v>0</v>
      </c>
      <c r="V338" s="30">
        <v>0</v>
      </c>
    </row>
    <row r="339" spans="3:22" x14ac:dyDescent="0.25">
      <c r="C339" s="4">
        <v>45309</v>
      </c>
      <c r="D339" s="30">
        <v>17087607.8939</v>
      </c>
      <c r="E339" s="32">
        <v>1.1418815</v>
      </c>
      <c r="F339" s="38">
        <f t="shared" ref="F339" si="879">D339/TRUNC(E339,7)</f>
        <v>14964431.855582211</v>
      </c>
      <c r="G339" s="19">
        <f t="shared" ref="G339" si="880">H339*I339</f>
        <v>17076635.979996018</v>
      </c>
      <c r="H339" s="31">
        <v>1.1889624000000001</v>
      </c>
      <c r="I339" s="19">
        <f>SUMIFS([1]Master!$K$2:$K$10000,[1]Master!$A$2:$A$10000,$I$12,[1]Master!$F$2:$F$10000,"&lt;="&amp;$C339)</f>
        <v>14362637.523269044</v>
      </c>
      <c r="J339" s="19">
        <f t="shared" ref="J339" si="881">((((1+1.85%)^(1/252))-1)*D338)+SUM(J338)</f>
        <v>16556.909959907272</v>
      </c>
      <c r="K339" s="19">
        <f>IF((NETWORKDAYS(DATE(YEAR(C339),MONTH(C339),1),C339,Feriados!$A$2:$A$842))&gt;=5,0,IF(NETWORKDAYS(DATE(YEAR(C339),MONTH(C339),1),C339,Feriados!$A$2:$A$842)=1,J338,K338))</f>
        <v>0</v>
      </c>
      <c r="L339" s="30">
        <v>0</v>
      </c>
      <c r="M339" s="19">
        <f>VLOOKUP(C339,'Fluxo de Caixa'!$B$13:$U$10027,20,FALSE)</f>
        <v>22952.771164245674</v>
      </c>
      <c r="N339" s="19">
        <f>SUMIFS([1]Master!$J$2:$J$100,[1]Master!$A$2:$A$100,"="&amp;$I$12,[1]Master!$E$2:$E$100,"="&amp;C339,[1]Master!$J$2:$J$100,"&gt;"&amp;0)</f>
        <v>0</v>
      </c>
      <c r="O339" s="19">
        <f ca="1">-SUMIF('[1]Fluxo de Movimentações'!$A$5:$F$10001,"="&amp;$C340,'[1]Fluxo de Movimentações'!$B$5:$B$10001)</f>
        <v>0</v>
      </c>
      <c r="P339" s="19">
        <f>-SUMIFS([1]Master!$J$1:$J$200,[1]Master!$A$1:$A$200,"="&amp;$I$12,[1]Master!$G$1:$G$200,"&gt;"&amp;C339,[1]Master!$E$1:$E$200,"&lt;="&amp;C339)</f>
        <v>0</v>
      </c>
      <c r="Q339" s="30">
        <v>4575.5038999999997</v>
      </c>
      <c r="R339" s="32">
        <v>1.1418815</v>
      </c>
      <c r="S339" s="30">
        <v>0</v>
      </c>
      <c r="T339" s="30">
        <v>0</v>
      </c>
      <c r="U339" s="30">
        <v>0</v>
      </c>
      <c r="V339" s="30">
        <v>0</v>
      </c>
    </row>
    <row r="340" spans="3:22" x14ac:dyDescent="0.25">
      <c r="C340" s="4">
        <v>45310</v>
      </c>
      <c r="D340" s="30">
        <v>17200613.776500002</v>
      </c>
      <c r="E340" s="32">
        <v>1.1494332</v>
      </c>
      <c r="F340" s="38">
        <f t="shared" ref="F340" si="882">D340/TRUNC(E340,7)</f>
        <v>14964430.9704122</v>
      </c>
      <c r="G340" s="19">
        <f t="shared" ref="G340" si="883">H340*I340</f>
        <v>17190956.829626232</v>
      </c>
      <c r="H340" s="31">
        <v>1.196922</v>
      </c>
      <c r="I340" s="19">
        <f>SUMIFS([1]Master!$K$2:$K$10000,[1]Master!$A$2:$A$10000,$I$12,[1]Master!$F$2:$F$10000,"&lt;="&amp;$C340)</f>
        <v>14362637.523269044</v>
      </c>
      <c r="J340" s="19">
        <f t="shared" ref="J340" si="884">((((1+1.85%)^(1/252))-1)*D339)+SUM(J339)</f>
        <v>17799.940090765675</v>
      </c>
      <c r="K340" s="19">
        <f>IF((NETWORKDAYS(DATE(YEAR(C340),MONTH(C340),1),C340,Feriados!$A$2:$A$842))&gt;=5,0,IF(NETWORKDAYS(DATE(YEAR(C340),MONTH(C340),1),C340,Feriados!$A$2:$A$842)=1,J339,K339))</f>
        <v>0</v>
      </c>
      <c r="L340" s="30">
        <v>0</v>
      </c>
      <c r="M340" s="19">
        <f>VLOOKUP(C340,'Fluxo de Caixa'!$B$13:$U$10027,20,FALSE)</f>
        <v>22952.771164245674</v>
      </c>
      <c r="N340" s="19">
        <f>SUMIFS([1]Master!$J$2:$J$100,[1]Master!$A$2:$A$100,"="&amp;$I$12,[1]Master!$E$2:$E$100,"="&amp;C340,[1]Master!$J$2:$J$100,"&gt;"&amp;0)</f>
        <v>0</v>
      </c>
      <c r="O340" s="19">
        <f ca="1">-SUMIF('[1]Fluxo de Movimentações'!$A$5:$F$10001,"="&amp;$C341,'[1]Fluxo de Movimentações'!$B$5:$B$10001)</f>
        <v>0</v>
      </c>
      <c r="P340" s="19">
        <f>-SUMIFS([1]Master!$J$1:$J$200,[1]Master!$A$1:$A$200,"="&amp;$I$12,[1]Master!$G$1:$G$200,"&gt;"&amp;C340,[1]Master!$E$1:$E$200,"&lt;="&amp;C340)</f>
        <v>0</v>
      </c>
      <c r="Q340" s="30">
        <v>4503.5664999999999</v>
      </c>
      <c r="R340" s="32">
        <v>1.1494332</v>
      </c>
      <c r="S340" s="30">
        <v>0</v>
      </c>
      <c r="T340" s="30">
        <v>0</v>
      </c>
      <c r="U340" s="30">
        <v>0</v>
      </c>
      <c r="V340" s="30">
        <v>0</v>
      </c>
    </row>
    <row r="341" spans="3:22" x14ac:dyDescent="0.25">
      <c r="C341" s="4">
        <v>45313</v>
      </c>
      <c r="D341" s="30">
        <v>16915135.859099999</v>
      </c>
      <c r="E341" s="32">
        <v>1.1303561</v>
      </c>
      <c r="F341" s="38">
        <f t="shared" ref="F341" si="885">D341/TRUNC(E341,7)</f>
        <v>14964430.99577204</v>
      </c>
      <c r="G341" s="19">
        <f t="shared" ref="G341" si="886">H341*I341</f>
        <v>16906802.100074619</v>
      </c>
      <c r="H341" s="31">
        <v>1.1771377000000001</v>
      </c>
      <c r="I341" s="19">
        <f>SUMIFS([1]Master!$K$2:$K$10000,[1]Master!$A$2:$A$10000,$I$12,[1]Master!$F$2:$F$10000,"&lt;="&amp;$C341)</f>
        <v>14362637.523269044</v>
      </c>
      <c r="J341" s="19">
        <f t="shared" ref="J341" si="887">((((1+1.85%)^(1/252))-1)*D340)+SUM(J340)</f>
        <v>19051.190782272955</v>
      </c>
      <c r="K341" s="19">
        <f>IF((NETWORKDAYS(DATE(YEAR(C341),MONTH(C341),1),C341,Feriados!$A$2:$A$842))&gt;=5,0,IF(NETWORKDAYS(DATE(YEAR(C341),MONTH(C341),1),C341,Feriados!$A$2:$A$842)=1,J340,K340))</f>
        <v>0</v>
      </c>
      <c r="L341" s="30">
        <v>0</v>
      </c>
      <c r="M341" s="19">
        <f>VLOOKUP(C341,'Fluxo de Caixa'!$B$13:$U$10027,20,FALSE)</f>
        <v>22952.771164245674</v>
      </c>
      <c r="N341" s="19">
        <f>SUMIFS([1]Master!$J$2:$J$100,[1]Master!$A$2:$A$100,"="&amp;$I$12,[1]Master!$E$2:$E$100,"="&amp;C341,[1]Master!$J$2:$J$100,"&gt;"&amp;0)</f>
        <v>0</v>
      </c>
      <c r="O341" s="19">
        <f ca="1">-SUMIF('[1]Fluxo de Movimentações'!$A$5:$F$10001,"="&amp;$C342,'[1]Fluxo de Movimentações'!$B$5:$B$10001)</f>
        <v>0</v>
      </c>
      <c r="P341" s="19">
        <f>-SUMIFS([1]Master!$J$1:$J$200,[1]Master!$A$1:$A$200,"="&amp;$I$12,[1]Master!$G$1:$G$200,"&gt;"&amp;C341,[1]Master!$E$1:$E$200,"&lt;="&amp;C341)</f>
        <v>0</v>
      </c>
      <c r="Q341" s="30">
        <v>4431.6291000000001</v>
      </c>
      <c r="R341" s="32">
        <v>1.1303561</v>
      </c>
      <c r="S341" s="30">
        <v>0</v>
      </c>
      <c r="T341" s="30">
        <v>0</v>
      </c>
      <c r="U341" s="30">
        <v>0</v>
      </c>
      <c r="V341" s="30">
        <v>0</v>
      </c>
    </row>
    <row r="342" spans="3:22" x14ac:dyDescent="0.25">
      <c r="C342" s="4">
        <v>45314</v>
      </c>
      <c r="D342" s="30">
        <v>17175655.701699998</v>
      </c>
      <c r="E342" s="32">
        <v>1.1477653999999999</v>
      </c>
      <c r="F342" s="38">
        <f t="shared" ref="F342" si="888">D342/TRUNC(E342,7)</f>
        <v>14964430.624672951</v>
      </c>
      <c r="G342" s="19">
        <f t="shared" ref="G342" si="889">H342*I342</f>
        <v>17168624.3645413</v>
      </c>
      <c r="H342" s="31">
        <v>1.1953670999999999</v>
      </c>
      <c r="I342" s="19">
        <f>SUMIFS([1]Master!$K$2:$K$10000,[1]Master!$A$2:$A$10000,$I$12,[1]Master!$F$2:$F$10000,"&lt;="&amp;$C342)</f>
        <v>14362637.523269044</v>
      </c>
      <c r="J342" s="19">
        <f t="shared" ref="J342" si="890">((((1+1.85%)^(1/252))-1)*D341)+SUM(J341)</f>
        <v>20281.674514752016</v>
      </c>
      <c r="K342" s="19">
        <f>IF((NETWORKDAYS(DATE(YEAR(C342),MONTH(C342),1),C342,Feriados!$A$2:$A$842))&gt;=5,0,IF(NETWORKDAYS(DATE(YEAR(C342),MONTH(C342),1),C342,Feriados!$A$2:$A$842)=1,J341,K341))</f>
        <v>0</v>
      </c>
      <c r="L342" s="30">
        <v>0</v>
      </c>
      <c r="M342" s="19">
        <f>VLOOKUP(C342,'Fluxo de Caixa'!$B$13:$U$10027,20,FALSE)</f>
        <v>22952.771164245674</v>
      </c>
      <c r="N342" s="19">
        <f>SUMIFS([1]Master!$J$2:$J$100,[1]Master!$A$2:$A$100,"="&amp;$I$12,[1]Master!$E$2:$E$100,"="&amp;C342,[1]Master!$J$2:$J$100,"&gt;"&amp;0)</f>
        <v>0</v>
      </c>
      <c r="O342" s="19">
        <f ca="1">-SUMIF('[1]Fluxo de Movimentações'!$A$5:$F$10001,"="&amp;$C343,'[1]Fluxo de Movimentações'!$B$5:$B$10001)</f>
        <v>0</v>
      </c>
      <c r="P342" s="19">
        <f>-SUMIFS([1]Master!$J$1:$J$200,[1]Master!$A$1:$A$200,"="&amp;$I$12,[1]Master!$G$1:$G$200,"&gt;"&amp;C342,[1]Master!$E$1:$E$200,"&lt;="&amp;C342)</f>
        <v>0</v>
      </c>
      <c r="Q342" s="30">
        <v>4359.6917000000003</v>
      </c>
      <c r="R342" s="32">
        <v>1.1477653999999999</v>
      </c>
      <c r="S342" s="30">
        <v>0</v>
      </c>
      <c r="T342" s="30">
        <v>0</v>
      </c>
      <c r="U342" s="30">
        <v>0</v>
      </c>
      <c r="V342" s="30">
        <v>0</v>
      </c>
    </row>
    <row r="343" spans="3:22" x14ac:dyDescent="0.25">
      <c r="C343" s="4">
        <v>45315</v>
      </c>
      <c r="D343" s="30">
        <v>17172167.0143</v>
      </c>
      <c r="E343" s="32">
        <v>1.1475321999999999</v>
      </c>
      <c r="F343" s="38">
        <f t="shared" ref="F343" si="891">D343/TRUNC(E343,7)</f>
        <v>14964431.511638628</v>
      </c>
      <c r="G343" s="19">
        <f t="shared" ref="G343" si="892">H343*I343</f>
        <v>17166457.042539038</v>
      </c>
      <c r="H343" s="31">
        <v>1.1952162</v>
      </c>
      <c r="I343" s="19">
        <f>SUMIFS([1]Master!$K$2:$K$10000,[1]Master!$A$2:$A$10000,$I$12,[1]Master!$F$2:$F$10000,"&lt;="&amp;$C343)</f>
        <v>14362637.523269044</v>
      </c>
      <c r="J343" s="19">
        <f t="shared" ref="J343" si="893">((((1+1.85%)^(1/252))-1)*D342)+SUM(J342)</f>
        <v>21531.109642654534</v>
      </c>
      <c r="K343" s="19">
        <f>IF((NETWORKDAYS(DATE(YEAR(C343),MONTH(C343),1),C343,Feriados!$A$2:$A$842))&gt;=5,0,IF(NETWORKDAYS(DATE(YEAR(C343),MONTH(C343),1),C343,Feriados!$A$2:$A$842)=1,J342,K342))</f>
        <v>0</v>
      </c>
      <c r="L343" s="30">
        <v>0</v>
      </c>
      <c r="M343" s="19">
        <f>VLOOKUP(C343,'Fluxo de Caixa'!$B$13:$U$10027,20,FALSE)</f>
        <v>22952.771164245674</v>
      </c>
      <c r="N343" s="19">
        <f>SUMIFS([1]Master!$J$2:$J$100,[1]Master!$A$2:$A$100,"="&amp;$I$12,[1]Master!$E$2:$E$100,"="&amp;C343,[1]Master!$J$2:$J$100,"&gt;"&amp;0)</f>
        <v>0</v>
      </c>
      <c r="O343" s="19">
        <f ca="1">-SUMIF('[1]Fluxo de Movimentações'!$A$5:$F$10001,"="&amp;$C344,'[1]Fluxo de Movimentações'!$B$5:$B$10001)</f>
        <v>0</v>
      </c>
      <c r="P343" s="19">
        <f>-SUMIFS([1]Master!$J$1:$J$200,[1]Master!$A$1:$A$200,"="&amp;$I$12,[1]Master!$G$1:$G$200,"&gt;"&amp;C343,[1]Master!$E$1:$E$200,"&lt;="&amp;C343)</f>
        <v>0</v>
      </c>
      <c r="Q343" s="30">
        <v>4287.7542999999996</v>
      </c>
      <c r="R343" s="32">
        <v>1.1475321999999999</v>
      </c>
      <c r="S343" s="30">
        <v>0</v>
      </c>
      <c r="T343" s="30">
        <v>0</v>
      </c>
      <c r="U343" s="30">
        <v>0</v>
      </c>
      <c r="V343" s="30">
        <v>0</v>
      </c>
    </row>
    <row r="344" spans="3:22" x14ac:dyDescent="0.25">
      <c r="C344" s="4">
        <v>45316</v>
      </c>
      <c r="D344" s="30">
        <v>17264519.016899999</v>
      </c>
      <c r="E344" s="32">
        <v>1.1537037000000001</v>
      </c>
      <c r="F344" s="38">
        <f t="shared" ref="F344" si="894">D344/TRUNC(E344,7)</f>
        <v>14964430.65658886</v>
      </c>
      <c r="G344" s="19">
        <f t="shared" ref="G344" si="895">H344*I344</f>
        <v>17260130.1644658</v>
      </c>
      <c r="H344" s="31">
        <v>1.2017382000000001</v>
      </c>
      <c r="I344" s="19">
        <f>SUMIFS([1]Master!$K$2:$K$10000,[1]Master!$A$2:$A$10000,$I$12,[1]Master!$F$2:$F$10000,"&lt;="&amp;$C344)</f>
        <v>14362637.523269044</v>
      </c>
      <c r="J344" s="19">
        <f t="shared" ref="J344" si="896">((((1+1.85%)^(1/252))-1)*D343)+SUM(J343)</f>
        <v>22780.290987606142</v>
      </c>
      <c r="K344" s="19">
        <f>IF((NETWORKDAYS(DATE(YEAR(C344),MONTH(C344),1),C344,Feriados!$A$2:$A$842))&gt;=5,0,IF(NETWORKDAYS(DATE(YEAR(C344),MONTH(C344),1),C344,Feriados!$A$2:$A$842)=1,J343,K343))</f>
        <v>0</v>
      </c>
      <c r="L344" s="30">
        <v>0</v>
      </c>
      <c r="M344" s="19">
        <f>VLOOKUP(C344,'Fluxo de Caixa'!$B$13:$U$10027,20,FALSE)</f>
        <v>22952.771164245674</v>
      </c>
      <c r="N344" s="19">
        <f>SUMIFS([1]Master!$J$2:$J$100,[1]Master!$A$2:$A$100,"="&amp;$I$12,[1]Master!$E$2:$E$100,"="&amp;C344,[1]Master!$J$2:$J$100,"&gt;"&amp;0)</f>
        <v>0</v>
      </c>
      <c r="O344" s="19">
        <f ca="1">-SUMIF('[1]Fluxo de Movimentações'!$A$5:$F$10001,"="&amp;$C345,'[1]Fluxo de Movimentações'!$B$5:$B$10001)</f>
        <v>0</v>
      </c>
      <c r="P344" s="19">
        <f>-SUMIFS([1]Master!$J$1:$J$200,[1]Master!$A$1:$A$200,"="&amp;$I$12,[1]Master!$G$1:$G$200,"&gt;"&amp;C344,[1]Master!$E$1:$E$200,"&lt;="&amp;C344)</f>
        <v>0</v>
      </c>
      <c r="Q344" s="30">
        <v>4215.8168999999998</v>
      </c>
      <c r="R344" s="32">
        <v>1.1537037000000001</v>
      </c>
      <c r="S344" s="30">
        <v>0</v>
      </c>
      <c r="T344" s="30">
        <v>0</v>
      </c>
      <c r="U344" s="30">
        <v>0</v>
      </c>
      <c r="V344" s="30">
        <v>0</v>
      </c>
    </row>
    <row r="345" spans="3:22" x14ac:dyDescent="0.25">
      <c r="C345" s="4">
        <v>45317</v>
      </c>
      <c r="D345" s="30">
        <v>17139771.609499998</v>
      </c>
      <c r="E345" s="32">
        <v>1.1453674</v>
      </c>
      <c r="F345" s="38">
        <f t="shared" ref="F345" si="897">D345/TRUNC(E345,7)</f>
        <v>14964431.159381695</v>
      </c>
      <c r="G345" s="19">
        <f t="shared" ref="G345" si="898">H345*I345</f>
        <v>17136710.583964594</v>
      </c>
      <c r="H345" s="31">
        <v>1.1931451</v>
      </c>
      <c r="I345" s="19">
        <f>SUMIFS([1]Master!$K$2:$K$10000,[1]Master!$A$2:$A$10000,$I$12,[1]Master!$F$2:$F$10000,"&lt;="&amp;$C345)</f>
        <v>14362637.523269044</v>
      </c>
      <c r="J345" s="19">
        <f t="shared" ref="J345" si="899">((((1+1.85%)^(1/252))-1)*D344)+SUM(J344)</f>
        <v>24036.190436261306</v>
      </c>
      <c r="K345" s="19">
        <f>IF((NETWORKDAYS(DATE(YEAR(C345),MONTH(C345),1),C345,Feriados!$A$2:$A$842))&gt;=5,0,IF(NETWORKDAYS(DATE(YEAR(C345),MONTH(C345),1),C345,Feriados!$A$2:$A$842)=1,J344,K344))</f>
        <v>0</v>
      </c>
      <c r="L345" s="30">
        <v>0</v>
      </c>
      <c r="M345" s="19">
        <f>VLOOKUP(C345,'Fluxo de Caixa'!$B$13:$U$10027,20,FALSE)</f>
        <v>22952.771164245671</v>
      </c>
      <c r="N345" s="19">
        <f>SUMIFS([1]Master!$J$2:$J$100,[1]Master!$A$2:$A$100,"="&amp;$I$12,[1]Master!$E$2:$E$100,"="&amp;C345,[1]Master!$J$2:$J$100,"&gt;"&amp;0)</f>
        <v>1000000</v>
      </c>
      <c r="O345" s="19">
        <f ca="1">-SUMIF('[1]Fluxo de Movimentações'!$A$5:$F$10001,"="&amp;$C346,'[1]Fluxo de Movimentações'!$B$5:$B$10001)</f>
        <v>-1000000</v>
      </c>
      <c r="P345" s="19">
        <f>-SUMIFS([1]Master!$J$1:$J$200,[1]Master!$A$1:$A$200,"="&amp;$I$12,[1]Master!$G$1:$G$200,"&gt;"&amp;C345,[1]Master!$E$1:$E$200,"&lt;="&amp;C345)</f>
        <v>0</v>
      </c>
      <c r="Q345" s="30">
        <v>4143.8795</v>
      </c>
      <c r="R345" s="32">
        <v>1.1453674</v>
      </c>
      <c r="S345" s="30">
        <v>0</v>
      </c>
      <c r="T345" s="30">
        <v>0</v>
      </c>
      <c r="U345" s="30">
        <v>0</v>
      </c>
      <c r="V345" s="30">
        <v>0</v>
      </c>
    </row>
    <row r="346" spans="3:22" x14ac:dyDescent="0.25">
      <c r="C346" s="4">
        <v>45320</v>
      </c>
      <c r="D346" s="30">
        <v>18147482.642099999</v>
      </c>
      <c r="E346" s="32">
        <v>1.1458827</v>
      </c>
      <c r="F346" s="38">
        <f t="shared" ref="F346" si="900">D346/TRUNC(E346,7)</f>
        <v>15837120.712355634</v>
      </c>
      <c r="G346" s="19">
        <f t="shared" ref="G346" si="901">H346*I346</f>
        <v>18145740.374175478</v>
      </c>
      <c r="H346" s="31">
        <v>1.1937738</v>
      </c>
      <c r="I346" s="19">
        <f>SUMIFS([1]Master!$K$2:$K$10000,[1]Master!$A$2:$A$10000,$I$12,[1]Master!$F$2:$F$10000,"&lt;="&amp;$C346)</f>
        <v>15200317.157383984</v>
      </c>
      <c r="J346" s="19">
        <f t="shared" ref="J346" si="902">((((1+1.85%)^(1/252))-1)*D345)+SUM(J345)</f>
        <v>25283.015192478095</v>
      </c>
      <c r="K346" s="19">
        <f>IF((NETWORKDAYS(DATE(YEAR(C346),MONTH(C346),1),C346,Feriados!$A$2:$A$842))&gt;=5,0,IF(NETWORKDAYS(DATE(YEAR(C346),MONTH(C346),1),C346,Feriados!$A$2:$A$842)=1,J345,K345))</f>
        <v>0</v>
      </c>
      <c r="L346" s="30">
        <v>0</v>
      </c>
      <c r="M346" s="19">
        <f>VLOOKUP(C346,'Fluxo de Caixa'!$B$13:$U$10027,20,FALSE)</f>
        <v>22952.771164245671</v>
      </c>
      <c r="N346" s="19">
        <f>SUMIFS([1]Master!$J$2:$J$100,[1]Master!$A$2:$A$100,"="&amp;$I$12,[1]Master!$E$2:$E$100,"="&amp;C346,[1]Master!$J$2:$J$100,"&gt;"&amp;0)</f>
        <v>100000</v>
      </c>
      <c r="O346" s="19">
        <f ca="1">-SUMIF('[1]Fluxo de Movimentações'!$A$5:$F$10001,"="&amp;$C347,'[1]Fluxo de Movimentações'!$B$5:$B$10001)</f>
        <v>-100000</v>
      </c>
      <c r="P346" s="19">
        <f>-SUMIFS([1]Master!$J$1:$J$200,[1]Master!$A$1:$A$200,"="&amp;$I$12,[1]Master!$G$1:$G$200,"&gt;"&amp;C346,[1]Master!$E$1:$E$200,"&lt;="&amp;C346)</f>
        <v>0</v>
      </c>
      <c r="Q346" s="30">
        <v>4071.9421000000002</v>
      </c>
      <c r="R346" s="32">
        <v>1.1458827</v>
      </c>
      <c r="S346" s="30">
        <v>0</v>
      </c>
      <c r="T346" s="30">
        <v>0</v>
      </c>
      <c r="U346" s="30">
        <v>0</v>
      </c>
      <c r="V346" s="30">
        <v>0</v>
      </c>
    </row>
    <row r="347" spans="3:22" x14ac:dyDescent="0.25">
      <c r="C347" s="4">
        <v>45321</v>
      </c>
      <c r="D347" s="30">
        <v>17948859.190099999</v>
      </c>
      <c r="E347" s="32">
        <v>1.1334546000000001</v>
      </c>
      <c r="F347" s="38">
        <f t="shared" ref="F347" si="903">D347/TRUNC(E347,7)</f>
        <v>15835534.294977494</v>
      </c>
      <c r="G347" s="19">
        <f t="shared" ref="G347" si="904">H347*I347</f>
        <v>17950306.85641956</v>
      </c>
      <c r="H347" s="31">
        <v>1.1809166</v>
      </c>
      <c r="I347" s="19">
        <f>SUMIFS([1]Master!$K$2:$K$10000,[1]Master!$A$2:$A$10000,$I$12,[1]Master!$F$2:$F$10000,"&lt;="&amp;$C347)</f>
        <v>15200317.157383984</v>
      </c>
      <c r="J347" s="19">
        <f t="shared" ref="J347" si="905">((((1+1.85%)^(1/252))-1)*D346)+SUM(J346)</f>
        <v>26603.145421555564</v>
      </c>
      <c r="K347" s="19">
        <f>IF((NETWORKDAYS(DATE(YEAR(C347),MONTH(C347),1),C347,Feriados!$A$2:$A$842))&gt;=5,0,IF(NETWORKDAYS(DATE(YEAR(C347),MONTH(C347),1),C347,Feriados!$A$2:$A$842)=1,J346,K346))</f>
        <v>0</v>
      </c>
      <c r="L347" s="30">
        <v>0</v>
      </c>
      <c r="M347" s="19">
        <f>VLOOKUP(C347,'Fluxo de Caixa'!$B$13:$U$10027,20,FALSE)</f>
        <v>22952.771164245671</v>
      </c>
      <c r="N347" s="19">
        <f>SUMIFS([1]Master!$J$2:$J$100,[1]Master!$A$2:$A$100,"="&amp;$I$12,[1]Master!$E$2:$E$100,"="&amp;C347,[1]Master!$J$2:$J$100,"&gt;"&amp;0)</f>
        <v>1000000</v>
      </c>
      <c r="O347" s="19">
        <f ca="1">-SUMIF('[1]Fluxo de Movimentações'!$A$5:$F$10001,"="&amp;$C348,'[1]Fluxo de Movimentações'!$B$5:$B$10001)</f>
        <v>-1000000</v>
      </c>
      <c r="P347" s="19">
        <f>-SUMIFS([1]Master!$J$1:$J$200,[1]Master!$A$1:$A$200,"="&amp;$I$12,[1]Master!$G$1:$G$200,"&gt;"&amp;C347,[1]Master!$E$1:$E$200,"&lt;="&amp;C347)</f>
        <v>100000</v>
      </c>
      <c r="Q347" s="30">
        <v>4000.0047</v>
      </c>
      <c r="R347" s="32">
        <v>1.1334546000000001</v>
      </c>
      <c r="S347" s="30">
        <v>0</v>
      </c>
      <c r="T347" s="30">
        <v>100000</v>
      </c>
      <c r="U347" s="30">
        <v>-100000</v>
      </c>
      <c r="V347" s="30">
        <v>-1797.8746000000001</v>
      </c>
    </row>
    <row r="348" spans="3:22" x14ac:dyDescent="0.25">
      <c r="C348" s="4">
        <v>45322</v>
      </c>
      <c r="D348" s="30">
        <v>19068505.127300002</v>
      </c>
      <c r="E348" s="32">
        <v>1.1410100999999999</v>
      </c>
      <c r="F348" s="38">
        <f t="shared" ref="F348" si="906">D348/TRUNC(E348,7)</f>
        <v>16711951.215243408</v>
      </c>
      <c r="G348" s="19">
        <f t="shared" ref="G348" si="907">H348*I348</f>
        <v>19071424.50356131</v>
      </c>
      <c r="H348" s="31">
        <v>1.1888847</v>
      </c>
      <c r="I348" s="19">
        <f>SUMIFS([1]Master!$K$2:$K$10000,[1]Master!$A$2:$A$10000,$I$12,[1]Master!$F$2:$F$10000,"&lt;="&amp;$C348)</f>
        <v>16041441.616299134</v>
      </c>
      <c r="J348" s="19">
        <f t="shared" ref="J348" si="908">((((1+1.85%)^(1/252))-1)*D347)+SUM(J347)</f>
        <v>27908.826879508128</v>
      </c>
      <c r="K348" s="19">
        <f>IF((NETWORKDAYS(DATE(YEAR(C348),MONTH(C348),1),C348,Feriados!$A$2:$A$842))&gt;=5,0,IF(NETWORKDAYS(DATE(YEAR(C348),MONTH(C348),1),C348,Feriados!$A$2:$A$842)=1,J347,K347))</f>
        <v>0</v>
      </c>
      <c r="L348" s="30">
        <v>0</v>
      </c>
      <c r="M348" s="19">
        <f>VLOOKUP(C348,'Fluxo de Caixa'!$B$13:$U$10027,20,FALSE)</f>
        <v>22952.771164245671</v>
      </c>
      <c r="N348" s="19">
        <f>SUMIFS([1]Master!$J$2:$J$100,[1]Master!$A$2:$A$100,"="&amp;$I$12,[1]Master!$E$2:$E$100,"="&amp;C348,[1]Master!$J$2:$J$100,"&gt;"&amp;0)</f>
        <v>0</v>
      </c>
      <c r="O348" s="19">
        <f ca="1">-SUMIF('[1]Fluxo de Movimentações'!$A$5:$F$10001,"="&amp;$C349,'[1]Fluxo de Movimentações'!$B$5:$B$10001)</f>
        <v>0</v>
      </c>
      <c r="P348" s="19">
        <f>-SUMIFS([1]Master!$J$1:$J$200,[1]Master!$A$1:$A$200,"="&amp;$I$12,[1]Master!$G$1:$G$200,"&gt;"&amp;C348,[1]Master!$E$1:$E$200,"&lt;="&amp;C348)</f>
        <v>100000</v>
      </c>
      <c r="Q348" s="30">
        <v>3928.0673000000002</v>
      </c>
      <c r="R348" s="32">
        <v>1.141016</v>
      </c>
      <c r="S348" s="30">
        <v>0</v>
      </c>
      <c r="T348" s="30">
        <v>100000</v>
      </c>
      <c r="U348" s="30">
        <v>-100000</v>
      </c>
      <c r="V348" s="30">
        <v>-1797.8746000000001</v>
      </c>
    </row>
    <row r="349" spans="3:22" x14ac:dyDescent="0.25">
      <c r="C349" s="4">
        <v>45323</v>
      </c>
      <c r="D349" s="30">
        <v>19129304.745700002</v>
      </c>
      <c r="E349" s="32">
        <v>1.1446482</v>
      </c>
      <c r="F349" s="38">
        <f t="shared" ref="F349" si="909">D349/TRUNC(E349,7)</f>
        <v>16711951.100521542</v>
      </c>
      <c r="G349" s="19">
        <f t="shared" ref="G349" si="910">H349*I349</f>
        <v>19134152.956857689</v>
      </c>
      <c r="H349" s="31">
        <v>1.1927951000000001</v>
      </c>
      <c r="I349" s="19">
        <f>SUMIFS([1]Master!$K$2:$K$10000,[1]Master!$A$2:$A$10000,$I$12,[1]Master!$F$2:$F$10000,"&lt;="&amp;$C349)</f>
        <v>16041441.616299134</v>
      </c>
      <c r="J349" s="19">
        <f>((((1+1.85%)^(1/252))-1)*D348)</f>
        <v>1387.1295836629865</v>
      </c>
      <c r="K349" s="19">
        <f>IF((NETWORKDAYS(DATE(YEAR(C349),MONTH(C349),1),C349,Feriados!$A$2:$A$842))&gt;=5,0,IF(NETWORKDAYS(DATE(YEAR(C349),MONTH(C349),1),C349,Feriados!$A$2:$A$842)=1,J348,K348))</f>
        <v>27908.826879508128</v>
      </c>
      <c r="L349" s="30">
        <v>-559.66</v>
      </c>
      <c r="M349" s="19">
        <f>VLOOKUP(C349,'Fluxo de Caixa'!$B$13:$U$10027,20,FALSE)</f>
        <v>21154.901165048213</v>
      </c>
      <c r="N349" s="19">
        <f>SUMIFS([1]Master!$J$2:$J$100,[1]Master!$A$2:$A$100,"="&amp;$I$12,[1]Master!$E$2:$E$100,"="&amp;C349,[1]Master!$J$2:$J$100,"&gt;"&amp;0)</f>
        <v>0</v>
      </c>
      <c r="O349" s="19">
        <f ca="1">-SUMIF('[1]Fluxo de Movimentações'!$A$5:$F$10001,"="&amp;$C350,'[1]Fluxo de Movimentações'!$B$5:$B$10001)</f>
        <v>0</v>
      </c>
      <c r="P349" s="19">
        <f>-SUMIFS([1]Master!$J$1:$J$200,[1]Master!$A$1:$A$200,"="&amp;$I$12,[1]Master!$G$1:$G$200,"&gt;"&amp;C349,[1]Master!$E$1:$E$200,"&lt;="&amp;C349)</f>
        <v>0</v>
      </c>
      <c r="Q349" s="30">
        <v>3851.9157</v>
      </c>
      <c r="R349" s="32">
        <v>1.1446817</v>
      </c>
      <c r="S349" s="30">
        <v>0</v>
      </c>
      <c r="T349" s="30">
        <v>0</v>
      </c>
      <c r="U349" s="30">
        <v>0</v>
      </c>
      <c r="V349" s="30">
        <v>0</v>
      </c>
    </row>
    <row r="350" spans="3:22" x14ac:dyDescent="0.25">
      <c r="C350" s="4">
        <v>45324</v>
      </c>
      <c r="D350" s="30">
        <v>18938838.1941</v>
      </c>
      <c r="E350" s="32">
        <v>1.1332511999999999</v>
      </c>
      <c r="F350" s="38">
        <f t="shared" ref="F350" si="911">D350/TRUNC(E350,7)</f>
        <v>16711950.707927777</v>
      </c>
      <c r="G350" s="19">
        <f t="shared" ref="G350" si="912">H350*I350</f>
        <v>18916094.449566204</v>
      </c>
      <c r="H350" s="31">
        <v>1.1809783</v>
      </c>
      <c r="I350" s="19">
        <f>SUMIFS([1]Master!$K$2:$K$10000,[1]Master!$A$2:$A$10000,$I$12,[1]Master!$F$2:$F$10000,"&lt;="&amp;$C350)</f>
        <v>16017309.08143376</v>
      </c>
      <c r="J350" s="19">
        <f t="shared" ref="J350:J355" si="913">((((1+1.85%)^(1/252))-1)*D349) + SUM(J349)</f>
        <v>2778.6820074382435</v>
      </c>
      <c r="K350" s="19">
        <f>IF((NETWORKDAYS(DATE(YEAR(C350),MONTH(C350),1),C350,Feriados!$A$2:$A$842))&gt;=5,0,IF(NETWORKDAYS(DATE(YEAR(C350),MONTH(C350),1),C350,Feriados!$A$2:$A$842)=1,J349,K349))</f>
        <v>27908.826879508128</v>
      </c>
      <c r="L350" s="30">
        <v>0</v>
      </c>
      <c r="M350" s="19">
        <f>VLOOKUP(C350,'Fluxo de Caixa'!$B$13:$U$10027,20,FALSE)</f>
        <v>21154.901165048213</v>
      </c>
      <c r="N350" s="19">
        <f>SUMIFS([1]Master!$J$2:$J$100,[1]Master!$A$2:$A$100,"="&amp;$I$12,[1]Master!$E$2:$E$100,"="&amp;C350,[1]Master!$J$2:$J$100,"&gt;"&amp;0)</f>
        <v>0</v>
      </c>
      <c r="O350" s="19">
        <f ca="1">-SUMIF('[1]Fluxo de Movimentações'!$A$5:$F$10001,"="&amp;$C351,'[1]Fluxo de Movimentações'!$B$5:$B$10001)</f>
        <v>0</v>
      </c>
      <c r="P350" s="19">
        <f>-SUMIFS([1]Master!$J$1:$J$200,[1]Master!$A$1:$A$200,"="&amp;$I$12,[1]Master!$G$1:$G$200,"&gt;"&amp;C350,[1]Master!$E$1:$E$200,"&lt;="&amp;C350)</f>
        <v>28500</v>
      </c>
      <c r="Q350" s="30">
        <v>3775.7640999999999</v>
      </c>
      <c r="R350" s="32">
        <v>1.1332511999999999</v>
      </c>
      <c r="S350" s="30">
        <v>0</v>
      </c>
      <c r="T350" s="30">
        <v>28500</v>
      </c>
      <c r="U350" s="30">
        <v>0</v>
      </c>
      <c r="V350" s="30">
        <v>0</v>
      </c>
    </row>
    <row r="351" spans="3:22" x14ac:dyDescent="0.25">
      <c r="C351" s="4">
        <v>45327</v>
      </c>
      <c r="D351" s="30">
        <v>18949296.422499999</v>
      </c>
      <c r="E351" s="32">
        <v>1.133877</v>
      </c>
      <c r="F351" s="38">
        <f t="shared" ref="F351" si="914">D351/TRUNC(E351,7)</f>
        <v>16711950.610604148</v>
      </c>
      <c r="G351" s="19">
        <f t="shared" ref="G351" si="915">H351*I351</f>
        <v>18928006.522330064</v>
      </c>
      <c r="H351" s="31">
        <v>1.1817219999999999</v>
      </c>
      <c r="I351" s="19">
        <f>SUMIFS([1]Master!$K$2:$K$10000,[1]Master!$A$2:$A$10000,$I$12,[1]Master!$F$2:$F$10000,"&lt;="&amp;$C351)</f>
        <v>16017309.08143376</v>
      </c>
      <c r="J351" s="19">
        <f t="shared" si="913"/>
        <v>4156.3790300344972</v>
      </c>
      <c r="K351" s="19">
        <f>IF((NETWORKDAYS(DATE(YEAR(C351),MONTH(C351),1),C351,Feriados!$A$2:$A$842))&gt;=5,0,IF(NETWORKDAYS(DATE(YEAR(C351),MONTH(C351),1),C351,Feriados!$A$2:$A$842)=1,J350,K350))</f>
        <v>27908.826879508128</v>
      </c>
      <c r="L351" s="30">
        <v>0</v>
      </c>
      <c r="M351" s="19">
        <f>VLOOKUP(C351,'Fluxo de Caixa'!$B$13:$U$10027,20,FALSE)</f>
        <v>21154.901165048213</v>
      </c>
      <c r="N351" s="19">
        <f>SUMIFS([1]Master!$J$2:$J$100,[1]Master!$A$2:$A$100,"="&amp;$I$12,[1]Master!$E$2:$E$100,"="&amp;C351,[1]Master!$J$2:$J$100,"&gt;"&amp;0)</f>
        <v>0</v>
      </c>
      <c r="O351" s="19">
        <f ca="1">-SUMIF('[1]Fluxo de Movimentações'!$A$5:$F$10001,"="&amp;$C352,'[1]Fluxo de Movimentações'!$B$5:$B$10001)</f>
        <v>0</v>
      </c>
      <c r="P351" s="19">
        <f>-SUMIFS([1]Master!$J$1:$J$200,[1]Master!$A$1:$A$200,"="&amp;$I$12,[1]Master!$G$1:$G$200,"&gt;"&amp;C351,[1]Master!$E$1:$E$200,"&lt;="&amp;C351)</f>
        <v>28500</v>
      </c>
      <c r="Q351" s="30">
        <v>3699.6125000000002</v>
      </c>
      <c r="R351" s="32">
        <v>1.133877</v>
      </c>
      <c r="S351" s="30">
        <v>0</v>
      </c>
      <c r="T351" s="30">
        <v>28500</v>
      </c>
      <c r="U351" s="30">
        <v>0</v>
      </c>
      <c r="V351" s="30">
        <v>0</v>
      </c>
    </row>
    <row r="352" spans="3:22" x14ac:dyDescent="0.25">
      <c r="C352" s="4">
        <v>45328</v>
      </c>
      <c r="D352" s="30">
        <v>19206174.880899999</v>
      </c>
      <c r="E352" s="32">
        <v>1.1492479</v>
      </c>
      <c r="F352" s="38">
        <f t="shared" ref="F352" si="916">D352/TRUNC(E352,7)</f>
        <v>16711951.251683818</v>
      </c>
      <c r="G352" s="19">
        <f t="shared" ref="G352" si="917">H352*I352</f>
        <v>19187462.903485671</v>
      </c>
      <c r="H352" s="31">
        <v>1.1979204999999999</v>
      </c>
      <c r="I352" s="19">
        <f>SUMIFS([1]Master!$K$2:$K$10000,[1]Master!$A$2:$A$10000,$I$12,[1]Master!$F$2:$F$10000,"&lt;="&amp;$C352)</f>
        <v>16017309.08143376</v>
      </c>
      <c r="J352" s="19">
        <f t="shared" si="913"/>
        <v>5534.8368316173301</v>
      </c>
      <c r="K352" s="19">
        <f>IF((NETWORKDAYS(DATE(YEAR(C352),MONTH(C352),1),C352,Feriados!$A$2:$A$842))&gt;=5,0,IF(NETWORKDAYS(DATE(YEAR(C352),MONTH(C352),1),C352,Feriados!$A$2:$A$842)=1,J351,K351))</f>
        <v>27908.826879508128</v>
      </c>
      <c r="L352" s="30">
        <v>-1123.32</v>
      </c>
      <c r="M352" s="19">
        <f>VLOOKUP(C352,'Fluxo de Caixa'!$B$13:$U$10027,20,FALSE)</f>
        <v>49654.901165048213</v>
      </c>
      <c r="N352" s="19">
        <f>SUMIFS([1]Master!$J$2:$J$100,[1]Master!$A$2:$A$100,"="&amp;$I$12,[1]Master!$E$2:$E$100,"="&amp;C352,[1]Master!$J$2:$J$100,"&gt;"&amp;0)</f>
        <v>0</v>
      </c>
      <c r="O352" s="19">
        <f ca="1">-SUMIF('[1]Fluxo de Movimentações'!$A$5:$F$10001,"="&amp;$C353,'[1]Fluxo de Movimentações'!$B$5:$B$10001)</f>
        <v>0</v>
      </c>
      <c r="P352" s="19">
        <f>-SUMIFS([1]Master!$J$1:$J$200,[1]Master!$A$1:$A$200,"="&amp;$I$12,[1]Master!$G$1:$G$200,"&gt;"&amp;C352,[1]Master!$E$1:$E$200,"&lt;="&amp;C352)</f>
        <v>0</v>
      </c>
      <c r="Q352" s="30">
        <v>3623.4609</v>
      </c>
      <c r="R352" s="32">
        <v>1.1493150999999999</v>
      </c>
      <c r="S352" s="30">
        <v>0</v>
      </c>
      <c r="T352" s="30">
        <v>0</v>
      </c>
      <c r="U352" s="30">
        <v>0</v>
      </c>
      <c r="V352" s="30">
        <v>0</v>
      </c>
    </row>
    <row r="353" spans="3:22" x14ac:dyDescent="0.25">
      <c r="C353" s="4">
        <v>45329</v>
      </c>
      <c r="D353" s="30">
        <v>19173843.649300002</v>
      </c>
      <c r="E353" s="32">
        <v>1.1473133</v>
      </c>
      <c r="F353" s="38">
        <f t="shared" ref="F353" si="918">D353/TRUNC(E353,7)</f>
        <v>16711950.99830186</v>
      </c>
      <c r="G353" s="19">
        <f t="shared" ref="G353" si="919">H353*I353</f>
        <v>19156165.081540547</v>
      </c>
      <c r="H353" s="31">
        <v>1.1959664999999999</v>
      </c>
      <c r="I353" s="19">
        <f>SUMIFS([1]Master!$K$2:$K$10000,[1]Master!$A$2:$A$10000,$I$12,[1]Master!$F$2:$F$10000,"&lt;="&amp;$C353)</f>
        <v>16017309.08143376</v>
      </c>
      <c r="J353" s="19">
        <f t="shared" si="913"/>
        <v>6931.9811378146351</v>
      </c>
      <c r="K353" s="19">
        <f>IF((NETWORKDAYS(DATE(YEAR(C353),MONTH(C353),1),C353,Feriados!$A$2:$A$842))&gt;=5,0,IF(NETWORKDAYS(DATE(YEAR(C353),MONTH(C353),1),C353,Feriados!$A$2:$A$842)=1,J352,K352))</f>
        <v>0</v>
      </c>
      <c r="L353" s="30">
        <v>-683.44</v>
      </c>
      <c r="M353" s="19">
        <f>VLOOKUP(C353,'Fluxo de Caixa'!$B$13:$U$10027,20,FALSE)</f>
        <v>21746.074285540115</v>
      </c>
      <c r="N353" s="19">
        <f>SUMIFS([1]Master!$J$2:$J$100,[1]Master!$A$2:$A$100,"="&amp;$I$12,[1]Master!$E$2:$E$100,"="&amp;C353,[1]Master!$J$2:$J$100,"&gt;"&amp;0)</f>
        <v>0</v>
      </c>
      <c r="O353" s="19">
        <f ca="1">-SUMIF('[1]Fluxo de Movimentações'!$A$5:$F$10001,"="&amp;$C354,'[1]Fluxo de Movimentações'!$B$5:$B$10001)</f>
        <v>0</v>
      </c>
      <c r="P353" s="19">
        <f>-SUMIFS([1]Master!$J$1:$J$200,[1]Master!$A$1:$A$200,"="&amp;$I$12,[1]Master!$G$1:$G$200,"&gt;"&amp;C353,[1]Master!$E$1:$E$200,"&lt;="&amp;C353)</f>
        <v>0</v>
      </c>
      <c r="Q353" s="30">
        <v>3547.3092999999999</v>
      </c>
      <c r="R353" s="32">
        <v>1.1473542000000001</v>
      </c>
      <c r="S353" s="30">
        <v>0</v>
      </c>
      <c r="T353" s="30">
        <v>0</v>
      </c>
      <c r="U353" s="30">
        <v>0</v>
      </c>
      <c r="V353" s="30">
        <v>0</v>
      </c>
    </row>
    <row r="354" spans="3:22" x14ac:dyDescent="0.25">
      <c r="C354" s="4">
        <v>45330</v>
      </c>
      <c r="D354" s="30">
        <v>18779038.357700001</v>
      </c>
      <c r="E354" s="32">
        <v>1.1236892000000001</v>
      </c>
      <c r="F354" s="38">
        <f t="shared" ref="F354" si="920">D354/TRUNC(E354,7)</f>
        <v>16711950.562219517</v>
      </c>
      <c r="G354" s="19">
        <f t="shared" ref="G354" si="921">H354*I354</f>
        <v>18762147.28679182</v>
      </c>
      <c r="H354" s="31">
        <v>1.171367</v>
      </c>
      <c r="I354" s="19">
        <f>SUMIFS([1]Master!$K$2:$K$10000,[1]Master!$A$2:$A$10000,$I$12,[1]Master!$F$2:$F$10000,"&lt;="&amp;$C354)</f>
        <v>16017309.08143376</v>
      </c>
      <c r="J354" s="19">
        <f t="shared" si="913"/>
        <v>8326.7735235268683</v>
      </c>
      <c r="K354" s="19">
        <f>IF((NETWORKDAYS(DATE(YEAR(C354),MONTH(C354),1),C354,Feriados!$A$2:$A$842))&gt;=5,0,IF(NETWORKDAYS(DATE(YEAR(C354),MONTH(C354),1),C354,Feriados!$A$2:$A$842)=1,J353,K353))</f>
        <v>0</v>
      </c>
      <c r="L354" s="30">
        <v>0</v>
      </c>
      <c r="M354" s="19">
        <f>VLOOKUP(C354,'Fluxo de Caixa'!$B$13:$U$10027,20,FALSE)</f>
        <v>21746.074285540115</v>
      </c>
      <c r="N354" s="19">
        <f>SUMIFS([1]Master!$J$2:$J$100,[1]Master!$A$2:$A$100,"="&amp;$I$12,[1]Master!$E$2:$E$100,"="&amp;C354,[1]Master!$J$2:$J$100,"&gt;"&amp;0)</f>
        <v>0</v>
      </c>
      <c r="O354" s="19">
        <f ca="1">-SUMIF('[1]Fluxo de Movimentações'!$A$5:$F$10001,"="&amp;$C355,'[1]Fluxo de Movimentações'!$B$5:$B$10001)</f>
        <v>0</v>
      </c>
      <c r="P354" s="19">
        <f>-SUMIFS([1]Master!$J$1:$J$200,[1]Master!$A$1:$A$200,"="&amp;$I$12,[1]Master!$G$1:$G$200,"&gt;"&amp;C354,[1]Master!$E$1:$E$200,"&lt;="&amp;C354)</f>
        <v>0</v>
      </c>
      <c r="Q354" s="30">
        <v>3471.1577000000002</v>
      </c>
      <c r="R354" s="32">
        <v>1.1236892000000001</v>
      </c>
      <c r="S354" s="30">
        <v>0</v>
      </c>
      <c r="T354" s="30">
        <v>0</v>
      </c>
      <c r="U354" s="30">
        <v>0</v>
      </c>
      <c r="V354" s="30">
        <v>0</v>
      </c>
    </row>
    <row r="355" spans="3:22" x14ac:dyDescent="0.25">
      <c r="C355" s="4">
        <v>45331</v>
      </c>
      <c r="D355" s="30">
        <v>18825111.476100001</v>
      </c>
      <c r="E355" s="32">
        <v>1.1264460999999999</v>
      </c>
      <c r="F355" s="38">
        <f t="shared" ref="F355" si="922">D355/TRUNC(E355,7)</f>
        <v>16711950.510636952</v>
      </c>
      <c r="G355" s="19">
        <f t="shared" ref="G355" si="923">H355*I355</f>
        <v>18809662.634181891</v>
      </c>
      <c r="H355" s="31">
        <v>1.1743334999999999</v>
      </c>
      <c r="I355" s="19">
        <f>SUMIFS([1]Master!$K$2:$K$10000,[1]Master!$A$2:$A$10000,$I$12,[1]Master!$F$2:$F$10000,"&lt;="&amp;$C355)</f>
        <v>16017309.08143376</v>
      </c>
      <c r="J355" s="19">
        <f t="shared" si="913"/>
        <v>9692.8459809537417</v>
      </c>
      <c r="K355" s="19">
        <f>IF((NETWORKDAYS(DATE(YEAR(C355),MONTH(C355),1),C355,Feriados!$A$2:$A$842))&gt;=5,0,IF(NETWORKDAYS(DATE(YEAR(C355),MONTH(C355),1),C355,Feriados!$A$2:$A$842)=1,J354,K354))</f>
        <v>0</v>
      </c>
      <c r="L355" s="30">
        <v>0</v>
      </c>
      <c r="M355" s="19">
        <f>VLOOKUP(C355,'Fluxo de Caixa'!$B$13:$U$10027,20,FALSE)</f>
        <v>21739.314285540117</v>
      </c>
      <c r="N355" s="19">
        <f>SUMIFS([1]Master!$J$2:$J$100,[1]Master!$A$2:$A$100,"="&amp;$I$12,[1]Master!$E$2:$E$100,"="&amp;C355,[1]Master!$J$2:$J$100,"&gt;"&amp;0)</f>
        <v>0</v>
      </c>
      <c r="O355" s="19">
        <f ca="1">-SUMIF('[1]Fluxo de Movimentações'!$A$5:$F$10001,"="&amp;$C356,'[1]Fluxo de Movimentações'!$B$5:$B$10001)</f>
        <v>0</v>
      </c>
      <c r="P355" s="19">
        <f>-SUMIFS([1]Master!$J$1:$J$200,[1]Master!$A$1:$A$200,"="&amp;$I$12,[1]Master!$G$1:$G$200,"&gt;"&amp;C355,[1]Master!$E$1:$E$200,"&lt;="&amp;C355)</f>
        <v>0</v>
      </c>
      <c r="Q355" s="30">
        <v>3401.7660999999998</v>
      </c>
      <c r="R355" s="32">
        <v>1.1264460999999999</v>
      </c>
      <c r="S355" s="30">
        <v>0</v>
      </c>
      <c r="T355" s="30">
        <v>0</v>
      </c>
      <c r="U355" s="30">
        <v>0</v>
      </c>
      <c r="V355" s="30">
        <v>0</v>
      </c>
    </row>
    <row r="356" spans="3:22" x14ac:dyDescent="0.25">
      <c r="C356" s="4">
        <v>45336</v>
      </c>
      <c r="D356" s="30">
        <v>18554787.788699999</v>
      </c>
      <c r="E356" s="32">
        <v>1.1102706</v>
      </c>
      <c r="F356" s="38">
        <f t="shared" ref="F356" si="924">D356/TRUNC(E356,7)</f>
        <v>16711950.932232196</v>
      </c>
      <c r="G356" s="19">
        <f t="shared" ref="G356" si="925">H356*I356</f>
        <v>18540784.871824589</v>
      </c>
      <c r="H356" s="31">
        <v>1.1575468</v>
      </c>
      <c r="I356" s="19">
        <f>SUMIFS([1]Master!$K$2:$K$10000,[1]Master!$A$2:$A$10000,$I$12,[1]Master!$F$2:$F$10000,"&lt;="&amp;$C356)</f>
        <v>16017309.08143376</v>
      </c>
      <c r="J356" s="19">
        <f t="shared" ref="J356" si="926">((((1+1.85%)^(1/252))-1)*D355) + SUM(J355)</f>
        <v>11062.270006063431</v>
      </c>
      <c r="K356" s="19">
        <f>IF((NETWORKDAYS(DATE(YEAR(C356),MONTH(C356),1),C356,Feriados!$A$2:$A$842))&gt;=5,0,IF(NETWORKDAYS(DATE(YEAR(C356),MONTH(C356),1),C356,Feriados!$A$2:$A$842)=1,J355,K355))</f>
        <v>0</v>
      </c>
      <c r="L356" s="30">
        <v>0</v>
      </c>
      <c r="M356" s="19">
        <f>VLOOKUP(C356,'Fluxo de Caixa'!$B$13:$U$10027,20,FALSE)</f>
        <v>21739.314285540117</v>
      </c>
      <c r="N356" s="19">
        <f>SUMIFS([1]Master!$J$2:$J$100,[1]Master!$A$2:$A$100,"="&amp;$I$12,[1]Master!$E$2:$E$100,"="&amp;C356,[1]Master!$J$2:$J$100,"&gt;"&amp;0)</f>
        <v>0</v>
      </c>
      <c r="O356" s="19">
        <f ca="1">-SUMIF('[1]Fluxo de Movimentações'!$A$5:$F$10001,"="&amp;$C357,'[1]Fluxo de Movimentações'!$B$5:$B$10001)</f>
        <v>0</v>
      </c>
      <c r="P356" s="19">
        <f>-SUMIFS([1]Master!$J$1:$J$200,[1]Master!$A$1:$A$200,"="&amp;$I$12,[1]Master!$G$1:$G$200,"&gt;"&amp;C356,[1]Master!$E$1:$E$200,"&lt;="&amp;C356)</f>
        <v>0</v>
      </c>
      <c r="Q356" s="30">
        <v>3325.2586999999999</v>
      </c>
      <c r="R356" s="32">
        <v>1.1102706</v>
      </c>
      <c r="S356" s="30">
        <v>0</v>
      </c>
      <c r="T356" s="30">
        <v>0</v>
      </c>
      <c r="U356" s="30">
        <v>0</v>
      </c>
      <c r="V356" s="30">
        <v>0</v>
      </c>
    </row>
    <row r="357" spans="3:22" x14ac:dyDescent="0.25">
      <c r="C357" s="4">
        <v>45337</v>
      </c>
      <c r="D357" s="30">
        <v>18610226.181299999</v>
      </c>
      <c r="E357" s="32">
        <v>1.1135879</v>
      </c>
      <c r="F357" s="38">
        <f t="shared" ref="F357" si="927">D357/TRUNC(E357,7)</f>
        <v>16711950.786552189</v>
      </c>
      <c r="G357" s="19">
        <f t="shared" ref="G357" si="928">H357*I357</f>
        <v>18597649.522525497</v>
      </c>
      <c r="H357" s="31">
        <v>1.161097</v>
      </c>
      <c r="I357" s="19">
        <f>SUMIFS([1]Master!$K$2:$K$10000,[1]Master!$A$2:$A$10000,$I$12,[1]Master!$F$2:$F$10000,"&lt;="&amp;$C357)</f>
        <v>16017309.08143376</v>
      </c>
      <c r="J357" s="19">
        <f t="shared" ref="J357" si="929">((((1+1.85%)^(1/252))-1)*D356) + SUM(J356)</f>
        <v>12412.02945959532</v>
      </c>
      <c r="K357" s="19">
        <f>IF((NETWORKDAYS(DATE(YEAR(C357),MONTH(C357),1),C357,Feriados!$A$2:$A$842))&gt;=5,0,IF(NETWORKDAYS(DATE(YEAR(C357),MONTH(C357),1),C357,Feriados!$A$2:$A$842)=1,J356,K356))</f>
        <v>0</v>
      </c>
      <c r="L357" s="30">
        <v>0</v>
      </c>
      <c r="M357" s="19">
        <f>VLOOKUP(C357,'Fluxo de Caixa'!$B$13:$U$10027,20,FALSE)</f>
        <v>21739.314285540117</v>
      </c>
      <c r="N357" s="19">
        <f>SUMIFS([1]Master!$J$2:$J$100,[1]Master!$A$2:$A$100,"="&amp;$I$12,[1]Master!$E$2:$E$100,"="&amp;C357,[1]Master!$J$2:$J$100,"&gt;"&amp;0)</f>
        <v>0</v>
      </c>
      <c r="O357" s="19">
        <f ca="1">-SUMIF('[1]Fluxo de Movimentações'!$A$5:$F$10001,"="&amp;$C358,'[1]Fluxo de Movimentações'!$B$5:$B$10001)</f>
        <v>0</v>
      </c>
      <c r="P357" s="19">
        <f>-SUMIFS([1]Master!$J$1:$J$200,[1]Master!$A$1:$A$200,"="&amp;$I$12,[1]Master!$G$1:$G$200,"&gt;"&amp;C357,[1]Master!$E$1:$E$200,"&lt;="&amp;C357)</f>
        <v>0</v>
      </c>
      <c r="Q357" s="30">
        <v>3248.7512999999999</v>
      </c>
      <c r="R357" s="32">
        <v>1.1135879</v>
      </c>
      <c r="S357" s="30">
        <v>0</v>
      </c>
      <c r="T357" s="30">
        <v>0</v>
      </c>
      <c r="U357" s="30">
        <v>0</v>
      </c>
      <c r="V357" s="30">
        <v>0</v>
      </c>
    </row>
    <row r="358" spans="3:22" x14ac:dyDescent="0.25">
      <c r="C358" s="4">
        <v>45338</v>
      </c>
      <c r="D358" s="30">
        <v>18723326.0539</v>
      </c>
      <c r="E358" s="32">
        <v>1.1203555000000001</v>
      </c>
      <c r="F358" s="38">
        <f t="shared" ref="F358" si="930">D358/TRUNC(E358,7)</f>
        <v>16711950.853010494</v>
      </c>
      <c r="G358" s="19">
        <f t="shared" ref="G358" si="931">H358*I358</f>
        <v>18712179.68938138</v>
      </c>
      <c r="H358" s="31">
        <v>1.1682474</v>
      </c>
      <c r="I358" s="19">
        <f>SUMIFS([1]Master!$K$2:$K$10000,[1]Master!$A$2:$A$10000,$I$12,[1]Master!$F$2:$F$10000,"&lt;="&amp;$C358)</f>
        <v>16017309.08143376</v>
      </c>
      <c r="J358" s="19">
        <f t="shared" ref="J358" si="932">((((1+1.85%)^(1/252))-1)*D357) + SUM(J357)</f>
        <v>13765.82175334897</v>
      </c>
      <c r="K358" s="19">
        <f>IF((NETWORKDAYS(DATE(YEAR(C358),MONTH(C358),1),C358,Feriados!$A$2:$A$842))&gt;=5,0,IF(NETWORKDAYS(DATE(YEAR(C358),MONTH(C358),1),C358,Feriados!$A$2:$A$842)=1,J357,K357))</f>
        <v>0</v>
      </c>
      <c r="L358" s="30">
        <v>0</v>
      </c>
      <c r="M358" s="19">
        <f>VLOOKUP(C358,'Fluxo de Caixa'!$B$13:$U$10027,20,FALSE)</f>
        <v>21124.654285540117</v>
      </c>
      <c r="N358" s="19">
        <f>SUMIFS([1]Master!$J$2:$J$100,[1]Master!$A$2:$A$100,"="&amp;$I$12,[1]Master!$E$2:$E$100,"="&amp;C358,[1]Master!$J$2:$J$100,"&gt;"&amp;0)</f>
        <v>0</v>
      </c>
      <c r="O358" s="19">
        <f ca="1">-SUMIF('[1]Fluxo de Movimentações'!$A$5:$F$10001,"="&amp;$C359,'[1]Fluxo de Movimentações'!$B$5:$B$10001)</f>
        <v>0</v>
      </c>
      <c r="P358" s="19">
        <f>-SUMIFS([1]Master!$J$1:$J$200,[1]Master!$A$1:$A$200,"="&amp;$I$12,[1]Master!$G$1:$G$200,"&gt;"&amp;C358,[1]Master!$E$1:$E$200,"&lt;="&amp;C358)</f>
        <v>0</v>
      </c>
      <c r="Q358" s="30">
        <v>3786.9038999999998</v>
      </c>
      <c r="R358" s="32">
        <v>1.1203555000000001</v>
      </c>
      <c r="S358" s="30">
        <v>0</v>
      </c>
      <c r="T358" s="30">
        <v>0</v>
      </c>
      <c r="U358" s="30">
        <v>0</v>
      </c>
      <c r="V358" s="30">
        <v>0</v>
      </c>
    </row>
    <row r="359" spans="3:22" x14ac:dyDescent="0.25">
      <c r="C359" s="4">
        <v>45341</v>
      </c>
      <c r="D359" s="30">
        <v>18773940.991799999</v>
      </c>
      <c r="E359" s="32">
        <v>1.1233841</v>
      </c>
      <c r="F359" s="38">
        <f t="shared" ref="F359" si="933">D359/TRUNC(E359,7)</f>
        <v>16711951.853155123</v>
      </c>
      <c r="G359" s="19">
        <f t="shared" ref="G359" si="934">H359*I359</f>
        <v>18764234.342165131</v>
      </c>
      <c r="H359" s="31">
        <v>1.1714973</v>
      </c>
      <c r="I359" s="19">
        <f>SUMIFS([1]Master!$K$2:$K$10000,[1]Master!$A$2:$A$10000,$I$12,[1]Master!$F$2:$F$10000,"&lt;="&amp;$C359)</f>
        <v>16017309.08143376</v>
      </c>
      <c r="J359" s="19">
        <f t="shared" ref="J359" si="935">((((1+1.85%)^(1/252))-1)*D358) + SUM(J358)</f>
        <v>15127.841445010563</v>
      </c>
      <c r="K359" s="19">
        <f>IF((NETWORKDAYS(DATE(YEAR(C359),MONTH(C359),1),C359,Feriados!$A$2:$A$842))&gt;=5,0,IF(NETWORKDAYS(DATE(YEAR(C359),MONTH(C359),1),C359,Feriados!$A$2:$A$842)=1,J358,K358))</f>
        <v>0</v>
      </c>
      <c r="L359" s="30">
        <v>0</v>
      </c>
      <c r="M359" s="19">
        <f>VLOOKUP(C359,'Fluxo de Caixa'!$B$13:$U$10027,20,FALSE)</f>
        <v>20928.654285540117</v>
      </c>
      <c r="N359" s="19">
        <f>SUMIFS([1]Master!$J$2:$J$100,[1]Master!$A$2:$A$100,"="&amp;$I$12,[1]Master!$E$2:$E$100,"="&amp;C359,[1]Master!$J$2:$J$100,"&gt;"&amp;0)</f>
        <v>0</v>
      </c>
      <c r="O359" s="19">
        <f ca="1">-SUMIF('[1]Fluxo de Movimentações'!$A$5:$F$10001,"="&amp;$C360,'[1]Fluxo de Movimentações'!$B$5:$B$10001)</f>
        <v>0</v>
      </c>
      <c r="P359" s="19">
        <f>-SUMIFS([1]Master!$J$1:$J$200,[1]Master!$A$1:$A$200,"="&amp;$I$12,[1]Master!$G$1:$G$200,"&gt;"&amp;C359,[1]Master!$E$1:$E$200,"&lt;="&amp;C359)</f>
        <v>0</v>
      </c>
      <c r="Q359" s="30">
        <v>3905.2017999999998</v>
      </c>
      <c r="R359" s="32">
        <v>1.1233841</v>
      </c>
      <c r="S359" s="30">
        <v>0</v>
      </c>
      <c r="T359" s="30">
        <v>0</v>
      </c>
      <c r="U359" s="30">
        <v>0</v>
      </c>
      <c r="V359" s="30">
        <v>0</v>
      </c>
    </row>
    <row r="360" spans="3:22" x14ac:dyDescent="0.25">
      <c r="C360" s="4">
        <v>45342</v>
      </c>
      <c r="D360" s="30">
        <v>19123055.825199999</v>
      </c>
      <c r="E360" s="32">
        <v>1.1442743</v>
      </c>
      <c r="F360" s="38">
        <f t="shared" ref="F360" si="936">D360/TRUNC(E360,7)</f>
        <v>16711950.819134887</v>
      </c>
      <c r="G360" s="19">
        <f t="shared" ref="G360" si="937">H360*I360</f>
        <v>19114851.636226807</v>
      </c>
      <c r="H360" s="31">
        <v>1.1933872000000001</v>
      </c>
      <c r="I360" s="19">
        <f>SUMIFS([1]Master!$K$2:$K$10000,[1]Master!$A$2:$A$10000,$I$12,[1]Master!$F$2:$F$10000,"&lt;="&amp;$C360)</f>
        <v>16017309.08143376</v>
      </c>
      <c r="J360" s="19">
        <f t="shared" ref="J360" si="938">((((1+1.85%)^(1/252))-1)*D359) + SUM(J359)</f>
        <v>16493.543096913279</v>
      </c>
      <c r="K360" s="19">
        <f>IF((NETWORKDAYS(DATE(YEAR(C360),MONTH(C360),1),C360,Feriados!$A$2:$A$842))&gt;=5,0,IF(NETWORKDAYS(DATE(YEAR(C360),MONTH(C360),1),C360,Feriados!$A$2:$A$842)=1,J359,K359))</f>
        <v>0</v>
      </c>
      <c r="L360" s="30">
        <v>-54.61</v>
      </c>
      <c r="M360" s="19">
        <f>VLOOKUP(C360,'Fluxo de Caixa'!$B$13:$U$10027,20,FALSE)</f>
        <v>20928.654285540117</v>
      </c>
      <c r="N360" s="19">
        <f>SUMIFS([1]Master!$J$2:$J$100,[1]Master!$A$2:$A$100,"="&amp;$I$12,[1]Master!$E$2:$E$100,"="&amp;C360,[1]Master!$J$2:$J$100,"&gt;"&amp;0)</f>
        <v>0</v>
      </c>
      <c r="O360" s="19">
        <f ca="1">-SUMIF('[1]Fluxo de Movimentações'!$A$5:$F$10001,"="&amp;$C361,'[1]Fluxo de Movimentações'!$B$5:$B$10001)</f>
        <v>0</v>
      </c>
      <c r="P360" s="19">
        <f>-SUMIFS([1]Master!$J$1:$J$200,[1]Master!$A$1:$A$200,"="&amp;$I$12,[1]Master!$G$1:$G$200,"&gt;"&amp;C360,[1]Master!$E$1:$E$200,"&lt;="&amp;C360)</f>
        <v>0</v>
      </c>
      <c r="Q360" s="30">
        <v>3823.0452</v>
      </c>
      <c r="R360" s="32">
        <v>1.1442775000000001</v>
      </c>
      <c r="S360" s="30">
        <v>0</v>
      </c>
      <c r="T360" s="30">
        <v>0</v>
      </c>
      <c r="U360" s="30">
        <v>0</v>
      </c>
      <c r="V360" s="30">
        <v>0</v>
      </c>
    </row>
    <row r="361" spans="3:22" x14ac:dyDescent="0.25">
      <c r="C361" s="4">
        <v>45343</v>
      </c>
      <c r="D361" s="30">
        <v>19038771.638599999</v>
      </c>
      <c r="E361" s="32">
        <v>1.1392309</v>
      </c>
      <c r="F361" s="38">
        <f t="shared" ref="F361" si="939">D361/TRUNC(E361,7)</f>
        <v>16711951.579438372</v>
      </c>
      <c r="G361" s="19">
        <f t="shared" ref="G361" si="940">H361*I361</f>
        <v>19031986.087694008</v>
      </c>
      <c r="H361" s="31">
        <v>1.1882136999999999</v>
      </c>
      <c r="I361" s="19">
        <f>SUMIFS([1]Master!$K$2:$K$10000,[1]Master!$A$2:$A$10000,$I$12,[1]Master!$F$2:$F$10000,"&lt;="&amp;$C361)</f>
        <v>16017309.08143376</v>
      </c>
      <c r="J361" s="19">
        <f t="shared" ref="J361" si="941">((((1+1.85%)^(1/252))-1)*D360) + SUM(J360)</f>
        <v>17884.640945857755</v>
      </c>
      <c r="K361" s="19">
        <f>IF((NETWORKDAYS(DATE(YEAR(C361),MONTH(C361),1),C361,Feriados!$A$2:$A$842))&gt;=5,0,IF(NETWORKDAYS(DATE(YEAR(C361),MONTH(C361),1),C361,Feriados!$A$2:$A$842)=1,J360,K360))</f>
        <v>0</v>
      </c>
      <c r="L361" s="30">
        <v>0</v>
      </c>
      <c r="M361" s="19">
        <f>VLOOKUP(C361,'Fluxo de Caixa'!$B$13:$U$10027,20,FALSE)</f>
        <v>20928.654285540117</v>
      </c>
      <c r="N361" s="19">
        <f>SUMIFS([1]Master!$J$2:$J$100,[1]Master!$A$2:$A$100,"="&amp;$I$12,[1]Master!$E$2:$E$100,"="&amp;C361,[1]Master!$J$2:$J$100,"&gt;"&amp;0)</f>
        <v>0</v>
      </c>
      <c r="O361" s="19">
        <f ca="1">-SUMIF('[1]Fluxo de Movimentações'!$A$5:$F$10001,"="&amp;$C362,'[1]Fluxo de Movimentações'!$B$5:$B$10001)</f>
        <v>0</v>
      </c>
      <c r="P361" s="19">
        <f>-SUMIFS([1]Master!$J$1:$J$200,[1]Master!$A$1:$A$200,"="&amp;$I$12,[1]Master!$G$1:$G$200,"&gt;"&amp;C361,[1]Master!$E$1:$E$200,"&lt;="&amp;C361)</f>
        <v>0</v>
      </c>
      <c r="Q361" s="30">
        <v>3740.8886000000002</v>
      </c>
      <c r="R361" s="32">
        <v>1.1392309</v>
      </c>
      <c r="S361" s="30">
        <v>0</v>
      </c>
      <c r="T361" s="30">
        <v>0</v>
      </c>
      <c r="U361" s="30">
        <v>0</v>
      </c>
      <c r="V361" s="30">
        <v>0</v>
      </c>
    </row>
    <row r="362" spans="3:22" x14ac:dyDescent="0.25">
      <c r="C362" s="4">
        <v>45344</v>
      </c>
      <c r="D362" s="30">
        <v>19240126.011999998</v>
      </c>
      <c r="E362" s="32">
        <v>1.1512795</v>
      </c>
      <c r="F362" s="38">
        <f t="shared" ref="F362" si="942">D362/TRUNC(E362,7)</f>
        <v>16711950.496816801</v>
      </c>
      <c r="G362" s="19">
        <f t="shared" ref="G362" si="943">H362*I362</f>
        <v>19235295.393595558</v>
      </c>
      <c r="H362" s="31">
        <v>1.2009068000000001</v>
      </c>
      <c r="I362" s="19">
        <f>SUMIFS([1]Master!$K$2:$K$10000,[1]Master!$A$2:$A$10000,$I$12,[1]Master!$F$2:$F$10000,"&lt;="&amp;$C362)</f>
        <v>16017309.08143376</v>
      </c>
      <c r="J362" s="19">
        <f t="shared" ref="J362" si="944">((((1+1.85%)^(1/252))-1)*D361) + SUM(J361)</f>
        <v>19269.607580641114</v>
      </c>
      <c r="K362" s="19">
        <f>IF((NETWORKDAYS(DATE(YEAR(C362),MONTH(C362),1),C362,Feriados!$A$2:$A$842))&gt;=5,0,IF(NETWORKDAYS(DATE(YEAR(C362),MONTH(C362),1),C362,Feriados!$A$2:$A$842)=1,J361,K361))</f>
        <v>0</v>
      </c>
      <c r="L362" s="30">
        <v>-487.81</v>
      </c>
      <c r="M362" s="19">
        <f>VLOOKUP(C362,'Fluxo de Caixa'!$B$13:$U$10027,20,FALSE)</f>
        <v>20928.654285540117</v>
      </c>
      <c r="N362" s="19">
        <f>SUMIFS([1]Master!$J$2:$J$100,[1]Master!$A$2:$A$100,"="&amp;$I$12,[1]Master!$E$2:$E$100,"="&amp;C362,[1]Master!$J$2:$J$100,"&gt;"&amp;0)</f>
        <v>0</v>
      </c>
      <c r="O362" s="19">
        <f ca="1">-SUMIF('[1]Fluxo de Movimentações'!$A$5:$F$10001,"="&amp;$C363,'[1]Fluxo de Movimentações'!$B$5:$B$10001)</f>
        <v>0</v>
      </c>
      <c r="P362" s="19">
        <f>-SUMIFS([1]Master!$J$1:$J$200,[1]Master!$A$1:$A$200,"="&amp;$I$12,[1]Master!$G$1:$G$200,"&gt;"&amp;C362,[1]Master!$E$1:$E$200,"&lt;="&amp;C362)</f>
        <v>0</v>
      </c>
      <c r="Q362" s="30">
        <v>3658.732</v>
      </c>
      <c r="R362" s="32">
        <v>1.1513085999999999</v>
      </c>
      <c r="S362" s="30">
        <v>0</v>
      </c>
      <c r="T362" s="30">
        <v>0</v>
      </c>
      <c r="U362" s="30">
        <v>0</v>
      </c>
      <c r="V362" s="30">
        <v>0</v>
      </c>
    </row>
    <row r="363" spans="3:22" x14ac:dyDescent="0.25">
      <c r="C363" s="4">
        <v>45345</v>
      </c>
      <c r="D363" s="30">
        <v>19063494.255399998</v>
      </c>
      <c r="E363" s="32">
        <v>1.1407103000000001</v>
      </c>
      <c r="F363" s="38">
        <f t="shared" ref="F363" si="945">D363/TRUNC(E363,7)</f>
        <v>16711950.663897745</v>
      </c>
      <c r="G363" s="19">
        <f t="shared" ref="G363" si="946">H363*I363</f>
        <v>19059657.590863097</v>
      </c>
      <c r="H363" s="31">
        <v>1.1899413000000001</v>
      </c>
      <c r="I363" s="19">
        <f>SUMIFS([1]Master!$K$2:$K$10000,[1]Master!$A$2:$A$10000,$I$12,[1]Master!$F$2:$F$10000,"&lt;="&amp;$C363)</f>
        <v>16017309.08143376</v>
      </c>
      <c r="J363" s="19">
        <f t="shared" ref="J363" si="947">((((1+1.85%)^(1/252))-1)*D362) + SUM(J362)</f>
        <v>20669.221646163191</v>
      </c>
      <c r="K363" s="19">
        <f>IF((NETWORKDAYS(DATE(YEAR(C363),MONTH(C363),1),C363,Feriados!$A$2:$A$842))&gt;=5,0,IF(NETWORKDAYS(DATE(YEAR(C363),MONTH(C363),1),C363,Feriados!$A$2:$A$842)=1,J362,K362))</f>
        <v>0</v>
      </c>
      <c r="L363" s="30">
        <v>0</v>
      </c>
      <c r="M363" s="19">
        <f>VLOOKUP(C363,'Fluxo de Caixa'!$B$13:$U$10027,20,FALSE)</f>
        <v>20928.654285540106</v>
      </c>
      <c r="N363" s="19">
        <f>SUMIFS([1]Master!$J$2:$J$100,[1]Master!$A$2:$A$100,"="&amp;$I$12,[1]Master!$E$2:$E$100,"="&amp;C363,[1]Master!$J$2:$J$100,"&gt;"&amp;0)</f>
        <v>400000</v>
      </c>
      <c r="O363" s="19">
        <f ca="1">-SUMIF('[1]Fluxo de Movimentações'!$A$5:$F$10001,"="&amp;$C364,'[1]Fluxo de Movimentações'!$B$5:$B$10001)</f>
        <v>-400000</v>
      </c>
      <c r="P363" s="19">
        <f>-SUMIFS([1]Master!$J$1:$J$200,[1]Master!$A$1:$A$200,"="&amp;$I$12,[1]Master!$G$1:$G$200,"&gt;"&amp;C363,[1]Master!$E$1:$E$200,"&lt;="&amp;C363)</f>
        <v>0</v>
      </c>
      <c r="Q363" s="30">
        <v>3576.5754000000002</v>
      </c>
      <c r="R363" s="32">
        <v>1.1407103000000001</v>
      </c>
      <c r="S363" s="30">
        <v>0</v>
      </c>
      <c r="T363" s="30">
        <v>0</v>
      </c>
      <c r="U363" s="30">
        <v>0</v>
      </c>
      <c r="V363" s="30">
        <v>0</v>
      </c>
    </row>
    <row r="364" spans="3:22" x14ac:dyDescent="0.25">
      <c r="C364" s="4">
        <v>45348</v>
      </c>
      <c r="D364" s="30">
        <v>19473972.648800001</v>
      </c>
      <c r="E364" s="32">
        <v>1.1413373</v>
      </c>
      <c r="F364" s="38">
        <f t="shared" ref="F364" si="948">D364/TRUNC(E364,7)</f>
        <v>17062416.735876415</v>
      </c>
      <c r="G364" s="19">
        <f t="shared" ref="G364" si="949">H364*I364</f>
        <v>19471604.901706934</v>
      </c>
      <c r="H364" s="31">
        <v>1.1906871999999999</v>
      </c>
      <c r="I364" s="19">
        <f>SUMIFS([1]Master!$K$2:$K$10000,[1]Master!$A$2:$A$10000,$I$12,[1]Master!$F$2:$F$10000,"&lt;="&amp;$C364)</f>
        <v>16353249.536659952</v>
      </c>
      <c r="J364" s="19">
        <f t="shared" ref="J364" si="950">((((1+1.85%)^(1/252))-1)*D363) + SUM(J363)</f>
        <v>22055.986716268031</v>
      </c>
      <c r="K364" s="19">
        <f>IF((NETWORKDAYS(DATE(YEAR(C364),MONTH(C364),1),C364,Feriados!$A$2:$A$842))&gt;=5,0,IF(NETWORKDAYS(DATE(YEAR(C364),MONTH(C364),1),C364,Feriados!$A$2:$A$842)=1,J363,K363))</f>
        <v>0</v>
      </c>
      <c r="L364" s="30">
        <v>0</v>
      </c>
      <c r="M364" s="19">
        <f>VLOOKUP(C364,'Fluxo de Caixa'!$B$13:$U$10027,20,FALSE)</f>
        <v>20928.654285540106</v>
      </c>
      <c r="N364" s="19">
        <f>SUMIFS([1]Master!$J$2:$J$100,[1]Master!$A$2:$A$100,"="&amp;$I$12,[1]Master!$E$2:$E$100,"="&amp;C364,[1]Master!$J$2:$J$100,"&gt;"&amp;0)</f>
        <v>0</v>
      </c>
      <c r="O364" s="19">
        <f ca="1">-SUMIF('[1]Fluxo de Movimentações'!$A$5:$F$10001,"="&amp;$C365,'[1]Fluxo de Movimentações'!$B$5:$B$10001)</f>
        <v>0</v>
      </c>
      <c r="P364" s="19">
        <f>-SUMIFS([1]Master!$J$1:$J$200,[1]Master!$A$1:$A$200,"="&amp;$I$12,[1]Master!$G$1:$G$200,"&gt;"&amp;C364,[1]Master!$E$1:$E$200,"&lt;="&amp;C364)</f>
        <v>0</v>
      </c>
      <c r="Q364" s="30">
        <v>3494.4187999999999</v>
      </c>
      <c r="R364" s="32">
        <v>1.1413373</v>
      </c>
      <c r="S364" s="30">
        <v>0</v>
      </c>
      <c r="T364" s="30">
        <v>0</v>
      </c>
      <c r="U364" s="30">
        <v>0</v>
      </c>
      <c r="V364" s="30">
        <v>0</v>
      </c>
    </row>
    <row r="365" spans="3:22" x14ac:dyDescent="0.25">
      <c r="C365" s="4">
        <v>45349</v>
      </c>
      <c r="D365" s="30">
        <v>19751022.863600001</v>
      </c>
      <c r="E365" s="32">
        <v>1.1575747000000001</v>
      </c>
      <c r="F365" s="38">
        <f t="shared" ref="F365" si="951">D365/TRUNC(E365,7)</f>
        <v>17062417.538669426</v>
      </c>
      <c r="G365" s="19">
        <f t="shared" ref="G365" si="952">H365*I365</f>
        <v>19752267.546879862</v>
      </c>
      <c r="H365" s="31">
        <v>1.2078496999999999</v>
      </c>
      <c r="I365" s="19">
        <f>SUMIFS([1]Master!$K$2:$K$10000,[1]Master!$A$2:$A$10000,$I$12,[1]Master!$F$2:$F$10000,"&lt;="&amp;$C365)</f>
        <v>16353249.536659952</v>
      </c>
      <c r="J365" s="19">
        <f t="shared" ref="J365" si="953">((((1+1.85%)^(1/252))-1)*D364) + SUM(J364)</f>
        <v>23472.611847197695</v>
      </c>
      <c r="K365" s="19">
        <f>IF((NETWORKDAYS(DATE(YEAR(C365),MONTH(C365),1),C365,Feriados!$A$2:$A$842))&gt;=5,0,IF(NETWORKDAYS(DATE(YEAR(C365),MONTH(C365),1),C365,Feriados!$A$2:$A$842)=1,J364,K364))</f>
        <v>0</v>
      </c>
      <c r="L365" s="30">
        <v>-2113.66</v>
      </c>
      <c r="M365" s="19">
        <f>VLOOKUP(C365,'Fluxo de Caixa'!$B$13:$U$10027,20,FALSE)</f>
        <v>20928.654285540106</v>
      </c>
      <c r="N365" s="19">
        <f>SUMIFS([1]Master!$J$2:$J$100,[1]Master!$A$2:$A$100,"="&amp;$I$12,[1]Master!$E$2:$E$100,"="&amp;C365,[1]Master!$J$2:$J$100,"&gt;"&amp;0)</f>
        <v>0</v>
      </c>
      <c r="O365" s="19">
        <f ca="1">-SUMIF('[1]Fluxo de Movimentações'!$A$5:$F$10001,"="&amp;$C366,'[1]Fluxo de Movimentações'!$B$5:$B$10001)</f>
        <v>0</v>
      </c>
      <c r="P365" s="19">
        <f>-SUMIFS([1]Master!$J$1:$J$200,[1]Master!$A$1:$A$200,"="&amp;$I$12,[1]Master!$G$1:$G$200,"&gt;"&amp;C365,[1]Master!$E$1:$E$200,"&lt;="&amp;C365)</f>
        <v>0</v>
      </c>
      <c r="Q365" s="30">
        <v>3412.2636000000002</v>
      </c>
      <c r="R365" s="32">
        <v>1.1576986</v>
      </c>
      <c r="S365" s="30">
        <v>0</v>
      </c>
      <c r="T365" s="30">
        <v>0</v>
      </c>
      <c r="U365" s="30">
        <v>0</v>
      </c>
      <c r="V365" s="30">
        <v>0</v>
      </c>
    </row>
    <row r="366" spans="3:22" x14ac:dyDescent="0.25">
      <c r="C366" s="4">
        <v>45350</v>
      </c>
      <c r="D366" s="30">
        <v>19528077.353700001</v>
      </c>
      <c r="E366" s="32">
        <v>1.1445083</v>
      </c>
      <c r="F366" s="38">
        <f t="shared" ref="F366" si="954">D366/TRUNC(E366,7)</f>
        <v>17062416.544904042</v>
      </c>
      <c r="G366" s="19">
        <f t="shared" ref="G366" si="955">H366*I366</f>
        <v>19528820.015860848</v>
      </c>
      <c r="H366" s="31">
        <v>1.1941858999999999</v>
      </c>
      <c r="I366" s="19">
        <f>SUMIFS([1]Master!$K$2:$K$10000,[1]Master!$A$2:$A$10000,$I$12,[1]Master!$F$2:$F$10000,"&lt;="&amp;$C366)</f>
        <v>16353249.536659952</v>
      </c>
      <c r="J366" s="19">
        <f t="shared" ref="J366" si="956">((((1+1.85%)^(1/252))-1)*D365) + SUM(J365)</f>
        <v>24909.390867828919</v>
      </c>
      <c r="K366" s="19">
        <f>IF((NETWORKDAYS(DATE(YEAR(C366),MONTH(C366),1),C366,Feriados!$A$2:$A$842))&gt;=5,0,IF(NETWORKDAYS(DATE(YEAR(C366),MONTH(C366),1),C366,Feriados!$A$2:$A$842)=1,J365,K365))</f>
        <v>0</v>
      </c>
      <c r="L366" s="30">
        <v>-97.379885687243203</v>
      </c>
      <c r="M366" s="19">
        <f>VLOOKUP(C366,'Fluxo de Caixa'!$B$13:$U$10027,20,FALSE)</f>
        <v>20928.654285540106</v>
      </c>
      <c r="N366" s="19">
        <f>SUMIFS([1]Master!$J$2:$J$100,[1]Master!$A$2:$A$100,"="&amp;$I$12,[1]Master!$E$2:$E$100,"="&amp;C366,[1]Master!$J$2:$J$100,"&gt;"&amp;0)</f>
        <v>0</v>
      </c>
      <c r="O366" s="19">
        <f ca="1">-SUMIF('[1]Fluxo de Movimentações'!$A$5:$F$10001,"="&amp;$C367,'[1]Fluxo de Movimentações'!$B$5:$B$10001)</f>
        <v>0</v>
      </c>
      <c r="P366" s="19">
        <f>-SUMIFS([1]Master!$J$1:$J$200,[1]Master!$A$1:$A$200,"="&amp;$I$12,[1]Master!$G$1:$G$200,"&gt;"&amp;C366,[1]Master!$E$1:$E$200,"&lt;="&amp;C366)</f>
        <v>0</v>
      </c>
      <c r="Q366" s="30">
        <v>3334.7737000000002</v>
      </c>
      <c r="R366" s="32">
        <v>1.144514</v>
      </c>
      <c r="S366" s="30">
        <v>0</v>
      </c>
      <c r="T366" s="30">
        <v>0</v>
      </c>
      <c r="U366" s="30">
        <v>0</v>
      </c>
      <c r="V366" s="30">
        <v>0</v>
      </c>
    </row>
    <row r="367" spans="3:22" x14ac:dyDescent="0.25">
      <c r="C367" s="4">
        <v>45351</v>
      </c>
      <c r="D367" s="30">
        <v>19495284.983800001</v>
      </c>
      <c r="E367" s="32">
        <v>1.1425863000000001</v>
      </c>
      <c r="F367" s="38">
        <f t="shared" ref="F367" si="957">D367/TRUNC(E367,7)</f>
        <v>17062417.940596696</v>
      </c>
      <c r="G367" s="19">
        <f t="shared" ref="G367" si="958">H367*I367</f>
        <v>19497428.318050276</v>
      </c>
      <c r="H367" s="31">
        <v>1.1922663</v>
      </c>
      <c r="I367" s="19">
        <f>SUMIFS([1]Master!$K$2:$K$10000,[1]Master!$A$2:$A$10000,$I$12,[1]Master!$F$2:$F$10000,"&lt;="&amp;$C367)</f>
        <v>16353249.536659952</v>
      </c>
      <c r="J367" s="19">
        <f t="shared" ref="J367:J369" si="959">((((1+1.85%)^(1/252))-1)*D366) + SUM(J366)</f>
        <v>26329.951820485621</v>
      </c>
      <c r="K367" s="19">
        <f>IF((NETWORKDAYS(DATE(YEAR(C367),MONTH(C367),1),C367,Feriados!$A$2:$A$842))&gt;=5,0,IF(NETWORKDAYS(DATE(YEAR(C367),MONTH(C367),1),C367,Feriados!$A$2:$A$842)=1,J366,K366))</f>
        <v>0</v>
      </c>
      <c r="L367" s="30">
        <v>0</v>
      </c>
      <c r="M367" s="19">
        <f>VLOOKUP(C367,'Fluxo de Caixa'!$B$13:$U$10027,20,FALSE)</f>
        <v>20928.654285540106</v>
      </c>
      <c r="N367" s="19">
        <f>SUMIFS([1]Master!$J$2:$J$100,[1]Master!$A$2:$A$100,"="&amp;$I$12,[1]Master!$E$2:$E$100,"="&amp;C367,[1]Master!$J$2:$J$100,"&gt;"&amp;0)</f>
        <v>0</v>
      </c>
      <c r="O367" s="19">
        <f ca="1">-SUMIF('[1]Fluxo de Movimentações'!$A$5:$F$10001,"="&amp;$C368,'[1]Fluxo de Movimentações'!$B$5:$B$10001)</f>
        <v>0</v>
      </c>
      <c r="P367" s="19">
        <f>-SUMIFS([1]Master!$J$1:$J$200,[1]Master!$A$1:$A$200,"="&amp;$I$12,[1]Master!$G$1:$G$200,"&gt;"&amp;C367,[1]Master!$E$1:$E$200,"&lt;="&amp;C367)</f>
        <v>0</v>
      </c>
      <c r="Q367" s="30">
        <v>3257.2838000000002</v>
      </c>
      <c r="R367" s="32">
        <v>1.1425863000000001</v>
      </c>
      <c r="S367" s="30">
        <v>0</v>
      </c>
      <c r="T367" s="30">
        <v>0</v>
      </c>
      <c r="U367" s="30">
        <v>0</v>
      </c>
      <c r="V367" s="30">
        <v>0</v>
      </c>
    </row>
    <row r="368" spans="3:22" x14ac:dyDescent="0.25">
      <c r="C368" s="4">
        <v>45352</v>
      </c>
      <c r="D368" s="30">
        <v>19515455.915100001</v>
      </c>
      <c r="E368" s="32">
        <v>1.1437685</v>
      </c>
      <c r="F368" s="38">
        <f t="shared" ref="F368" si="960">D368/TRUNC(E368,7)</f>
        <v>17062417.713986702</v>
      </c>
      <c r="G368" s="19">
        <f t="shared" ref="G368" si="961">H368*I368</f>
        <v>19519094.738361396</v>
      </c>
      <c r="H368" s="31">
        <v>1.1935912</v>
      </c>
      <c r="I368" s="19">
        <f>SUMIFS([1]Master!$K$2:$K$10000,[1]Master!$A$2:$A$10000,$I$12,[1]Master!$F$2:$F$10000,"&lt;="&amp;$C368)</f>
        <v>16353249.536659952</v>
      </c>
      <c r="J368" s="66">
        <f>((((1+1.85%)^(1/252))-1)*D367)</f>
        <v>1418.1754868793346</v>
      </c>
      <c r="K368" s="19">
        <f>IF((NETWORKDAYS(DATE(YEAR(C368),MONTH(C368),1),C368,Feriados!$A$2:$A$842))&gt;=5,0,IF(NETWORKDAYS(DATE(YEAR(C368),MONTH(C368),1),C368,Feriados!$A$2:$A$842)=1,J367,K367))</f>
        <v>26329.951820485621</v>
      </c>
      <c r="L368" s="30">
        <v>0</v>
      </c>
      <c r="M368" s="19">
        <f>VLOOKUP(C368,'Fluxo de Caixa'!$B$13:$U$10027,20,FALSE)</f>
        <v>20928.654285540106</v>
      </c>
      <c r="N368" s="19">
        <f>SUMIFS([1]Master!$J$2:$J$100,[1]Master!$A$2:$A$100,"="&amp;$I$12,[1]Master!$E$2:$E$100,"="&amp;C368,[1]Master!$J$2:$J$100,"&gt;"&amp;0)</f>
        <v>0</v>
      </c>
      <c r="O368" s="19">
        <f ca="1">-SUMIF('[1]Fluxo de Movimentações'!$A$5:$F$10001,"="&amp;$C369,'[1]Fluxo de Movimentações'!$B$5:$B$10001)</f>
        <v>0</v>
      </c>
      <c r="P368" s="19">
        <f>-SUMIFS([1]Master!$J$1:$J$200,[1]Master!$A$1:$A$200,"="&amp;$I$12,[1]Master!$G$1:$G$200,"&gt;"&amp;C368,[1]Master!$E$1:$E$200,"&lt;="&amp;C368)</f>
        <v>0</v>
      </c>
      <c r="Q368" s="30">
        <v>3179.9650999999999</v>
      </c>
      <c r="R368" s="32">
        <v>1.1437685</v>
      </c>
      <c r="S368" s="30">
        <v>0</v>
      </c>
      <c r="T368" s="30">
        <v>0</v>
      </c>
      <c r="U368" s="30">
        <v>0</v>
      </c>
      <c r="V368" s="30">
        <v>0</v>
      </c>
    </row>
    <row r="369" spans="3:22" x14ac:dyDescent="0.25">
      <c r="C369" s="4">
        <v>45355</v>
      </c>
      <c r="D369" s="30">
        <v>19373077.3464</v>
      </c>
      <c r="E369" s="32">
        <v>1.135424</v>
      </c>
      <c r="F369" s="38">
        <f t="shared" ref="F369" si="962">D369/TRUNC(E369,7)</f>
        <v>17062416.635899894</v>
      </c>
      <c r="G369" s="19">
        <f t="shared" ref="G369" si="963">H369*I369</f>
        <v>19378213.128928024</v>
      </c>
      <c r="H369" s="31">
        <v>1.1849763</v>
      </c>
      <c r="I369" s="19">
        <f>SUMIFS([1]Master!$K$2:$K$10000,[1]Master!$A$2:$A$10000,$I$12,[1]Master!$F$2:$F$10000,"&lt;="&amp;$C369)</f>
        <v>16353249.536659952</v>
      </c>
      <c r="J369" s="19">
        <f t="shared" si="959"/>
        <v>2837.8182988242406</v>
      </c>
      <c r="K369" s="19">
        <f>IF((NETWORKDAYS(DATE(YEAR(C369),MONTH(C369),1),C369,Feriados!$A$2:$A$842))&gt;=5,0,IF(NETWORKDAYS(DATE(YEAR(C369),MONTH(C369),1),C369,Feriados!$A$2:$A$842)=1,J368,K368))</f>
        <v>26329.951820485621</v>
      </c>
      <c r="L369" s="30">
        <v>0</v>
      </c>
      <c r="M369" s="19">
        <f>VLOOKUP(C369,'Fluxo de Caixa'!$B$13:$U$10027,20,FALSE)</f>
        <v>20928.654285540106</v>
      </c>
      <c r="N369" s="19">
        <f>SUMIFS([1]Master!$J$2:$J$100,[1]Master!$A$2:$A$100,"="&amp;$I$12,[1]Master!$E$2:$E$100,"="&amp;C369,[1]Master!$J$2:$J$100,"&gt;"&amp;0)</f>
        <v>0</v>
      </c>
      <c r="O369" s="19">
        <f ca="1">-SUMIF('[1]Fluxo de Movimentações'!$A$5:$F$10001,"="&amp;$C370,'[1]Fluxo de Movimentações'!$B$5:$B$10001)</f>
        <v>0</v>
      </c>
      <c r="P369" s="19">
        <f>-SUMIFS([1]Master!$J$1:$J$200,[1]Master!$A$1:$A$200,"="&amp;$I$12,[1]Master!$G$1:$G$200,"&gt;"&amp;C369,[1]Master!$E$1:$E$200,"&lt;="&amp;C369)</f>
        <v>0</v>
      </c>
      <c r="Q369" s="30">
        <v>3102.6464000000001</v>
      </c>
      <c r="R369" s="32">
        <v>1.135424</v>
      </c>
      <c r="S369" s="30">
        <v>0</v>
      </c>
      <c r="T369" s="30">
        <v>0</v>
      </c>
      <c r="U369" s="30">
        <v>0</v>
      </c>
      <c r="V369" s="30">
        <v>0</v>
      </c>
    </row>
    <row r="370" spans="3:22" x14ac:dyDescent="0.25">
      <c r="C370" s="4">
        <f>WORKDAY(C369,1,Feriados!$A$2:$A$842)</f>
        <v>45356</v>
      </c>
      <c r="D370" s="30">
        <v>19397198.297699999</v>
      </c>
      <c r="E370" s="32">
        <v>1.1368377000000001</v>
      </c>
      <c r="F370" s="38">
        <f t="shared" ref="F370" si="964">D370/TRUNC(E370,7)</f>
        <v>17062416.471322156</v>
      </c>
      <c r="G370" s="19">
        <f t="shared" ref="G370:G375" si="965">H370*I370</f>
        <v>19376820.682377484</v>
      </c>
      <c r="H370" s="31">
        <v>1.1865422000000001</v>
      </c>
      <c r="I370" s="19">
        <f>SUMIFS([1]Master!$K$2:$K$10000,[1]Master!$A$2:$A$10000,$I$12,[1]Master!$F$2:$F$10000,"&lt;="&amp;$C370)</f>
        <v>16330494.340932401</v>
      </c>
      <c r="J370" s="19">
        <f t="shared" ref="J370" si="966">((((1+1.85%)^(1/252))-1)*D369) + SUM(J369)</f>
        <v>4247.1038476588565</v>
      </c>
      <c r="K370" s="19">
        <f>IF((NETWORKDAYS(DATE(YEAR(C370),MONTH(C370),1),C370,Feriados!$A$2:$A$842))&gt;=5,0,IF(NETWORKDAYS(DATE(YEAR(C370),MONTH(C370),1),C370,Feriados!$A$2:$A$842)=1,J369,K369))</f>
        <v>26329.951820485621</v>
      </c>
      <c r="L370" s="30">
        <v>0</v>
      </c>
      <c r="M370" s="19">
        <f>VLOOKUP(C370,'Fluxo de Caixa'!$B$13:$U$10027,20,FALSE)</f>
        <v>20928.654285540106</v>
      </c>
      <c r="N370" s="19">
        <f>SUMIFS([1]Master!$J$2:$J$100,[1]Master!$A$2:$A$100,"="&amp;$I$12,[1]Master!$E$2:$E$100,"="&amp;C370,[1]Master!$J$2:$J$100,"&gt;"&amp;0)</f>
        <v>0</v>
      </c>
      <c r="O370" s="19">
        <f ca="1">-SUMIF('[1]Fluxo de Movimentações'!$A$5:$F$10001,"="&amp;$C371,'[1]Fluxo de Movimentações'!$B$5:$B$10001)</f>
        <v>0</v>
      </c>
      <c r="P370" s="19">
        <f>-SUMIFS([1]Master!$J$1:$J$200,[1]Master!$A$1:$A$200,"="&amp;$I$12,[1]Master!$G$1:$G$200,"&gt;"&amp;C370,[1]Master!$E$1:$E$200,"&lt;="&amp;C370)</f>
        <v>27000</v>
      </c>
      <c r="Q370" s="30">
        <v>3025.3276999999998</v>
      </c>
      <c r="R370" s="32">
        <v>1.1368377000000001</v>
      </c>
      <c r="S370" s="30">
        <v>0</v>
      </c>
      <c r="T370" s="30">
        <v>27000</v>
      </c>
      <c r="U370" s="30">
        <v>0</v>
      </c>
      <c r="V370" s="30">
        <v>0</v>
      </c>
    </row>
    <row r="371" spans="3:22" x14ac:dyDescent="0.25">
      <c r="C371" s="4">
        <f>WORKDAY(C370,1,Feriados!$A$2:$A$842)</f>
        <v>45357</v>
      </c>
      <c r="D371" s="30">
        <v>19427637.688999999</v>
      </c>
      <c r="E371" s="32">
        <v>1.1386217000000001</v>
      </c>
      <c r="F371" s="38">
        <f t="shared" ref="F371" si="967">D371/TRUNC(E371,7)</f>
        <v>17062416.506729145</v>
      </c>
      <c r="G371" s="19">
        <f t="shared" si="965"/>
        <v>19408748.431863438</v>
      </c>
      <c r="H371" s="31">
        <v>1.1884973000000001</v>
      </c>
      <c r="I371" s="19">
        <f>SUMIFS([1]Master!$K$2:$K$10000,[1]Master!$A$2:$A$10000,$I$12,[1]Master!$F$2:$F$10000,"&lt;="&amp;$C371)</f>
        <v>16330494.340932401</v>
      </c>
      <c r="J371" s="19">
        <f t="shared" ref="J371" si="968">((((1+1.85%)^(1/252))-1)*D370) + SUM(J370)</f>
        <v>5658.1440639365128</v>
      </c>
      <c r="K371" s="19">
        <f>IF((NETWORKDAYS(DATE(YEAR(C371),MONTH(C371),1),C371,Feriados!$A$2:$A$842))&gt;=5,0,IF(NETWORKDAYS(DATE(YEAR(C371),MONTH(C371),1),C371,Feriados!$A$2:$A$842)=1,J370,K370))</f>
        <v>26329.951820485621</v>
      </c>
      <c r="L371" s="30">
        <v>0</v>
      </c>
      <c r="M371" s="19">
        <f>VLOOKUP(C371,'Fluxo de Caixa'!$B$13:$U$10027,20,FALSE)</f>
        <v>20921.894285540107</v>
      </c>
      <c r="N371" s="19">
        <f>SUMIFS([1]Master!$J$2:$J$100,[1]Master!$A$2:$A$100,"="&amp;$I$12,[1]Master!$E$2:$E$100,"="&amp;C371,[1]Master!$J$2:$J$100,"&gt;"&amp;0)</f>
        <v>0</v>
      </c>
      <c r="O371" s="19">
        <f ca="1">-SUMIF('[1]Fluxo de Movimentações'!$A$5:$F$10001,"="&amp;$C372,'[1]Fluxo de Movimentações'!$B$5:$B$10001)</f>
        <v>0</v>
      </c>
      <c r="P371" s="19">
        <f>-SUMIFS([1]Master!$J$1:$J$200,[1]Master!$A$1:$A$200,"="&amp;$I$12,[1]Master!$G$1:$G$200,"&gt;"&amp;C371,[1]Master!$E$1:$E$200,"&lt;="&amp;C371)</f>
        <v>27000</v>
      </c>
      <c r="Q371" s="30">
        <v>2954.7689999999998</v>
      </c>
      <c r="R371" s="32">
        <v>1.1386217000000001</v>
      </c>
      <c r="S371" s="30">
        <v>0</v>
      </c>
      <c r="T371" s="30">
        <v>27000</v>
      </c>
      <c r="U371" s="30">
        <v>0</v>
      </c>
      <c r="V371" s="30">
        <v>0</v>
      </c>
    </row>
    <row r="372" spans="3:22" x14ac:dyDescent="0.25">
      <c r="C372" s="4">
        <f>WORKDAY(C371,1,Feriados!$A$2:$A$842)</f>
        <v>45358</v>
      </c>
      <c r="D372" s="30">
        <v>19511992.953000002</v>
      </c>
      <c r="E372" s="32">
        <v>1.1435656000000001</v>
      </c>
      <c r="F372" s="38">
        <f t="shared" ref="F372" si="969">D372/TRUNC(E372,7)</f>
        <v>17062416.841674846</v>
      </c>
      <c r="G372" s="19">
        <f t="shared" si="965"/>
        <v>19494594.574514851</v>
      </c>
      <c r="H372" s="31">
        <v>1.1937541</v>
      </c>
      <c r="I372" s="19">
        <f>SUMIFS([1]Master!$K$2:$K$10000,[1]Master!$A$2:$A$10000,$I$12,[1]Master!$F$2:$F$10000,"&lt;="&amp;$C372)</f>
        <v>16330494.340932401</v>
      </c>
      <c r="J372" s="19">
        <f t="shared" ref="J372" si="970">((((1+1.85%)^(1/252))-1)*D371) + SUM(J371)</f>
        <v>7071.3985796518564</v>
      </c>
      <c r="K372" s="19">
        <f>IF((NETWORKDAYS(DATE(YEAR(C372),MONTH(C372),1),C372,Feriados!$A$2:$A$842))&gt;=5,0,IF(NETWORKDAYS(DATE(YEAR(C372),MONTH(C372),1),C372,Feriados!$A$2:$A$842)=1,J371,K371))</f>
        <v>0</v>
      </c>
      <c r="L372" s="30">
        <v>0</v>
      </c>
      <c r="M372" s="19">
        <f>VLOOKUP(C372,'Fluxo de Caixa'!$B$13:$U$10027,20,FALSE)</f>
        <v>21592.044285540109</v>
      </c>
      <c r="N372" s="19">
        <f>SUMIFS([1]Master!$J$2:$J$100,[1]Master!$A$2:$A$100,"="&amp;$I$12,[1]Master!$E$2:$E$100,"="&amp;C372,[1]Master!$J$2:$J$100,"&gt;"&amp;0)</f>
        <v>0</v>
      </c>
      <c r="O372" s="19">
        <f ca="1">-SUMIF('[1]Fluxo de Movimentações'!$A$5:$F$10001,"="&amp;$C373,'[1]Fluxo de Movimentações'!$B$5:$B$10001)</f>
        <v>0</v>
      </c>
      <c r="P372" s="19">
        <f>-SUMIFS([1]Master!$J$1:$J$200,[1]Master!$A$1:$A$200,"="&amp;$I$12,[1]Master!$G$1:$G$200,"&gt;"&amp;C372,[1]Master!$E$1:$E$200,"&lt;="&amp;C372)</f>
        <v>0</v>
      </c>
      <c r="Q372" s="30">
        <v>2877.143</v>
      </c>
      <c r="R372" s="32">
        <v>1.1435656000000001</v>
      </c>
      <c r="S372" s="30">
        <v>0</v>
      </c>
      <c r="T372" s="30">
        <v>0</v>
      </c>
      <c r="U372" s="30">
        <v>0</v>
      </c>
      <c r="V372" s="30">
        <v>0</v>
      </c>
    </row>
    <row r="373" spans="3:22" x14ac:dyDescent="0.25">
      <c r="C373" s="4">
        <f>WORKDAY(C372,1,Feriados!$A$2:$A$842)</f>
        <v>45359</v>
      </c>
      <c r="D373" s="30">
        <v>19418217.217</v>
      </c>
      <c r="E373" s="32">
        <v>1.1380695000000001</v>
      </c>
      <c r="F373" s="38">
        <f t="shared" ref="F373" si="971">D373/TRUNC(E373,7)</f>
        <v>17062417.731957495</v>
      </c>
      <c r="G373" s="19">
        <f t="shared" si="965"/>
        <v>19402315.850142542</v>
      </c>
      <c r="H373" s="31">
        <v>1.1881033999999999</v>
      </c>
      <c r="I373" s="19">
        <f>SUMIFS([1]Master!$K$2:$K$10000,[1]Master!$A$2:$A$10000,$I$12,[1]Master!$F$2:$F$10000,"&lt;="&amp;$C373)</f>
        <v>16330494.340932401</v>
      </c>
      <c r="J373" s="19">
        <f t="shared" ref="J373" si="972">((((1+1.85%)^(1/252))-1)*D372) + SUM(J372)</f>
        <v>8490.7894800208978</v>
      </c>
      <c r="K373" s="19">
        <f>IF((NETWORKDAYS(DATE(YEAR(C373),MONTH(C373),1),C373,Feriados!$A$2:$A$842))&gt;=5,0,IF(NETWORKDAYS(DATE(YEAR(C373),MONTH(C373),1),C373,Feriados!$A$2:$A$842)=1,J372,K372))</f>
        <v>0</v>
      </c>
      <c r="L373" s="30">
        <v>0</v>
      </c>
      <c r="M373" s="19">
        <f>VLOOKUP(C373,'Fluxo de Caixa'!$B$13:$U$10027,20,FALSE)</f>
        <v>21592.044285540109</v>
      </c>
      <c r="N373" s="19">
        <f>SUMIFS([1]Master!$J$2:$J$100,[1]Master!$A$2:$A$100,"="&amp;$I$12,[1]Master!$E$2:$E$100,"="&amp;C373,[1]Master!$J$2:$J$100,"&gt;"&amp;0)</f>
        <v>0</v>
      </c>
      <c r="O373" s="19">
        <f ca="1">-SUMIF('[1]Fluxo de Movimentações'!$A$5:$F$10001,"="&amp;$C374,'[1]Fluxo de Movimentações'!$B$5:$B$10001)</f>
        <v>0</v>
      </c>
      <c r="P373" s="19">
        <f>-SUMIFS([1]Master!$J$1:$J$200,[1]Master!$A$1:$A$200,"="&amp;$I$12,[1]Master!$G$1:$G$200,"&gt;"&amp;C373,[1]Master!$E$1:$E$200,"&lt;="&amp;C373)</f>
        <v>0</v>
      </c>
      <c r="Q373" s="30">
        <v>2799.5169999999998</v>
      </c>
      <c r="R373" s="32">
        <v>1.1380695000000001</v>
      </c>
      <c r="S373" s="30">
        <v>0</v>
      </c>
      <c r="T373" s="30">
        <v>0</v>
      </c>
      <c r="U373" s="30">
        <v>0</v>
      </c>
      <c r="V373" s="30">
        <v>0</v>
      </c>
    </row>
    <row r="374" spans="3:22" x14ac:dyDescent="0.25">
      <c r="C374" s="4">
        <f>WORKDAY(C373,1,Feriados!$A$2:$A$842)</f>
        <v>45362</v>
      </c>
      <c r="D374" s="30">
        <v>19378334.041200001</v>
      </c>
      <c r="E374" s="32">
        <v>1.135732</v>
      </c>
      <c r="F374" s="38">
        <f t="shared" ref="F374" si="973">D374/TRUNC(E374,7)</f>
        <v>17062417.930638567</v>
      </c>
      <c r="G374" s="19">
        <f t="shared" si="965"/>
        <v>19363922.857947011</v>
      </c>
      <c r="H374" s="31">
        <v>1.1857523999999999</v>
      </c>
      <c r="I374" s="19">
        <f>SUMIFS([1]Master!$K$2:$K$10000,[1]Master!$A$2:$A$10000,$I$12,[1]Master!$F$2:$F$10000,"&lt;="&amp;$C374)</f>
        <v>16330494.340932401</v>
      </c>
      <c r="J374" s="19">
        <f t="shared" ref="J374" si="974">((((1+1.85%)^(1/252))-1)*D373) + SUM(J373)</f>
        <v>9903.3587078588735</v>
      </c>
      <c r="K374" s="19">
        <f>IF((NETWORKDAYS(DATE(YEAR(C374),MONTH(C374),1),C374,Feriados!$A$2:$A$842))&gt;=5,0,IF(NETWORKDAYS(DATE(YEAR(C374),MONTH(C374),1),C374,Feriados!$A$2:$A$842)=1,J373,K373))</f>
        <v>0</v>
      </c>
      <c r="L374" s="30">
        <v>0</v>
      </c>
      <c r="M374" s="19">
        <f>VLOOKUP(C374,'Fluxo de Caixa'!$B$13:$U$10027,20,FALSE)</f>
        <v>21592.044285540109</v>
      </c>
      <c r="N374" s="19">
        <f>SUMIFS([1]Master!$J$2:$J$100,[1]Master!$A$2:$A$100,"="&amp;$I$12,[1]Master!$E$2:$E$100,"="&amp;C374,[1]Master!$J$2:$J$100,"&gt;"&amp;0)</f>
        <v>0</v>
      </c>
      <c r="O374" s="19">
        <f ca="1">-SUMIF('[1]Fluxo de Movimentações'!$A$5:$F$10001,"="&amp;$C375,'[1]Fluxo de Movimentações'!$B$5:$B$10001)</f>
        <v>0</v>
      </c>
      <c r="P374" s="19">
        <f>-SUMIFS([1]Master!$J$1:$J$200,[1]Master!$A$1:$A$200,"="&amp;$I$12,[1]Master!$G$1:$G$200,"&gt;"&amp;C374,[1]Master!$E$1:$E$200,"&lt;="&amp;C374)</f>
        <v>0</v>
      </c>
      <c r="Q374" s="30">
        <v>2721.8912</v>
      </c>
      <c r="R374" s="32">
        <v>1.135732</v>
      </c>
      <c r="S374" s="30">
        <v>0</v>
      </c>
      <c r="T374" s="30">
        <v>0</v>
      </c>
      <c r="U374" s="30">
        <v>0</v>
      </c>
      <c r="V374" s="30">
        <v>0</v>
      </c>
    </row>
    <row r="375" spans="3:22" x14ac:dyDescent="0.25">
      <c r="C375" s="4">
        <f>WORKDAY(C374,1,Feriados!$A$2:$A$842)</f>
        <v>45363</v>
      </c>
      <c r="D375" s="30">
        <v>19564130.120999999</v>
      </c>
      <c r="E375" s="32">
        <v>1.1466212</v>
      </c>
      <c r="F375" s="38">
        <f t="shared" ref="F375" si="975">D375/TRUNC(E375,7)</f>
        <v>17062417.92930394</v>
      </c>
      <c r="G375" s="19">
        <f t="shared" si="965"/>
        <v>19551205.866197128</v>
      </c>
      <c r="H375" s="31">
        <v>1.1972206999999999</v>
      </c>
      <c r="I375" s="19">
        <f>SUMIFS([1]Master!$K$2:$K$10000,[1]Master!$A$2:$A$10000,$I$12,[1]Master!$F$2:$F$10000,"&lt;="&amp;$C375)</f>
        <v>16330494.340932401</v>
      </c>
      <c r="J375" s="19">
        <f t="shared" ref="J375" si="976">((((1+1.85%)^(1/252))-1)*D374) + SUM(J374)</f>
        <v>11313.026652524766</v>
      </c>
      <c r="K375" s="19">
        <f>IF((NETWORKDAYS(DATE(YEAR(C375),MONTH(C375),1),C375,Feriados!$A$2:$A$842))&gt;=5,0,IF(NETWORKDAYS(DATE(YEAR(C375),MONTH(C375),1),C375,Feriados!$A$2:$A$842)=1,J374,K374))</f>
        <v>0</v>
      </c>
      <c r="L375" s="30">
        <v>0</v>
      </c>
      <c r="M375" s="19">
        <f>VLOOKUP(C375,'Fluxo de Caixa'!$B$13:$U$10027,20,FALSE)</f>
        <v>21592.044285540109</v>
      </c>
      <c r="N375" s="19">
        <f>SUMIFS([1]Master!$J$2:$J$100,[1]Master!$A$2:$A$100,"="&amp;$I$12,[1]Master!$E$2:$E$100,"="&amp;C375,[1]Master!$J$2:$J$100,"&gt;"&amp;0)</f>
        <v>0</v>
      </c>
      <c r="O375" s="19">
        <f ca="1">-SUMIF('[1]Fluxo de Movimentações'!$A$5:$F$10001,"="&amp;$C376,'[1]Fluxo de Movimentações'!$B$5:$B$10001)</f>
        <v>0</v>
      </c>
      <c r="P375" s="19">
        <f>-SUMIFS([1]Master!$J$1:$J$200,[1]Master!$A$1:$A$200,"="&amp;$I$12,[1]Master!$G$1:$G$200,"&gt;"&amp;C375,[1]Master!$E$1:$E$200,"&lt;="&amp;C375)</f>
        <v>0</v>
      </c>
      <c r="Q375" s="30">
        <v>2644.6210000000001</v>
      </c>
      <c r="R375" s="32">
        <v>1.1466212</v>
      </c>
      <c r="S375" s="30">
        <v>0</v>
      </c>
      <c r="T375" s="30">
        <v>0</v>
      </c>
      <c r="U375" s="30">
        <v>0</v>
      </c>
      <c r="V375" s="30">
        <v>0</v>
      </c>
    </row>
    <row r="376" spans="3:22" x14ac:dyDescent="0.25">
      <c r="C376" s="4">
        <f>WORKDAY(C375,1,Feriados!$A$2:$A$842)</f>
        <v>45364</v>
      </c>
      <c r="D376" s="30">
        <v>19634260.5308</v>
      </c>
      <c r="E376" s="32">
        <v>1.1507315</v>
      </c>
      <c r="F376" s="38">
        <f t="shared" ref="F376" si="977">D376/TRUNC(E376,7)</f>
        <v>17062416.845980145</v>
      </c>
      <c r="G376" s="19">
        <f t="shared" ref="G376" si="978">H376*I376</f>
        <v>19622886.938057214</v>
      </c>
      <c r="H376" s="31">
        <v>1.2016100999999999</v>
      </c>
      <c r="I376" s="19">
        <f>SUMIFS([1]Master!$K$2:$K$10000,[1]Master!$A$2:$A$10000,$I$12,[1]Master!$F$2:$F$10000,"&lt;="&amp;$C376)</f>
        <v>16330494.340932401</v>
      </c>
      <c r="J376" s="19">
        <f t="shared" ref="J376" si="979">((((1+1.85%)^(1/252))-1)*D375) + SUM(J375)</f>
        <v>12736.210247059311</v>
      </c>
      <c r="K376" s="19">
        <f>IF((NETWORKDAYS(DATE(YEAR(C376),MONTH(C376),1),C376,Feriados!$A$2:$A$842))&gt;=5,0,IF(NETWORKDAYS(DATE(YEAR(C376),MONTH(C376),1),C376,Feriados!$A$2:$A$842)=1,J375,K375))</f>
        <v>0</v>
      </c>
      <c r="L376" s="30">
        <v>-50.187449224337044</v>
      </c>
      <c r="M376" s="19">
        <f>VLOOKUP(C376,'Fluxo de Caixa'!$B$13:$U$10027,20,FALSE)</f>
        <v>21592.044285540109</v>
      </c>
      <c r="N376" s="19">
        <f>SUMIFS([1]Master!$J$2:$J$100,[1]Master!$A$2:$A$100,"="&amp;$I$12,[1]Master!$E$2:$E$100,"="&amp;C376,[1]Master!$J$2:$J$100,"&gt;"&amp;0)</f>
        <v>0</v>
      </c>
      <c r="O376" s="19">
        <f ca="1">-SUMIF('[1]Fluxo de Movimentações'!$A$5:$F$10001,"="&amp;$C377,'[1]Fluxo de Movimentações'!$B$5:$B$10001)</f>
        <v>0</v>
      </c>
      <c r="P376" s="19">
        <f>-SUMIFS([1]Master!$J$1:$J$200,[1]Master!$A$1:$A$200,"="&amp;$I$12,[1]Master!$G$1:$G$200,"&gt;"&amp;C376,[1]Master!$E$1:$E$200,"&lt;="&amp;C376)</f>
        <v>0</v>
      </c>
      <c r="Q376" s="30">
        <v>2567.3508000000002</v>
      </c>
      <c r="R376" s="32">
        <v>1.1507343999999999</v>
      </c>
      <c r="S376" s="30">
        <v>0</v>
      </c>
      <c r="T376" s="30">
        <v>0</v>
      </c>
      <c r="U376" s="30">
        <v>0</v>
      </c>
      <c r="V376" s="30">
        <v>0</v>
      </c>
    </row>
    <row r="377" spans="3:22" x14ac:dyDescent="0.25">
      <c r="C377" s="4">
        <f>WORKDAY(C376,1,Feriados!$A$2:$A$842)</f>
        <v>45365</v>
      </c>
      <c r="D377" s="30">
        <v>19626952.340599999</v>
      </c>
      <c r="E377" s="32">
        <v>1.1503032</v>
      </c>
      <c r="F377" s="38">
        <f t="shared" ref="F377" si="980">D377/TRUNC(E377,7)</f>
        <v>17062416.535570797</v>
      </c>
      <c r="G377" s="19">
        <f t="shared" ref="G377" si="981">H377*I377</f>
        <v>19617034.088885427</v>
      </c>
      <c r="H377" s="31">
        <v>1.2012517</v>
      </c>
      <c r="I377" s="19">
        <f>SUMIFS([1]Master!$K$2:$K$10000,[1]Master!$A$2:$A$10000,$I$12,[1]Master!$F$2:$F$10000,"&lt;="&amp;$C377)</f>
        <v>16330494.340932401</v>
      </c>
      <c r="J377" s="19">
        <f t="shared" ref="J377" si="982">((((1+1.85%)^(1/252))-1)*D376) + SUM(J376)</f>
        <v>14164.495445809738</v>
      </c>
      <c r="K377" s="19">
        <f>IF((NETWORKDAYS(DATE(YEAR(C377),MONTH(C377),1),C377,Feriados!$A$2:$A$842))&gt;=5,0,IF(NETWORKDAYS(DATE(YEAR(C377),MONTH(C377),1),C377,Feriados!$A$2:$A$842)=1,J376,K376))</f>
        <v>0</v>
      </c>
      <c r="L377" s="30">
        <v>0</v>
      </c>
      <c r="M377" s="19">
        <f>VLOOKUP(C377,'Fluxo de Caixa'!$B$13:$U$10027,20,FALSE)</f>
        <v>20977.384285540109</v>
      </c>
      <c r="N377" s="19">
        <f>SUMIFS([1]Master!$J$2:$J$100,[1]Master!$A$2:$A$100,"="&amp;$I$12,[1]Master!$E$2:$E$100,"="&amp;C377,[1]Master!$J$2:$J$100,"&gt;"&amp;0)</f>
        <v>0</v>
      </c>
      <c r="O377" s="19">
        <f ca="1">-SUMIF('[1]Fluxo de Movimentações'!$A$5:$F$10001,"="&amp;$C378,'[1]Fluxo de Movimentações'!$B$5:$B$10001)</f>
        <v>0</v>
      </c>
      <c r="P377" s="19">
        <f>-SUMIFS([1]Master!$J$1:$J$200,[1]Master!$A$1:$A$200,"="&amp;$I$12,[1]Master!$G$1:$G$200,"&gt;"&amp;C377,[1]Master!$E$1:$E$200,"&lt;="&amp;C377)</f>
        <v>0</v>
      </c>
      <c r="Q377" s="30">
        <v>3104.7406000000001</v>
      </c>
      <c r="R377" s="32">
        <v>1.1503032</v>
      </c>
      <c r="S377" s="30">
        <v>0</v>
      </c>
      <c r="T377" s="30">
        <v>0</v>
      </c>
      <c r="U377" s="30">
        <v>0</v>
      </c>
      <c r="V377" s="30">
        <v>0</v>
      </c>
    </row>
    <row r="378" spans="3:22" x14ac:dyDescent="0.25">
      <c r="C378" s="4">
        <f>WORKDAY(C377,1,Feriados!$A$2:$A$842)</f>
        <v>45366</v>
      </c>
      <c r="D378" s="30">
        <v>19554606.075599998</v>
      </c>
      <c r="E378" s="32">
        <v>1.1460630999999999</v>
      </c>
      <c r="F378" s="38">
        <f t="shared" ref="F378" si="983">D378/TRUNC(E378,7)</f>
        <v>17062416.611790396</v>
      </c>
      <c r="G378" s="19">
        <f t="shared" ref="G378" si="984">H378*I378</f>
        <v>19546194.037483893</v>
      </c>
      <c r="H378" s="31">
        <v>1.1969137999999999</v>
      </c>
      <c r="I378" s="19">
        <f>SUMIFS([1]Master!$K$2:$K$10000,[1]Master!$A$2:$A$10000,$I$12,[1]Master!$F$2:$F$10000,"&lt;="&amp;$C378)</f>
        <v>16330494.340932401</v>
      </c>
      <c r="J378" s="19">
        <f t="shared" ref="J378" si="985">((((1+1.85%)^(1/252))-1)*D377) + SUM(J377)</f>
        <v>15592.249013645114</v>
      </c>
      <c r="K378" s="19">
        <f>IF((NETWORKDAYS(DATE(YEAR(C378),MONTH(C378),1),C378,Feriados!$A$2:$A$842))&gt;=5,0,IF(NETWORKDAYS(DATE(YEAR(C378),MONTH(C378),1),C378,Feriados!$A$2:$A$842)=1,J377,K377))</f>
        <v>0</v>
      </c>
      <c r="L378" s="30">
        <v>0</v>
      </c>
      <c r="M378" s="19">
        <f>VLOOKUP(C378,'Fluxo de Caixa'!$B$13:$U$10027,20,FALSE)</f>
        <v>20977.384285540109</v>
      </c>
      <c r="N378" s="19">
        <f>SUMIFS([1]Master!$J$2:$J$100,[1]Master!$A$2:$A$100,"="&amp;$I$12,[1]Master!$E$2:$E$100,"="&amp;C378,[1]Master!$J$2:$J$100,"&gt;"&amp;0)</f>
        <v>0</v>
      </c>
      <c r="O378" s="19">
        <f ca="1">-SUMIF('[1]Fluxo de Movimentações'!$A$5:$F$10001,"="&amp;$C379,'[1]Fluxo de Movimentações'!$B$5:$B$10001)</f>
        <v>0</v>
      </c>
      <c r="P378" s="19">
        <f>-SUMIFS([1]Master!$J$1:$J$200,[1]Master!$A$1:$A$200,"="&amp;$I$12,[1]Master!$G$1:$G$200,"&gt;"&amp;C378,[1]Master!$E$1:$E$200,"&lt;="&amp;C378)</f>
        <v>0</v>
      </c>
      <c r="Q378" s="30">
        <v>3026.2755999999999</v>
      </c>
      <c r="R378" s="32">
        <v>1.1460630999999999</v>
      </c>
      <c r="S378" s="30">
        <v>0</v>
      </c>
      <c r="T378" s="30">
        <v>0</v>
      </c>
      <c r="U378" s="30">
        <v>0</v>
      </c>
      <c r="V378" s="30">
        <v>0</v>
      </c>
    </row>
    <row r="379" spans="3:22" x14ac:dyDescent="0.25">
      <c r="C379" s="4">
        <f>WORKDAY(C378,1,Feriados!$A$2:$A$842)</f>
        <v>45369</v>
      </c>
      <c r="D379" s="30">
        <v>19476862.9406</v>
      </c>
      <c r="E379" s="32">
        <v>1.1415067000000001</v>
      </c>
      <c r="F379" s="38">
        <f t="shared" ref="F379" si="986">D379/TRUNC(E379,7)</f>
        <v>17062416.664396275</v>
      </c>
      <c r="G379" s="19">
        <f t="shared" ref="G379" si="987">H379*I379</f>
        <v>19469951.858554386</v>
      </c>
      <c r="H379" s="31">
        <v>1.1922451000000001</v>
      </c>
      <c r="I379" s="19">
        <f>SUMIFS([1]Master!$K$2:$K$10000,[1]Master!$A$2:$A$10000,$I$12,[1]Master!$F$2:$F$10000,"&lt;="&amp;$C379)</f>
        <v>16330494.340932401</v>
      </c>
      <c r="J379" s="19">
        <f t="shared" ref="J379" si="988">((((1+1.85%)^(1/252))-1)*D378) + SUM(J378)</f>
        <v>17014.739785903224</v>
      </c>
      <c r="K379" s="19">
        <f>IF((NETWORKDAYS(DATE(YEAR(C379),MONTH(C379),1),C379,Feriados!$A$2:$A$842))&gt;=5,0,IF(NETWORKDAYS(DATE(YEAR(C379),MONTH(C379),1),C379,Feriados!$A$2:$A$842)=1,J378,K378))</f>
        <v>0</v>
      </c>
      <c r="L379" s="30">
        <v>0</v>
      </c>
      <c r="M379" s="19">
        <f>VLOOKUP(C379,'Fluxo de Caixa'!$B$13:$U$10027,20,FALSE)</f>
        <v>20977.384285540109</v>
      </c>
      <c r="N379" s="19">
        <f>SUMIFS([1]Master!$J$2:$J$100,[1]Master!$A$2:$A$100,"="&amp;$I$12,[1]Master!$E$2:$E$100,"="&amp;C379,[1]Master!$J$2:$J$100,"&gt;"&amp;0)</f>
        <v>0</v>
      </c>
      <c r="O379" s="19">
        <f ca="1">-SUMIF('[1]Fluxo de Movimentações'!$A$5:$F$10001,"="&amp;$C380,'[1]Fluxo de Movimentações'!$B$5:$B$10001)</f>
        <v>0</v>
      </c>
      <c r="P379" s="19">
        <f>-SUMIFS([1]Master!$J$1:$J$200,[1]Master!$A$1:$A$200,"="&amp;$I$12,[1]Master!$G$1:$G$200,"&gt;"&amp;C379,[1]Master!$E$1:$E$200,"&lt;="&amp;C379)</f>
        <v>0</v>
      </c>
      <c r="Q379" s="30">
        <v>2947.8105999999998</v>
      </c>
      <c r="R379" s="32">
        <v>1.1415067000000001</v>
      </c>
      <c r="S379" s="30">
        <v>0</v>
      </c>
      <c r="T379" s="30">
        <v>0</v>
      </c>
      <c r="U379" s="30">
        <v>0</v>
      </c>
      <c r="V379" s="30">
        <v>0</v>
      </c>
    </row>
    <row r="380" spans="3:22" x14ac:dyDescent="0.25">
      <c r="C380" s="4">
        <f>WORKDAY(C379,1,Feriados!$A$2:$A$842)</f>
        <v>45370</v>
      </c>
      <c r="D380" s="30">
        <v>19560588.325599998</v>
      </c>
      <c r="E380" s="32">
        <v>1.1464137000000001</v>
      </c>
      <c r="F380" s="38">
        <f t="shared" ref="F380" si="989">D380/TRUNC(E380,7)</f>
        <v>17062416.757231701</v>
      </c>
      <c r="G380" s="19">
        <f t="shared" ref="G380" si="990">H380*I380</f>
        <v>19555172.54327254</v>
      </c>
      <c r="H380" s="31">
        <v>1.1974636000000001</v>
      </c>
      <c r="I380" s="19">
        <f>SUMIFS([1]Master!$K$2:$K$10000,[1]Master!$A$2:$A$10000,$I$12,[1]Master!$F$2:$F$10000,"&lt;="&amp;$C380)</f>
        <v>16330494.340932401</v>
      </c>
      <c r="J380" s="19">
        <f t="shared" ref="J380" si="991">((((1+1.85%)^(1/252))-1)*D379) + SUM(J379)</f>
        <v>18431.575169772717</v>
      </c>
      <c r="K380" s="19">
        <f>IF((NETWORKDAYS(DATE(YEAR(C380),MONTH(C380),1),C380,Feriados!$A$2:$A$842))&gt;=5,0,IF(NETWORKDAYS(DATE(YEAR(C380),MONTH(C380),1),C380,Feriados!$A$2:$A$842)=1,J379,K379))</f>
        <v>0</v>
      </c>
      <c r="L380" s="30">
        <v>0</v>
      </c>
      <c r="M380" s="19">
        <f>VLOOKUP(C380,'Fluxo de Caixa'!$B$13:$U$10027,20,FALSE)</f>
        <v>20977.384285540109</v>
      </c>
      <c r="N380" s="19">
        <f>SUMIFS([1]Master!$J$2:$J$100,[1]Master!$A$2:$A$100,"="&amp;$I$12,[1]Master!$E$2:$E$100,"="&amp;C380,[1]Master!$J$2:$J$100,"&gt;"&amp;0)</f>
        <v>0</v>
      </c>
      <c r="O380" s="19">
        <f ca="1">-SUMIF('[1]Fluxo de Movimentações'!$A$5:$F$10001,"="&amp;$C381,'[1]Fluxo de Movimentações'!$B$5:$B$10001)</f>
        <v>0</v>
      </c>
      <c r="P380" s="19">
        <f>-SUMIFS([1]Master!$J$1:$J$200,[1]Master!$A$1:$A$200,"="&amp;$I$12,[1]Master!$G$1:$G$200,"&gt;"&amp;C380,[1]Master!$E$1:$E$200,"&lt;="&amp;C380)</f>
        <v>0</v>
      </c>
      <c r="Q380" s="30">
        <v>2869.3456000000001</v>
      </c>
      <c r="R380" s="32">
        <v>1.1464137000000001</v>
      </c>
      <c r="S380" s="30">
        <v>0</v>
      </c>
      <c r="T380" s="30">
        <v>0</v>
      </c>
      <c r="U380" s="30">
        <v>0</v>
      </c>
      <c r="V380" s="30">
        <v>0</v>
      </c>
    </row>
    <row r="381" spans="3:22" x14ac:dyDescent="0.25">
      <c r="C381" s="4">
        <f>WORKDAY(C380,1,Feriados!$A$2:$A$842)</f>
        <v>45371</v>
      </c>
      <c r="D381" s="30">
        <v>19917007.560699999</v>
      </c>
      <c r="E381" s="32">
        <v>1.1673028000000001</v>
      </c>
      <c r="F381" s="38">
        <f t="shared" ref="F381" si="992">D381/TRUNC(E381,7)</f>
        <v>17062417.361373585</v>
      </c>
      <c r="G381" s="19">
        <f t="shared" ref="G381" si="993">H381*I381</f>
        <v>19914892.507367428</v>
      </c>
      <c r="H381" s="31">
        <v>1.2194910999999999</v>
      </c>
      <c r="I381" s="19">
        <f>SUMIFS([1]Master!$K$2:$K$10000,[1]Master!$A$2:$A$10000,$I$12,[1]Master!$F$2:$F$10000,"&lt;="&amp;$C381)</f>
        <v>16330494.340932401</v>
      </c>
      <c r="J381" s="19">
        <f t="shared" ref="J381" si="994">((((1+1.85%)^(1/252))-1)*D380) + SUM(J380)</f>
        <v>19854.501118039461</v>
      </c>
      <c r="K381" s="19">
        <f>IF((NETWORKDAYS(DATE(YEAR(C381),MONTH(C381),1),C381,Feriados!$A$2:$A$842))&gt;=5,0,IF(NETWORKDAYS(DATE(YEAR(C381),MONTH(C381),1),C381,Feriados!$A$2:$A$842)=1,J380,K380))</f>
        <v>0</v>
      </c>
      <c r="L381" s="30">
        <v>-1799.3505689373546</v>
      </c>
      <c r="M381" s="19">
        <f>VLOOKUP(C381,'Fluxo de Caixa'!$B$13:$U$10027,20,FALSE)</f>
        <v>20977.384285540109</v>
      </c>
      <c r="N381" s="19">
        <f>SUMIFS([1]Master!$J$2:$J$100,[1]Master!$A$2:$A$100,"="&amp;$I$12,[1]Master!$E$2:$E$100,"="&amp;C381,[1]Master!$J$2:$J$100,"&gt;"&amp;0)</f>
        <v>0</v>
      </c>
      <c r="O381" s="19">
        <f ca="1">-SUMIF('[1]Fluxo de Movimentações'!$A$5:$F$10001,"="&amp;$C382,'[1]Fluxo de Movimentações'!$B$5:$B$10001)</f>
        <v>0</v>
      </c>
      <c r="P381" s="19">
        <f>-SUMIFS([1]Master!$J$1:$J$200,[1]Master!$A$1:$A$200,"="&amp;$I$12,[1]Master!$G$1:$G$200,"&gt;"&amp;C381,[1]Master!$E$1:$E$200,"&lt;="&amp;C381)</f>
        <v>0</v>
      </c>
      <c r="Q381" s="30">
        <v>2790.8807000000002</v>
      </c>
      <c r="R381" s="32">
        <v>1.1674083</v>
      </c>
      <c r="S381" s="30">
        <v>0</v>
      </c>
      <c r="T381" s="30">
        <v>0</v>
      </c>
      <c r="U381" s="30">
        <v>0</v>
      </c>
      <c r="V381" s="30">
        <v>0</v>
      </c>
    </row>
    <row r="382" spans="3:22" x14ac:dyDescent="0.25">
      <c r="C382" s="4">
        <f>WORKDAY(C381,1,Feriados!$A$2:$A$842)</f>
        <v>45372</v>
      </c>
      <c r="D382" s="30">
        <v>19851782.130399998</v>
      </c>
      <c r="E382" s="32">
        <v>1.1634800999999999</v>
      </c>
      <c r="F382" s="38">
        <f t="shared" ref="F382" si="995">D382/TRUNC(E382,7)</f>
        <v>17062416.564236894</v>
      </c>
      <c r="G382" s="19">
        <f t="shared" ref="G382" si="996">H382*I382</f>
        <v>19850329.897990551</v>
      </c>
      <c r="H382" s="31">
        <v>1.2155376</v>
      </c>
      <c r="I382" s="19">
        <f>SUMIFS([1]Master!$K$2:$K$10000,[1]Master!$A$2:$A$10000,$I$12,[1]Master!$F$2:$F$10000,"&lt;="&amp;$C382)</f>
        <v>16330494.340932401</v>
      </c>
      <c r="J382" s="19">
        <f t="shared" ref="J382" si="997">((((1+1.85%)^(1/252))-1)*D381) + SUM(J381)</f>
        <v>21303.354618670335</v>
      </c>
      <c r="K382" s="19">
        <f>IF((NETWORKDAYS(DATE(YEAR(C382),MONTH(C382),1),C382,Feriados!$A$2:$A$842))&gt;=5,0,IF(NETWORKDAYS(DATE(YEAR(C382),MONTH(C382),1),C382,Feriados!$A$2:$A$842)=1,J381,K381))</f>
        <v>0</v>
      </c>
      <c r="L382" s="30">
        <v>-936.04902254549643</v>
      </c>
      <c r="M382" s="19">
        <f>VLOOKUP(C382,'Fluxo de Caixa'!$B$13:$U$10027,20,FALSE)</f>
        <v>20977.384285540109</v>
      </c>
      <c r="N382" s="19">
        <f>SUMIFS([1]Master!$J$2:$J$100,[1]Master!$A$2:$A$100,"="&amp;$I$12,[1]Master!$E$2:$E$100,"="&amp;C382,[1]Master!$J$2:$J$100,"&gt;"&amp;0)</f>
        <v>0</v>
      </c>
      <c r="O382" s="19">
        <f ca="1">-SUMIF('[1]Fluxo de Movimentações'!$A$5:$F$10001,"="&amp;$C383,'[1]Fluxo de Movimentações'!$B$5:$B$10001)</f>
        <v>0</v>
      </c>
      <c r="P382" s="19">
        <f>-SUMIFS([1]Master!$J$1:$J$200,[1]Master!$A$1:$A$200,"="&amp;$I$12,[1]Master!$G$1:$G$200,"&gt;"&amp;C382,[1]Master!$E$1:$E$200,"&lt;="&amp;C382)</f>
        <v>0</v>
      </c>
      <c r="Q382" s="30">
        <v>2713.6104</v>
      </c>
      <c r="R382" s="32">
        <v>1.1635348999999999</v>
      </c>
      <c r="S382" s="30">
        <v>0</v>
      </c>
      <c r="T382" s="30">
        <v>0</v>
      </c>
      <c r="U382" s="30">
        <v>0</v>
      </c>
      <c r="V382" s="30">
        <v>0</v>
      </c>
    </row>
    <row r="383" spans="3:22" x14ac:dyDescent="0.25">
      <c r="C383" s="4">
        <f>WORKDAY(C382,1,Feriados!$A$2:$A$842)</f>
        <v>45373</v>
      </c>
      <c r="D383" s="30">
        <v>19459624.210099999</v>
      </c>
      <c r="E383" s="32">
        <v>1.1404962999999999</v>
      </c>
      <c r="F383" s="38">
        <f t="shared" ref="F383" si="998">D383/TRUNC(E383,7)</f>
        <v>17062417.659838092</v>
      </c>
      <c r="G383" s="19">
        <f t="shared" ref="G383" si="999">H383*I383</f>
        <v>19458757.304683674</v>
      </c>
      <c r="H383" s="31">
        <v>1.1915595999999999</v>
      </c>
      <c r="I383" s="19">
        <f>SUMIFS([1]Master!$K$2:$K$10000,[1]Master!$A$2:$A$10000,$I$12,[1]Master!$F$2:$F$10000,"&lt;="&amp;$C383)</f>
        <v>16330494.340932401</v>
      </c>
      <c r="J383" s="19">
        <f t="shared" ref="J383" si="1000">((((1+1.85%)^(1/252))-1)*D382) + SUM(J382)</f>
        <v>22747.463325549823</v>
      </c>
      <c r="K383" s="19">
        <f>IF((NETWORKDAYS(DATE(YEAR(C383),MONTH(C383),1),C383,Feriados!$A$2:$A$842))&gt;=5,0,IF(NETWORKDAYS(DATE(YEAR(C383),MONTH(C383),1),C383,Feriados!$A$2:$A$842)=1,J382,K382))</f>
        <v>0</v>
      </c>
      <c r="L383" s="30">
        <v>0</v>
      </c>
      <c r="M383" s="19">
        <f>VLOOKUP(C383,'Fluxo de Caixa'!$B$13:$U$10027,20,FALSE)</f>
        <v>20977.384285540109</v>
      </c>
      <c r="N383" s="19">
        <f>SUMIFS([1]Master!$J$2:$J$100,[1]Master!$A$2:$A$100,"="&amp;$I$12,[1]Master!$E$2:$E$100,"="&amp;C383,[1]Master!$J$2:$J$100,"&gt;"&amp;0)</f>
        <v>0</v>
      </c>
      <c r="O383" s="19">
        <f ca="1">-SUMIF('[1]Fluxo de Movimentações'!$A$5:$F$10001,"="&amp;$C384,'[1]Fluxo de Movimentações'!$B$5:$B$10001)</f>
        <v>0</v>
      </c>
      <c r="P383" s="19">
        <f>-SUMIFS([1]Master!$J$1:$J$200,[1]Master!$A$1:$A$200,"="&amp;$I$12,[1]Master!$G$1:$G$200,"&gt;"&amp;C383,[1]Master!$E$1:$E$200,"&lt;="&amp;C383)</f>
        <v>0</v>
      </c>
      <c r="Q383" s="30">
        <v>2636.3400999999999</v>
      </c>
      <c r="R383" s="32">
        <v>1.1404962999999999</v>
      </c>
      <c r="S383" s="30">
        <v>0</v>
      </c>
      <c r="T383" s="30">
        <v>0</v>
      </c>
      <c r="U383" s="30">
        <v>0</v>
      </c>
      <c r="V383" s="30">
        <v>0</v>
      </c>
    </row>
    <row r="384" spans="3:22" x14ac:dyDescent="0.25">
      <c r="C384" s="4">
        <f>WORKDAY(C383,1,Feriados!$A$2:$A$842)</f>
        <v>45376</v>
      </c>
      <c r="D384" s="30">
        <v>19351625.509799998</v>
      </c>
      <c r="E384" s="32">
        <v>1.1341667</v>
      </c>
      <c r="F384" s="38">
        <f t="shared" ref="F384" si="1001">D384/TRUNC(E384,7)</f>
        <v>17062417.288216978</v>
      </c>
      <c r="G384" s="19">
        <f t="shared" ref="G384" si="1002">H384*I384</f>
        <v>19352251.453641549</v>
      </c>
      <c r="H384" s="31">
        <v>1.1850377000000001</v>
      </c>
      <c r="I384" s="19">
        <f>SUMIFS([1]Master!$K$2:$K$10000,[1]Master!$A$2:$A$10000,$I$12,[1]Master!$F$2:$F$10000,"&lt;="&amp;$C384)</f>
        <v>16330494.340932401</v>
      </c>
      <c r="J384" s="19">
        <f t="shared" ref="J384" si="1003">((((1+1.85%)^(1/252))-1)*D383) + SUM(J383)</f>
        <v>24163.044685944395</v>
      </c>
      <c r="K384" s="19">
        <f>IF((NETWORKDAYS(DATE(YEAR(C384),MONTH(C384),1),C384,Feriados!$A$2:$A$842))&gt;=5,0,IF(NETWORKDAYS(DATE(YEAR(C384),MONTH(C384),1),C384,Feriados!$A$2:$A$842)=1,J383,K383))</f>
        <v>0</v>
      </c>
      <c r="L384" s="30">
        <v>0</v>
      </c>
      <c r="M384" s="19">
        <f>VLOOKUP(C384,'Fluxo de Caixa'!$B$13:$U$10027,20,FALSE)</f>
        <v>20977.384285540109</v>
      </c>
      <c r="N384" s="19">
        <f>SUMIFS([1]Master!$J$2:$J$100,[1]Master!$A$2:$A$100,"="&amp;$I$12,[1]Master!$E$2:$E$100,"="&amp;C384,[1]Master!$J$2:$J$100,"&gt;"&amp;0)</f>
        <v>0</v>
      </c>
      <c r="O384" s="19">
        <f ca="1">-SUMIF('[1]Fluxo de Movimentações'!$A$5:$F$10001,"="&amp;$C385,'[1]Fluxo de Movimentações'!$B$5:$B$10001)</f>
        <v>0</v>
      </c>
      <c r="P384" s="19">
        <f>-SUMIFS([1]Master!$J$1:$J$200,[1]Master!$A$1:$A$200,"="&amp;$I$12,[1]Master!$G$1:$G$200,"&gt;"&amp;C384,[1]Master!$E$1:$E$200,"&lt;="&amp;C384)</f>
        <v>0</v>
      </c>
      <c r="Q384" s="30">
        <v>2559.0698000000002</v>
      </c>
      <c r="R384" s="32">
        <v>1.1341667</v>
      </c>
      <c r="S384" s="30">
        <v>0</v>
      </c>
      <c r="T384" s="30">
        <v>0</v>
      </c>
      <c r="U384" s="30">
        <v>0</v>
      </c>
      <c r="V384" s="30">
        <v>0</v>
      </c>
    </row>
    <row r="385" spans="3:22" x14ac:dyDescent="0.25">
      <c r="C385" s="4">
        <f>WORKDAY(C384,1,Feriados!$A$2:$A$842)</f>
        <v>45377</v>
      </c>
      <c r="D385" s="30">
        <v>19211074.929499999</v>
      </c>
      <c r="E385" s="32">
        <v>1.1259292999999999</v>
      </c>
      <c r="F385" s="38">
        <f t="shared" ref="F385" si="1004">D385/TRUNC(E385,7)</f>
        <v>17062416.733892616</v>
      </c>
      <c r="G385" s="19">
        <f t="shared" ref="G385" si="1005">H385*I385</f>
        <v>19213185.862982471</v>
      </c>
      <c r="H385" s="31">
        <v>1.1765220000000001</v>
      </c>
      <c r="I385" s="19">
        <f>SUMIFS([1]Master!$K$2:$K$10000,[1]Master!$A$2:$A$10000,$I$12,[1]Master!$F$2:$F$10000,"&lt;="&amp;$C385)</f>
        <v>16330494.340932401</v>
      </c>
      <c r="J385" s="19">
        <f t="shared" ref="J385" si="1006">((((1+1.85%)^(1/252))-1)*D384) + SUM(J384)</f>
        <v>25570.769730849985</v>
      </c>
      <c r="K385" s="19">
        <f>IF((NETWORKDAYS(DATE(YEAR(C385),MONTH(C385),1),C385,Feriados!$A$2:$A$842))&gt;=5,0,IF(NETWORKDAYS(DATE(YEAR(C385),MONTH(C385),1),C385,Feriados!$A$2:$A$842)=1,J384,K384))</f>
        <v>0</v>
      </c>
      <c r="L385" s="30">
        <v>0</v>
      </c>
      <c r="M385" s="19">
        <f>VLOOKUP(C385,'Fluxo de Caixa'!$B$13:$U$10027,20,FALSE)</f>
        <v>19865.33428554011</v>
      </c>
      <c r="N385" s="19">
        <f>SUMIFS([1]Master!$J$2:$J$100,[1]Master!$A$2:$A$100,"="&amp;$I$12,[1]Master!$E$2:$E$100,"="&amp;C385,[1]Master!$J$2:$J$100,"&gt;"&amp;0)</f>
        <v>0</v>
      </c>
      <c r="O385" s="19">
        <f ca="1">-SUMIF('[1]Fluxo de Movimentações'!$A$5:$F$10001,"="&amp;$C386,'[1]Fluxo de Movimentações'!$B$5:$B$10001)</f>
        <v>0</v>
      </c>
      <c r="P385" s="19">
        <f>-SUMIFS([1]Master!$J$1:$J$200,[1]Master!$A$1:$A$200,"="&amp;$I$12,[1]Master!$G$1:$G$200,"&gt;"&amp;C385,[1]Master!$E$1:$E$200,"&lt;="&amp;C385)</f>
        <v>0</v>
      </c>
      <c r="Q385" s="30">
        <v>3593.8494999999998</v>
      </c>
      <c r="R385" s="32">
        <v>1.1259292999999999</v>
      </c>
      <c r="S385" s="30">
        <v>0</v>
      </c>
      <c r="T385" s="30">
        <v>0</v>
      </c>
      <c r="U385" s="30">
        <v>0</v>
      </c>
      <c r="V385" s="30">
        <v>0</v>
      </c>
    </row>
    <row r="386" spans="3:22" x14ac:dyDescent="0.25">
      <c r="C386" s="4">
        <f>WORKDAY(C385,1,Feriados!$A$2:$A$842)</f>
        <v>45378</v>
      </c>
      <c r="D386" s="30">
        <v>19456774.133699998</v>
      </c>
      <c r="E386" s="32">
        <v>1.1403293000000001</v>
      </c>
      <c r="F386" s="38">
        <f t="shared" ref="F386" si="1007">D386/TRUNC(E386,7)</f>
        <v>17062417.087502703</v>
      </c>
      <c r="G386" s="19">
        <f t="shared" ref="G386" si="1008">H386*I386</f>
        <v>19460364.225326825</v>
      </c>
      <c r="H386" s="31">
        <v>1.1916580000000001</v>
      </c>
      <c r="I386" s="19">
        <f>SUMIFS([1]Master!$K$2:$K$10000,[1]Master!$A$2:$A$10000,$I$12,[1]Master!$F$2:$F$10000,"&lt;="&amp;$C386)</f>
        <v>16330494.340932401</v>
      </c>
      <c r="J386" s="19">
        <f t="shared" ref="J386" si="1009">((((1+1.85%)^(1/252))-1)*D385) + SUM(J385)</f>
        <v>26968.270488815746</v>
      </c>
      <c r="K386" s="19">
        <f>IF((NETWORKDAYS(DATE(YEAR(C386),MONTH(C386),1),C386,Feriados!$A$2:$A$842))&gt;=5,0,IF(NETWORKDAYS(DATE(YEAR(C386),MONTH(C386),1),C386,Feriados!$A$2:$A$842)=1,J385,K385))</f>
        <v>0</v>
      </c>
      <c r="L386" s="30">
        <v>0</v>
      </c>
      <c r="M386" s="19">
        <f>VLOOKUP(C386,'Fluxo de Caixa'!$B$13:$U$10027,20,FALSE)</f>
        <v>19865.33428554011</v>
      </c>
      <c r="N386" s="19">
        <f>SUMIFS([1]Master!$J$2:$J$100,[1]Master!$A$2:$A$100,"="&amp;$I$12,[1]Master!$E$2:$E$100,"="&amp;C386,[1]Master!$J$2:$J$100,"&gt;"&amp;0)</f>
        <v>0</v>
      </c>
      <c r="O386" s="19">
        <f ca="1">-SUMIF('[1]Fluxo de Movimentações'!$A$5:$F$10001,"="&amp;$C387,'[1]Fluxo de Movimentações'!$B$5:$B$10001)</f>
        <v>0</v>
      </c>
      <c r="P386" s="19">
        <f>-SUMIFS([1]Master!$J$1:$J$200,[1]Master!$A$1:$A$200,"="&amp;$I$12,[1]Master!$G$1:$G$200,"&gt;"&amp;C386,[1]Master!$E$1:$E$200,"&lt;="&amp;C386)</f>
        <v>0</v>
      </c>
      <c r="Q386" s="30">
        <v>3512.1837</v>
      </c>
      <c r="R386" s="32">
        <v>1.1403293000000001</v>
      </c>
      <c r="S386" s="30">
        <v>0</v>
      </c>
      <c r="T386" s="30">
        <v>0</v>
      </c>
      <c r="U386" s="30">
        <v>0</v>
      </c>
      <c r="V386" s="30">
        <v>0</v>
      </c>
    </row>
    <row r="387" spans="3:22" x14ac:dyDescent="0.25">
      <c r="C387" s="4">
        <f>WORKDAY(C386,1,Feriados!$A$2:$A$842)</f>
        <v>45379</v>
      </c>
      <c r="D387" s="30">
        <v>19343726.747900002</v>
      </c>
      <c r="E387" s="32">
        <v>1.1337037999999999</v>
      </c>
      <c r="F387" s="38">
        <f t="shared" ref="F387" si="1010">D387/TRUNC(E387,7)</f>
        <v>17062416.786377538</v>
      </c>
      <c r="G387" s="19">
        <f t="shared" ref="G387" si="1011">H387*I387</f>
        <v>19348813.88458278</v>
      </c>
      <c r="H387" s="31">
        <v>1.1848272</v>
      </c>
      <c r="I387" s="19">
        <f>SUMIFS([1]Master!$K$2:$K$10000,[1]Master!$A$2:$A$10000,$I$12,[1]Master!$F$2:$F$10000,"&lt;="&amp;$C387)</f>
        <v>16330494.340932401</v>
      </c>
      <c r="J387" s="19">
        <f t="shared" ref="J387:J389" si="1012">((((1+1.85%)^(1/252))-1)*D386) + SUM(J386)</f>
        <v>28383.644521721155</v>
      </c>
      <c r="K387" s="19">
        <f>IF((NETWORKDAYS(DATE(YEAR(C387),MONTH(C387),1),C387,Feriados!$A$2:$A$842))&gt;=5,0,IF(NETWORKDAYS(DATE(YEAR(C387),MONTH(C387),1),C387,Feriados!$A$2:$A$842)=1,J386,K386))</f>
        <v>0</v>
      </c>
      <c r="L387" s="30">
        <v>0</v>
      </c>
      <c r="M387" s="19">
        <f>VLOOKUP(C387,'Fluxo de Caixa'!$B$13:$U$10027,20,FALSE)</f>
        <v>19865.33428554011</v>
      </c>
      <c r="N387" s="19">
        <f>SUMIFS([1]Master!$J$2:$J$100,[1]Master!$A$2:$A$100,"="&amp;$I$12,[1]Master!$E$2:$E$100,"="&amp;C387,[1]Master!$J$2:$J$100,"&gt;"&amp;0)</f>
        <v>0</v>
      </c>
      <c r="O387" s="19">
        <f ca="1">-SUMIF('[1]Fluxo de Movimentações'!$A$5:$F$10001,"="&amp;$C388,'[1]Fluxo de Movimentações'!$B$5:$B$10001)</f>
        <v>0</v>
      </c>
      <c r="P387" s="19">
        <f>-SUMIFS([1]Master!$J$1:$J$200,[1]Master!$A$1:$A$200,"="&amp;$I$12,[1]Master!$G$1:$G$200,"&gt;"&amp;C387,[1]Master!$E$1:$E$200,"&lt;="&amp;C387)</f>
        <v>0</v>
      </c>
      <c r="Q387" s="30">
        <v>3430.5178999999998</v>
      </c>
      <c r="R387" s="32">
        <v>1.1337037999999999</v>
      </c>
      <c r="S387" s="30">
        <v>0</v>
      </c>
      <c r="T387" s="30">
        <v>0</v>
      </c>
      <c r="U387" s="30">
        <v>0</v>
      </c>
      <c r="V387" s="30">
        <v>0</v>
      </c>
    </row>
    <row r="388" spans="3:22" x14ac:dyDescent="0.25">
      <c r="C388" s="4">
        <f>WORKDAY(C387,1,Feriados!$A$2:$A$842)</f>
        <v>45383</v>
      </c>
      <c r="D388" s="30">
        <v>19091990.605999999</v>
      </c>
      <c r="E388" s="32">
        <v>1.1189499000000001</v>
      </c>
      <c r="F388" s="38">
        <f t="shared" ref="F388" si="1013">D388/TRUNC(E388,7)</f>
        <v>17062417.723974951</v>
      </c>
      <c r="G388" s="19">
        <f t="shared" ref="G388" si="1014">H388*I388</f>
        <v>19098563.7562529</v>
      </c>
      <c r="H388" s="31">
        <v>1.1695031</v>
      </c>
      <c r="I388" s="19">
        <f>SUMIFS([1]Master!$K$2:$K$10000,[1]Master!$A$2:$A$10000,$I$12,[1]Master!$F$2:$F$10000,"&lt;="&amp;$C388)</f>
        <v>16330494.340932401</v>
      </c>
      <c r="J388" s="68">
        <f>((((1+1.85%)^(1/252))-1)*D387)</f>
        <v>1407.1504531254468</v>
      </c>
      <c r="K388" s="19">
        <f>IF((NETWORKDAYS(DATE(YEAR(C388),MONTH(C388),1),C388,Feriados!$A$2:$A$842))&gt;=5,0,IF(NETWORKDAYS(DATE(YEAR(C388),MONTH(C388),1),C388,Feriados!$A$2:$A$842)=1,J387,K387))</f>
        <v>28383.644521721155</v>
      </c>
      <c r="L388" s="30">
        <v>0</v>
      </c>
      <c r="M388" s="19">
        <f>VLOOKUP(C388,'Fluxo de Caixa'!$B$13:$U$10027,20,FALSE)</f>
        <v>19865.33428554011</v>
      </c>
      <c r="N388" s="19">
        <f>SUMIFS([1]Master!$J$2:$J$100,[1]Master!$A$2:$A$100,"="&amp;$I$12,[1]Master!$E$2:$E$100,"="&amp;C388,[1]Master!$J$2:$J$100,"&gt;"&amp;0)</f>
        <v>0</v>
      </c>
      <c r="O388" s="19">
        <f ca="1">-SUMIF('[1]Fluxo de Movimentações'!$A$5:$F$10001,"="&amp;$C389,'[1]Fluxo de Movimentações'!$B$5:$B$10001)</f>
        <v>0</v>
      </c>
      <c r="P388" s="19">
        <f>-SUMIFS([1]Master!$J$1:$J$200,[1]Master!$A$1:$A$200,"="&amp;$I$12,[1]Master!$G$1:$G$200,"&gt;"&amp;C388,[1]Master!$E$1:$E$200,"&lt;="&amp;C388)</f>
        <v>0</v>
      </c>
      <c r="Q388" s="30">
        <v>3351.6460000000002</v>
      </c>
      <c r="R388" s="32">
        <v>1.1189499000000001</v>
      </c>
      <c r="S388" s="30">
        <v>0</v>
      </c>
      <c r="T388" s="30">
        <v>0</v>
      </c>
      <c r="U388" s="30">
        <v>0</v>
      </c>
      <c r="V388" s="30">
        <v>0</v>
      </c>
    </row>
    <row r="389" spans="3:22" x14ac:dyDescent="0.25">
      <c r="C389" s="4">
        <f>WORKDAY(C388,1,Feriados!$A$2:$A$842)</f>
        <v>45384</v>
      </c>
      <c r="D389" s="30">
        <v>19138381.044100001</v>
      </c>
      <c r="E389" s="32">
        <v>1.1216687999999999</v>
      </c>
      <c r="F389" s="38">
        <f t="shared" ref="F389" si="1015">D389/TRUNC(E389,7)</f>
        <v>17062417.216294155</v>
      </c>
      <c r="G389" s="19">
        <f t="shared" ref="G389" si="1016">H389*I389</f>
        <v>19146421.902968436</v>
      </c>
      <c r="H389" s="31">
        <v>1.1724337</v>
      </c>
      <c r="I389" s="19">
        <f>SUMIFS([1]Master!$K$2:$K$10000,[1]Master!$A$2:$A$10000,$I$12,[1]Master!$F$2:$F$10000,"&lt;="&amp;$C389)</f>
        <v>16330494.340932401</v>
      </c>
      <c r="J389" s="19">
        <f t="shared" si="1012"/>
        <v>2795.9884770711806</v>
      </c>
      <c r="K389" s="19">
        <f>IF((NETWORKDAYS(DATE(YEAR(C389),MONTH(C389),1),C389,Feriados!$A$2:$A$842))&gt;=5,0,IF(NETWORKDAYS(DATE(YEAR(C389),MONTH(C389),1),C389,Feriados!$A$2:$A$842)=1,J388,K388))</f>
        <v>28383.644521721155</v>
      </c>
      <c r="L389" s="30">
        <v>0</v>
      </c>
      <c r="M389" s="19">
        <f>VLOOKUP(C389,'Fluxo de Caixa'!$B$13:$U$10027,20,FALSE)</f>
        <v>19865.33428554011</v>
      </c>
      <c r="N389" s="19">
        <f>SUMIFS([1]Master!$J$2:$J$100,[1]Master!$A$2:$A$100,"="&amp;$I$12,[1]Master!$E$2:$E$100,"="&amp;C389,[1]Master!$J$2:$J$100,"&gt;"&amp;0)</f>
        <v>0</v>
      </c>
      <c r="O389" s="19">
        <f ca="1">-SUMIF('[1]Fluxo de Movimentações'!$A$5:$F$10001,"="&amp;$C390,'[1]Fluxo de Movimentações'!$B$5:$B$10001)</f>
        <v>0</v>
      </c>
      <c r="P389" s="19">
        <f>-SUMIFS([1]Master!$J$1:$J$200,[1]Master!$A$1:$A$200,"="&amp;$I$12,[1]Master!$G$1:$G$200,"&gt;"&amp;C389,[1]Master!$E$1:$E$200,"&lt;="&amp;C389)</f>
        <v>0</v>
      </c>
      <c r="Q389" s="30">
        <v>3272.7741000000001</v>
      </c>
      <c r="R389" s="32">
        <v>1.1216687999999999</v>
      </c>
      <c r="S389" s="30">
        <v>0</v>
      </c>
      <c r="T389" s="30">
        <v>0</v>
      </c>
      <c r="U389" s="30">
        <v>0</v>
      </c>
      <c r="V389" s="30">
        <v>0</v>
      </c>
    </row>
    <row r="390" spans="3:22" x14ac:dyDescent="0.25">
      <c r="C390" s="4">
        <f>WORKDAY(C389,1,Feriados!$A$2:$A$842)</f>
        <v>45385</v>
      </c>
      <c r="D390" s="30">
        <v>19090113.302200001</v>
      </c>
      <c r="E390" s="32">
        <v>1.1188399</v>
      </c>
      <c r="F390" s="38">
        <f t="shared" ref="F390" si="1017">D390/TRUNC(E390,7)</f>
        <v>17062417.332631774</v>
      </c>
      <c r="G390" s="19">
        <f t="shared" ref="G390" si="1018">H390*I390</f>
        <v>19070625.238385059</v>
      </c>
      <c r="H390" s="31">
        <v>1.1695681</v>
      </c>
      <c r="I390" s="19">
        <f>SUMIFS([1]Master!$K$2:$K$10000,[1]Master!$A$2:$A$10000,$I$12,[1]Master!$F$2:$F$10000,"&lt;="&amp;$C390)</f>
        <v>16305698.863011962</v>
      </c>
      <c r="J390" s="19">
        <f t="shared" ref="J390" si="1019">((((1+1.85%)^(1/252))-1)*D389) + SUM(J389)</f>
        <v>4188.201151974501</v>
      </c>
      <c r="K390" s="19">
        <f>IF((NETWORKDAYS(DATE(YEAR(C390),MONTH(C390),1),C390,Feriados!$A$2:$A$842))&gt;=5,0,IF(NETWORKDAYS(DATE(YEAR(C390),MONTH(C390),1),C390,Feriados!$A$2:$A$842)=1,J389,K389))</f>
        <v>28383.644521721155</v>
      </c>
      <c r="L390" s="30">
        <v>0</v>
      </c>
      <c r="M390" s="19">
        <f>VLOOKUP(C390,'Fluxo de Caixa'!$B$13:$U$10027,20,FALSE)</f>
        <v>19865.33428554011</v>
      </c>
      <c r="N390" s="19">
        <f>SUMIFS([1]Master!$J$2:$J$100,[1]Master!$A$2:$A$100,"="&amp;$I$12,[1]Master!$E$2:$E$100,"="&amp;C390,[1]Master!$J$2:$J$100,"&gt;"&amp;0)</f>
        <v>0</v>
      </c>
      <c r="O390" s="19">
        <f ca="1">-SUMIF('[1]Fluxo de Movimentações'!$A$5:$F$10001,"="&amp;$C391,'[1]Fluxo de Movimentações'!$B$5:$B$10001)</f>
        <v>0</v>
      </c>
      <c r="P390" s="19">
        <f>-SUMIFS([1]Master!$J$1:$J$200,[1]Master!$A$1:$A$200,"="&amp;$I$12,[1]Master!$G$1:$G$200,"&gt;"&amp;C390,[1]Master!$E$1:$E$200,"&lt;="&amp;C390)</f>
        <v>29000</v>
      </c>
      <c r="Q390" s="30">
        <v>3193.9022</v>
      </c>
      <c r="R390" s="32">
        <v>1.1188399</v>
      </c>
      <c r="S390" s="30">
        <v>0</v>
      </c>
      <c r="T390" s="30">
        <v>29000</v>
      </c>
      <c r="U390" s="30">
        <v>0</v>
      </c>
      <c r="V390" s="30">
        <v>0</v>
      </c>
    </row>
    <row r="391" spans="3:22" x14ac:dyDescent="0.25">
      <c r="C391" s="4">
        <f>WORKDAY(C390,1,Feriados!$A$2:$A$842)</f>
        <v>45386</v>
      </c>
      <c r="D391" s="30">
        <v>19153689.160300002</v>
      </c>
      <c r="E391" s="32">
        <v>1.122566</v>
      </c>
      <c r="F391" s="38">
        <f t="shared" ref="F391" si="1020">D391/TRUNC(E391,7)</f>
        <v>17062416.962833367</v>
      </c>
      <c r="G391" s="19">
        <f t="shared" ref="G391" si="1021">H391*I391</f>
        <v>19135668.671149615</v>
      </c>
      <c r="H391" s="31">
        <v>1.1735571</v>
      </c>
      <c r="I391" s="19">
        <f>SUMIFS([1]Master!$K$2:$K$10000,[1]Master!$A$2:$A$10000,$I$12,[1]Master!$F$2:$F$10000,"&lt;="&amp;$C391)</f>
        <v>16305698.863011962</v>
      </c>
      <c r="J391" s="19">
        <f t="shared" ref="J391" si="1022">((((1+1.85%)^(1/252))-1)*D390) + SUM(J390)</f>
        <v>5576.9026123238164</v>
      </c>
      <c r="K391" s="19">
        <f>IF((NETWORKDAYS(DATE(YEAR(C391),MONTH(C391),1),C391,Feriados!$A$2:$A$842))&gt;=5,0,IF(NETWORKDAYS(DATE(YEAR(C391),MONTH(C391),1),C391,Feriados!$A$2:$A$842)=1,J390,K390))</f>
        <v>28383.644521721155</v>
      </c>
      <c r="L391" s="30">
        <v>0</v>
      </c>
      <c r="M391" s="19">
        <f>VLOOKUP(C391,'Fluxo de Caixa'!$B$13:$U$10027,20,FALSE)</f>
        <v>19865.33428554011</v>
      </c>
      <c r="N391" s="19">
        <f>SUMIFS([1]Master!$J$2:$J$100,[1]Master!$A$2:$A$100,"="&amp;$I$12,[1]Master!$E$2:$E$100,"="&amp;C391,[1]Master!$J$2:$J$100,"&gt;"&amp;0)</f>
        <v>0</v>
      </c>
      <c r="O391" s="19">
        <f ca="1">-SUMIF('[1]Fluxo de Movimentações'!$A$5:$F$10001,"="&amp;$C392,'[1]Fluxo de Movimentações'!$B$5:$B$10001)</f>
        <v>0</v>
      </c>
      <c r="P391" s="19">
        <f>-SUMIFS([1]Master!$J$1:$J$200,[1]Master!$A$1:$A$200,"="&amp;$I$12,[1]Master!$G$1:$G$200,"&gt;"&amp;C391,[1]Master!$E$1:$E$200,"&lt;="&amp;C391)</f>
        <v>29000</v>
      </c>
      <c r="Q391" s="30">
        <v>3115.0302999999999</v>
      </c>
      <c r="R391" s="32">
        <v>1.122566</v>
      </c>
      <c r="S391" s="30">
        <v>0</v>
      </c>
      <c r="T391" s="30">
        <v>29000</v>
      </c>
      <c r="U391" s="30">
        <v>0</v>
      </c>
      <c r="V391" s="30">
        <v>0</v>
      </c>
    </row>
    <row r="392" spans="3:22" x14ac:dyDescent="0.25">
      <c r="C392" s="4">
        <f>WORKDAY(C391,1,Feriados!$A$2:$A$842)</f>
        <v>45387</v>
      </c>
      <c r="D392" s="30">
        <v>19095735.658399999</v>
      </c>
      <c r="E392" s="32">
        <v>1.1191694000000001</v>
      </c>
      <c r="F392" s="38">
        <f t="shared" ref="F392" si="1023">D392/TRUNC(E392,7)</f>
        <v>17062417.591474533</v>
      </c>
      <c r="G392" s="19">
        <f t="shared" ref="G392" si="1024">H392*I392</f>
        <v>19079187.360858027</v>
      </c>
      <c r="H392" s="31">
        <v>1.1700931999999999</v>
      </c>
      <c r="I392" s="19">
        <f>SUMIFS([1]Master!$K$2:$K$10000,[1]Master!$A$2:$A$10000,$I$12,[1]Master!$F$2:$F$10000,"&lt;="&amp;$C392)</f>
        <v>16305698.863011962</v>
      </c>
      <c r="J392" s="19">
        <f t="shared" ref="J392" si="1025">((((1+1.85%)^(1/252))-1)*D391) + SUM(J391)</f>
        <v>6970.2288690579844</v>
      </c>
      <c r="K392" s="19">
        <f>IF((NETWORKDAYS(DATE(YEAR(C392),MONTH(C392),1),C392,Feriados!$A$2:$A$842))&gt;=5,0,IF(NETWORKDAYS(DATE(YEAR(C392),MONTH(C392),1),C392,Feriados!$A$2:$A$842)=1,J391,K391))</f>
        <v>0</v>
      </c>
      <c r="L392" s="30">
        <v>0</v>
      </c>
      <c r="M392" s="19">
        <f>VLOOKUP(C392,'Fluxo de Caixa'!$B$13:$U$10027,20,FALSE)</f>
        <v>20481.689763818911</v>
      </c>
      <c r="N392" s="19">
        <f>SUMIFS([1]Master!$J$2:$J$100,[1]Master!$A$2:$A$100,"="&amp;$I$12,[1]Master!$E$2:$E$100,"="&amp;C392,[1]Master!$J$2:$J$100,"&gt;"&amp;0)</f>
        <v>0</v>
      </c>
      <c r="O392" s="19">
        <f ca="1">-SUMIF('[1]Fluxo de Movimentações'!$A$5:$F$10001,"="&amp;$C393,'[1]Fluxo de Movimentações'!$B$5:$B$10001)</f>
        <v>0</v>
      </c>
      <c r="P392" s="19">
        <f>-SUMIFS([1]Master!$J$1:$J$200,[1]Master!$A$1:$A$200,"="&amp;$I$12,[1]Master!$G$1:$G$200,"&gt;"&amp;C392,[1]Master!$E$1:$E$200,"&lt;="&amp;C392)</f>
        <v>0</v>
      </c>
      <c r="Q392" s="30">
        <v>3036.1583999999998</v>
      </c>
      <c r="R392" s="32">
        <v>1.1191694000000001</v>
      </c>
      <c r="S392" s="30">
        <v>0</v>
      </c>
      <c r="T392" s="30">
        <v>0</v>
      </c>
      <c r="U392" s="30">
        <v>0</v>
      </c>
      <c r="V392" s="30">
        <v>0</v>
      </c>
    </row>
    <row r="393" spans="3:22" x14ac:dyDescent="0.25">
      <c r="C393" s="4">
        <f>WORKDAY(C392,1,Feriados!$A$2:$A$842)</f>
        <v>45390</v>
      </c>
      <c r="D393" s="30">
        <v>19329516.517099999</v>
      </c>
      <c r="E393" s="32">
        <v>1.1328708999999999</v>
      </c>
      <c r="F393" s="38">
        <f t="shared" ref="F393" si="1026">D393/TRUNC(E393,7)</f>
        <v>17062417.718647376</v>
      </c>
      <c r="G393" s="19">
        <f t="shared" ref="G393" si="1027">H393*I393</f>
        <v>19314436.200634245</v>
      </c>
      <c r="H393" s="31">
        <v>1.1845205999999999</v>
      </c>
      <c r="I393" s="19">
        <f>SUMIFS([1]Master!$K$2:$K$10000,[1]Master!$A$2:$A$10000,$I$12,[1]Master!$F$2:$F$10000,"&lt;="&amp;$C393)</f>
        <v>16305698.863011962</v>
      </c>
      <c r="J393" s="19">
        <f t="shared" ref="J393" si="1028">((((1+1.85%)^(1/252))-1)*D392) + SUM(J392)</f>
        <v>8359.3393251079506</v>
      </c>
      <c r="K393" s="19">
        <f>IF((NETWORKDAYS(DATE(YEAR(C393),MONTH(C393),1),C393,Feriados!$A$2:$A$842))&gt;=5,0,IF(NETWORKDAYS(DATE(YEAR(C393),MONTH(C393),1),C393,Feriados!$A$2:$A$842)=1,J392,K392))</f>
        <v>0</v>
      </c>
      <c r="L393" s="30">
        <v>0</v>
      </c>
      <c r="M393" s="19">
        <f>VLOOKUP(C393,'Fluxo de Caixa'!$B$13:$U$10027,20,FALSE)</f>
        <v>20481.689763818911</v>
      </c>
      <c r="N393" s="19">
        <f>SUMIFS([1]Master!$J$2:$J$100,[1]Master!$A$2:$A$100,"="&amp;$I$12,[1]Master!$E$2:$E$100,"="&amp;C393,[1]Master!$J$2:$J$100,"&gt;"&amp;0)</f>
        <v>0</v>
      </c>
      <c r="O393" s="19">
        <f ca="1">-SUMIF('[1]Fluxo de Movimentações'!$A$5:$F$10001,"="&amp;$C394,'[1]Fluxo de Movimentações'!$B$5:$B$10001)</f>
        <v>0</v>
      </c>
      <c r="P393" s="19">
        <f>-SUMIFS([1]Master!$J$1:$J$200,[1]Master!$A$1:$A$200,"="&amp;$I$12,[1]Master!$G$1:$G$200,"&gt;"&amp;C393,[1]Master!$E$1:$E$200,"&lt;="&amp;C393)</f>
        <v>0</v>
      </c>
      <c r="Q393" s="30">
        <v>2957.2871</v>
      </c>
      <c r="R393" s="32">
        <v>1.1328708999999999</v>
      </c>
      <c r="S393" s="30">
        <v>0</v>
      </c>
      <c r="T393" s="30">
        <v>0</v>
      </c>
      <c r="U393" s="30">
        <v>0</v>
      </c>
      <c r="V393" s="30">
        <v>0</v>
      </c>
    </row>
    <row r="394" spans="3:22" x14ac:dyDescent="0.25">
      <c r="C394" s="4">
        <f>WORKDAY(C393,1,Feriados!$A$2:$A$842)</f>
        <v>45391</v>
      </c>
      <c r="D394" s="30">
        <v>19559158.602499999</v>
      </c>
      <c r="E394" s="32">
        <v>1.1463299</v>
      </c>
      <c r="F394" s="38">
        <f t="shared" ref="F394" si="1029">D394/TRUNC(E394,7)</f>
        <v>17062416.85094317</v>
      </c>
      <c r="G394" s="19">
        <f t="shared" ref="G394" si="1030">H394*I394</f>
        <v>19545562.959737897</v>
      </c>
      <c r="H394" s="31">
        <v>1.1986952</v>
      </c>
      <c r="I394" s="19">
        <f>SUMIFS([1]Master!$K$2:$K$10000,[1]Master!$A$2:$A$10000,$I$12,[1]Master!$F$2:$F$10000,"&lt;="&amp;$C394)</f>
        <v>16305698.863011962</v>
      </c>
      <c r="J394" s="19">
        <f t="shared" ref="J394" si="1031">((((1+1.85%)^(1/252))-1)*D393) + SUM(J393)</f>
        <v>9765.4560615680493</v>
      </c>
      <c r="K394" s="19">
        <f>IF((NETWORKDAYS(DATE(YEAR(C394),MONTH(C394),1),C394,Feriados!$A$2:$A$842))&gt;=5,0,IF(NETWORKDAYS(DATE(YEAR(C394),MONTH(C394),1),C394,Feriados!$A$2:$A$842)=1,J393,K393))</f>
        <v>0</v>
      </c>
      <c r="L394" s="30">
        <v>0</v>
      </c>
      <c r="M394" s="19">
        <f>VLOOKUP(C394,'Fluxo de Caixa'!$B$13:$U$10027,20,FALSE)</f>
        <v>20481.689763818911</v>
      </c>
      <c r="N394" s="19">
        <f>SUMIFS([1]Master!$J$2:$J$100,[1]Master!$A$2:$A$100,"="&amp;$I$12,[1]Master!$E$2:$E$100,"="&amp;C394,[1]Master!$J$2:$J$100,"&gt;"&amp;0)</f>
        <v>0</v>
      </c>
      <c r="O394" s="19">
        <f ca="1">-SUMIF('[1]Fluxo de Movimentações'!$A$5:$F$10001,"="&amp;$C395,'[1]Fluxo de Movimentações'!$B$5:$B$10001)</f>
        <v>0</v>
      </c>
      <c r="P394" s="19">
        <f>-SUMIFS([1]Master!$J$1:$J$200,[1]Master!$A$1:$A$200,"="&amp;$I$12,[1]Master!$G$1:$G$200,"&gt;"&amp;C394,[1]Master!$E$1:$E$200,"&lt;="&amp;C394)</f>
        <v>0</v>
      </c>
      <c r="Q394" s="30">
        <v>2878.7224999999999</v>
      </c>
      <c r="R394" s="32">
        <v>1.1463299</v>
      </c>
      <c r="S394" s="30">
        <v>0</v>
      </c>
      <c r="T394" s="30">
        <v>0</v>
      </c>
      <c r="U394" s="30">
        <v>0</v>
      </c>
      <c r="V394" s="30">
        <v>0</v>
      </c>
    </row>
    <row r="395" spans="3:22" x14ac:dyDescent="0.25">
      <c r="C395" s="4">
        <f>WORKDAY(C394,1,Feriados!$A$2:$A$842)</f>
        <v>45392</v>
      </c>
      <c r="D395" s="30">
        <v>19139354.0779</v>
      </c>
      <c r="E395" s="32">
        <v>1.1217258000000001</v>
      </c>
      <c r="F395" s="38">
        <f t="shared" ref="F395" si="1032">D395/TRUNC(E395,7)</f>
        <v>17062417.640656922</v>
      </c>
      <c r="G395" s="19">
        <f t="shared" ref="G395" si="1033">H395*I395</f>
        <v>19127259.822245959</v>
      </c>
      <c r="H395" s="31">
        <v>1.1730414</v>
      </c>
      <c r="I395" s="19">
        <f>SUMIFS([1]Master!$K$2:$K$10000,[1]Master!$A$2:$A$10000,$I$12,[1]Master!$F$2:$F$10000,"&lt;="&amp;$C395)</f>
        <v>16305698.863011962</v>
      </c>
      <c r="J395" s="19">
        <f t="shared" ref="J395" si="1034">((((1+1.85%)^(1/252))-1)*D394) + SUM(J394)</f>
        <v>11188.278005289327</v>
      </c>
      <c r="K395" s="19">
        <f>IF((NETWORKDAYS(DATE(YEAR(C395),MONTH(C395),1),C395,Feriados!$A$2:$A$842))&gt;=5,0,IF(NETWORKDAYS(DATE(YEAR(C395),MONTH(C395),1),C395,Feriados!$A$2:$A$842)=1,J394,K394))</f>
        <v>0</v>
      </c>
      <c r="L395" s="30">
        <v>0</v>
      </c>
      <c r="M395" s="19">
        <f>VLOOKUP(C395,'Fluxo de Caixa'!$B$13:$U$10027,20,FALSE)</f>
        <v>20481.689763818911</v>
      </c>
      <c r="N395" s="19">
        <f>SUMIFS([1]Master!$J$2:$J$100,[1]Master!$A$2:$A$100,"="&amp;$I$12,[1]Master!$E$2:$E$100,"="&amp;C395,[1]Master!$J$2:$J$100,"&gt;"&amp;0)</f>
        <v>0</v>
      </c>
      <c r="O395" s="19">
        <f ca="1">-SUMIF('[1]Fluxo de Movimentações'!$A$5:$F$10001,"="&amp;$C396,'[1]Fluxo de Movimentações'!$B$5:$B$10001)</f>
        <v>0</v>
      </c>
      <c r="P395" s="19">
        <f>-SUMIFS([1]Master!$J$1:$J$200,[1]Master!$A$1:$A$200,"="&amp;$I$12,[1]Master!$G$1:$G$200,"&gt;"&amp;C395,[1]Master!$E$1:$E$200,"&lt;="&amp;C395)</f>
        <v>0</v>
      </c>
      <c r="Q395" s="30">
        <v>2800.1579000000002</v>
      </c>
      <c r="R395" s="32">
        <v>1.1217258000000001</v>
      </c>
      <c r="S395" s="30">
        <v>0</v>
      </c>
      <c r="T395" s="30">
        <v>0</v>
      </c>
      <c r="U395" s="30">
        <v>0</v>
      </c>
      <c r="V395" s="30">
        <v>0</v>
      </c>
    </row>
    <row r="396" spans="3:22" x14ac:dyDescent="0.25">
      <c r="C396" s="4">
        <f>WORKDAY(C395,1,Feriados!$A$2:$A$842)</f>
        <v>45393</v>
      </c>
      <c r="D396" s="30">
        <v>19021799.703299999</v>
      </c>
      <c r="E396" s="32">
        <v>1.1148362000000001</v>
      </c>
      <c r="F396" s="38">
        <f t="shared" ref="F396" si="1035">D396/TRUNC(E396,7)</f>
        <v>17062416.61627062</v>
      </c>
      <c r="G396" s="19">
        <f t="shared" ref="G396" si="1036">H396*I396</f>
        <v>19011176.290900405</v>
      </c>
      <c r="H396" s="31">
        <v>1.1659222</v>
      </c>
      <c r="I396" s="19">
        <f>SUMIFS([1]Master!$K$2:$K$10000,[1]Master!$A$2:$A$10000,$I$12,[1]Master!$F$2:$F$10000,"&lt;="&amp;$C396)</f>
        <v>16305698.863011962</v>
      </c>
      <c r="J396" s="19">
        <f t="shared" ref="J396" si="1037">((((1+1.85%)^(1/252))-1)*D395) + SUM(J395)</f>
        <v>12580.561463086266</v>
      </c>
      <c r="K396" s="19">
        <f>IF((NETWORKDAYS(DATE(YEAR(C396),MONTH(C396),1),C396,Feriados!$A$2:$A$842))&gt;=5,0,IF(NETWORKDAYS(DATE(YEAR(C396),MONTH(C396),1),C396,Feriados!$A$2:$A$842)=1,J395,K395))</f>
        <v>0</v>
      </c>
      <c r="L396" s="30">
        <v>0</v>
      </c>
      <c r="M396" s="19">
        <f>VLOOKUP(C396,'Fluxo de Caixa'!$B$13:$U$10027,20,FALSE)</f>
        <v>20481.689763818911</v>
      </c>
      <c r="N396" s="19">
        <f>SUMIFS([1]Master!$J$2:$J$100,[1]Master!$A$2:$A$100,"="&amp;$I$12,[1]Master!$E$2:$E$100,"="&amp;C396,[1]Master!$J$2:$J$100,"&gt;"&amp;0)</f>
        <v>0</v>
      </c>
      <c r="O396" s="19">
        <f ca="1">-SUMIF('[1]Fluxo de Movimentações'!$A$5:$F$10001,"="&amp;$C397,'[1]Fluxo de Movimentações'!$B$5:$B$10001)</f>
        <v>0</v>
      </c>
      <c r="P396" s="19">
        <f>-SUMIFS([1]Master!$J$1:$J$200,[1]Master!$A$1:$A$200,"="&amp;$I$12,[1]Master!$G$1:$G$200,"&gt;"&amp;C396,[1]Master!$E$1:$E$200,"&lt;="&amp;C396)</f>
        <v>0</v>
      </c>
      <c r="Q396" s="30">
        <v>2721.5933</v>
      </c>
      <c r="R396" s="32">
        <v>1.1148362000000001</v>
      </c>
      <c r="S396" s="30">
        <v>0</v>
      </c>
      <c r="T396" s="30">
        <v>0</v>
      </c>
      <c r="U396" s="30">
        <v>0</v>
      </c>
      <c r="V396" s="30">
        <v>0</v>
      </c>
    </row>
    <row r="397" spans="3:22" x14ac:dyDescent="0.25">
      <c r="C397" s="4">
        <f>WORKDAY(C396,1,Feriados!$A$2:$A$842)</f>
        <v>45394</v>
      </c>
      <c r="D397" s="30">
        <v>18726420.668699998</v>
      </c>
      <c r="E397" s="32">
        <v>1.0975245</v>
      </c>
      <c r="F397" s="38">
        <f t="shared" ref="F397" si="1038">D397/TRUNC(E397,7)</f>
        <v>17062416.983584419</v>
      </c>
      <c r="G397" s="19">
        <f t="shared" ref="G397" si="1039">H397*I397</f>
        <v>18717259.546615072</v>
      </c>
      <c r="H397" s="31">
        <v>1.1478968000000001</v>
      </c>
      <c r="I397" s="19">
        <f>SUMIFS([1]Master!$K$2:$K$10000,[1]Master!$A$2:$A$10000,$I$12,[1]Master!$F$2:$F$10000,"&lt;="&amp;$C397)</f>
        <v>16305698.863011962</v>
      </c>
      <c r="J397" s="19">
        <f t="shared" ref="J397" si="1040">((((1+1.85%)^(1/252))-1)*D396) + SUM(J396)</f>
        <v>13964.293482288094</v>
      </c>
      <c r="K397" s="19">
        <f>IF((NETWORKDAYS(DATE(YEAR(C397),MONTH(C397),1),C397,Feriados!$A$2:$A$842))&gt;=5,0,IF(NETWORKDAYS(DATE(YEAR(C397),MONTH(C397),1),C397,Feriados!$A$2:$A$842)=1,J396,K396))</f>
        <v>0</v>
      </c>
      <c r="L397" s="30">
        <v>0</v>
      </c>
      <c r="M397" s="19">
        <f>VLOOKUP(C397,'Fluxo de Caixa'!$B$13:$U$10027,20,FALSE)</f>
        <v>19867.029763818911</v>
      </c>
      <c r="N397" s="19">
        <f>SUMIFS([1]Master!$J$2:$J$100,[1]Master!$A$2:$A$100,"="&amp;$I$12,[1]Master!$E$2:$E$100,"="&amp;C397,[1]Master!$J$2:$J$100,"&gt;"&amp;0)</f>
        <v>0</v>
      </c>
      <c r="O397" s="19">
        <f ca="1">-SUMIF('[1]Fluxo de Movimentações'!$A$5:$F$10001,"="&amp;$C398,'[1]Fluxo de Movimentações'!$B$5:$B$10001)</f>
        <v>0</v>
      </c>
      <c r="P397" s="19">
        <f>-SUMIFS([1]Master!$J$1:$J$200,[1]Master!$A$1:$A$200,"="&amp;$I$12,[1]Master!$G$1:$G$200,"&gt;"&amp;C397,[1]Master!$E$1:$E$200,"&lt;="&amp;C397)</f>
        <v>0</v>
      </c>
      <c r="Q397" s="30">
        <v>3257.6887000000002</v>
      </c>
      <c r="R397" s="32">
        <v>1.0975245</v>
      </c>
      <c r="S397" s="30">
        <v>0</v>
      </c>
      <c r="T397" s="30">
        <v>0</v>
      </c>
      <c r="U397" s="30">
        <v>0</v>
      </c>
      <c r="V397" s="30">
        <v>0</v>
      </c>
    </row>
    <row r="398" spans="3:22" x14ac:dyDescent="0.25">
      <c r="C398" s="4">
        <f>WORKDAY(C397,1,Feriados!$A$2:$A$842)</f>
        <v>45397</v>
      </c>
      <c r="D398" s="30">
        <v>18374495.8193</v>
      </c>
      <c r="E398" s="32">
        <v>1.0768987999999999</v>
      </c>
      <c r="F398" s="38">
        <f t="shared" ref="F398" si="1041">D398/TRUNC(E398,7)</f>
        <v>17062416.46782409</v>
      </c>
      <c r="G398" s="19">
        <f t="shared" ref="G398" si="1042">H398*I398</f>
        <v>18366776.702404059</v>
      </c>
      <c r="H398" s="31">
        <v>1.1264023000000001</v>
      </c>
      <c r="I398" s="19">
        <f>SUMIFS([1]Master!$K$2:$K$10000,[1]Master!$A$2:$A$10000,$I$12,[1]Master!$F$2:$F$10000,"&lt;="&amp;$C398)</f>
        <v>16305698.863011962</v>
      </c>
      <c r="J398" s="19">
        <f t="shared" ref="J398" si="1043">((((1+1.85%)^(1/252))-1)*D397) + SUM(J397)</f>
        <v>15326.538290271626</v>
      </c>
      <c r="K398" s="19">
        <f>IF((NETWORKDAYS(DATE(YEAR(C398),MONTH(C398),1),C398,Feriados!$A$2:$A$842))&gt;=5,0,IF(NETWORKDAYS(DATE(YEAR(C398),MONTH(C398),1),C398,Feriados!$A$2:$A$842)=1,J397,K397))</f>
        <v>0</v>
      </c>
      <c r="L398" s="30">
        <v>0</v>
      </c>
      <c r="M398" s="19">
        <f>VLOOKUP(C398,'Fluxo de Caixa'!$B$13:$U$10027,20,FALSE)</f>
        <v>19867.029763818911</v>
      </c>
      <c r="N398" s="19">
        <f>SUMIFS([1]Master!$J$2:$J$100,[1]Master!$A$2:$A$100,"="&amp;$I$12,[1]Master!$E$2:$E$100,"="&amp;C398,[1]Master!$J$2:$J$100,"&gt;"&amp;0)</f>
        <v>0</v>
      </c>
      <c r="O398" s="19">
        <f ca="1">-SUMIF('[1]Fluxo de Movimentações'!$A$5:$F$10001,"="&amp;$C399,'[1]Fluxo de Movimentações'!$B$5:$B$10001)</f>
        <v>0</v>
      </c>
      <c r="P398" s="19">
        <f>-SUMIFS([1]Master!$J$1:$J$200,[1]Master!$A$1:$A$200,"="&amp;$I$12,[1]Master!$G$1:$G$200,"&gt;"&amp;C398,[1]Master!$E$1:$E$200,"&lt;="&amp;C398)</f>
        <v>0</v>
      </c>
      <c r="Q398" s="30">
        <v>3177.9292999999998</v>
      </c>
      <c r="R398" s="32">
        <v>1.0768987999999999</v>
      </c>
      <c r="S398" s="30">
        <v>0</v>
      </c>
      <c r="T398" s="30">
        <v>0</v>
      </c>
      <c r="U398" s="30">
        <v>0</v>
      </c>
      <c r="V398" s="30">
        <v>0</v>
      </c>
    </row>
    <row r="399" spans="3:22" x14ac:dyDescent="0.25">
      <c r="C399" s="4">
        <f>WORKDAY(C398,1,Feriados!$A$2:$A$842)</f>
        <v>45398</v>
      </c>
      <c r="D399" s="30">
        <v>18080030.139899999</v>
      </c>
      <c r="E399" s="32">
        <v>1.0596406</v>
      </c>
      <c r="F399" s="38">
        <f t="shared" ref="F399" si="1044">D399/TRUNC(E399,7)</f>
        <v>17062417.33272583</v>
      </c>
      <c r="G399" s="19">
        <f t="shared" ref="G399" si="1045">H399*I399</f>
        <v>18073727.421298236</v>
      </c>
      <c r="H399" s="31">
        <v>1.1084301000000001</v>
      </c>
      <c r="I399" s="19">
        <f>SUMIFS([1]Master!$K$2:$K$10000,[1]Master!$A$2:$A$10000,$I$12,[1]Master!$F$2:$F$10000,"&lt;="&amp;$C399)</f>
        <v>16305698.863011962</v>
      </c>
      <c r="J399" s="19">
        <f t="shared" ref="J399" si="1046">((((1+1.85%)^(1/252))-1)*D398) + SUM(J398)</f>
        <v>16663.182487899499</v>
      </c>
      <c r="K399" s="19">
        <f>IF((NETWORKDAYS(DATE(YEAR(C399),MONTH(C399),1),C399,Feriados!$A$2:$A$842))&gt;=5,0,IF(NETWORKDAYS(DATE(YEAR(C399),MONTH(C399),1),C399,Feriados!$A$2:$A$842)=1,J398,K398))</f>
        <v>0</v>
      </c>
      <c r="L399" s="30">
        <v>0</v>
      </c>
      <c r="M399" s="19">
        <f>VLOOKUP(C399,'Fluxo de Caixa'!$B$13:$U$10027,20,FALSE)</f>
        <v>19867.029763818911</v>
      </c>
      <c r="N399" s="19">
        <f>SUMIFS([1]Master!$J$2:$J$100,[1]Master!$A$2:$A$100,"="&amp;$I$12,[1]Master!$E$2:$E$100,"="&amp;C399,[1]Master!$J$2:$J$100,"&gt;"&amp;0)</f>
        <v>0</v>
      </c>
      <c r="O399" s="19">
        <f ca="1">-SUMIF('[1]Fluxo de Movimentações'!$A$5:$F$10001,"="&amp;$C400,'[1]Fluxo de Movimentações'!$B$5:$B$10001)</f>
        <v>0</v>
      </c>
      <c r="P399" s="19">
        <f>-SUMIFS([1]Master!$J$1:$J$200,[1]Master!$A$1:$A$200,"="&amp;$I$12,[1]Master!$G$1:$G$200,"&gt;"&amp;C399,[1]Master!$E$1:$E$200,"&lt;="&amp;C399)</f>
        <v>0</v>
      </c>
      <c r="Q399" s="30">
        <v>3098.1698999999999</v>
      </c>
      <c r="R399" s="32">
        <v>1.0596406</v>
      </c>
      <c r="S399" s="30">
        <v>0</v>
      </c>
      <c r="T399" s="30">
        <v>0</v>
      </c>
      <c r="U399" s="30">
        <v>0</v>
      </c>
      <c r="V399" s="30">
        <v>0</v>
      </c>
    </row>
    <row r="400" spans="3:22" x14ac:dyDescent="0.25">
      <c r="C400" s="4">
        <f>WORKDAY(C399,1,Feriados!$A$2:$A$842)</f>
        <v>45399</v>
      </c>
      <c r="D400" s="30">
        <v>18018167.1109</v>
      </c>
      <c r="E400" s="32">
        <v>1.0560149000000001</v>
      </c>
      <c r="F400" s="38">
        <f t="shared" ref="F400" si="1047">D400/TRUNC(E400,7)</f>
        <v>17062417.50083261</v>
      </c>
      <c r="G400" s="19">
        <f t="shared" ref="G400" si="1048">H400*I400</f>
        <v>18013259.367634643</v>
      </c>
      <c r="H400" s="31">
        <v>1.1047217</v>
      </c>
      <c r="I400" s="19">
        <f>SUMIFS([1]Master!$K$2:$K$10000,[1]Master!$A$2:$A$10000,$I$12,[1]Master!$F$2:$F$10000,"&lt;="&amp;$C400)</f>
        <v>16305698.863011962</v>
      </c>
      <c r="J400" s="19">
        <f t="shared" ref="J400" si="1049">((((1+1.85%)^(1/252))-1)*D399) + SUM(J399)</f>
        <v>17978.405915910545</v>
      </c>
      <c r="K400" s="19">
        <f>IF((NETWORKDAYS(DATE(YEAR(C400),MONTH(C400),1),C400,Feriados!$A$2:$A$842))&gt;=5,0,IF(NETWORKDAYS(DATE(YEAR(C400),MONTH(C400),1),C400,Feriados!$A$2:$A$842)=1,J399,K399))</f>
        <v>0</v>
      </c>
      <c r="L400" s="30">
        <v>0</v>
      </c>
      <c r="M400" s="19">
        <f>VLOOKUP(C400,'Fluxo de Caixa'!$B$13:$U$10027,20,FALSE)</f>
        <v>19867.029763818911</v>
      </c>
      <c r="N400" s="19">
        <f>SUMIFS([1]Master!$J$2:$J$100,[1]Master!$A$2:$A$100,"="&amp;$I$12,[1]Master!$E$2:$E$100,"="&amp;C400,[1]Master!$J$2:$J$100,"&gt;"&amp;0)</f>
        <v>0</v>
      </c>
      <c r="O400" s="19">
        <f ca="1">-SUMIF('[1]Fluxo de Movimentações'!$A$5:$F$10001,"="&amp;$C401,'[1]Fluxo de Movimentações'!$B$5:$B$10001)</f>
        <v>0</v>
      </c>
      <c r="P400" s="19">
        <f>-SUMIFS([1]Master!$J$1:$J$200,[1]Master!$A$1:$A$200,"="&amp;$I$12,[1]Master!$G$1:$G$200,"&gt;"&amp;C400,[1]Master!$E$1:$E$200,"&lt;="&amp;C400)</f>
        <v>0</v>
      </c>
      <c r="Q400" s="30">
        <v>3018.4108999999999</v>
      </c>
      <c r="R400" s="32">
        <v>1.0560149000000001</v>
      </c>
      <c r="S400" s="30">
        <v>0</v>
      </c>
      <c r="T400" s="30">
        <v>0</v>
      </c>
      <c r="U400" s="30">
        <v>0</v>
      </c>
      <c r="V400" s="30">
        <v>0</v>
      </c>
    </row>
    <row r="401" spans="3:22" x14ac:dyDescent="0.25">
      <c r="C401" s="4">
        <f>WORKDAY(C400,1,Feriados!$A$2:$A$842)</f>
        <v>45400</v>
      </c>
      <c r="D401" s="30">
        <v>18061946.236299999</v>
      </c>
      <c r="E401" s="32">
        <v>1.0585807</v>
      </c>
      <c r="F401" s="38">
        <f t="shared" ref="F401" si="1050">D401/TRUNC(E401,7)</f>
        <v>17062417.854680326</v>
      </c>
      <c r="G401" s="19">
        <f t="shared" ref="G401" si="1051">H401*I401</f>
        <v>18058427.784055073</v>
      </c>
      <c r="H401" s="31">
        <v>1.1074918</v>
      </c>
      <c r="I401" s="19">
        <f>SUMIFS([1]Master!$K$2:$K$10000,[1]Master!$A$2:$A$10000,$I$12,[1]Master!$F$2:$F$10000,"&lt;="&amp;$C401)</f>
        <v>16305698.863011962</v>
      </c>
      <c r="J401" s="19">
        <f t="shared" ref="J401" si="1052">((((1+1.85%)^(1/252))-1)*D400) + SUM(J400)</f>
        <v>19289.129146497198</v>
      </c>
      <c r="K401" s="19">
        <f>IF((NETWORKDAYS(DATE(YEAR(C401),MONTH(C401),1),C401,Feriados!$A$2:$A$842))&gt;=5,0,IF(NETWORKDAYS(DATE(YEAR(C401),MONTH(C401),1),C401,Feriados!$A$2:$A$842)=1,J400,K400))</f>
        <v>0</v>
      </c>
      <c r="L401" s="30">
        <v>0</v>
      </c>
      <c r="M401" s="19">
        <f>VLOOKUP(C401,'Fluxo de Caixa'!$B$13:$U$10027,20,FALSE)</f>
        <v>19867.029763818911</v>
      </c>
      <c r="N401" s="19">
        <f>SUMIFS([1]Master!$J$2:$J$100,[1]Master!$A$2:$A$100,"="&amp;$I$12,[1]Master!$E$2:$E$100,"="&amp;C401,[1]Master!$J$2:$J$100,"&gt;"&amp;0)</f>
        <v>0</v>
      </c>
      <c r="O401" s="19">
        <f ca="1">-SUMIF('[1]Fluxo de Movimentações'!$A$5:$F$10001,"="&amp;$C402,'[1]Fluxo de Movimentações'!$B$5:$B$10001)</f>
        <v>0</v>
      </c>
      <c r="P401" s="19">
        <f>-SUMIFS([1]Master!$J$1:$J$200,[1]Master!$A$1:$A$200,"="&amp;$I$12,[1]Master!$G$1:$G$200,"&gt;"&amp;C401,[1]Master!$E$1:$E$200,"&lt;="&amp;C401)</f>
        <v>0</v>
      </c>
      <c r="Q401" s="30">
        <v>2939.8463000000002</v>
      </c>
      <c r="R401" s="32">
        <v>1.0585807</v>
      </c>
      <c r="S401" s="30">
        <v>0</v>
      </c>
      <c r="T401" s="30">
        <v>0</v>
      </c>
      <c r="U401" s="30">
        <v>0</v>
      </c>
      <c r="V401" s="30">
        <v>0</v>
      </c>
    </row>
    <row r="402" spans="3:22" x14ac:dyDescent="0.25">
      <c r="C402" s="4">
        <f>WORKDAY(C401,1,Feriados!$A$2:$A$842)</f>
        <v>45401</v>
      </c>
      <c r="D402" s="30">
        <v>18174220.8017</v>
      </c>
      <c r="E402" s="32">
        <v>1.065161</v>
      </c>
      <c r="F402" s="38">
        <f t="shared" ref="F402" si="1053">D402/TRUNC(E402,7)</f>
        <v>17062416.669123258</v>
      </c>
      <c r="G402" s="19">
        <f t="shared" ref="G402" si="1054">H402*I402</f>
        <v>18172094.810829129</v>
      </c>
      <c r="H402" s="31">
        <v>1.1144628000000001</v>
      </c>
      <c r="I402" s="19">
        <f>SUMIFS([1]Master!$K$2:$K$10000,[1]Master!$A$2:$A$10000,$I$12,[1]Master!$F$2:$F$10000,"&lt;="&amp;$C402)</f>
        <v>16305698.863011962</v>
      </c>
      <c r="J402" s="19">
        <f t="shared" ref="J402" si="1055">((((1+1.85%)^(1/252))-1)*D401) + SUM(J401)</f>
        <v>20603.037069307171</v>
      </c>
      <c r="K402" s="19">
        <f>IF((NETWORKDAYS(DATE(YEAR(C402),MONTH(C402),1),C402,Feriados!$A$2:$A$842))&gt;=5,0,IF(NETWORKDAYS(DATE(YEAR(C402),MONTH(C402),1),C402,Feriados!$A$2:$A$842)=1,J401,K401))</f>
        <v>0</v>
      </c>
      <c r="L402" s="30">
        <v>0</v>
      </c>
      <c r="M402" s="19">
        <f>VLOOKUP(C402,'Fluxo de Caixa'!$B$13:$U$10027,20,FALSE)</f>
        <v>19671.029763818911</v>
      </c>
      <c r="N402" s="19">
        <f>SUMIFS([1]Master!$J$2:$J$100,[1]Master!$A$2:$A$100,"="&amp;$I$12,[1]Master!$E$2:$E$100,"="&amp;C402,[1]Master!$J$2:$J$100,"&gt;"&amp;0)</f>
        <v>0</v>
      </c>
      <c r="O402" s="19">
        <f ca="1">-SUMIF('[1]Fluxo de Movimentações'!$A$5:$F$10001,"="&amp;$C403,'[1]Fluxo de Movimentações'!$B$5:$B$10001)</f>
        <v>0</v>
      </c>
      <c r="P402" s="19">
        <f>-SUMIFS([1]Master!$J$1:$J$200,[1]Master!$A$1:$A$200,"="&amp;$I$12,[1]Master!$G$1:$G$200,"&gt;"&amp;C402,[1]Master!$E$1:$E$200,"&lt;="&amp;C402)</f>
        <v>0</v>
      </c>
      <c r="Q402" s="30">
        <v>3057.2817</v>
      </c>
      <c r="R402" s="32">
        <v>1.065161</v>
      </c>
      <c r="S402" s="30">
        <v>0</v>
      </c>
      <c r="T402" s="30">
        <v>0</v>
      </c>
      <c r="U402" s="30">
        <v>0</v>
      </c>
      <c r="V402" s="30">
        <v>0</v>
      </c>
    </row>
    <row r="403" spans="3:22" x14ac:dyDescent="0.25">
      <c r="C403" s="4">
        <f>WORKDAY(C402,1,Feriados!$A$2:$A$842)</f>
        <v>45404</v>
      </c>
      <c r="D403" s="30">
        <v>18288086.8946</v>
      </c>
      <c r="E403" s="32">
        <v>1.0718345</v>
      </c>
      <c r="F403" s="38">
        <f t="shared" ref="F403" si="1056">D403/TRUNC(E403,7)</f>
        <v>17062416.720678426</v>
      </c>
      <c r="G403" s="19">
        <f t="shared" ref="G403" si="1057">H403*I403</f>
        <v>18287366.318371307</v>
      </c>
      <c r="H403" s="31">
        <v>1.1215322000000001</v>
      </c>
      <c r="I403" s="19">
        <f>SUMIFS([1]Master!$K$2:$K$10000,[1]Master!$A$2:$A$10000,$I$12,[1]Master!$F$2:$F$10000,"&lt;="&amp;$C403)</f>
        <v>16305698.863011962</v>
      </c>
      <c r="J403" s="19">
        <f t="shared" ref="J403" si="1058">((((1+1.85%)^(1/252))-1)*D402) + SUM(J402)</f>
        <v>21925.112353434644</v>
      </c>
      <c r="K403" s="19">
        <f>IF((NETWORKDAYS(DATE(YEAR(C403),MONTH(C403),1),C403,Feriados!$A$2:$A$842))&gt;=5,0,IF(NETWORKDAYS(DATE(YEAR(C403),MONTH(C403),1),C403,Feriados!$A$2:$A$842)=1,J402,K402))</f>
        <v>0</v>
      </c>
      <c r="L403" s="30">
        <v>0</v>
      </c>
      <c r="M403" s="19">
        <f>VLOOKUP(C403,'Fluxo de Caixa'!$B$13:$U$10027,20,FALSE)</f>
        <v>19671.029763818911</v>
      </c>
      <c r="N403" s="19">
        <f>SUMIFS([1]Master!$J$2:$J$100,[1]Master!$A$2:$A$100,"="&amp;$I$12,[1]Master!$E$2:$E$100,"="&amp;C403,[1]Master!$J$2:$J$100,"&gt;"&amp;0)</f>
        <v>0</v>
      </c>
      <c r="O403" s="19">
        <f ca="1">-SUMIF('[1]Fluxo de Movimentações'!$A$5:$F$10001,"="&amp;$C404,'[1]Fluxo de Movimentações'!$B$5:$B$10001)</f>
        <v>0</v>
      </c>
      <c r="P403" s="19">
        <f>-SUMIFS([1]Master!$J$1:$J$200,[1]Master!$A$1:$A$200,"="&amp;$I$12,[1]Master!$G$1:$G$200,"&gt;"&amp;C403,[1]Master!$E$1:$E$200,"&lt;="&amp;C403)</f>
        <v>0</v>
      </c>
      <c r="Q403" s="30">
        <v>2973.9346</v>
      </c>
      <c r="R403" s="32">
        <v>1.0718345</v>
      </c>
      <c r="S403" s="30">
        <v>0</v>
      </c>
      <c r="T403" s="30">
        <v>0</v>
      </c>
      <c r="U403" s="30">
        <v>0</v>
      </c>
      <c r="V403" s="30">
        <v>0</v>
      </c>
    </row>
    <row r="404" spans="3:22" x14ac:dyDescent="0.25">
      <c r="C404" s="4">
        <f>WORKDAY(C403,1,Feriados!$A$2:$A$842)</f>
        <v>45405</v>
      </c>
      <c r="D404" s="30">
        <v>18290061.083999999</v>
      </c>
      <c r="E404" s="32">
        <v>1.0719502000000001</v>
      </c>
      <c r="F404" s="38">
        <f t="shared" ref="F404" si="1059">D404/TRUNC(E404,7)</f>
        <v>17062416.783914026</v>
      </c>
      <c r="G404" s="19">
        <f t="shared" ref="G404" si="1060">H404*I404</f>
        <v>18290749.750885379</v>
      </c>
      <c r="H404" s="31">
        <v>1.1217397</v>
      </c>
      <c r="I404" s="19">
        <f>SUMIFS([1]Master!$K$2:$K$10000,[1]Master!$A$2:$A$10000,$I$12,[1]Master!$F$2:$F$10000,"&lt;="&amp;$C404)</f>
        <v>16305698.863011962</v>
      </c>
      <c r="J404" s="19">
        <f t="shared" ref="J404" si="1061">((((1+1.85%)^(1/252))-1)*D403) + SUM(J403)</f>
        <v>23255.470773811303</v>
      </c>
      <c r="K404" s="19">
        <f>IF((NETWORKDAYS(DATE(YEAR(C404),MONTH(C404),1),C404,Feriados!$A$2:$A$842))&gt;=5,0,IF(NETWORKDAYS(DATE(YEAR(C404),MONTH(C404),1),C404,Feriados!$A$2:$A$842)=1,J403,K403))</f>
        <v>0</v>
      </c>
      <c r="L404" s="30">
        <v>0</v>
      </c>
      <c r="M404" s="19">
        <f>VLOOKUP(C404,'Fluxo de Caixa'!$B$13:$U$10027,20,FALSE)</f>
        <v>19671.029763818911</v>
      </c>
      <c r="N404" s="19">
        <f>SUMIFS([1]Master!$J$2:$J$100,[1]Master!$A$2:$A$100,"="&amp;$I$12,[1]Master!$E$2:$E$100,"="&amp;C404,[1]Master!$J$2:$J$100,"&gt;"&amp;0)</f>
        <v>0</v>
      </c>
      <c r="O404" s="19">
        <f ca="1">-SUMIF('[1]Fluxo de Movimentações'!$A$5:$F$10001,"="&amp;$C405,'[1]Fluxo de Movimentações'!$B$5:$B$10001)</f>
        <v>0</v>
      </c>
      <c r="P404" s="19">
        <f>-SUMIFS([1]Master!$J$1:$J$200,[1]Master!$A$1:$A$200,"="&amp;$I$12,[1]Master!$G$1:$G$200,"&gt;"&amp;C404,[1]Master!$E$1:$E$200,"&lt;="&amp;C404)</f>
        <v>0</v>
      </c>
      <c r="Q404" s="30">
        <v>2895.0439999999999</v>
      </c>
      <c r="R404" s="32">
        <v>1.0719502000000001</v>
      </c>
      <c r="S404" s="30">
        <v>0</v>
      </c>
      <c r="T404" s="30">
        <v>0</v>
      </c>
      <c r="U404" s="30">
        <v>0</v>
      </c>
      <c r="V404" s="30">
        <v>0</v>
      </c>
    </row>
    <row r="405" spans="3:22" x14ac:dyDescent="0.25">
      <c r="C405" s="4">
        <f>WORKDAY(C404,1,Feriados!$A$2:$A$842)</f>
        <v>45406</v>
      </c>
      <c r="D405" s="30">
        <v>18143211.383400001</v>
      </c>
      <c r="E405" s="32">
        <v>1.0633436000000001</v>
      </c>
      <c r="F405" s="38">
        <f t="shared" ref="F405" si="1062">D405/TRUNC(E405,7)</f>
        <v>17062416.497734129</v>
      </c>
      <c r="G405" s="19">
        <f t="shared" ref="G405" si="1063">H405*I405</f>
        <v>18145309.439306859</v>
      </c>
      <c r="H405" s="31">
        <v>1.1128201</v>
      </c>
      <c r="I405" s="19">
        <f>SUMIFS([1]Master!$K$2:$K$10000,[1]Master!$A$2:$A$10000,$I$12,[1]Master!$F$2:$F$10000,"&lt;="&amp;$C405)</f>
        <v>16305698.863011962</v>
      </c>
      <c r="J405" s="19">
        <f t="shared" ref="J405" si="1064">((((1+1.85%)^(1/252))-1)*D404) + SUM(J404)</f>
        <v>24585.972805682526</v>
      </c>
      <c r="K405" s="19">
        <f>IF((NETWORKDAYS(DATE(YEAR(C405),MONTH(C405),1),C405,Feriados!$A$2:$A$842))&gt;=5,0,IF(NETWORKDAYS(DATE(YEAR(C405),MONTH(C405),1),C405,Feriados!$A$2:$A$842)=1,J404,K404))</f>
        <v>0</v>
      </c>
      <c r="L405" s="30">
        <v>0</v>
      </c>
      <c r="M405" s="19">
        <f>VLOOKUP(C405,'Fluxo de Caixa'!$B$13:$U$10027,20,FALSE)</f>
        <v>19671.029763818911</v>
      </c>
      <c r="N405" s="19">
        <f>SUMIFS([1]Master!$J$2:$J$100,[1]Master!$A$2:$A$100,"="&amp;$I$12,[1]Master!$E$2:$E$100,"="&amp;C405,[1]Master!$J$2:$J$100,"&gt;"&amp;0)</f>
        <v>0</v>
      </c>
      <c r="O405" s="19">
        <f ca="1">-SUMIF('[1]Fluxo de Movimentações'!$A$5:$F$10001,"="&amp;$C406,'[1]Fluxo de Movimentações'!$B$5:$B$10001)</f>
        <v>0</v>
      </c>
      <c r="P405" s="19">
        <f>-SUMIFS([1]Master!$J$1:$J$200,[1]Master!$A$1:$A$200,"="&amp;$I$12,[1]Master!$G$1:$G$200,"&gt;"&amp;C405,[1]Master!$E$1:$E$200,"&lt;="&amp;C405)</f>
        <v>0</v>
      </c>
      <c r="Q405" s="30">
        <v>2816.1534000000001</v>
      </c>
      <c r="R405" s="32">
        <v>1.0633436000000001</v>
      </c>
      <c r="S405" s="30">
        <v>0</v>
      </c>
      <c r="T405" s="30">
        <v>0</v>
      </c>
      <c r="U405" s="30">
        <v>0</v>
      </c>
      <c r="V405" s="30">
        <v>0</v>
      </c>
    </row>
    <row r="406" spans="3:22" x14ac:dyDescent="0.25">
      <c r="C406" s="4">
        <f>WORKDAY(C405,1,Feriados!$A$2:$A$842)</f>
        <v>45407</v>
      </c>
      <c r="D406" s="30">
        <v>17926727.472800002</v>
      </c>
      <c r="E406" s="32">
        <v>1.0506557999999999</v>
      </c>
      <c r="F406" s="38">
        <f t="shared" ref="F406" si="1065">D406/TRUNC(E406,7)</f>
        <v>17062417.085405137</v>
      </c>
      <c r="G406" s="19">
        <f t="shared" ref="G406" si="1066">H406*I406</f>
        <v>17930224.226744637</v>
      </c>
      <c r="H406" s="31">
        <v>1.0996292999999999</v>
      </c>
      <c r="I406" s="19">
        <f>SUMIFS([1]Master!$K$2:$K$10000,[1]Master!$A$2:$A$10000,$I$12,[1]Master!$F$2:$F$10000,"&lt;="&amp;$C406)</f>
        <v>16305698.863011962</v>
      </c>
      <c r="J406" s="19">
        <f t="shared" ref="J406" si="1067">((((1+1.85%)^(1/252))-1)*D405) + SUM(J405)</f>
        <v>25905.792324021913</v>
      </c>
      <c r="K406" s="19">
        <f>IF((NETWORKDAYS(DATE(YEAR(C406),MONTH(C406),1),C406,Feriados!$A$2:$A$842))&gt;=5,0,IF(NETWORKDAYS(DATE(YEAR(C406),MONTH(C406),1),C406,Feriados!$A$2:$A$842)=1,J405,K405))</f>
        <v>0</v>
      </c>
      <c r="L406" s="30">
        <v>0</v>
      </c>
      <c r="M406" s="19">
        <f>VLOOKUP(C406,'Fluxo de Caixa'!$B$13:$U$10027,20,FALSE)</f>
        <v>19671.029763818911</v>
      </c>
      <c r="N406" s="19">
        <f>SUMIFS([1]Master!$J$2:$J$100,[1]Master!$A$2:$A$100,"="&amp;$I$12,[1]Master!$E$2:$E$100,"="&amp;C406,[1]Master!$J$2:$J$100,"&gt;"&amp;0)</f>
        <v>0</v>
      </c>
      <c r="O406" s="19">
        <f ca="1">-SUMIF('[1]Fluxo de Movimentações'!$A$5:$F$10001,"="&amp;$C407,'[1]Fluxo de Movimentações'!$B$5:$B$10001)</f>
        <v>0</v>
      </c>
      <c r="P406" s="19">
        <f>-SUMIFS([1]Master!$J$1:$J$200,[1]Master!$A$1:$A$200,"="&amp;$I$12,[1]Master!$G$1:$G$200,"&gt;"&amp;C406,[1]Master!$E$1:$E$200,"&lt;="&amp;C406)</f>
        <v>0</v>
      </c>
      <c r="Q406" s="30">
        <v>2737.2628</v>
      </c>
      <c r="R406" s="32">
        <v>1.0506557999999999</v>
      </c>
      <c r="S406" s="30">
        <v>0</v>
      </c>
      <c r="T406" s="30">
        <v>0</v>
      </c>
      <c r="U406" s="30">
        <v>0</v>
      </c>
      <c r="V406" s="30">
        <v>0</v>
      </c>
    </row>
    <row r="407" spans="3:22" x14ac:dyDescent="0.25">
      <c r="C407" s="4">
        <f>WORKDAY(C406,1,Feriados!$A$2:$A$842)</f>
        <v>45408</v>
      </c>
      <c r="D407" s="30">
        <v>18256796.972199999</v>
      </c>
      <c r="E407" s="32">
        <v>1.0700006</v>
      </c>
      <c r="F407" s="38">
        <f t="shared" ref="F407" si="1068">D407/TRUNC(E407,7)</f>
        <v>17062417.509111676</v>
      </c>
      <c r="G407" s="19">
        <f t="shared" ref="G407" si="1069">H407*I407</f>
        <v>18261676.689812627</v>
      </c>
      <c r="H407" s="31">
        <v>1.1199566999999999</v>
      </c>
      <c r="I407" s="19">
        <f>SUMIFS([1]Master!$K$2:$K$10000,[1]Master!$A$2:$A$10000,$I$12,[1]Master!$F$2:$F$10000,"&lt;="&amp;$C407)</f>
        <v>16305698.863011962</v>
      </c>
      <c r="J407" s="19">
        <f t="shared" ref="J407" si="1070">((((1+1.85%)^(1/252))-1)*D406) + SUM(J406)</f>
        <v>27209.86382043847</v>
      </c>
      <c r="K407" s="19">
        <f>IF((NETWORKDAYS(DATE(YEAR(C407),MONTH(C407),1),C407,Feriados!$A$2:$A$842))&gt;=5,0,IF(NETWORKDAYS(DATE(YEAR(C407),MONTH(C407),1),C407,Feriados!$A$2:$A$842)=1,J406,K406))</f>
        <v>0</v>
      </c>
      <c r="L407" s="30">
        <v>0</v>
      </c>
      <c r="M407" s="19">
        <f>VLOOKUP(C407,'Fluxo de Caixa'!$B$13:$U$10027,20,FALSE)</f>
        <v>19671.029763818911</v>
      </c>
      <c r="N407" s="19">
        <f>SUMIFS([1]Master!$J$2:$J$100,[1]Master!$A$2:$A$100,"="&amp;$I$12,[1]Master!$E$2:$E$100,"="&amp;C407,[1]Master!$J$2:$J$100,"&gt;"&amp;0)</f>
        <v>0</v>
      </c>
      <c r="O407" s="19">
        <f ca="1">-SUMIF('[1]Fluxo de Movimentações'!$A$5:$F$10001,"="&amp;$C408,'[1]Fluxo de Movimentações'!$B$5:$B$10001)</f>
        <v>0</v>
      </c>
      <c r="P407" s="19">
        <f>-SUMIFS([1]Master!$J$1:$J$200,[1]Master!$A$1:$A$200,"="&amp;$I$12,[1]Master!$G$1:$G$200,"&gt;"&amp;C407,[1]Master!$E$1:$E$200,"&lt;="&amp;C407)</f>
        <v>0</v>
      </c>
      <c r="Q407" s="30">
        <v>2658.3721999999998</v>
      </c>
      <c r="R407" s="32">
        <v>1.0700006</v>
      </c>
      <c r="S407" s="30">
        <v>0</v>
      </c>
      <c r="T407" s="30">
        <v>0</v>
      </c>
      <c r="U407" s="30">
        <v>0</v>
      </c>
      <c r="V407" s="30">
        <v>0</v>
      </c>
    </row>
    <row r="408" spans="3:22" x14ac:dyDescent="0.25">
      <c r="C408" s="4">
        <f>WORKDAY(C407,1,Feriados!$A$2:$A$842)</f>
        <v>45411</v>
      </c>
      <c r="D408" s="30">
        <v>18289876.551600002</v>
      </c>
      <c r="E408" s="32">
        <v>1.0719394</v>
      </c>
      <c r="F408" s="38">
        <f t="shared" ref="F408" si="1071">D408/TRUNC(E408,7)</f>
        <v>17062416.542950097</v>
      </c>
      <c r="G408" s="19">
        <f t="shared" ref="G408" si="1072">H408*I408</f>
        <v>18296163.2429079</v>
      </c>
      <c r="H408" s="31">
        <v>1.1220717</v>
      </c>
      <c r="I408" s="19">
        <f>SUMIFS([1]Master!$K$2:$K$10000,[1]Master!$A$2:$A$10000,$I$12,[1]Master!$F$2:$F$10000,"&lt;="&amp;$C408)</f>
        <v>16305698.863011962</v>
      </c>
      <c r="J408" s="19">
        <f t="shared" ref="J408" si="1073">((((1+1.85%)^(1/252))-1)*D407) + SUM(J407)</f>
        <v>28537.946069886057</v>
      </c>
      <c r="K408" s="19">
        <f>IF((NETWORKDAYS(DATE(YEAR(C408),MONTH(C408),1),C408,Feriados!$A$2:$A$842))&gt;=5,0,IF(NETWORKDAYS(DATE(YEAR(C408),MONTH(C408),1),C408,Feriados!$A$2:$A$842)=1,J407,K407))</f>
        <v>0</v>
      </c>
      <c r="L408" s="30">
        <v>0</v>
      </c>
      <c r="M408" s="19">
        <f>VLOOKUP(C408,'Fluxo de Caixa'!$B$13:$U$10027,20,FALSE)</f>
        <v>19671.029763818911</v>
      </c>
      <c r="N408" s="19">
        <f>SUMIFS([1]Master!$J$2:$J$100,[1]Master!$A$2:$A$100,"="&amp;$I$12,[1]Master!$E$2:$E$100,"="&amp;C408,[1]Master!$J$2:$J$100,"&gt;"&amp;0)</f>
        <v>0</v>
      </c>
      <c r="O408" s="19">
        <f ca="1">-SUMIF('[1]Fluxo de Movimentações'!$A$5:$F$10001,"="&amp;$C409,'[1]Fluxo de Movimentações'!$B$5:$B$10001)</f>
        <v>0</v>
      </c>
      <c r="P408" s="19">
        <f>-SUMIFS([1]Master!$J$1:$J$200,[1]Master!$A$1:$A$200,"="&amp;$I$12,[1]Master!$G$1:$G$200,"&gt;"&amp;C408,[1]Master!$E$1:$E$200,"&lt;="&amp;C408)</f>
        <v>0</v>
      </c>
      <c r="Q408" s="30">
        <v>2579.4816000000001</v>
      </c>
      <c r="R408" s="32">
        <v>1.0719394</v>
      </c>
      <c r="S408" s="30">
        <v>0</v>
      </c>
      <c r="T408" s="30">
        <v>0</v>
      </c>
      <c r="U408" s="30">
        <v>0</v>
      </c>
      <c r="V408" s="30">
        <v>0</v>
      </c>
    </row>
    <row r="409" spans="3:22" x14ac:dyDescent="0.25">
      <c r="C409" s="4">
        <f>WORKDAY(C408,1,Feriados!$A$2:$A$842)</f>
        <v>45412</v>
      </c>
      <c r="D409" s="30">
        <v>17956921.780999999</v>
      </c>
      <c r="E409" s="32">
        <v>1.0524254</v>
      </c>
      <c r="F409" s="38">
        <f t="shared" ref="F409" si="1074">D409/TRUNC(E409,7)</f>
        <v>17062417.70770641</v>
      </c>
      <c r="G409" s="19">
        <f t="shared" ref="G409" si="1075">H409*I409</f>
        <v>17964617.837356392</v>
      </c>
      <c r="H409" s="31">
        <v>1.1017386</v>
      </c>
      <c r="I409" s="19">
        <f>SUMIFS([1]Master!$K$2:$K$10000,[1]Master!$A$2:$A$10000,$I$12,[1]Master!$F$2:$F$10000,"&lt;="&amp;$C409)</f>
        <v>16305698.863011962</v>
      </c>
      <c r="J409" s="19">
        <f t="shared" ref="J409:J411" si="1076">((((1+1.85%)^(1/252))-1)*D408) + SUM(J408)</f>
        <v>29868.434678033216</v>
      </c>
      <c r="K409" s="19">
        <f>IF((NETWORKDAYS(DATE(YEAR(C409),MONTH(C409),1),C409,Feriados!$A$2:$A$842))&gt;=5,0,IF(NETWORKDAYS(DATE(YEAR(C409),MONTH(C409),1),C409,Feriados!$A$2:$A$842)=1,J408,K408))</f>
        <v>0</v>
      </c>
      <c r="L409" s="30">
        <v>0</v>
      </c>
      <c r="M409" s="19">
        <f>VLOOKUP(C409,'Fluxo de Caixa'!$B$13:$U$10027,20,FALSE)</f>
        <v>19671.029763818911</v>
      </c>
      <c r="N409" s="19">
        <f>SUMIFS([1]Master!$J$2:$J$100,[1]Master!$A$2:$A$100,"="&amp;$I$12,[1]Master!$E$2:$E$100,"="&amp;C409,[1]Master!$J$2:$J$100,"&gt;"&amp;0)</f>
        <v>0</v>
      </c>
      <c r="O409" s="19">
        <f ca="1">-SUMIF('[1]Fluxo de Movimentações'!$A$5:$F$10001,"="&amp;$C410,'[1]Fluxo de Movimentações'!$B$5:$B$10001)</f>
        <v>0</v>
      </c>
      <c r="P409" s="19">
        <f>-SUMIFS([1]Master!$J$1:$J$200,[1]Master!$A$1:$A$200,"="&amp;$I$12,[1]Master!$G$1:$G$200,"&gt;"&amp;C409,[1]Master!$E$1:$E$200,"&lt;="&amp;C409)</f>
        <v>0</v>
      </c>
      <c r="Q409" s="30">
        <v>2500.5909999999999</v>
      </c>
      <c r="R409" s="32">
        <v>1.0524254</v>
      </c>
      <c r="S409" s="30">
        <v>0</v>
      </c>
      <c r="T409" s="30">
        <v>0</v>
      </c>
      <c r="U409" s="30">
        <v>0</v>
      </c>
      <c r="V409" s="30">
        <v>0</v>
      </c>
    </row>
    <row r="410" spans="3:22" x14ac:dyDescent="0.25">
      <c r="C410" s="4">
        <f>WORKDAY(C409,1,Feriados!$A$2:$A$842)</f>
        <v>45414</v>
      </c>
      <c r="D410" s="30">
        <v>18152390.739999998</v>
      </c>
      <c r="E410" s="32">
        <v>1.0638814999999999</v>
      </c>
      <c r="F410" s="38">
        <f t="shared" ref="F410" si="1077">D410/TRUNC(E410,7)</f>
        <v>17062417.891466297</v>
      </c>
      <c r="G410" s="19">
        <f t="shared" ref="G410" si="1078">H410*I410</f>
        <v>18161473.278589759</v>
      </c>
      <c r="H410" s="31">
        <v>1.1138113999999999</v>
      </c>
      <c r="I410" s="19">
        <f>SUMIFS([1]Master!$K$2:$K$10000,[1]Master!$A$2:$A$10000,$I$12,[1]Master!$F$2:$F$10000,"&lt;="&amp;$C410)</f>
        <v>16305698.863011962</v>
      </c>
      <c r="J410" s="19">
        <f>((((1+1.85%)^(1/252))-1)*D409)</f>
        <v>1306.267967397519</v>
      </c>
      <c r="K410" s="19">
        <f>IF((NETWORKDAYS(DATE(YEAR(C410),MONTH(C410),1),C410,Feriados!$A$2:$A$842))&gt;=5,0,IF(NETWORKDAYS(DATE(YEAR(C410),MONTH(C410),1),C410,Feriados!$A$2:$A$842)=1,J409,K409))</f>
        <v>29868.434678033216</v>
      </c>
      <c r="L410" s="30">
        <v>0</v>
      </c>
      <c r="M410" s="19">
        <f>VLOOKUP(C410,'Fluxo de Caixa'!$B$13:$U$10027,20,FALSE)</f>
        <v>19671.029763818911</v>
      </c>
      <c r="N410" s="19">
        <f>SUMIFS([1]Master!$J$2:$J$100,[1]Master!$A$2:$A$100,"="&amp;$I$12,[1]Master!$E$2:$E$100,"="&amp;C410,[1]Master!$J$2:$J$100,"&gt;"&amp;0)</f>
        <v>0</v>
      </c>
      <c r="O410" s="19">
        <f ca="1">-SUMIF('[1]Fluxo de Movimentações'!$A$5:$F$10001,"="&amp;$C411,'[1]Fluxo de Movimentações'!$B$5:$B$10001)</f>
        <v>0</v>
      </c>
      <c r="P410" s="19">
        <f>-SUMIFS([1]Master!$J$1:$J$200,[1]Master!$A$1:$A$200,"="&amp;$I$12,[1]Master!$G$1:$G$200,"&gt;"&amp;C410,[1]Master!$E$1:$E$200,"&lt;="&amp;C410)</f>
        <v>0</v>
      </c>
      <c r="Q410" s="30">
        <v>2420.37</v>
      </c>
      <c r="R410" s="32">
        <v>1.0638814999999999</v>
      </c>
      <c r="S410" s="30">
        <v>0</v>
      </c>
      <c r="T410" s="30">
        <v>0</v>
      </c>
      <c r="U410" s="30">
        <v>0</v>
      </c>
      <c r="V410" s="30">
        <v>0</v>
      </c>
    </row>
    <row r="411" spans="3:22" x14ac:dyDescent="0.25">
      <c r="C411" s="4">
        <f>WORKDAY(C410,1,Feriados!$A$2:$A$842)</f>
        <v>45415</v>
      </c>
      <c r="D411" s="30">
        <v>18674231.759</v>
      </c>
      <c r="E411" s="32">
        <v>1.0944658</v>
      </c>
      <c r="F411" s="38">
        <f t="shared" ref="F411" si="1079">D411/TRUNC(E411,7)</f>
        <v>17062416.896900751</v>
      </c>
      <c r="G411" s="19">
        <f t="shared" ref="G411" si="1080">H411*I411</f>
        <v>18684715.002254386</v>
      </c>
      <c r="H411" s="31">
        <v>1.1459009</v>
      </c>
      <c r="I411" s="19">
        <f>SUMIFS([1]Master!$K$2:$K$10000,[1]Master!$A$2:$A$10000,$I$12,[1]Master!$F$2:$F$10000,"&lt;="&amp;$C411)</f>
        <v>16305698.863011962</v>
      </c>
      <c r="J411" s="19">
        <f t="shared" si="1076"/>
        <v>2626.7552337860488</v>
      </c>
      <c r="K411" s="19">
        <f>IF((NETWORKDAYS(DATE(YEAR(C411),MONTH(C411),1),C411,Feriados!$A$2:$A$842))&gt;=5,0,IF(NETWORKDAYS(DATE(YEAR(C411),MONTH(C411),1),C411,Feriados!$A$2:$A$842)=1,J410,K410))</f>
        <v>29868.434678033216</v>
      </c>
      <c r="L411" s="30">
        <v>0</v>
      </c>
      <c r="M411" s="19">
        <f>VLOOKUP(C411,'Fluxo de Caixa'!$B$13:$U$10027,20,FALSE)</f>
        <v>19671.029763818911</v>
      </c>
      <c r="N411" s="19">
        <f>SUMIFS([1]Master!$J$2:$J$100,[1]Master!$A$2:$A$100,"="&amp;$I$12,[1]Master!$E$2:$E$100,"="&amp;C411,[1]Master!$J$2:$J$100,"&gt;"&amp;0)</f>
        <v>0</v>
      </c>
      <c r="O411" s="19">
        <f ca="1">-SUMIF('[1]Fluxo de Movimentações'!$A$5:$F$10001,"="&amp;$C412,'[1]Fluxo de Movimentações'!$B$5:$B$10001)</f>
        <v>0</v>
      </c>
      <c r="P411" s="19">
        <f>-SUMIFS([1]Master!$J$1:$J$200,[1]Master!$A$1:$A$200,"="&amp;$I$12,[1]Master!$G$1:$G$200,"&gt;"&amp;C411,[1]Master!$E$1:$E$200,"&lt;="&amp;C411)</f>
        <v>0</v>
      </c>
      <c r="Q411" s="30">
        <v>2340.1489999999999</v>
      </c>
      <c r="R411" s="32">
        <v>1.0944658</v>
      </c>
      <c r="S411" s="30">
        <v>0</v>
      </c>
      <c r="T411" s="30">
        <v>0</v>
      </c>
      <c r="U411" s="30">
        <v>0</v>
      </c>
      <c r="V411" s="30">
        <v>0</v>
      </c>
    </row>
    <row r="412" spans="3:22" x14ac:dyDescent="0.25">
      <c r="C412" s="4">
        <f>WORKDAY(C411,1,Feriados!$A$2:$A$842)</f>
        <v>45418</v>
      </c>
      <c r="D412" s="30">
        <v>18398219.807999998</v>
      </c>
      <c r="E412" s="32">
        <v>1.0782891999999999</v>
      </c>
      <c r="F412" s="38">
        <f t="shared" ref="F412" si="1081">D412/TRUNC(E412,7)</f>
        <v>17062416.843273584</v>
      </c>
      <c r="G412" s="19">
        <f t="shared" ref="G412" si="1082">H412*I412</f>
        <v>18372641.708530236</v>
      </c>
      <c r="H412" s="31">
        <v>1.1290617999999999</v>
      </c>
      <c r="I412" s="19">
        <f>SUMIFS([1]Master!$K$2:$K$10000,[1]Master!$A$2:$A$10000,$I$12,[1]Master!$F$2:$F$10000,"&lt;="&amp;$C412)</f>
        <v>16272485.446350446</v>
      </c>
      <c r="J412" s="19">
        <f t="shared" ref="J412" si="1083">((((1+1.85%)^(1/252))-1)*D411) + SUM(J411)</f>
        <v>3985.2035836780469</v>
      </c>
      <c r="K412" s="19">
        <f>IF((NETWORKDAYS(DATE(YEAR(C412),MONTH(C412),1),C412,Feriados!$A$2:$A$842))&gt;=5,0,IF(NETWORKDAYS(DATE(YEAR(C412),MONTH(C412),1),C412,Feriados!$A$2:$A$842)=1,J411,K411))</f>
        <v>29868.434678033216</v>
      </c>
      <c r="L412" s="30">
        <v>0</v>
      </c>
      <c r="M412" s="19">
        <f>VLOOKUP(C412,'Fluxo de Caixa'!$B$13:$U$10027,20,FALSE)</f>
        <v>19671.029763818911</v>
      </c>
      <c r="N412" s="19">
        <f>SUMIFS([1]Master!$J$2:$J$100,[1]Master!$A$2:$A$100,"="&amp;$I$12,[1]Master!$E$2:$E$100,"="&amp;C412,[1]Master!$J$2:$J$100,"&gt;"&amp;0)</f>
        <v>0</v>
      </c>
      <c r="O412" s="19">
        <f ca="1">-SUMIF('[1]Fluxo de Movimentações'!$A$5:$F$10001,"="&amp;$C413,'[1]Fluxo de Movimentações'!$B$5:$B$10001)</f>
        <v>0</v>
      </c>
      <c r="P412" s="19">
        <f>-SUMIFS([1]Master!$J$1:$J$200,[1]Master!$A$1:$A$200,"="&amp;$I$12,[1]Master!$G$1:$G$200,"&gt;"&amp;C412,[1]Master!$E$1:$E$200,"&lt;="&amp;C412)</f>
        <v>37500</v>
      </c>
      <c r="Q412" s="30">
        <v>2259.9279999999999</v>
      </c>
      <c r="R412" s="32">
        <v>1.0782891999999999</v>
      </c>
      <c r="S412" s="30">
        <v>0</v>
      </c>
      <c r="T412" s="30">
        <v>0</v>
      </c>
      <c r="U412" s="30">
        <v>0</v>
      </c>
      <c r="V412" s="30">
        <v>0</v>
      </c>
    </row>
    <row r="413" spans="3:22" x14ac:dyDescent="0.25">
      <c r="C413" s="4">
        <f>WORKDAY(C412,1,Feriados!$A$2:$A$842)</f>
        <v>45419</v>
      </c>
      <c r="D413" s="30">
        <v>18452311.557</v>
      </c>
      <c r="E413" s="32">
        <v>1.0814594</v>
      </c>
      <c r="F413" s="38">
        <f t="shared" ref="F413" si="1084">D413/TRUNC(E413,7)</f>
        <v>17062417.282609038</v>
      </c>
      <c r="G413" s="19">
        <f t="shared" ref="G413" si="1085">H413*I413</f>
        <v>18428152.038133372</v>
      </c>
      <c r="H413" s="31">
        <v>1.1324730999999999</v>
      </c>
      <c r="I413" s="19">
        <f>SUMIFS([1]Master!$K$2:$K$10000,[1]Master!$A$2:$A$10000,$I$12,[1]Master!$F$2:$F$10000,"&lt;="&amp;$C413)</f>
        <v>16272485.446350446</v>
      </c>
      <c r="J413" s="19">
        <f t="shared" ref="J413" si="1086">((((1+1.85%)^(1/252))-1)*D412) + SUM(J412)</f>
        <v>5323.5735718882734</v>
      </c>
      <c r="K413" s="19">
        <f>IF((NETWORKDAYS(DATE(YEAR(C413),MONTH(C413),1),C413,Feriados!$A$2:$A$842))&gt;=5,0,IF(NETWORKDAYS(DATE(YEAR(C413),MONTH(C413),1),C413,Feriados!$A$2:$A$842)=1,J412,K412))</f>
        <v>29868.434678033216</v>
      </c>
      <c r="L413" s="30">
        <v>0</v>
      </c>
      <c r="M413" s="19">
        <f>VLOOKUP(C413,'Fluxo de Caixa'!$B$13:$U$10027,20,FALSE)</f>
        <v>19671.029763818911</v>
      </c>
      <c r="N413" s="19">
        <f>SUMIFS([1]Master!$J$2:$J$100,[1]Master!$A$2:$A$100,"="&amp;$I$12,[1]Master!$E$2:$E$100,"="&amp;C413,[1]Master!$J$2:$J$100,"&gt;"&amp;0)</f>
        <v>0</v>
      </c>
      <c r="O413" s="19">
        <f ca="1">-SUMIF('[1]Fluxo de Movimentações'!$A$5:$F$10001,"="&amp;$C414,'[1]Fluxo de Movimentações'!$B$5:$B$10001)</f>
        <v>0</v>
      </c>
      <c r="P413" s="19">
        <f>-SUMIFS([1]Master!$J$1:$J$200,[1]Master!$A$1:$A$200,"="&amp;$I$12,[1]Master!$G$1:$G$200,"&gt;"&amp;C413,[1]Master!$E$1:$E$200,"&lt;="&amp;C413)</f>
        <v>37500</v>
      </c>
      <c r="Q413" s="30">
        <v>2179.7069999999999</v>
      </c>
      <c r="R413" s="32">
        <v>1.0814594</v>
      </c>
      <c r="S413" s="30">
        <v>0</v>
      </c>
      <c r="T413" s="30">
        <v>0</v>
      </c>
      <c r="U413" s="30">
        <v>0</v>
      </c>
      <c r="V413" s="30">
        <v>0</v>
      </c>
    </row>
    <row r="414" spans="3:22" x14ac:dyDescent="0.25">
      <c r="C414" s="4">
        <f>WORKDAY(C413,1,Feriados!$A$2:$A$842)</f>
        <v>45420</v>
      </c>
      <c r="D414" s="30">
        <v>18411145.116</v>
      </c>
      <c r="E414" s="32">
        <v>1.0790466999999999</v>
      </c>
      <c r="F414" s="38">
        <f t="shared" ref="F414" si="1087">D414/TRUNC(E414,7)</f>
        <v>17062417.331891198</v>
      </c>
      <c r="G414" s="19">
        <f t="shared" ref="G414" si="1088">H414*I414</f>
        <v>18388408.119679209</v>
      </c>
      <c r="H414" s="31">
        <v>1.1300307000000001</v>
      </c>
      <c r="I414" s="19">
        <f>SUMIFS([1]Master!$K$2:$K$10000,[1]Master!$A$2:$A$10000,$I$12,[1]Master!$F$2:$F$10000,"&lt;="&amp;$C414)</f>
        <v>16272485.446350446</v>
      </c>
      <c r="J414" s="19">
        <f t="shared" ref="J414" si="1089">((((1+1.85%)^(1/252))-1)*D413) + SUM(J413)</f>
        <v>6665.8784393545857</v>
      </c>
      <c r="K414" s="19">
        <f>IF((NETWORKDAYS(DATE(YEAR(C414),MONTH(C414),1),C414,Feriados!$A$2:$A$842))&gt;=5,0,IF(NETWORKDAYS(DATE(YEAR(C414),MONTH(C414),1),C414,Feriados!$A$2:$A$842)=1,J413,K413))</f>
        <v>0</v>
      </c>
      <c r="L414" s="30">
        <v>0</v>
      </c>
      <c r="M414" s="19">
        <f>VLOOKUP(C414,'Fluxo de Caixa'!$B$13:$U$10027,20,FALSE)</f>
        <v>20187.53976381891</v>
      </c>
      <c r="N414" s="19">
        <f>SUMIFS([1]Master!$J$2:$J$100,[1]Master!$A$2:$A$100,"="&amp;$I$12,[1]Master!$E$2:$E$100,"="&amp;C414,[1]Master!$J$2:$J$100,"&gt;"&amp;0)</f>
        <v>0</v>
      </c>
      <c r="O414" s="19">
        <f ca="1">-SUMIF('[1]Fluxo de Movimentações'!$A$5:$F$10001,"="&amp;$C415,'[1]Fluxo de Movimentações'!$B$5:$B$10001)</f>
        <v>0</v>
      </c>
      <c r="P414" s="19">
        <f>-SUMIFS([1]Master!$J$1:$J$200,[1]Master!$A$1:$A$200,"="&amp;$I$12,[1]Master!$G$1:$G$200,"&gt;"&amp;C414,[1]Master!$E$1:$E$200,"&lt;="&amp;C414)</f>
        <v>0</v>
      </c>
      <c r="Q414" s="30">
        <v>9214.6360000000004</v>
      </c>
      <c r="R414" s="32">
        <v>1.0790466999999999</v>
      </c>
      <c r="S414" s="30">
        <v>0</v>
      </c>
      <c r="T414" s="30">
        <v>0</v>
      </c>
      <c r="U414" s="30">
        <v>0</v>
      </c>
      <c r="V414" s="30">
        <v>0</v>
      </c>
    </row>
    <row r="415" spans="3:22" x14ac:dyDescent="0.25">
      <c r="C415" s="4">
        <f>WORKDAY(C414,1,Feriados!$A$2:$A$842)</f>
        <v>45421</v>
      </c>
      <c r="D415" s="30">
        <v>18122227.620299999</v>
      </c>
      <c r="E415" s="32">
        <v>1.0621137</v>
      </c>
      <c r="F415" s="38">
        <f t="shared" ref="F415" si="1090">D415/TRUNC(E415,7)</f>
        <v>17062417.724486556</v>
      </c>
      <c r="G415" s="19">
        <f t="shared" ref="G415" si="1091">H415*I415</f>
        <v>18100938.391783983</v>
      </c>
      <c r="H415" s="31">
        <v>1.1123647000000001</v>
      </c>
      <c r="I415" s="19">
        <f>SUMIFS([1]Master!$K$2:$K$10000,[1]Master!$A$2:$A$10000,$I$12,[1]Master!$F$2:$F$10000,"&lt;="&amp;$C415)</f>
        <v>16272485.446350446</v>
      </c>
      <c r="J415" s="19">
        <f t="shared" ref="J415" si="1092">((((1+1.85%)^(1/252))-1)*D414) + SUM(J414)</f>
        <v>8005.1886731155282</v>
      </c>
      <c r="K415" s="19">
        <f>IF((NETWORKDAYS(DATE(YEAR(C415),MONTH(C415),1),C415,Feriados!$A$2:$A$842))&gt;=5,0,IF(NETWORKDAYS(DATE(YEAR(C415),MONTH(C415),1),C415,Feriados!$A$2:$A$842)=1,J414,K414))</f>
        <v>0</v>
      </c>
      <c r="L415" s="30">
        <v>0</v>
      </c>
      <c r="M415" s="19">
        <f>VLOOKUP(C415,'Fluxo de Caixa'!$B$13:$U$10027,20,FALSE)</f>
        <v>20187.53976381891</v>
      </c>
      <c r="N415" s="19">
        <f>SUMIFS([1]Master!$J$2:$J$100,[1]Master!$A$2:$A$100,"="&amp;$I$12,[1]Master!$E$2:$E$100,"="&amp;C415,[1]Master!$J$2:$J$100,"&gt;"&amp;0)</f>
        <v>0</v>
      </c>
      <c r="O415" s="19">
        <f ca="1">-SUMIF('[1]Fluxo de Movimentações'!$A$5:$F$10001,"="&amp;$C416,'[1]Fluxo de Movimentações'!$B$5:$B$10001)</f>
        <v>0</v>
      </c>
      <c r="P415" s="19">
        <f>-SUMIFS([1]Master!$J$1:$J$200,[1]Master!$A$1:$A$200,"="&amp;$I$12,[1]Master!$G$1:$G$200,"&gt;"&amp;C415,[1]Master!$E$1:$E$200,"&lt;="&amp;C415)</f>
        <v>0</v>
      </c>
      <c r="Q415" s="30">
        <v>9106.1803</v>
      </c>
      <c r="R415" s="32">
        <v>1.0621137</v>
      </c>
      <c r="S415" s="30">
        <v>0</v>
      </c>
      <c r="T415" s="30">
        <v>0</v>
      </c>
      <c r="U415" s="30">
        <v>0</v>
      </c>
      <c r="V415" s="30">
        <v>0</v>
      </c>
    </row>
    <row r="416" spans="3:22" x14ac:dyDescent="0.25">
      <c r="C416" s="4">
        <f>WORKDAY(C415,1,Feriados!$A$2:$A$842)</f>
        <v>45422</v>
      </c>
      <c r="D416" s="30">
        <v>17891731.469000001</v>
      </c>
      <c r="E416" s="32">
        <v>1.0486047000000001</v>
      </c>
      <c r="F416" s="38">
        <f t="shared" ref="F416" si="1093">D416/TRUNC(E416,7)</f>
        <v>17062417.771921106</v>
      </c>
      <c r="G416" s="19">
        <f t="shared" ref="G416" si="1094">H416*I416</f>
        <v>17871868.986907158</v>
      </c>
      <c r="H416" s="31">
        <v>1.0982875999999999</v>
      </c>
      <c r="I416" s="19">
        <f>SUMIFS([1]Master!$K$2:$K$10000,[1]Master!$A$2:$A$10000,$I$12,[1]Master!$F$2:$F$10000,"&lt;="&amp;$C416)</f>
        <v>16272485.446350446</v>
      </c>
      <c r="J416" s="19">
        <f t="shared" ref="J416" si="1095">((((1+1.85%)^(1/252))-1)*D415) + SUM(J415)</f>
        <v>9323.4817373160986</v>
      </c>
      <c r="K416" s="19">
        <f>IF((NETWORKDAYS(DATE(YEAR(C416),MONTH(C416),1),C416,Feriados!$A$2:$A$842))&gt;=5,0,IF(NETWORKDAYS(DATE(YEAR(C416),MONTH(C416),1),C416,Feriados!$A$2:$A$842)=1,J415,K415))</f>
        <v>0</v>
      </c>
      <c r="L416" s="30">
        <v>0</v>
      </c>
      <c r="M416" s="19">
        <f>VLOOKUP(C416,'Fluxo de Caixa'!$B$13:$U$10027,20,FALSE)</f>
        <v>20187.53976381891</v>
      </c>
      <c r="N416" s="19">
        <f>SUMIFS([1]Master!$J$2:$J$100,[1]Master!$A$2:$A$100,"="&amp;$I$12,[1]Master!$E$2:$E$100,"="&amp;C416,[1]Master!$J$2:$J$100,"&gt;"&amp;0)</f>
        <v>0</v>
      </c>
      <c r="O416" s="19">
        <f ca="1">-SUMIF('[1]Fluxo de Movimentações'!$A$5:$F$10001,"="&amp;$C417,'[1]Fluxo de Movimentações'!$B$5:$B$10001)</f>
        <v>0</v>
      </c>
      <c r="P416" s="19">
        <f>-SUMIFS([1]Master!$J$1:$J$200,[1]Master!$A$1:$A$200,"="&amp;$I$12,[1]Master!$G$1:$G$200,"&gt;"&amp;C416,[1]Master!$E$1:$E$200,"&lt;="&amp;C416)</f>
        <v>0</v>
      </c>
      <c r="Q416" s="30">
        <v>8997.7189999999991</v>
      </c>
      <c r="R416" s="32">
        <v>1.0486047000000001</v>
      </c>
      <c r="S416" s="30">
        <v>0</v>
      </c>
      <c r="T416" s="30">
        <v>0</v>
      </c>
      <c r="U416" s="30">
        <v>0</v>
      </c>
      <c r="V416" s="30">
        <v>0</v>
      </c>
    </row>
    <row r="417" spans="3:22" x14ac:dyDescent="0.25">
      <c r="C417" s="4">
        <f>WORKDAY(C416,1,Feriados!$A$2:$A$842)</f>
        <v>45425</v>
      </c>
      <c r="D417" s="30">
        <v>17852701.697999999</v>
      </c>
      <c r="E417" s="32">
        <v>1.0463172999999999</v>
      </c>
      <c r="F417" s="38">
        <f t="shared" ref="F417" si="1096">D417/TRUNC(E417,7)</f>
        <v>17062416.628301952</v>
      </c>
      <c r="G417" s="19">
        <f t="shared" ref="G417" si="1097">H417*I417</f>
        <v>17834220.964578483</v>
      </c>
      <c r="H417" s="31">
        <v>1.095974</v>
      </c>
      <c r="I417" s="19">
        <f>SUMIFS([1]Master!$K$2:$K$10000,[1]Master!$A$2:$A$10000,$I$12,[1]Master!$F$2:$F$10000,"&lt;="&amp;$C417)</f>
        <v>16272485.446350446</v>
      </c>
      <c r="J417" s="19">
        <f t="shared" ref="J417" si="1098">((((1+1.85%)^(1/252))-1)*D416) + SUM(J416)</f>
        <v>10625.007465626719</v>
      </c>
      <c r="K417" s="19">
        <f>IF((NETWORKDAYS(DATE(YEAR(C417),MONTH(C417),1),C417,Feriados!$A$2:$A$842))&gt;=5,0,IF(NETWORKDAYS(DATE(YEAR(C417),MONTH(C417),1),C417,Feriados!$A$2:$A$842)=1,J416,K416))</f>
        <v>0</v>
      </c>
      <c r="L417" s="30">
        <v>0</v>
      </c>
      <c r="M417" s="19">
        <f>VLOOKUP(C417,'Fluxo de Caixa'!$B$13:$U$10027,20,FALSE)</f>
        <v>20187.53976381891</v>
      </c>
      <c r="N417" s="19">
        <f>SUMIFS([1]Master!$J$2:$J$100,[1]Master!$A$2:$A$100,"="&amp;$I$12,[1]Master!$E$2:$E$100,"="&amp;C417,[1]Master!$J$2:$J$100,"&gt;"&amp;0)</f>
        <v>0</v>
      </c>
      <c r="O417" s="19">
        <f ca="1">-SUMIF('[1]Fluxo de Movimentações'!$A$5:$F$10001,"="&amp;$C418,'[1]Fluxo de Movimentações'!$B$5:$B$10001)</f>
        <v>0</v>
      </c>
      <c r="P417" s="19">
        <f>-SUMIFS([1]Master!$J$1:$J$200,[1]Master!$A$1:$A$200,"="&amp;$I$12,[1]Master!$G$1:$G$200,"&gt;"&amp;C417,[1]Master!$E$1:$E$200,"&lt;="&amp;C417)</f>
        <v>0</v>
      </c>
      <c r="Q417" s="30">
        <v>8917.4979999999996</v>
      </c>
      <c r="R417" s="32">
        <v>1.0463172999999999</v>
      </c>
      <c r="S417" s="30">
        <v>0</v>
      </c>
      <c r="T417" s="30">
        <v>0</v>
      </c>
      <c r="U417" s="30">
        <v>0</v>
      </c>
      <c r="V417" s="30">
        <v>0</v>
      </c>
    </row>
    <row r="418" spans="3:22" x14ac:dyDescent="0.25">
      <c r="C418" s="4">
        <f>WORKDAY(C417,1,Feriados!$A$2:$A$842)</f>
        <v>45426</v>
      </c>
      <c r="D418" s="30">
        <v>17998391.897</v>
      </c>
      <c r="E418" s="32">
        <v>1.0548559</v>
      </c>
      <c r="F418" s="38">
        <f t="shared" ref="F418" si="1099">D418/TRUNC(E418,7)</f>
        <v>17062417.622160524</v>
      </c>
      <c r="G418" s="19">
        <f t="shared" ref="G418" si="1100">H418*I418</f>
        <v>17981290.060794055</v>
      </c>
      <c r="H418" s="31">
        <v>1.1050119</v>
      </c>
      <c r="I418" s="19">
        <f>SUMIFS([1]Master!$K$2:$K$10000,[1]Master!$A$2:$A$10000,$I$12,[1]Master!$F$2:$F$10000,"&lt;="&amp;$C418)</f>
        <v>16272485.446350446</v>
      </c>
      <c r="J418" s="19">
        <f t="shared" ref="J418" si="1101">((((1+1.85%)^(1/252))-1)*D417) + SUM(J417)</f>
        <v>11923.693991302614</v>
      </c>
      <c r="K418" s="19">
        <f>IF((NETWORKDAYS(DATE(YEAR(C418),MONTH(C418),1),C418,Feriados!$A$2:$A$842))&gt;=5,0,IF(NETWORKDAYS(DATE(YEAR(C418),MONTH(C418),1),C418,Feriados!$A$2:$A$842)=1,J417,K417))</f>
        <v>0</v>
      </c>
      <c r="L418" s="30">
        <v>0</v>
      </c>
      <c r="M418" s="19">
        <f>VLOOKUP(C418,'Fluxo de Caixa'!$B$13:$U$10027,20,FALSE)</f>
        <v>20187.53976381891</v>
      </c>
      <c r="N418" s="19">
        <f>SUMIFS([1]Master!$J$2:$J$100,[1]Master!$A$2:$A$100,"="&amp;$I$12,[1]Master!$E$2:$E$100,"="&amp;C418,[1]Master!$J$2:$J$100,"&gt;"&amp;0)</f>
        <v>0</v>
      </c>
      <c r="O418" s="19">
        <f ca="1">-SUMIF('[1]Fluxo de Movimentações'!$A$5:$F$10001,"="&amp;$C419,'[1]Fluxo de Movimentações'!$B$5:$B$10001)</f>
        <v>0</v>
      </c>
      <c r="P418" s="19">
        <f>-SUMIFS([1]Master!$J$1:$J$200,[1]Master!$A$1:$A$200,"="&amp;$I$12,[1]Master!$G$1:$G$200,"&gt;"&amp;C418,[1]Master!$E$1:$E$200,"&lt;="&amp;C418)</f>
        <v>0</v>
      </c>
      <c r="Q418" s="30">
        <v>8837.277</v>
      </c>
      <c r="R418" s="32">
        <v>1.0548559</v>
      </c>
      <c r="S418" s="30">
        <v>0</v>
      </c>
      <c r="T418" s="30">
        <v>0</v>
      </c>
      <c r="U418" s="30">
        <v>0</v>
      </c>
      <c r="V418" s="30">
        <v>0</v>
      </c>
    </row>
    <row r="419" spans="3:22" x14ac:dyDescent="0.25">
      <c r="C419" s="4">
        <v>45427</v>
      </c>
      <c r="D419" s="30">
        <v>18124900.875999998</v>
      </c>
      <c r="E419" s="32">
        <v>1.0622704000000001</v>
      </c>
      <c r="F419" s="38">
        <f t="shared" ref="F419" si="1102">D419/TRUNC(E419,7)</f>
        <v>17062417.324251901</v>
      </c>
      <c r="G419" s="19">
        <f t="shared" ref="G419" si="1103">H419*I419</f>
        <v>18109188.541905276</v>
      </c>
      <c r="H419" s="31">
        <v>1.1128716999999999</v>
      </c>
      <c r="I419" s="19">
        <f>SUMIFS([1]Master!$K$2:$K$10000,[1]Master!$A$2:$A$10000,$I$12,[1]Master!$F$2:$F$10000,"&lt;="&amp;$C419)</f>
        <v>16272485.446350446</v>
      </c>
      <c r="J419" s="19">
        <f t="shared" ref="J419" si="1104">((((1+1.85%)^(1/252))-1)*D418) + SUM(J418)</f>
        <v>13232.978683102887</v>
      </c>
      <c r="K419" s="19">
        <f>IF((NETWORKDAYS(DATE(YEAR(C419),MONTH(C419),1),C419,Feriados!$A$2:$A$842))&gt;=5,0,IF(NETWORKDAYS(DATE(YEAR(C419),MONTH(C419),1),C419,Feriados!$A$2:$A$842)=1,J418,K418))</f>
        <v>0</v>
      </c>
      <c r="L419" s="30">
        <v>0</v>
      </c>
      <c r="M419" s="19">
        <f>VLOOKUP(C419,'Fluxo de Caixa'!$B$13:$U$10027,20,FALSE)</f>
        <v>19572.87976381891</v>
      </c>
      <c r="N419" s="19">
        <f>SUMIFS([1]Master!$J$2:$J$100,[1]Master!$A$2:$A$100,"="&amp;$I$12,[1]Master!$E$2:$E$100,"="&amp;C419,[1]Master!$J$2:$J$100,"&gt;"&amp;0)</f>
        <v>0</v>
      </c>
      <c r="O419" s="19">
        <f ca="1">-SUMIF('[1]Fluxo de Movimentações'!$A$5:$F$10001,"="&amp;$C420,'[1]Fluxo de Movimentações'!$B$5:$B$10001)</f>
        <v>0</v>
      </c>
      <c r="P419" s="19">
        <f>-SUMIFS([1]Master!$J$1:$J$200,[1]Master!$A$1:$A$200,"="&amp;$I$12,[1]Master!$G$1:$G$200,"&gt;"&amp;C419,[1]Master!$E$1:$E$200,"&lt;="&amp;C419)</f>
        <v>0</v>
      </c>
      <c r="Q419" s="30">
        <v>9371.7160000000003</v>
      </c>
      <c r="R419" s="32">
        <v>1.0622704000000001</v>
      </c>
      <c r="S419" s="30">
        <v>0</v>
      </c>
      <c r="T419" s="30">
        <v>0</v>
      </c>
      <c r="U419" s="30">
        <v>0</v>
      </c>
      <c r="V419" s="30">
        <v>0</v>
      </c>
    </row>
    <row r="420" spans="3:22" x14ac:dyDescent="0.25">
      <c r="C420" s="4">
        <v>45428</v>
      </c>
      <c r="D420" s="30">
        <v>18221745.685199998</v>
      </c>
      <c r="E420" s="32">
        <v>1.0679463</v>
      </c>
      <c r="F420" s="38">
        <f t="shared" ref="F420" si="1105">D420/TRUNC(E420,7)</f>
        <v>17062417.544028196</v>
      </c>
      <c r="G420" s="19">
        <f t="shared" ref="G420" si="1106">H420*I420</f>
        <v>18207432.045539077</v>
      </c>
      <c r="H420" s="31">
        <v>1.1189091</v>
      </c>
      <c r="I420" s="19">
        <f>SUMIFS([1]Master!$K$2:$K$10000,[1]Master!$A$2:$A$10000,$I$12,[1]Master!$F$2:$F$10000,"&lt;="&amp;$C420)</f>
        <v>16272485.446350446</v>
      </c>
      <c r="J420" s="19">
        <f t="shared" ref="J420" si="1107">((((1+1.85%)^(1/252))-1)*D419) + SUM(J419)</f>
        <v>14551.466212052603</v>
      </c>
      <c r="K420" s="19">
        <f>IF((NETWORKDAYS(DATE(YEAR(C420),MONTH(C420),1),C420,Feriados!$A$2:$A$842))&gt;=5,0,IF(NETWORKDAYS(DATE(YEAR(C420),MONTH(C420),1),C420,Feriados!$A$2:$A$842)=1,J419,K419))</f>
        <v>0</v>
      </c>
      <c r="L420" s="30">
        <v>0</v>
      </c>
      <c r="M420" s="19">
        <f>VLOOKUP(C420,'Fluxo de Caixa'!$B$13:$U$10027,20,FALSE)</f>
        <v>19572.87976381891</v>
      </c>
      <c r="N420" s="19">
        <f>SUMIFS([1]Master!$J$2:$J$100,[1]Master!$A$2:$A$100,"="&amp;$I$12,[1]Master!$E$2:$E$100,"="&amp;C420,[1]Master!$J$2:$J$100,"&gt;"&amp;0)</f>
        <v>0</v>
      </c>
      <c r="O420" s="19">
        <f ca="1">-SUMIF('[1]Fluxo de Movimentações'!$A$5:$F$10001,"="&amp;$C421,'[1]Fluxo de Movimentações'!$B$5:$B$10001)</f>
        <v>0</v>
      </c>
      <c r="P420" s="19">
        <f>-SUMIFS([1]Master!$J$1:$J$200,[1]Master!$A$1:$A$200,"="&amp;$I$12,[1]Master!$G$1:$G$200,"&gt;"&amp;C420,[1]Master!$E$1:$E$200,"&lt;="&amp;C420)</f>
        <v>0</v>
      </c>
      <c r="Q420" s="30">
        <v>9291.4951999999994</v>
      </c>
      <c r="R420" s="32">
        <v>1.0679463</v>
      </c>
      <c r="S420" s="30">
        <v>0</v>
      </c>
      <c r="T420" s="30">
        <v>0</v>
      </c>
      <c r="U420" s="30">
        <v>0</v>
      </c>
      <c r="V420" s="30">
        <v>0</v>
      </c>
    </row>
    <row r="421" spans="3:22" x14ac:dyDescent="0.25">
      <c r="C421" s="4">
        <f>WORKDAY(C420,1,Feriados!$A$2:$A$842)</f>
        <v>45429</v>
      </c>
      <c r="D421" s="30">
        <v>18102876.559</v>
      </c>
      <c r="E421" s="32">
        <v>1.0609796</v>
      </c>
      <c r="F421" s="38">
        <f t="shared" ref="F421" si="1108">D421/TRUNC(E421,7)</f>
        <v>17062417.18408158</v>
      </c>
      <c r="G421" s="19">
        <f t="shared" ref="G421" si="1109">H421*I421</f>
        <v>18089967.48209605</v>
      </c>
      <c r="H421" s="31">
        <v>1.1116904999999999</v>
      </c>
      <c r="I421" s="19">
        <f>SUMIFS([1]Master!$K$2:$K$10000,[1]Master!$A$2:$A$10000,$I$12,[1]Master!$F$2:$F$10000,"&lt;="&amp;$C421)</f>
        <v>16272485.446350446</v>
      </c>
      <c r="J421" s="19">
        <f t="shared" ref="J421" si="1110">((((1+1.85%)^(1/252))-1)*D420) + SUM(J420)</f>
        <v>15876.998671843447</v>
      </c>
      <c r="K421" s="19">
        <f>IF((NETWORKDAYS(DATE(YEAR(C421),MONTH(C421),1),C421,Feriados!$A$2:$A$842))&gt;=5,0,IF(NETWORKDAYS(DATE(YEAR(C421),MONTH(C421),1),C421,Feriados!$A$2:$A$842)=1,J420,K420))</f>
        <v>0</v>
      </c>
      <c r="L421" s="30">
        <v>0</v>
      </c>
      <c r="M421" s="19">
        <f>VLOOKUP(C421,'Fluxo de Caixa'!$B$13:$U$10027,20,FALSE)</f>
        <v>19572.87976381891</v>
      </c>
      <c r="N421" s="19">
        <f>SUMIFS([1]Master!$J$2:$J$100,[1]Master!$A$2:$A$100,"="&amp;$I$12,[1]Master!$E$2:$E$100,"="&amp;C421,[1]Master!$J$2:$J$100,"&gt;"&amp;0)</f>
        <v>0</v>
      </c>
      <c r="O421" s="19">
        <f ca="1">-SUMIF('[1]Fluxo de Movimentações'!$A$5:$F$10001,"="&amp;$C422,'[1]Fluxo de Movimentações'!$B$5:$B$10001)</f>
        <v>0</v>
      </c>
      <c r="P421" s="19">
        <f>-SUMIFS([1]Master!$J$1:$J$200,[1]Master!$A$1:$A$200,"="&amp;$I$12,[1]Master!$G$1:$G$200,"&gt;"&amp;C421,[1]Master!$E$1:$E$200,"&lt;="&amp;C421)</f>
        <v>0</v>
      </c>
      <c r="Q421" s="30">
        <v>9212.4689999999991</v>
      </c>
      <c r="R421" s="32">
        <v>1.0609796</v>
      </c>
      <c r="S421" s="30">
        <v>0</v>
      </c>
      <c r="T421" s="30">
        <v>0</v>
      </c>
      <c r="U421" s="30">
        <v>0</v>
      </c>
      <c r="V421" s="30">
        <v>0</v>
      </c>
    </row>
    <row r="422" spans="3:22" x14ac:dyDescent="0.25">
      <c r="C422" s="4">
        <f>WORKDAY(C421,1,Feriados!$A$2:$A$842)</f>
        <v>45432</v>
      </c>
      <c r="D422" s="30">
        <v>18122263.8728</v>
      </c>
      <c r="E422" s="32">
        <v>1.0621159</v>
      </c>
      <c r="F422" s="38">
        <f t="shared" ref="F422" si="1111">D422/TRUNC(E422,7)</f>
        <v>17062416.514807846</v>
      </c>
      <c r="G422" s="19">
        <f t="shared" ref="G422" si="1112">H422*I422</f>
        <v>18110750.700508129</v>
      </c>
      <c r="H422" s="31">
        <v>1.1129677</v>
      </c>
      <c r="I422" s="19">
        <f>SUMIFS([1]Master!$K$2:$K$10000,[1]Master!$A$2:$A$10000,$I$12,[1]Master!$F$2:$F$10000,"&lt;="&amp;$C422)</f>
        <v>16272485.446350446</v>
      </c>
      <c r="J422" s="19">
        <f t="shared" ref="J422" si="1113">((((1+1.85%)^(1/252))-1)*D421) + SUM(J421)</f>
        <v>17193.884052042293</v>
      </c>
      <c r="K422" s="19">
        <f>IF((NETWORKDAYS(DATE(YEAR(C422),MONTH(C422),1),C422,Feriados!$A$2:$A$842))&gt;=5,0,IF(NETWORKDAYS(DATE(YEAR(C422),MONTH(C422),1),C422,Feriados!$A$2:$A$842)=1,J421,K421))</f>
        <v>0</v>
      </c>
      <c r="L422" s="30">
        <v>0</v>
      </c>
      <c r="M422" s="19">
        <f>VLOOKUP(C422,'Fluxo de Caixa'!$B$13:$U$10027,20,FALSE)</f>
        <v>19572.87976381891</v>
      </c>
      <c r="N422" s="19">
        <f>SUMIFS([1]Master!$J$2:$J$100,[1]Master!$A$2:$A$100,"="&amp;$I$12,[1]Master!$E$2:$E$100,"="&amp;C422,[1]Master!$J$2:$J$100,"&gt;"&amp;0)</f>
        <v>0</v>
      </c>
      <c r="O422" s="19">
        <f ca="1">-SUMIF('[1]Fluxo de Movimentações'!$A$5:$F$10001,"="&amp;$C423,'[1]Fluxo de Movimentações'!$B$5:$B$10001)</f>
        <v>0</v>
      </c>
      <c r="P422" s="19">
        <f>-SUMIFS([1]Master!$J$1:$J$200,[1]Master!$A$1:$A$200,"="&amp;$I$12,[1]Master!$G$1:$G$200,"&gt;"&amp;C422,[1]Master!$E$1:$E$200,"&lt;="&amp;C422)</f>
        <v>0</v>
      </c>
      <c r="Q422" s="30">
        <v>9133.4428000000007</v>
      </c>
      <c r="R422" s="32">
        <v>1.0621159</v>
      </c>
      <c r="S422" s="30">
        <v>0</v>
      </c>
      <c r="T422" s="30">
        <v>0</v>
      </c>
      <c r="U422" s="30">
        <v>0</v>
      </c>
      <c r="V422" s="30">
        <v>0</v>
      </c>
    </row>
    <row r="423" spans="3:22" x14ac:dyDescent="0.25">
      <c r="C423" s="4">
        <f>WORKDAY(C422,1,Feriados!$A$2:$A$842)</f>
        <v>45433</v>
      </c>
      <c r="D423" s="30">
        <v>18114567.476599999</v>
      </c>
      <c r="E423" s="32">
        <v>1.0616648</v>
      </c>
      <c r="F423" s="38">
        <f t="shared" ref="F423" si="1114">D423/TRUNC(E423,7)</f>
        <v>17062416.947985843</v>
      </c>
      <c r="G423" s="19">
        <f t="shared" ref="G423" si="1115">H423*I423</f>
        <v>18104451.621391848</v>
      </c>
      <c r="H423" s="31">
        <v>1.1125806</v>
      </c>
      <c r="I423" s="19">
        <f>SUMIFS([1]Master!$K$2:$K$10000,[1]Master!$A$2:$A$10000,$I$12,[1]Master!$F$2:$F$10000,"&lt;="&amp;$C423)</f>
        <v>16272485.446350446</v>
      </c>
      <c r="J423" s="19">
        <f t="shared" ref="J423" si="1116">((((1+1.85%)^(1/252))-1)*D422) + SUM(J422)</f>
        <v>18512.179753414202</v>
      </c>
      <c r="K423" s="19">
        <f>IF((NETWORKDAYS(DATE(YEAR(C423),MONTH(C423),1),C423,Feriados!$A$2:$A$842))&gt;=5,0,IF(NETWORKDAYS(DATE(YEAR(C423),MONTH(C423),1),C423,Feriados!$A$2:$A$842)=1,J422,K422))</f>
        <v>0</v>
      </c>
      <c r="L423" s="30">
        <v>0</v>
      </c>
      <c r="M423" s="19">
        <f>VLOOKUP(C423,'Fluxo de Caixa'!$B$13:$U$10027,20,FALSE)</f>
        <v>19572.87976381891</v>
      </c>
      <c r="N423" s="19">
        <f>SUMIFS([1]Master!$J$2:$J$100,[1]Master!$A$2:$A$100,"="&amp;$I$12,[1]Master!$E$2:$E$100,"="&amp;C423,[1]Master!$J$2:$J$100,"&gt;"&amp;0)</f>
        <v>0</v>
      </c>
      <c r="O423" s="19">
        <f ca="1">-SUMIF('[1]Fluxo de Movimentações'!$A$5:$F$10001,"="&amp;$C424,'[1]Fluxo de Movimentações'!$B$5:$B$10001)</f>
        <v>0</v>
      </c>
      <c r="P423" s="19">
        <f>-SUMIFS([1]Master!$J$1:$J$200,[1]Master!$A$1:$A$200,"="&amp;$I$12,[1]Master!$G$1:$G$200,"&gt;"&amp;C423,[1]Master!$E$1:$E$200,"&lt;="&amp;C423)</f>
        <v>0</v>
      </c>
      <c r="Q423" s="30">
        <v>9054.4166000000005</v>
      </c>
      <c r="R423" s="32">
        <v>1.0616648</v>
      </c>
      <c r="S423" s="30">
        <v>0</v>
      </c>
      <c r="T423" s="30">
        <v>0</v>
      </c>
      <c r="U423" s="30">
        <v>0</v>
      </c>
      <c r="V423" s="30">
        <v>0</v>
      </c>
    </row>
    <row r="424" spans="3:22" x14ac:dyDescent="0.25">
      <c r="C424" s="4">
        <f>WORKDAY(C423,1,Feriados!$A$2:$A$842)</f>
        <v>45434</v>
      </c>
      <c r="D424" s="30">
        <v>17815472.110399999</v>
      </c>
      <c r="E424" s="32">
        <v>1.0441353</v>
      </c>
      <c r="F424" s="38">
        <f t="shared" ref="F424" si="1117">D424/TRUNC(E424,7)</f>
        <v>17062417.208191313</v>
      </c>
      <c r="G424" s="19">
        <f t="shared" ref="G424" si="1118">H424*I424</f>
        <v>17806753.009145044</v>
      </c>
      <c r="H424" s="31">
        <v>1.0942860000000001</v>
      </c>
      <c r="I424" s="19">
        <f>SUMIFS([1]Master!$K$2:$K$10000,[1]Master!$A$2:$A$10000,$I$12,[1]Master!$F$2:$F$10000,"&lt;="&amp;$C424)</f>
        <v>16272485.446350446</v>
      </c>
      <c r="J424" s="19">
        <f t="shared" ref="J424" si="1119">((((1+1.85%)^(1/252))-1)*D423) + SUM(J423)</f>
        <v>19829.915584005194</v>
      </c>
      <c r="K424" s="19">
        <f>IF((NETWORKDAYS(DATE(YEAR(C424),MONTH(C424),1),C424,Feriados!$A$2:$A$842))&gt;=5,0,IF(NETWORKDAYS(DATE(YEAR(C424),MONTH(C424),1),C424,Feriados!$A$2:$A$842)=1,J423,K423))</f>
        <v>0</v>
      </c>
      <c r="L424" s="30">
        <v>0</v>
      </c>
      <c r="M424" s="19">
        <f>VLOOKUP(C424,'Fluxo de Caixa'!$B$13:$U$10027,20,FALSE)</f>
        <v>19572.87976381891</v>
      </c>
      <c r="N424" s="19">
        <f>SUMIFS([1]Master!$J$2:$J$100,[1]Master!$A$2:$A$100,"="&amp;$I$12,[1]Master!$E$2:$E$100,"="&amp;C424,[1]Master!$J$2:$J$100,"&gt;"&amp;0)</f>
        <v>0</v>
      </c>
      <c r="O424" s="19">
        <f ca="1">-SUMIF('[1]Fluxo de Movimentações'!$A$5:$F$10001,"="&amp;$C425,'[1]Fluxo de Movimentações'!$B$5:$B$10001)</f>
        <v>0</v>
      </c>
      <c r="P424" s="19">
        <f>-SUMIFS([1]Master!$J$1:$J$200,[1]Master!$A$1:$A$200,"="&amp;$I$12,[1]Master!$G$1:$G$200,"&gt;"&amp;C424,[1]Master!$E$1:$E$200,"&lt;="&amp;C424)</f>
        <v>0</v>
      </c>
      <c r="Q424" s="30">
        <v>8975.3904000000002</v>
      </c>
      <c r="R424" s="32">
        <v>1.0441353</v>
      </c>
      <c r="S424" s="30">
        <v>0</v>
      </c>
      <c r="T424" s="30">
        <v>0</v>
      </c>
      <c r="U424" s="30">
        <v>0</v>
      </c>
      <c r="V424" s="30">
        <v>0</v>
      </c>
    </row>
    <row r="425" spans="3:22" x14ac:dyDescent="0.25">
      <c r="C425" s="4">
        <f>WORKDAY(C424,1,Feriados!$A$2:$A$842)</f>
        <v>45435</v>
      </c>
      <c r="D425" s="30">
        <v>17671976.484200001</v>
      </c>
      <c r="E425" s="32">
        <v>1.0357253</v>
      </c>
      <c r="F425" s="38">
        <f t="shared" ref="F425" si="1120">D425/TRUNC(E425,7)</f>
        <v>17062416.53477037</v>
      </c>
      <c r="G425" s="19">
        <f t="shared" ref="G425" si="1121">H425*I425</f>
        <v>17664632.375753708</v>
      </c>
      <c r="H425" s="31">
        <v>1.0855522</v>
      </c>
      <c r="I425" s="19">
        <f>SUMIFS([1]Master!$K$2:$K$10000,[1]Master!$A$2:$A$10000,$I$12,[1]Master!$F$2:$F$10000,"&lt;="&amp;$C425)</f>
        <v>16272485.446350446</v>
      </c>
      <c r="J425" s="19">
        <f t="shared" ref="J425" si="1122">((((1+1.85%)^(1/252))-1)*D424) + SUM(J424)</f>
        <v>21125.893860554963</v>
      </c>
      <c r="K425" s="19">
        <f>IF((NETWORKDAYS(DATE(YEAR(C425),MONTH(C425),1),C425,Feriados!$A$2:$A$842))&gt;=5,0,IF(NETWORKDAYS(DATE(YEAR(C425),MONTH(C425),1),C425,Feriados!$A$2:$A$842)=1,J424,K424))</f>
        <v>0</v>
      </c>
      <c r="L425" s="30">
        <v>0</v>
      </c>
      <c r="M425" s="19">
        <f>VLOOKUP(C425,'Fluxo de Caixa'!$B$13:$U$10027,20,FALSE)</f>
        <v>19572.87976381891</v>
      </c>
      <c r="N425" s="19">
        <f>SUMIFS([1]Master!$J$2:$J$100,[1]Master!$A$2:$A$100,"="&amp;$I$12,[1]Master!$E$2:$E$100,"="&amp;C425,[1]Master!$J$2:$J$100,"&gt;"&amp;0)</f>
        <v>0</v>
      </c>
      <c r="O425" s="19">
        <f ca="1">-SUMIF('[1]Fluxo de Movimentações'!$A$5:$F$10001,"="&amp;$C426,'[1]Fluxo de Movimentações'!$B$5:$B$10001)</f>
        <v>0</v>
      </c>
      <c r="P425" s="19">
        <f>-SUMIFS([1]Master!$J$1:$J$200,[1]Master!$A$1:$A$200,"="&amp;$I$12,[1]Master!$G$1:$G$200,"&gt;"&amp;C425,[1]Master!$E$1:$E$200,"&lt;="&amp;C425)</f>
        <v>0</v>
      </c>
      <c r="Q425" s="30">
        <v>8896.3642</v>
      </c>
      <c r="R425" s="32">
        <v>1.0357253</v>
      </c>
      <c r="S425" s="30">
        <v>0</v>
      </c>
      <c r="T425" s="30">
        <v>0</v>
      </c>
      <c r="U425" s="30">
        <v>0</v>
      </c>
      <c r="V425" s="30">
        <v>0</v>
      </c>
    </row>
    <row r="426" spans="3:22" x14ac:dyDescent="0.25">
      <c r="C426" s="4">
        <f>WORKDAY(C425,1,Feriados!$A$2:$A$842)</f>
        <v>45436</v>
      </c>
      <c r="D426" s="30">
        <v>17566277.627999999</v>
      </c>
      <c r="E426" s="32">
        <v>1.0295304000000001</v>
      </c>
      <c r="F426" s="38">
        <f t="shared" ref="F426" si="1123">D426/TRUNC(E426,7)</f>
        <v>17062417.610980693</v>
      </c>
      <c r="G426" s="19">
        <f t="shared" ref="G426" si="1124">H426*I426</f>
        <v>17560298.080817346</v>
      </c>
      <c r="H426" s="31">
        <v>1.0791405000000001</v>
      </c>
      <c r="I426" s="19">
        <f>SUMIFS([1]Master!$K$2:$K$10000,[1]Master!$A$2:$A$10000,$I$12,[1]Master!$F$2:$F$10000,"&lt;="&amp;$C426)</f>
        <v>16272485.446350446</v>
      </c>
      <c r="J426" s="19">
        <f t="shared" ref="J426" si="1125">((((1+1.85%)^(1/252))-1)*D425) + SUM(J425)</f>
        <v>22411.433614163398</v>
      </c>
      <c r="K426" s="19">
        <f>IF((NETWORKDAYS(DATE(YEAR(C426),MONTH(C426),1),C426,Feriados!$A$2:$A$842))&gt;=5,0,IF(NETWORKDAYS(DATE(YEAR(C426),MONTH(C426),1),C426,Feriados!$A$2:$A$842)=1,J425,K425))</f>
        <v>0</v>
      </c>
      <c r="L426" s="30">
        <v>0</v>
      </c>
      <c r="M426" s="19">
        <f>VLOOKUP(C426,'Fluxo de Caixa'!$B$13:$U$10027,20,FALSE)</f>
        <v>19572.87976381891</v>
      </c>
      <c r="N426" s="19">
        <f>SUMIFS([1]Master!$J$2:$J$100,[1]Master!$A$2:$A$100,"="&amp;$I$12,[1]Master!$E$2:$E$100,"="&amp;C426,[1]Master!$J$2:$J$100,"&gt;"&amp;0)</f>
        <v>0</v>
      </c>
      <c r="O426" s="19">
        <f ca="1">-SUMIF('[1]Fluxo de Movimentações'!$A$5:$F$10001,"="&amp;$C427,'[1]Fluxo de Movimentações'!$B$5:$B$10001)</f>
        <v>0</v>
      </c>
      <c r="P426" s="19">
        <f>-SUMIFS([1]Master!$J$1:$J$200,[1]Master!$A$1:$A$200,"="&amp;$I$12,[1]Master!$G$1:$G$200,"&gt;"&amp;C426,[1]Master!$E$1:$E$200,"&lt;="&amp;C426)</f>
        <v>0</v>
      </c>
      <c r="Q426" s="30">
        <v>8817.3379999999997</v>
      </c>
      <c r="R426" s="32">
        <v>1.0295304000000001</v>
      </c>
      <c r="S426" s="30">
        <v>0</v>
      </c>
      <c r="T426" s="30">
        <v>0</v>
      </c>
      <c r="U426" s="30">
        <v>0</v>
      </c>
      <c r="V426" s="30">
        <v>0</v>
      </c>
    </row>
    <row r="427" spans="3:22" x14ac:dyDescent="0.25">
      <c r="C427" s="4">
        <f>WORKDAY(C426,1,Feriados!$A$2:$A$842)</f>
        <v>45439</v>
      </c>
      <c r="D427" s="30">
        <v>17564857.2918</v>
      </c>
      <c r="E427" s="32">
        <v>1.0294471999999999</v>
      </c>
      <c r="F427" s="38">
        <f t="shared" ref="F427" si="1126">D427/TRUNC(E427,7)</f>
        <v>17062416.889180914</v>
      </c>
      <c r="G427" s="19">
        <f t="shared" ref="G427" si="1127">H427*I427</f>
        <v>17560234.618124101</v>
      </c>
      <c r="H427" s="31">
        <v>1.0791366</v>
      </c>
      <c r="I427" s="19">
        <f>SUMIFS([1]Master!$K$2:$K$10000,[1]Master!$A$2:$A$10000,$I$12,[1]Master!$F$2:$F$10000,"&lt;="&amp;$C427)</f>
        <v>16272485.446350446</v>
      </c>
      <c r="J427" s="19">
        <f t="shared" ref="J427" si="1128">((((1+1.85%)^(1/252))-1)*D426) + SUM(J426)</f>
        <v>23689.284353377912</v>
      </c>
      <c r="K427" s="19">
        <f>IF((NETWORKDAYS(DATE(YEAR(C427),MONTH(C427),1),C427,Feriados!$A$2:$A$842))&gt;=5,0,IF(NETWORKDAYS(DATE(YEAR(C427),MONTH(C427),1),C427,Feriados!$A$2:$A$842)=1,J426,K426))</f>
        <v>0</v>
      </c>
      <c r="L427" s="30">
        <v>0</v>
      </c>
      <c r="M427" s="19">
        <f>VLOOKUP(C427,'Fluxo de Caixa'!$B$13:$U$10027,20,FALSE)</f>
        <v>19572.87976381891</v>
      </c>
      <c r="N427" s="19">
        <f>SUMIFS([1]Master!$J$2:$J$100,[1]Master!$A$2:$A$100,"="&amp;$I$12,[1]Master!$E$2:$E$100,"="&amp;C427,[1]Master!$J$2:$J$100,"&gt;"&amp;0)</f>
        <v>0</v>
      </c>
      <c r="O427" s="19">
        <f ca="1">-SUMIF('[1]Fluxo de Movimentações'!$A$5:$F$10001,"="&amp;$C428,'[1]Fluxo de Movimentações'!$B$5:$B$10001)</f>
        <v>0</v>
      </c>
      <c r="P427" s="19">
        <f>-SUMIFS([1]Master!$J$1:$J$200,[1]Master!$A$1:$A$200,"="&amp;$I$12,[1]Master!$G$1:$G$200,"&gt;"&amp;C427,[1]Master!$E$1:$E$200,"&lt;="&amp;C427)</f>
        <v>0</v>
      </c>
      <c r="Q427" s="30">
        <v>8738.3117999999995</v>
      </c>
      <c r="R427" s="32">
        <v>1.0294471999999999</v>
      </c>
      <c r="S427" s="30">
        <v>0</v>
      </c>
      <c r="T427" s="30">
        <v>0</v>
      </c>
      <c r="U427" s="30">
        <v>0</v>
      </c>
      <c r="V427" s="30">
        <v>0</v>
      </c>
    </row>
    <row r="428" spans="3:22" x14ac:dyDescent="0.25">
      <c r="C428" s="4">
        <f>WORKDAY(C427,1,Feriados!$A$2:$A$842)</f>
        <v>45440</v>
      </c>
      <c r="D428" s="30">
        <v>17425988.255600002</v>
      </c>
      <c r="E428" s="32">
        <v>1.0213083000000001</v>
      </c>
      <c r="F428" s="38">
        <f t="shared" ref="F428" si="1129">D428/TRUNC(E428,7)</f>
        <v>17062417.152195867</v>
      </c>
      <c r="G428" s="19">
        <f t="shared" ref="G428" si="1130">H428*I428</f>
        <v>17422722.352611173</v>
      </c>
      <c r="H428" s="31">
        <v>1.070686</v>
      </c>
      <c r="I428" s="19">
        <f>SUMIFS([1]Master!$K$2:$K$10000,[1]Master!$A$2:$A$10000,$I$12,[1]Master!$F$2:$F$10000,"&lt;="&amp;$C428)</f>
        <v>16272485.446350446</v>
      </c>
      <c r="J428" s="19">
        <f t="shared" ref="J428" si="1131">((((1+1.85%)^(1/252))-1)*D427) + SUM(J427)</f>
        <v>24967.03177089266</v>
      </c>
      <c r="K428" s="19">
        <f>IF((NETWORKDAYS(DATE(YEAR(C428),MONTH(C428),1),C428,Feriados!$A$2:$A$842))&gt;=5,0,IF(NETWORKDAYS(DATE(YEAR(C428),MONTH(C428),1),C428,Feriados!$A$2:$A$842)=1,J427,K427))</f>
        <v>0</v>
      </c>
      <c r="L428" s="30">
        <v>0</v>
      </c>
      <c r="M428" s="19">
        <f>VLOOKUP(C428,'Fluxo de Caixa'!$B$13:$U$10027,20,FALSE)</f>
        <v>19572.87976381891</v>
      </c>
      <c r="N428" s="19">
        <f>SUMIFS([1]Master!$J$2:$J$100,[1]Master!$A$2:$A$100,"="&amp;$I$12,[1]Master!$E$2:$E$100,"="&amp;C428,[1]Master!$J$2:$J$100,"&gt;"&amp;0)</f>
        <v>50000</v>
      </c>
      <c r="O428" s="19">
        <f ca="1">-SUMIF('[1]Fluxo de Movimentações'!$A$5:$F$10001,"="&amp;$C429,'[1]Fluxo de Movimentações'!$B$5:$B$10001)</f>
        <v>-50000</v>
      </c>
      <c r="P428" s="19">
        <f>-SUMIFS([1]Master!$J$1:$J$200,[1]Master!$A$1:$A$200,"="&amp;$I$12,[1]Master!$G$1:$G$200,"&gt;"&amp;C428,[1]Master!$E$1:$E$200,"&lt;="&amp;C428)</f>
        <v>0</v>
      </c>
      <c r="Q428" s="30">
        <v>8659.2855999999992</v>
      </c>
      <c r="R428" s="32">
        <v>1.0213083000000001</v>
      </c>
      <c r="S428" s="30">
        <v>0</v>
      </c>
      <c r="T428" s="30">
        <v>0</v>
      </c>
      <c r="U428" s="30">
        <v>0</v>
      </c>
      <c r="V428" s="30">
        <v>0</v>
      </c>
    </row>
    <row r="429" spans="3:22" x14ac:dyDescent="0.25">
      <c r="C429" s="4">
        <v>45441</v>
      </c>
      <c r="D429" s="30">
        <v>17284157.509399999</v>
      </c>
      <c r="E429" s="32">
        <v>1.0100654</v>
      </c>
      <c r="F429" s="38">
        <f t="shared" ref="F429" si="1132">D429/TRUNC(E429,7)</f>
        <v>17111919.197905403</v>
      </c>
      <c r="G429" s="19">
        <f t="shared" ref="G429" si="1133">H429*I429</f>
        <v>17282238.26522474</v>
      </c>
      <c r="H429" s="31">
        <v>1.0589801000000001</v>
      </c>
      <c r="I429" s="19">
        <f>SUMIFS([1]Master!$K$2:$K$10000,[1]Master!$A$2:$A$10000,$I$12,[1]Master!$F$2:$F$10000,"&lt;="&amp;$C429)</f>
        <v>16319700.686750147</v>
      </c>
      <c r="J429" s="19">
        <f t="shared" ref="J429" si="1134">((((1+1.85%)^(1/252))-1)*D428) + SUM(J428)</f>
        <v>26234.677224615185</v>
      </c>
      <c r="K429" s="19">
        <f>IF((NETWORKDAYS(DATE(YEAR(C429),MONTH(C429),1),C429,Feriados!$A$2:$A$842))&gt;=5,0,IF(NETWORKDAYS(DATE(YEAR(C429),MONTH(C429),1),C429,Feriados!$A$2:$A$842)=1,J428,K428))</f>
        <v>0</v>
      </c>
      <c r="L429" s="30">
        <v>0</v>
      </c>
      <c r="M429" s="19">
        <f>VLOOKUP(C429,'Fluxo de Caixa'!$B$13:$U$10027,20,FALSE)</f>
        <v>19572.87976381891</v>
      </c>
      <c r="N429" s="19">
        <f>SUMIFS([1]Master!$J$2:$J$100,[1]Master!$A$2:$A$100,"="&amp;$I$12,[1]Master!$E$2:$E$100,"="&amp;C429,[1]Master!$J$2:$J$100,"&gt;"&amp;0)</f>
        <v>0</v>
      </c>
      <c r="O429" s="19">
        <f ca="1">-SUMIF('[1]Fluxo de Movimentações'!$A$5:$F$10001,"="&amp;$C430,'[1]Fluxo de Movimentações'!$B$5:$B$10001)</f>
        <v>0</v>
      </c>
      <c r="P429" s="19">
        <f>-SUMIFS([1]Master!$J$1:$J$200,[1]Master!$A$1:$A$200,"="&amp;$I$12,[1]Master!$G$1:$G$200,"&gt;"&amp;C429,[1]Master!$E$1:$E$200,"&lt;="&amp;C429)</f>
        <v>0</v>
      </c>
      <c r="Q429" s="30">
        <v>8580.2594000000008</v>
      </c>
      <c r="R429" s="32">
        <v>1.0100654</v>
      </c>
      <c r="S429" s="30">
        <v>0</v>
      </c>
      <c r="T429" s="30">
        <v>0</v>
      </c>
      <c r="U429" s="30">
        <v>0</v>
      </c>
      <c r="V429" s="30">
        <v>0</v>
      </c>
    </row>
    <row r="430" spans="3:22" x14ac:dyDescent="0.25">
      <c r="C430" s="4">
        <v>45443</v>
      </c>
      <c r="D430" s="30">
        <v>17159012.043200001</v>
      </c>
      <c r="E430" s="32">
        <v>1.005674</v>
      </c>
      <c r="F430" s="38">
        <f t="shared" ref="F430" si="1135">D430/TRUNC(E430,7)</f>
        <v>17062201.114078719</v>
      </c>
      <c r="G430" s="19">
        <f t="shared" ref="G430" si="1136">H430*I430</f>
        <v>17158429.154928777</v>
      </c>
      <c r="H430" s="31">
        <v>1.0544574</v>
      </c>
      <c r="I430" s="19">
        <f>SUMIFS([1]Master!$K$2:$K$10000,[1]Master!$A$2:$A$10000,$I$12,[1]Master!$F$2:$F$10000,"&lt;="&amp;$C430)</f>
        <v>16272282.934264367</v>
      </c>
      <c r="J430" s="19">
        <f t="shared" ref="J430:J432" si="1137">((((1+1.85%)^(1/252))-1)*D429) + SUM(J429)</f>
        <v>27492.005266321739</v>
      </c>
      <c r="K430" s="19">
        <f>IF((NETWORKDAYS(DATE(YEAR(C430),MONTH(C430),1),C430,Feriados!$A$2:$A$842))&gt;=5,0,IF(NETWORKDAYS(DATE(YEAR(C430),MONTH(C430),1),C430,Feriados!$A$2:$A$842)=1,J429,K429))</f>
        <v>0</v>
      </c>
      <c r="L430" s="30">
        <v>0</v>
      </c>
      <c r="M430" s="19">
        <f>VLOOKUP(C430,'Fluxo de Caixa'!$B$13:$U$10027,20,FALSE)</f>
        <v>19572.87976381891</v>
      </c>
      <c r="N430" s="19">
        <f>SUMIFS([1]Master!$J$2:$J$100,[1]Master!$A$2:$A$100,"="&amp;$I$12,[1]Master!$E$2:$E$100,"="&amp;C430,[1]Master!$J$2:$J$100,"&gt;"&amp;0)</f>
        <v>0</v>
      </c>
      <c r="O430" s="19">
        <f ca="1">-SUMIF('[1]Fluxo de Movimentações'!$A$5:$F$10001,"="&amp;$C431,'[1]Fluxo de Movimentações'!$B$5:$B$10001)</f>
        <v>0</v>
      </c>
      <c r="P430" s="19">
        <f>-SUMIFS([1]Master!$J$1:$J$200,[1]Master!$A$1:$A$200,"="&amp;$I$12,[1]Master!$G$1:$G$200,"&gt;"&amp;C430,[1]Master!$E$1:$E$200,"&lt;="&amp;C430)</f>
        <v>50000</v>
      </c>
      <c r="Q430" s="30">
        <v>8501.2332000000006</v>
      </c>
      <c r="R430" s="32">
        <v>1.005674</v>
      </c>
      <c r="S430" s="30">
        <v>0</v>
      </c>
      <c r="T430" s="30">
        <v>0</v>
      </c>
      <c r="U430" s="30">
        <v>-50000</v>
      </c>
      <c r="V430" s="30">
        <v>0</v>
      </c>
    </row>
    <row r="431" spans="3:22" x14ac:dyDescent="0.25">
      <c r="C431" s="4">
        <f>WORKDAY(C430,1,Feriados!$A$2:$A$842)</f>
        <v>45446</v>
      </c>
      <c r="D431" s="30">
        <v>17282094.743500002</v>
      </c>
      <c r="E431" s="32">
        <v>1.0128877999999999</v>
      </c>
      <c r="F431" s="38">
        <f t="shared" ref="F431" si="1138">D431/TRUNC(E431,7)</f>
        <v>17062200.515693843</v>
      </c>
      <c r="G431" s="19">
        <f t="shared" ref="G431" si="1139">H431*I431</f>
        <v>17282855.166385628</v>
      </c>
      <c r="H431" s="31">
        <v>1.0621039000000001</v>
      </c>
      <c r="I431" s="19">
        <f>SUMIFS([1]Master!$K$2:$K$10000,[1]Master!$A$2:$A$10000,$I$12,[1]Master!$F$2:$F$10000,"&lt;="&amp;$C431)</f>
        <v>16272282.934264367</v>
      </c>
      <c r="J431" s="19">
        <f>((((1+1.85%)^(1/252))-1)*D430)</f>
        <v>1248.2243926649321</v>
      </c>
      <c r="K431" s="19">
        <f>IF((NETWORKDAYS(DATE(YEAR(C431),MONTH(C431),1),C431,Feriados!$A$2:$A$842))&gt;=5,0,IF(NETWORKDAYS(DATE(YEAR(C431),MONTH(C431),1),C431,Feriados!$A$2:$A$842)=1,J430,K430))</f>
        <v>27492.005266321739</v>
      </c>
      <c r="L431" s="30">
        <v>-14.61</v>
      </c>
      <c r="M431" s="19">
        <f>VLOOKUP(C431,'Fluxo de Caixa'!$B$13:$U$10027,20,FALSE)</f>
        <v>19572.87976381891</v>
      </c>
      <c r="N431" s="19">
        <f>SUMIFS([1]Master!$J$2:$J$100,[1]Master!$A$2:$A$100,"="&amp;$I$12,[1]Master!$E$2:$E$100,"="&amp;C431,[1]Master!$J$2:$J$100,"&gt;"&amp;0)</f>
        <v>0</v>
      </c>
      <c r="O431" s="19">
        <f ca="1">-SUMIF('[1]Fluxo de Movimentações'!$A$5:$F$10001,"="&amp;$C432,'[1]Fluxo de Movimentações'!$B$5:$B$10001)</f>
        <v>0</v>
      </c>
      <c r="P431" s="19">
        <f>-SUMIFS([1]Master!$J$1:$J$200,[1]Master!$A$1:$A$200,"="&amp;$I$12,[1]Master!$G$1:$G$200,"&gt;"&amp;C431,[1]Master!$E$1:$E$200,"&lt;="&amp;C431)</f>
        <v>50000</v>
      </c>
      <c r="Q431" s="30">
        <v>8420.7435000000005</v>
      </c>
      <c r="R431" s="32">
        <v>1.0128885999999999</v>
      </c>
      <c r="S431" s="30">
        <v>0</v>
      </c>
      <c r="T431" s="30">
        <v>0</v>
      </c>
      <c r="U431" s="30">
        <v>-50000</v>
      </c>
      <c r="V431" s="30">
        <v>0</v>
      </c>
    </row>
    <row r="432" spans="3:22" x14ac:dyDescent="0.25">
      <c r="C432" s="4">
        <f>WORKDAY(C431,1,Feriados!$A$2:$A$842)</f>
        <v>45447</v>
      </c>
      <c r="D432" s="30">
        <v>17206504.993799999</v>
      </c>
      <c r="E432" s="32">
        <v>1.0084575</v>
      </c>
      <c r="F432" s="38">
        <f t="shared" ref="F432" si="1140">D432/TRUNC(E432,7)</f>
        <v>17062201.425245982</v>
      </c>
      <c r="G432" s="19">
        <f t="shared" ref="G432" si="1141">H432*I432</f>
        <v>17208588.467073645</v>
      </c>
      <c r="H432" s="31">
        <v>1.0575399000000001</v>
      </c>
      <c r="I432" s="19">
        <f>SUMIFS([1]Master!$K$2:$K$10000,[1]Master!$A$2:$A$10000,$I$12,[1]Master!$F$2:$F$10000,"&lt;="&amp;$C432)</f>
        <v>16272282.934264367</v>
      </c>
      <c r="J432" s="19">
        <f t="shared" si="1137"/>
        <v>2505.4023794204059</v>
      </c>
      <c r="K432" s="19">
        <f>IF((NETWORKDAYS(DATE(YEAR(C432),MONTH(C432),1),C432,Feriados!$A$2:$A$842))&gt;=5,0,IF(NETWORKDAYS(DATE(YEAR(C432),MONTH(C432),1),C432,Feriados!$A$2:$A$842)=1,J431,K431))</f>
        <v>27492.005266321739</v>
      </c>
      <c r="L432" s="30">
        <v>0</v>
      </c>
      <c r="M432" s="19">
        <f>VLOOKUP(C432,'Fluxo de Caixa'!$B$13:$U$10027,20,FALSE)</f>
        <v>19572.87976381891</v>
      </c>
      <c r="N432" s="19">
        <f>SUMIFS([1]Master!$J$2:$J$100,[1]Master!$A$2:$A$100,"="&amp;$I$12,[1]Master!$E$2:$E$100,"="&amp;C432,[1]Master!$J$2:$J$100,"&gt;"&amp;0)</f>
        <v>0</v>
      </c>
      <c r="O432" s="19">
        <f ca="1">-SUMIF('[1]Fluxo de Movimentações'!$A$5:$F$10001,"="&amp;$C433,'[1]Fluxo de Movimentações'!$B$5:$B$10001)</f>
        <v>0</v>
      </c>
      <c r="P432" s="19">
        <f>-SUMIFS([1]Master!$J$1:$J$200,[1]Master!$A$1:$A$200,"="&amp;$I$12,[1]Master!$G$1:$G$200,"&gt;"&amp;C432,[1]Master!$E$1:$E$200,"&lt;="&amp;C432)</f>
        <v>0</v>
      </c>
      <c r="Q432" s="30">
        <v>8340.2538000000004</v>
      </c>
      <c r="R432" s="32">
        <v>1.0084575</v>
      </c>
      <c r="S432" s="30">
        <v>0</v>
      </c>
      <c r="T432" s="30">
        <v>0</v>
      </c>
      <c r="U432" s="30">
        <v>0</v>
      </c>
      <c r="V432" s="30">
        <v>0</v>
      </c>
    </row>
    <row r="433" spans="3:22" x14ac:dyDescent="0.25">
      <c r="C433" s="4">
        <f>WORKDAY(C432,1,Feriados!$A$2:$A$842)</f>
        <v>45448</v>
      </c>
      <c r="D433" s="30">
        <v>17143808.4241</v>
      </c>
      <c r="E433" s="32">
        <v>1.0047828999999999</v>
      </c>
      <c r="F433" s="38">
        <f t="shared" ref="F433" si="1142">D433/TRUNC(E433,7)</f>
        <v>17062201.619971838</v>
      </c>
      <c r="G433" s="19">
        <f t="shared" ref="G433" si="1143">H433*I433</f>
        <v>17119224.060900245</v>
      </c>
      <c r="H433" s="31">
        <v>1.0537688000000001</v>
      </c>
      <c r="I433" s="19">
        <f>SUMIFS([1]Master!$K$2:$K$10000,[1]Master!$A$2:$A$10000,$I$12,[1]Master!$F$2:$F$10000,"&lt;="&amp;$C433)</f>
        <v>16245711.640826946</v>
      </c>
      <c r="J433" s="19">
        <f t="shared" ref="J433" si="1144">((((1+1.85%)^(1/252))-1)*D432) + SUM(J432)</f>
        <v>3757.0816248046726</v>
      </c>
      <c r="K433" s="19">
        <f>IF((NETWORKDAYS(DATE(YEAR(C433),MONTH(C433),1),C433,Feriados!$A$2:$A$842))&gt;=5,0,IF(NETWORKDAYS(DATE(YEAR(C433),MONTH(C433),1),C433,Feriados!$A$2:$A$842)=1,J432,K432))</f>
        <v>27492.005266321739</v>
      </c>
      <c r="L433" s="30">
        <v>0</v>
      </c>
      <c r="M433" s="19">
        <f>VLOOKUP(C433,'Fluxo de Caixa'!$B$13:$U$10027,20,FALSE)</f>
        <v>19572.87976381891</v>
      </c>
      <c r="N433" s="19">
        <f>SUMIFS([1]Master!$J$2:$J$100,[1]Master!$A$2:$A$100,"="&amp;$I$12,[1]Master!$E$2:$E$100,"="&amp;C433,[1]Master!$J$2:$J$100,"&gt;"&amp;0)</f>
        <v>0</v>
      </c>
      <c r="O433" s="19">
        <f ca="1">-SUMIF('[1]Fluxo de Movimentações'!$A$5:$F$10001,"="&amp;$C434,'[1]Fluxo de Movimentações'!$B$5:$B$10001)</f>
        <v>0</v>
      </c>
      <c r="P433" s="19">
        <f>-SUMIFS([1]Master!$J$1:$J$200,[1]Master!$A$1:$A$200,"="&amp;$I$12,[1]Master!$G$1:$G$200,"&gt;"&amp;C433,[1]Master!$E$1:$E$200,"&lt;="&amp;C433)</f>
        <v>28000</v>
      </c>
      <c r="Q433" s="30">
        <v>8259.7641000000003</v>
      </c>
      <c r="R433" s="32">
        <v>1.0047828999999999</v>
      </c>
      <c r="S433" s="30">
        <v>0</v>
      </c>
      <c r="T433" s="30">
        <v>0</v>
      </c>
      <c r="U433" s="30">
        <v>0</v>
      </c>
      <c r="V433" s="30">
        <v>0</v>
      </c>
    </row>
    <row r="434" spans="3:22" x14ac:dyDescent="0.25">
      <c r="C434" s="4">
        <f>WORKDAY(C433,1,Feriados!$A$2:$A$842)</f>
        <v>45449</v>
      </c>
      <c r="D434" s="30">
        <v>17405328.134399999</v>
      </c>
      <c r="E434" s="32">
        <v>1.0201104000000001</v>
      </c>
      <c r="F434" s="38">
        <f t="shared" ref="F434" si="1145">D434/TRUNC(E434,7)</f>
        <v>17062200.458303332</v>
      </c>
      <c r="G434" s="19">
        <f t="shared" ref="G434" si="1146">H434*I434</f>
        <v>17382130.03695491</v>
      </c>
      <c r="H434" s="31">
        <v>1.0699519</v>
      </c>
      <c r="I434" s="19">
        <f>SUMIFS([1]Master!$K$2:$K$10000,[1]Master!$A$2:$A$10000,$I$12,[1]Master!$F$2:$F$10000,"&lt;="&amp;$C434)</f>
        <v>16245711.640826946</v>
      </c>
      <c r="J434" s="19">
        <f t="shared" ref="J434" si="1147">((((1+1.85%)^(1/252))-1)*D433) + SUM(J433)</f>
        <v>5004.2000372319526</v>
      </c>
      <c r="K434" s="19">
        <f>IF((NETWORKDAYS(DATE(YEAR(C434),MONTH(C434),1),C434,Feriados!$A$2:$A$842))&gt;=5,0,IF(NETWORKDAYS(DATE(YEAR(C434),MONTH(C434),1),C434,Feriados!$A$2:$A$842)=1,J433,K433))</f>
        <v>27492.005266321739</v>
      </c>
      <c r="L434" s="30">
        <v>0</v>
      </c>
      <c r="M434" s="19">
        <f>VLOOKUP(C434,'Fluxo de Caixa'!$B$13:$U$10027,20,FALSE)</f>
        <v>19573.53976381891</v>
      </c>
      <c r="N434" s="19">
        <f>SUMIFS([1]Master!$J$2:$J$100,[1]Master!$A$2:$A$100,"="&amp;$I$12,[1]Master!$E$2:$E$100,"="&amp;C434,[1]Master!$J$2:$J$100,"&gt;"&amp;0)</f>
        <v>0</v>
      </c>
      <c r="O434" s="19">
        <f ca="1">-SUMIF('[1]Fluxo de Movimentações'!$A$5:$F$10001,"="&amp;$C435,'[1]Fluxo de Movimentações'!$B$5:$B$10001)</f>
        <v>0</v>
      </c>
      <c r="P434" s="19">
        <f>-SUMIFS([1]Master!$J$1:$J$200,[1]Master!$A$1:$A$200,"="&amp;$I$12,[1]Master!$G$1:$G$200,"&gt;"&amp;C434,[1]Master!$E$1:$E$200,"&lt;="&amp;C434)</f>
        <v>28000</v>
      </c>
      <c r="Q434" s="30">
        <v>8179.2744000000002</v>
      </c>
      <c r="R434" s="32">
        <v>1.0201138000000001</v>
      </c>
      <c r="S434" s="30">
        <v>0</v>
      </c>
      <c r="T434" s="30">
        <v>0</v>
      </c>
      <c r="U434" s="30">
        <v>0</v>
      </c>
      <c r="V434" s="30">
        <v>0</v>
      </c>
    </row>
    <row r="435" spans="3:22" x14ac:dyDescent="0.25">
      <c r="C435" s="4">
        <f>WORKDAY(C434,1,Feriados!$A$2:$A$842)</f>
        <v>45450</v>
      </c>
      <c r="D435" s="30">
        <v>17092109.514699999</v>
      </c>
      <c r="E435" s="32">
        <v>1.0017529000000001</v>
      </c>
      <c r="F435" s="38">
        <f t="shared" ref="F435" si="1148">D435/TRUNC(E435,7)</f>
        <v>17062201.182247635</v>
      </c>
      <c r="G435" s="19">
        <f t="shared" ref="G435" si="1149">H435*I435</f>
        <v>17070199.376881719</v>
      </c>
      <c r="H435" s="31">
        <v>1.0507511</v>
      </c>
      <c r="I435" s="19">
        <f>SUMIFS([1]Master!$K$2:$K$10000,[1]Master!$A$2:$A$10000,$I$12,[1]Master!$F$2:$F$10000,"&lt;="&amp;$C435)</f>
        <v>16245711.640826946</v>
      </c>
      <c r="J435" s="19">
        <f t="shared" ref="J435" si="1150">((((1+1.85%)^(1/252))-1)*D434) + SUM(J434)</f>
        <v>6270.3425799959496</v>
      </c>
      <c r="K435" s="19">
        <f>IF((NETWORKDAYS(DATE(YEAR(C435),MONTH(C435),1),C435,Feriados!$A$2:$A$842))&gt;=5,0,IF(NETWORKDAYS(DATE(YEAR(C435),MONTH(C435),1),C435,Feriados!$A$2:$A$842)=1,J434,K434))</f>
        <v>0</v>
      </c>
      <c r="L435" s="30">
        <v>-58.67</v>
      </c>
      <c r="M435" s="19">
        <f>VLOOKUP(C435,'Fluxo de Caixa'!$B$13:$U$10027,20,FALSE)</f>
        <v>20081.659763818909</v>
      </c>
      <c r="N435" s="19">
        <f>SUMIFS([1]Master!$J$2:$J$100,[1]Master!$A$2:$A$100,"="&amp;$I$12,[1]Master!$E$2:$E$100,"="&amp;C435,[1]Master!$J$2:$J$100,"&gt;"&amp;0)</f>
        <v>0</v>
      </c>
      <c r="O435" s="19">
        <f ca="1">-SUMIF('[1]Fluxo de Movimentações'!$A$5:$F$10001,"="&amp;$C436,'[1]Fluxo de Movimentações'!$B$5:$B$10001)</f>
        <v>0</v>
      </c>
      <c r="P435" s="19">
        <f>-SUMIFS([1]Master!$J$1:$J$200,[1]Master!$A$1:$A$200,"="&amp;$I$12,[1]Master!$G$1:$G$200,"&gt;"&amp;C435,[1]Master!$E$1:$E$200,"&lt;="&amp;C435)</f>
        <v>0</v>
      </c>
      <c r="Q435" s="30">
        <v>8098.7847000000002</v>
      </c>
      <c r="R435" s="32">
        <v>1.0017529000000001</v>
      </c>
      <c r="S435" s="30">
        <v>0</v>
      </c>
      <c r="T435" s="30">
        <v>0</v>
      </c>
      <c r="U435" s="30">
        <v>0</v>
      </c>
      <c r="V435" s="30">
        <v>0</v>
      </c>
    </row>
    <row r="436" spans="3:22" x14ac:dyDescent="0.25">
      <c r="C436" s="4">
        <f>WORKDAY(C435,1,Feriados!$A$2:$A$842)</f>
        <v>45453</v>
      </c>
      <c r="D436" s="30">
        <v>16928578.734999999</v>
      </c>
      <c r="E436" s="32">
        <v>0.99216850000000001</v>
      </c>
      <c r="F436" s="38">
        <f t="shared" ref="F436" si="1151">D436/TRUNC(E436,7)</f>
        <v>17062201.364989918</v>
      </c>
      <c r="G436" s="19">
        <f t="shared" ref="G436" si="1152">H436*I436</f>
        <v>16907992.444432717</v>
      </c>
      <c r="H436" s="31">
        <v>1.0407664999999999</v>
      </c>
      <c r="I436" s="19">
        <f>SUMIFS([1]Master!$K$2:$K$10000,[1]Master!$A$2:$A$10000,$I$12,[1]Master!$F$2:$F$10000,"&lt;="&amp;$C436)</f>
        <v>16245711.640826946</v>
      </c>
      <c r="J436" s="19">
        <f t="shared" ref="J436" si="1153">((((1+1.85%)^(1/252))-1)*D435) + SUM(J435)</f>
        <v>7513.7001791768271</v>
      </c>
      <c r="K436" s="19">
        <f>IF((NETWORKDAYS(DATE(YEAR(C436),MONTH(C436),1),C436,Feriados!$A$2:$A$842))&gt;=5,0,IF(NETWORKDAYS(DATE(YEAR(C436),MONTH(C436),1),C436,Feriados!$A$2:$A$842)=1,J435,K435))</f>
        <v>0</v>
      </c>
      <c r="L436" s="30">
        <v>0</v>
      </c>
      <c r="M436" s="19">
        <f>VLOOKUP(C436,'Fluxo de Caixa'!$B$13:$U$10027,20,FALSE)</f>
        <v>20081.659763818909</v>
      </c>
      <c r="N436" s="19">
        <f>SUMIFS([1]Master!$J$2:$J$100,[1]Master!$A$2:$A$100,"="&amp;$I$12,[1]Master!$E$2:$E$100,"="&amp;C436,[1]Master!$J$2:$J$100,"&gt;"&amp;0)</f>
        <v>0</v>
      </c>
      <c r="O436" s="19">
        <f ca="1">-SUMIF('[1]Fluxo de Movimentações'!$A$5:$F$10001,"="&amp;$C437,'[1]Fluxo de Movimentações'!$B$5:$B$10001)</f>
        <v>0</v>
      </c>
      <c r="P436" s="19">
        <f>-SUMIFS([1]Master!$J$1:$J$200,[1]Master!$A$1:$A$200,"="&amp;$I$12,[1]Master!$G$1:$G$200,"&gt;"&amp;C436,[1]Master!$E$1:$E$200,"&lt;="&amp;C436)</f>
        <v>0</v>
      </c>
      <c r="Q436" s="30">
        <v>8018.2950000000001</v>
      </c>
      <c r="R436" s="32">
        <v>0.99216850000000001</v>
      </c>
      <c r="S436" s="30">
        <v>0</v>
      </c>
      <c r="T436" s="30">
        <v>0</v>
      </c>
      <c r="U436" s="30">
        <v>0</v>
      </c>
      <c r="V436" s="30">
        <v>0</v>
      </c>
    </row>
    <row r="437" spans="3:22" x14ac:dyDescent="0.25">
      <c r="C437" s="4">
        <f>WORKDAY(C436,1,Feriados!$A$2:$A$842)</f>
        <v>45454</v>
      </c>
      <c r="D437" s="30">
        <v>17106487.855300002</v>
      </c>
      <c r="E437" s="32">
        <v>1.0025956</v>
      </c>
      <c r="F437" s="38">
        <f t="shared" ref="F437" si="1154">D437/TRUNC(E437,7)</f>
        <v>17062201.205850098</v>
      </c>
      <c r="G437" s="19">
        <f t="shared" ref="G437" si="1155">H437*I437</f>
        <v>17087213.510683157</v>
      </c>
      <c r="H437" s="31">
        <v>1.0517984</v>
      </c>
      <c r="I437" s="19">
        <f>SUMIFS([1]Master!$K$2:$K$10000,[1]Master!$A$2:$A$10000,$I$12,[1]Master!$F$2:$F$10000,"&lt;="&amp;$C437)</f>
        <v>16245711.640826946</v>
      </c>
      <c r="J437" s="19">
        <f t="shared" ref="J437" si="1156">((((1+1.85%)^(1/252))-1)*D436) + SUM(J436)</f>
        <v>8745.1618074440448</v>
      </c>
      <c r="K437" s="19">
        <f>IF((NETWORKDAYS(DATE(YEAR(C437),MONTH(C437),1),C437,Feriados!$A$2:$A$842))&gt;=5,0,IF(NETWORKDAYS(DATE(YEAR(C437),MONTH(C437),1),C437,Feriados!$A$2:$A$842)=1,J436,K436))</f>
        <v>0</v>
      </c>
      <c r="L437" s="30">
        <v>0</v>
      </c>
      <c r="M437" s="19">
        <f>VLOOKUP(C437,'Fluxo de Caixa'!$B$13:$U$10027,20,FALSE)</f>
        <v>20081.659763818909</v>
      </c>
      <c r="N437" s="19">
        <f>SUMIFS([1]Master!$J$2:$J$100,[1]Master!$A$2:$A$100,"="&amp;$I$12,[1]Master!$E$2:$E$100,"="&amp;C437,[1]Master!$J$2:$J$100,"&gt;"&amp;0)</f>
        <v>0</v>
      </c>
      <c r="O437" s="19">
        <f ca="1">-SUMIF('[1]Fluxo de Movimentações'!$A$5:$F$10001,"="&amp;$C438,'[1]Fluxo de Movimentações'!$B$5:$B$10001)</f>
        <v>0</v>
      </c>
      <c r="P437" s="19">
        <f>-SUMIFS([1]Master!$J$1:$J$200,[1]Master!$A$1:$A$200,"="&amp;$I$12,[1]Master!$G$1:$G$200,"&gt;"&amp;C437,[1]Master!$E$1:$E$200,"&lt;="&amp;C437)</f>
        <v>0</v>
      </c>
      <c r="Q437" s="30">
        <v>7937.8053</v>
      </c>
      <c r="R437" s="32">
        <v>1.0025956</v>
      </c>
      <c r="S437" s="30">
        <v>0</v>
      </c>
      <c r="T437" s="30">
        <v>0</v>
      </c>
      <c r="U437" s="30">
        <v>0</v>
      </c>
      <c r="V437" s="30">
        <v>0</v>
      </c>
    </row>
    <row r="438" spans="3:22" x14ac:dyDescent="0.25">
      <c r="C438" s="4">
        <f>WORKDAY(C437,1,Feriados!$A$2:$A$842)</f>
        <v>45455</v>
      </c>
      <c r="D438" s="30">
        <v>16835276.205600001</v>
      </c>
      <c r="E438" s="32">
        <v>0.98670009999999997</v>
      </c>
      <c r="F438" s="38">
        <f t="shared" ref="F438" si="1157">D438/TRUNC(E438,7)</f>
        <v>17062201.783094987</v>
      </c>
      <c r="G438" s="19">
        <f t="shared" ref="G438" si="1158">H438*I438</f>
        <v>16817326.752336424</v>
      </c>
      <c r="H438" s="31">
        <v>1.0351855999999999</v>
      </c>
      <c r="I438" s="19">
        <f>SUMIFS([1]Master!$K$2:$K$10000,[1]Master!$A$2:$A$10000,$I$12,[1]Master!$F$2:$F$10000,"&lt;="&amp;$C438)</f>
        <v>16245711.640826946</v>
      </c>
      <c r="J438" s="19">
        <f t="shared" ref="J438" si="1159">((((1+1.85%)^(1/252))-1)*D437) + SUM(J437)</f>
        <v>9989.5653523598976</v>
      </c>
      <c r="K438" s="19">
        <f>IF((NETWORKDAYS(DATE(YEAR(C438),MONTH(C438),1),C438,Feriados!$A$2:$A$842))&gt;=5,0,IF(NETWORKDAYS(DATE(YEAR(C438),MONTH(C438),1),C438,Feriados!$A$2:$A$842)=1,J437,K437))</f>
        <v>0</v>
      </c>
      <c r="L438" s="30">
        <v>0</v>
      </c>
      <c r="M438" s="19">
        <f>VLOOKUP(C438,'Fluxo de Caixa'!$B$13:$U$10027,20,FALSE)</f>
        <v>20081.659763818909</v>
      </c>
      <c r="N438" s="19">
        <f>SUMIFS([1]Master!$J$2:$J$100,[1]Master!$A$2:$A$100,"="&amp;$I$12,[1]Master!$E$2:$E$100,"="&amp;C438,[1]Master!$J$2:$J$100,"&gt;"&amp;0)</f>
        <v>0</v>
      </c>
      <c r="O438" s="19">
        <f ca="1">-SUMIF('[1]Fluxo de Movimentações'!$A$5:$F$10001,"="&amp;$C439,'[1]Fluxo de Movimentações'!$B$5:$B$10001)</f>
        <v>0</v>
      </c>
      <c r="P438" s="19">
        <f>-SUMIFS([1]Master!$J$1:$J$200,[1]Master!$A$1:$A$200,"="&amp;$I$12,[1]Master!$G$1:$G$200,"&gt;"&amp;C438,[1]Master!$E$1:$E$200,"&lt;="&amp;C438)</f>
        <v>0</v>
      </c>
      <c r="Q438" s="30">
        <v>7857.3155999999999</v>
      </c>
      <c r="R438" s="32">
        <v>0.98670009999999997</v>
      </c>
      <c r="S438" s="30">
        <v>0</v>
      </c>
      <c r="T438" s="30">
        <v>0</v>
      </c>
      <c r="U438" s="30">
        <v>0</v>
      </c>
      <c r="V438" s="30">
        <v>0</v>
      </c>
    </row>
    <row r="439" spans="3:22" x14ac:dyDescent="0.25">
      <c r="C439" s="4">
        <f>WORKDAY(C438,1,Feriados!$A$2:$A$842)</f>
        <v>45456</v>
      </c>
      <c r="D439" s="30">
        <v>16672363.585899999</v>
      </c>
      <c r="E439" s="32">
        <v>0.97715200000000002</v>
      </c>
      <c r="F439" s="38">
        <f t="shared" ref="F439" si="1160">D439/TRUNC(E439,7)</f>
        <v>17062200.748604104</v>
      </c>
      <c r="G439" s="19">
        <f t="shared" ref="G439" si="1161">H439*I439</f>
        <v>16655719.286646973</v>
      </c>
      <c r="H439" s="31">
        <v>1.0252379</v>
      </c>
      <c r="I439" s="19">
        <f>SUMIFS([1]Master!$K$2:$K$10000,[1]Master!$A$2:$A$10000,$I$12,[1]Master!$F$2:$F$10000,"&lt;="&amp;$C439)</f>
        <v>16245711.640826946</v>
      </c>
      <c r="J439" s="19">
        <f t="shared" ref="J439" si="1162">((((1+1.85%)^(1/252))-1)*D438) + SUM(J438)</f>
        <v>11214.239731291244</v>
      </c>
      <c r="K439" s="19">
        <f>IF((NETWORKDAYS(DATE(YEAR(C439),MONTH(C439),1),C439,Feriados!$A$2:$A$842))&gt;=5,0,IF(NETWORKDAYS(DATE(YEAR(C439),MONTH(C439),1),C439,Feriados!$A$2:$A$842)=1,J438,K438))</f>
        <v>0</v>
      </c>
      <c r="L439" s="30">
        <v>0</v>
      </c>
      <c r="M439" s="19">
        <f>VLOOKUP(C439,'Fluxo de Caixa'!$B$13:$U$10027,20,FALSE)</f>
        <v>20081.659763818909</v>
      </c>
      <c r="N439" s="19">
        <f>SUMIFS([1]Master!$J$2:$J$100,[1]Master!$A$2:$A$100,"="&amp;$I$12,[1]Master!$E$2:$E$100,"="&amp;C439,[1]Master!$J$2:$J$100,"&gt;"&amp;0)</f>
        <v>0</v>
      </c>
      <c r="O439" s="19">
        <f ca="1">-SUMIF('[1]Fluxo de Movimentações'!$A$5:$F$10001,"="&amp;$C440,'[1]Fluxo de Movimentações'!$B$5:$B$10001)</f>
        <v>0</v>
      </c>
      <c r="P439" s="19">
        <f>-SUMIFS([1]Master!$J$1:$J$200,[1]Master!$A$1:$A$200,"="&amp;$I$12,[1]Master!$G$1:$G$200,"&gt;"&amp;C439,[1]Master!$E$1:$E$200,"&lt;="&amp;C439)</f>
        <v>0</v>
      </c>
      <c r="Q439" s="30">
        <v>7776.8258999999998</v>
      </c>
      <c r="R439" s="32">
        <v>0.97715200000000002</v>
      </c>
      <c r="S439" s="30">
        <v>0</v>
      </c>
      <c r="T439" s="30">
        <v>0</v>
      </c>
      <c r="U439" s="30">
        <v>0</v>
      </c>
      <c r="V439" s="30">
        <v>0</v>
      </c>
    </row>
    <row r="440" spans="3:22" x14ac:dyDescent="0.25">
      <c r="C440" s="4">
        <f>WORKDAY(C439,1,Feriados!$A$2:$A$842)</f>
        <v>45457</v>
      </c>
      <c r="D440" s="30">
        <v>16726659.8464</v>
      </c>
      <c r="E440" s="32">
        <v>0.98033420000000004</v>
      </c>
      <c r="F440" s="38">
        <f t="shared" ref="F440" si="1163">D440/TRUNC(E440,7)</f>
        <v>17062201.692443252</v>
      </c>
      <c r="G440" s="19">
        <f t="shared" ref="G440" si="1164">H440*I440</f>
        <v>16711308.862739554</v>
      </c>
      <c r="H440" s="31">
        <v>1.0286597</v>
      </c>
      <c r="I440" s="19">
        <f>SUMIFS([1]Master!$K$2:$K$10000,[1]Master!$A$2:$A$10000,$I$12,[1]Master!$F$2:$F$10000,"&lt;="&amp;$C440)</f>
        <v>16245711.640826946</v>
      </c>
      <c r="J440" s="19">
        <f t="shared" ref="J440" si="1165">((((1+1.85%)^(1/252))-1)*D439) + SUM(J439)</f>
        <v>12427.063107072145</v>
      </c>
      <c r="K440" s="19">
        <f>IF((NETWORKDAYS(DATE(YEAR(C440),MONTH(C440),1),C440,Feriados!$A$2:$A$842))&gt;=5,0,IF(NETWORKDAYS(DATE(YEAR(C440),MONTH(C440),1),C440,Feriados!$A$2:$A$842)=1,J439,K439))</f>
        <v>0</v>
      </c>
      <c r="L440" s="30">
        <v>0</v>
      </c>
      <c r="M440" s="19">
        <f>VLOOKUP(C440,'Fluxo de Caixa'!$B$13:$U$10027,20,FALSE)</f>
        <v>19466.999763818909</v>
      </c>
      <c r="N440" s="19">
        <f>SUMIFS([1]Master!$J$2:$J$100,[1]Master!$A$2:$A$100,"="&amp;$I$12,[1]Master!$E$2:$E$100,"="&amp;C440,[1]Master!$J$2:$J$100,"&gt;"&amp;0)</f>
        <v>0</v>
      </c>
      <c r="O440" s="19">
        <f ca="1">-SUMIF('[1]Fluxo de Movimentações'!$A$5:$F$10001,"="&amp;$C441,'[1]Fluxo de Movimentações'!$B$5:$B$10001)</f>
        <v>0</v>
      </c>
      <c r="P440" s="19">
        <f>-SUMIFS([1]Master!$J$1:$J$200,[1]Master!$A$1:$A$200,"="&amp;$I$12,[1]Master!$G$1:$G$200,"&gt;"&amp;C440,[1]Master!$E$1:$E$200,"&lt;="&amp;C440)</f>
        <v>0</v>
      </c>
      <c r="Q440" s="30">
        <v>8310.9964</v>
      </c>
      <c r="R440" s="32">
        <v>0.98033420000000004</v>
      </c>
      <c r="S440" s="30">
        <v>0</v>
      </c>
      <c r="T440" s="30">
        <v>0</v>
      </c>
      <c r="U440" s="30">
        <v>0</v>
      </c>
      <c r="V440" s="30">
        <v>0</v>
      </c>
    </row>
    <row r="441" spans="3:22" x14ac:dyDescent="0.25">
      <c r="C441" s="4">
        <f>WORKDAY(C440,1,Feriados!$A$2:$A$842)</f>
        <v>45460</v>
      </c>
      <c r="D441" s="30">
        <v>16516743.286699999</v>
      </c>
      <c r="E441" s="32">
        <v>0.96803119999999998</v>
      </c>
      <c r="F441" s="38">
        <f t="shared" ref="F441" si="1166">D441/TRUNC(E441,7)</f>
        <v>17062201.390513033</v>
      </c>
      <c r="G441" s="19">
        <f t="shared" ref="G441" si="1167">H441*I441</f>
        <v>16502689.556703875</v>
      </c>
      <c r="H441" s="31">
        <v>1.0158182</v>
      </c>
      <c r="I441" s="19">
        <f>SUMIFS([1]Master!$K$2:$K$10000,[1]Master!$A$2:$A$10000,$I$12,[1]Master!$F$2:$F$10000,"&lt;="&amp;$C441)</f>
        <v>16245711.640826946</v>
      </c>
      <c r="J441" s="19">
        <f t="shared" ref="J441" si="1168">((((1+1.85%)^(1/252))-1)*D440) + SUM(J440)</f>
        <v>13643.836239203583</v>
      </c>
      <c r="K441" s="19">
        <f>IF((NETWORKDAYS(DATE(YEAR(C441),MONTH(C441),1),C441,Feriados!$A$2:$A$842))&gt;=5,0,IF(NETWORKDAYS(DATE(YEAR(C441),MONTH(C441),1),C441,Feriados!$A$2:$A$842)=1,J440,K440))</f>
        <v>0</v>
      </c>
      <c r="L441" s="30">
        <v>0</v>
      </c>
      <c r="M441" s="19">
        <f>VLOOKUP(C441,'Fluxo de Caixa'!$B$13:$U$10027,20,FALSE)</f>
        <v>19466.999763818909</v>
      </c>
      <c r="N441" s="19">
        <f>SUMIFS([1]Master!$J$2:$J$100,[1]Master!$A$2:$A$100,"="&amp;$I$12,[1]Master!$E$2:$E$100,"="&amp;C441,[1]Master!$J$2:$J$100,"&gt;"&amp;0)</f>
        <v>0</v>
      </c>
      <c r="O441" s="19">
        <f ca="1">-SUMIF('[1]Fluxo de Movimentações'!$A$5:$F$10001,"="&amp;$C442,'[1]Fluxo de Movimentações'!$B$5:$B$10001)</f>
        <v>0</v>
      </c>
      <c r="P441" s="19">
        <f>-SUMIFS([1]Master!$J$1:$J$200,[1]Master!$A$1:$A$200,"="&amp;$I$12,[1]Master!$G$1:$G$200,"&gt;"&amp;C441,[1]Master!$E$1:$E$200,"&lt;="&amp;C441)</f>
        <v>0</v>
      </c>
      <c r="Q441" s="30">
        <v>8230.5066999999999</v>
      </c>
      <c r="R441" s="32">
        <v>0.96803119999999998</v>
      </c>
      <c r="S441" s="30">
        <v>0</v>
      </c>
      <c r="T441" s="30">
        <v>0</v>
      </c>
      <c r="U441" s="30">
        <v>0</v>
      </c>
      <c r="V441" s="30">
        <v>0</v>
      </c>
    </row>
    <row r="442" spans="3:22" x14ac:dyDescent="0.25">
      <c r="C442" s="4">
        <f>WORKDAY(C441,1,Feriados!$A$2:$A$842)</f>
        <v>45461</v>
      </c>
      <c r="D442" s="30">
        <v>16473066.487</v>
      </c>
      <c r="E442" s="32">
        <v>0.96547139999999998</v>
      </c>
      <c r="F442" s="38">
        <f t="shared" ref="F442" si="1169">D442/TRUNC(E442,7)</f>
        <v>17062200.379006565</v>
      </c>
      <c r="G442" s="19">
        <f t="shared" ref="G442" si="1170">H442*I442</f>
        <v>16460294.747605974</v>
      </c>
      <c r="H442" s="31">
        <v>1.0132086</v>
      </c>
      <c r="I442" s="19">
        <f>SUMIFS([1]Master!$K$2:$K$10000,[1]Master!$A$2:$A$10000,$I$12,[1]Master!$F$2:$F$10000,"&lt;="&amp;$C442)</f>
        <v>16245711.640826946</v>
      </c>
      <c r="J442" s="19">
        <f t="shared" ref="J442" si="1171">((((1+1.85%)^(1/252))-1)*D441) + SUM(J441)</f>
        <v>14845.339088315104</v>
      </c>
      <c r="K442" s="19">
        <f>IF((NETWORKDAYS(DATE(YEAR(C442),MONTH(C442),1),C442,Feriados!$A$2:$A$842))&gt;=5,0,IF(NETWORKDAYS(DATE(YEAR(C442),MONTH(C442),1),C442,Feriados!$A$2:$A$842)=1,J441,K441))</f>
        <v>0</v>
      </c>
      <c r="L442" s="30">
        <v>0</v>
      </c>
      <c r="M442" s="19">
        <f>VLOOKUP(C442,'Fluxo de Caixa'!$B$13:$U$10027,20,FALSE)</f>
        <v>19466.999763818909</v>
      </c>
      <c r="N442" s="19">
        <f>SUMIFS([1]Master!$J$2:$J$100,[1]Master!$A$2:$A$100,"="&amp;$I$12,[1]Master!$E$2:$E$100,"="&amp;C442,[1]Master!$J$2:$J$100,"&gt;"&amp;0)</f>
        <v>0</v>
      </c>
      <c r="O442" s="19">
        <f ca="1">-SUMIF('[1]Fluxo de Movimentações'!$A$5:$F$10001,"="&amp;$C443,'[1]Fluxo de Movimentações'!$B$5:$B$10001)</f>
        <v>0</v>
      </c>
      <c r="P442" s="19">
        <f>-SUMIFS([1]Master!$J$1:$J$200,[1]Master!$A$1:$A$200,"="&amp;$I$12,[1]Master!$G$1:$G$200,"&gt;"&amp;C442,[1]Master!$E$1:$E$200,"&lt;="&amp;C442)</f>
        <v>0</v>
      </c>
      <c r="Q442" s="30">
        <v>8150.0169999999998</v>
      </c>
      <c r="R442" s="32">
        <v>0.96547139999999998</v>
      </c>
      <c r="S442" s="30">
        <v>0</v>
      </c>
      <c r="T442" s="30">
        <v>0</v>
      </c>
      <c r="U442" s="30">
        <v>0</v>
      </c>
      <c r="V442" s="30">
        <v>0</v>
      </c>
    </row>
    <row r="443" spans="3:22" x14ac:dyDescent="0.25">
      <c r="C443" s="4">
        <f>WORKDAY(C442,1,Feriados!$A$2:$A$842)</f>
        <v>45462</v>
      </c>
      <c r="D443" s="30">
        <v>16467417.5778</v>
      </c>
      <c r="E443" s="32">
        <v>0.96514029999999995</v>
      </c>
      <c r="F443" s="38">
        <f t="shared" ref="F443" si="1172">D443/TRUNC(E443,7)</f>
        <v>17062200.778270271</v>
      </c>
      <c r="G443" s="19">
        <f t="shared" ref="G443" si="1173">H443*I443</f>
        <v>16455924.65117459</v>
      </c>
      <c r="H443" s="31">
        <v>1.0129395999999999</v>
      </c>
      <c r="I443" s="19">
        <f>SUMIFS([1]Master!$K$2:$K$10000,[1]Master!$A$2:$A$10000,$I$12,[1]Master!$F$2:$F$10000,"&lt;="&amp;$C443)</f>
        <v>16245711.640826946</v>
      </c>
      <c r="J443" s="19">
        <f t="shared" ref="J443" si="1174">((((1+1.85%)^(1/252))-1)*D442) + SUM(J442)</f>
        <v>16043.664688839013</v>
      </c>
      <c r="K443" s="19">
        <f>IF((NETWORKDAYS(DATE(YEAR(C443),MONTH(C443),1),C443,Feriados!$A$2:$A$842))&gt;=5,0,IF(NETWORKDAYS(DATE(YEAR(C443),MONTH(C443),1),C443,Feriados!$A$2:$A$842)=1,J442,K442))</f>
        <v>0</v>
      </c>
      <c r="L443" s="30">
        <v>0</v>
      </c>
      <c r="M443" s="19">
        <f>VLOOKUP(C443,'Fluxo de Caixa'!$B$13:$U$10027,20,FALSE)</f>
        <v>19466.999763818909</v>
      </c>
      <c r="N443" s="19">
        <f>SUMIFS([1]Master!$J$2:$J$100,[1]Master!$A$2:$A$100,"="&amp;$I$12,[1]Master!$E$2:$E$100,"="&amp;C443,[1]Master!$J$2:$J$100,"&gt;"&amp;0)</f>
        <v>0</v>
      </c>
      <c r="O443" s="19">
        <f ca="1">-SUMIF('[1]Fluxo de Movimentações'!$A$5:$F$10001,"="&amp;$C444,'[1]Fluxo de Movimentações'!$B$5:$B$10001)</f>
        <v>0</v>
      </c>
      <c r="P443" s="19">
        <f>-SUMIFS([1]Master!$J$1:$J$200,[1]Master!$A$1:$A$200,"="&amp;$I$12,[1]Master!$G$1:$G$200,"&gt;"&amp;C443,[1]Master!$E$1:$E$200,"&lt;="&amp;C443)</f>
        <v>0</v>
      </c>
      <c r="Q443" s="30">
        <v>8069.5277999999998</v>
      </c>
      <c r="R443" s="32">
        <v>0.96514029999999995</v>
      </c>
      <c r="S443" s="30">
        <v>0</v>
      </c>
      <c r="T443" s="30">
        <v>0</v>
      </c>
      <c r="U443" s="30">
        <v>0</v>
      </c>
      <c r="V443" s="30">
        <v>0</v>
      </c>
    </row>
    <row r="444" spans="3:22" x14ac:dyDescent="0.25">
      <c r="C444" s="4">
        <f>WORKDAY(C443,1,Feriados!$A$2:$A$842)</f>
        <v>45463</v>
      </c>
      <c r="D444" s="30">
        <v>16321055.138599999</v>
      </c>
      <c r="E444" s="32">
        <v>0.95656209999999997</v>
      </c>
      <c r="F444" s="38">
        <f t="shared" ref="F444" si="1175">D444/TRUNC(E444,7)</f>
        <v>17062201.333922803</v>
      </c>
      <c r="G444" s="19">
        <f t="shared" ref="G444" si="1176">H444*I444</f>
        <v>16310835.825081529</v>
      </c>
      <c r="H444" s="31">
        <v>1.0040087</v>
      </c>
      <c r="I444" s="19">
        <f>SUMIFS([1]Master!$K$2:$K$10000,[1]Master!$A$2:$A$10000,$I$12,[1]Master!$F$2:$F$10000,"&lt;="&amp;$C444)</f>
        <v>16245711.640826946</v>
      </c>
      <c r="J444" s="19">
        <f t="shared" ref="J444" si="1177">((((1+1.85%)^(1/252))-1)*D443) + SUM(J443)</f>
        <v>17241.579362076569</v>
      </c>
      <c r="K444" s="19">
        <f>IF((NETWORKDAYS(DATE(YEAR(C444),MONTH(C444),1),C444,Feriados!$A$2:$A$842))&gt;=5,0,IF(NETWORKDAYS(DATE(YEAR(C444),MONTH(C444),1),C444,Feriados!$A$2:$A$842)=1,J443,K443))</f>
        <v>0</v>
      </c>
      <c r="L444" s="30">
        <v>0</v>
      </c>
      <c r="M444" s="19">
        <f>VLOOKUP(C444,'Fluxo de Caixa'!$B$13:$U$10027,20,FALSE)</f>
        <v>19466.999763818909</v>
      </c>
      <c r="N444" s="19">
        <f>SUMIFS([1]Master!$J$2:$J$100,[1]Master!$A$2:$A$100,"="&amp;$I$12,[1]Master!$E$2:$E$100,"="&amp;C444,[1]Master!$J$2:$J$100,"&gt;"&amp;0)</f>
        <v>0</v>
      </c>
      <c r="O444" s="19">
        <f ca="1">-SUMIF('[1]Fluxo de Movimentações'!$A$5:$F$10001,"="&amp;$C445,'[1]Fluxo de Movimentações'!$B$5:$B$10001)</f>
        <v>0</v>
      </c>
      <c r="P444" s="19">
        <f>-SUMIFS([1]Master!$J$1:$J$200,[1]Master!$A$1:$A$200,"="&amp;$I$12,[1]Master!$G$1:$G$200,"&gt;"&amp;C444,[1]Master!$E$1:$E$200,"&lt;="&amp;C444)</f>
        <v>0</v>
      </c>
      <c r="Q444" s="30">
        <v>7993.8185999999996</v>
      </c>
      <c r="R444" s="32">
        <v>0.95656209999999997</v>
      </c>
      <c r="S444" s="30">
        <v>0</v>
      </c>
      <c r="T444" s="30">
        <v>0</v>
      </c>
      <c r="U444" s="30">
        <v>0</v>
      </c>
      <c r="V444" s="30">
        <v>0</v>
      </c>
    </row>
    <row r="445" spans="3:22" x14ac:dyDescent="0.25">
      <c r="C445" s="4">
        <f>WORKDAY(C444,1,Feriados!$A$2:$A$842)</f>
        <v>45464</v>
      </c>
      <c r="D445" s="30">
        <v>16499164.319399999</v>
      </c>
      <c r="E445" s="32">
        <v>0.96700090000000005</v>
      </c>
      <c r="F445" s="38">
        <f t="shared" ref="F445" si="1178">D445/TRUNC(E445,7)</f>
        <v>17062201.616772018</v>
      </c>
      <c r="G445" s="19">
        <f t="shared" ref="G445" si="1179">H445*I445</f>
        <v>16490207.976450227</v>
      </c>
      <c r="H445" s="31">
        <v>1.0150498999999999</v>
      </c>
      <c r="I445" s="19">
        <f>SUMIFS([1]Master!$K$2:$K$10000,[1]Master!$A$2:$A$10000,$I$12,[1]Master!$F$2:$F$10000,"&lt;="&amp;$C445)</f>
        <v>16245711.640826946</v>
      </c>
      <c r="J445" s="19">
        <f t="shared" ref="J445" si="1180">((((1+1.85%)^(1/252))-1)*D444) + SUM(J444)</f>
        <v>18428.846967387406</v>
      </c>
      <c r="K445" s="19">
        <f>IF((NETWORKDAYS(DATE(YEAR(C445),MONTH(C445),1),C445,Feriados!$A$2:$A$842))&gt;=5,0,IF(NETWORKDAYS(DATE(YEAR(C445),MONTH(C445),1),C445,Feriados!$A$2:$A$842)=1,J444,K444))</f>
        <v>0</v>
      </c>
      <c r="L445" s="30">
        <v>0</v>
      </c>
      <c r="M445" s="19">
        <f>VLOOKUP(C445,'Fluxo de Caixa'!$B$13:$U$10027,20,FALSE)</f>
        <v>19466.999763818909</v>
      </c>
      <c r="N445" s="19">
        <f>SUMIFS([1]Master!$J$2:$J$100,[1]Master!$A$2:$A$100,"="&amp;$I$12,[1]Master!$E$2:$E$100,"="&amp;C445,[1]Master!$J$2:$J$100,"&gt;"&amp;0)</f>
        <v>0</v>
      </c>
      <c r="O445" s="19">
        <f ca="1">-SUMIF('[1]Fluxo de Movimentações'!$A$5:$F$10001,"="&amp;$C446,'[1]Fluxo de Movimentações'!$B$5:$B$10001)</f>
        <v>0</v>
      </c>
      <c r="P445" s="19">
        <f>-SUMIFS([1]Master!$J$1:$J$200,[1]Master!$A$1:$A$200,"="&amp;$I$12,[1]Master!$G$1:$G$200,"&gt;"&amp;C445,[1]Master!$E$1:$E$200,"&lt;="&amp;C445)</f>
        <v>0</v>
      </c>
      <c r="Q445" s="30">
        <v>7918.1094000000003</v>
      </c>
      <c r="R445" s="32">
        <v>0.96700090000000005</v>
      </c>
      <c r="S445" s="30">
        <v>0</v>
      </c>
      <c r="T445" s="30">
        <v>0</v>
      </c>
      <c r="U445" s="30">
        <v>0</v>
      </c>
      <c r="V445" s="30">
        <v>0</v>
      </c>
    </row>
    <row r="446" spans="3:22" x14ac:dyDescent="0.25">
      <c r="C446" s="4">
        <f>WORKDAY(C445,1,Feriados!$A$2:$A$842)</f>
        <v>45467</v>
      </c>
      <c r="D446" s="30">
        <v>16696867.4902</v>
      </c>
      <c r="E446" s="32">
        <v>0.97858809999999996</v>
      </c>
      <c r="F446" s="38">
        <f t="shared" ref="F446" si="1181">D446/TRUNC(E446,7)</f>
        <v>17062201.64561576</v>
      </c>
      <c r="G446" s="19">
        <f t="shared" ref="G446" si="1182">H446*I446</f>
        <v>16689187.077198241</v>
      </c>
      <c r="H446" s="31">
        <v>1.027298</v>
      </c>
      <c r="I446" s="19">
        <f>SUMIFS([1]Master!$K$2:$K$10000,[1]Master!$A$2:$A$10000,$I$12,[1]Master!$F$2:$F$10000,"&lt;="&amp;$C446)</f>
        <v>16245711.640826946</v>
      </c>
      <c r="J446" s="19">
        <f t="shared" ref="J446" si="1183">((((1+1.85%)^(1/252))-1)*D445) + SUM(J445)</f>
        <v>19629.071042655392</v>
      </c>
      <c r="K446" s="19">
        <f>IF((NETWORKDAYS(DATE(YEAR(C446),MONTH(C446),1),C446,Feriados!$A$2:$A$842))&gt;=5,0,IF(NETWORKDAYS(DATE(YEAR(C446),MONTH(C446),1),C446,Feriados!$A$2:$A$842)=1,J445,K445))</f>
        <v>0</v>
      </c>
      <c r="L446" s="30">
        <v>0</v>
      </c>
      <c r="M446" s="19">
        <f>VLOOKUP(C446,'Fluxo de Caixa'!$B$13:$U$10027,20,FALSE)</f>
        <v>19270.999763818909</v>
      </c>
      <c r="N446" s="19">
        <f>SUMIFS([1]Master!$J$2:$J$100,[1]Master!$A$2:$A$100,"="&amp;$I$12,[1]Master!$E$2:$E$100,"="&amp;C446,[1]Master!$J$2:$J$100,"&gt;"&amp;0)</f>
        <v>0</v>
      </c>
      <c r="O446" s="19">
        <f ca="1">-SUMIF('[1]Fluxo de Movimentações'!$A$5:$F$10001,"="&amp;$C447,'[1]Fluxo de Movimentações'!$B$5:$B$10001)</f>
        <v>0</v>
      </c>
      <c r="P446" s="19">
        <f>-SUMIFS([1]Master!$J$1:$J$200,[1]Master!$A$1:$A$200,"="&amp;$I$12,[1]Master!$G$1:$G$200,"&gt;"&amp;C446,[1]Master!$E$1:$E$200,"&lt;="&amp;C446)</f>
        <v>0</v>
      </c>
      <c r="Q446" s="30">
        <v>8038.4002</v>
      </c>
      <c r="R446" s="32">
        <v>0.97858809999999996</v>
      </c>
      <c r="S446" s="30">
        <v>0</v>
      </c>
      <c r="T446" s="30">
        <v>0</v>
      </c>
      <c r="U446" s="30">
        <v>0</v>
      </c>
      <c r="V446" s="30">
        <v>0</v>
      </c>
    </row>
    <row r="447" spans="3:22" x14ac:dyDescent="0.25">
      <c r="C447" s="4">
        <f>WORKDAY(C446,1,Feriados!$A$2:$A$842)</f>
        <v>45468</v>
      </c>
      <c r="D447" s="30">
        <v>16635538.4154</v>
      </c>
      <c r="E447" s="32">
        <v>0.97499369999999996</v>
      </c>
      <c r="F447" s="38">
        <f t="shared" ref="F447" si="1184">D447/TRUNC(E447,7)</f>
        <v>17062200.930529092</v>
      </c>
      <c r="G447" s="19">
        <f t="shared" ref="G447" si="1185">H447*I447</f>
        <v>16629152.674400728</v>
      </c>
      <c r="H447" s="31">
        <v>1.0236026</v>
      </c>
      <c r="I447" s="19">
        <f>SUMIFS([1]Master!$K$2:$K$10000,[1]Master!$A$2:$A$10000,$I$12,[1]Master!$F$2:$F$10000,"&lt;="&amp;$C447)</f>
        <v>16245711.640826946</v>
      </c>
      <c r="J447" s="19">
        <f t="shared" ref="J447" si="1186">((((1+1.85%)^(1/252))-1)*D446) + SUM(J446)</f>
        <v>20843.676943618149</v>
      </c>
      <c r="K447" s="19">
        <f>IF((NETWORKDAYS(DATE(YEAR(C447),MONTH(C447),1),C447,Feriados!$A$2:$A$842))&gt;=5,0,IF(NETWORKDAYS(DATE(YEAR(C447),MONTH(C447),1),C447,Feriados!$A$2:$A$842)=1,J446,K446))</f>
        <v>0</v>
      </c>
      <c r="L447" s="30">
        <v>0</v>
      </c>
      <c r="M447" s="19">
        <f>VLOOKUP(C447,'Fluxo de Caixa'!$B$13:$U$10027,20,FALSE)</f>
        <v>19270.999763818909</v>
      </c>
      <c r="N447" s="19">
        <f>SUMIFS([1]Master!$J$2:$J$100,[1]Master!$A$2:$A$100,"="&amp;$I$12,[1]Master!$E$2:$E$100,"="&amp;C447,[1]Master!$J$2:$J$100,"&gt;"&amp;0)</f>
        <v>0</v>
      </c>
      <c r="O447" s="19">
        <f ca="1">-SUMIF('[1]Fluxo de Movimentações'!$A$5:$F$10001,"="&amp;$C448,'[1]Fluxo de Movimentações'!$B$5:$B$10001)</f>
        <v>0</v>
      </c>
      <c r="P447" s="19">
        <f>-SUMIFS([1]Master!$J$1:$J$200,[1]Master!$A$1:$A$200,"="&amp;$I$12,[1]Master!$G$1:$G$200,"&gt;"&amp;C447,[1]Master!$E$1:$E$200,"&lt;="&amp;C447)</f>
        <v>0</v>
      </c>
      <c r="Q447" s="30">
        <v>7958.3353999999999</v>
      </c>
      <c r="R447" s="32">
        <v>0.97499369999999996</v>
      </c>
      <c r="S447" s="30">
        <v>0</v>
      </c>
      <c r="T447" s="30">
        <v>0</v>
      </c>
      <c r="U447" s="30">
        <v>0</v>
      </c>
      <c r="V447" s="30">
        <v>0</v>
      </c>
    </row>
    <row r="448" spans="3:22" x14ac:dyDescent="0.25">
      <c r="C448" s="4">
        <f>WORKDAY(C447,1,Feriados!$A$2:$A$842)</f>
        <v>45469</v>
      </c>
      <c r="D448" s="30">
        <v>16614625.0206</v>
      </c>
      <c r="E448" s="32">
        <v>0.97376799999999997</v>
      </c>
      <c r="F448" s="38">
        <f t="shared" ref="F448" si="1187">D448/TRUNC(E448,7)</f>
        <v>17062200.668537065</v>
      </c>
      <c r="G448" s="19">
        <f t="shared" ref="G448" si="1188">H448*I448</f>
        <v>16609529.479309773</v>
      </c>
      <c r="H448" s="31">
        <v>1.0223947</v>
      </c>
      <c r="I448" s="19">
        <f>SUMIFS([1]Master!$K$2:$K$10000,[1]Master!$A$2:$A$10000,$I$12,[1]Master!$F$2:$F$10000,"&lt;="&amp;$C448)</f>
        <v>16245711.640826946</v>
      </c>
      <c r="J448" s="19">
        <f t="shared" ref="J448" si="1189">((((1+1.85%)^(1/252))-1)*D447) + SUM(J447)</f>
        <v>22053.821489407765</v>
      </c>
      <c r="K448" s="19">
        <f>IF((NETWORKDAYS(DATE(YEAR(C448),MONTH(C448),1),C448,Feriados!$A$2:$A$842))&gt;=5,0,IF(NETWORKDAYS(DATE(YEAR(C448),MONTH(C448),1),C448,Feriados!$A$2:$A$842)=1,J447,K447))</f>
        <v>0</v>
      </c>
      <c r="L448" s="30">
        <v>0</v>
      </c>
      <c r="M448" s="19">
        <f>VLOOKUP(C448,'Fluxo de Caixa'!$B$13:$U$10027,20,FALSE)</f>
        <v>19270.999763818909</v>
      </c>
      <c r="N448" s="19">
        <f>SUMIFS([1]Master!$J$2:$J$100,[1]Master!$A$2:$A$100,"="&amp;$I$12,[1]Master!$E$2:$E$100,"="&amp;C448,[1]Master!$J$2:$J$100,"&gt;"&amp;0)</f>
        <v>0</v>
      </c>
      <c r="O448" s="19">
        <f ca="1">-SUMIF('[1]Fluxo de Movimentações'!$A$5:$F$10001,"="&amp;$C449,'[1]Fluxo de Movimentações'!$B$5:$B$10001)</f>
        <v>0</v>
      </c>
      <c r="P448" s="19">
        <f>-SUMIFS([1]Master!$J$1:$J$200,[1]Master!$A$1:$A$200,"="&amp;$I$12,[1]Master!$G$1:$G$200,"&gt;"&amp;C448,[1]Master!$E$1:$E$200,"&lt;="&amp;C448)</f>
        <v>0</v>
      </c>
      <c r="Q448" s="30">
        <v>7878.2705999999998</v>
      </c>
      <c r="R448" s="32">
        <v>0.97376799999999997</v>
      </c>
      <c r="S448" s="30">
        <v>0</v>
      </c>
      <c r="T448" s="30">
        <v>0</v>
      </c>
      <c r="U448" s="30">
        <v>0</v>
      </c>
      <c r="V448" s="30">
        <v>0</v>
      </c>
    </row>
    <row r="449" spans="3:22" x14ac:dyDescent="0.25">
      <c r="C449" s="4">
        <f>WORKDAY(C448,1,Feriados!$A$2:$A$842)</f>
        <v>45470</v>
      </c>
      <c r="D449" s="30">
        <v>17007975.535799999</v>
      </c>
      <c r="E449" s="32">
        <v>0.99682190000000004</v>
      </c>
      <c r="F449" s="38">
        <f t="shared" ref="F449" si="1190">D449/TRUNC(E449,7)</f>
        <v>17062200.916532829</v>
      </c>
      <c r="G449" s="19">
        <f t="shared" ref="G449" si="1191">H449*I449</f>
        <v>17004168.681917574</v>
      </c>
      <c r="H449" s="31">
        <v>1.0466865999999999</v>
      </c>
      <c r="I449" s="19">
        <f>SUMIFS([1]Master!$K$2:$K$10000,[1]Master!$A$2:$A$10000,$I$12,[1]Master!$F$2:$F$10000,"&lt;="&amp;$C449)</f>
        <v>16245711.640826946</v>
      </c>
      <c r="J449" s="19">
        <f t="shared" ref="J449" si="1192">((((1+1.85%)^(1/252))-1)*D448) + SUM(J448)</f>
        <v>23262.444699967993</v>
      </c>
      <c r="K449" s="19">
        <f>IF((NETWORKDAYS(DATE(YEAR(C449),MONTH(C449),1),C449,Feriados!$A$2:$A$842))&gt;=5,0,IF(NETWORKDAYS(DATE(YEAR(C449),MONTH(C449),1),C449,Feriados!$A$2:$A$842)=1,J448,K448))</f>
        <v>0</v>
      </c>
      <c r="L449" s="30">
        <v>0</v>
      </c>
      <c r="M449" s="19">
        <f>VLOOKUP(C449,'Fluxo de Caixa'!$B$13:$U$10027,20,FALSE)</f>
        <v>19270.999763818909</v>
      </c>
      <c r="N449" s="19">
        <f>SUMIFS([1]Master!$J$2:$J$100,[1]Master!$A$2:$A$100,"="&amp;$I$12,[1]Master!$E$2:$E$100,"="&amp;C449,[1]Master!$J$2:$J$100,"&gt;"&amp;0)</f>
        <v>0</v>
      </c>
      <c r="O449" s="19">
        <f ca="1">-SUMIF('[1]Fluxo de Movimentações'!$A$5:$F$10001,"="&amp;$C450,'[1]Fluxo de Movimentações'!$B$5:$B$10001)</f>
        <v>0</v>
      </c>
      <c r="P449" s="19">
        <f>-SUMIFS([1]Master!$J$1:$J$200,[1]Master!$A$1:$A$200,"="&amp;$I$12,[1]Master!$G$1:$G$200,"&gt;"&amp;C449,[1]Master!$E$1:$E$200,"&lt;="&amp;C449)</f>
        <v>0</v>
      </c>
      <c r="Q449" s="30">
        <v>7798.2057999999997</v>
      </c>
      <c r="R449" s="32">
        <v>0.99682190000000004</v>
      </c>
      <c r="S449" s="30">
        <v>0</v>
      </c>
      <c r="T449" s="30">
        <v>0</v>
      </c>
      <c r="U449" s="30">
        <v>0</v>
      </c>
      <c r="V449" s="30">
        <v>0</v>
      </c>
    </row>
    <row r="450" spans="3:22" x14ac:dyDescent="0.25">
      <c r="C450" s="4">
        <f>WORKDAY(C449,1,Feriados!$A$2:$A$842)</f>
        <v>45471</v>
      </c>
      <c r="D450" s="30">
        <v>16683677.251</v>
      </c>
      <c r="E450" s="32">
        <v>0.97781510000000005</v>
      </c>
      <c r="F450" s="38">
        <f t="shared" ref="F450" si="1193">D450/TRUNC(E450,7)</f>
        <v>17062200.46203009</v>
      </c>
      <c r="G450" s="19">
        <f t="shared" ref="G450" si="1194">H450*I450</f>
        <v>16681187.688786298</v>
      </c>
      <c r="H450" s="31">
        <v>1.0268056000000001</v>
      </c>
      <c r="I450" s="19">
        <f>SUMIFS([1]Master!$K$2:$K$10000,[1]Master!$A$2:$A$10000,$I$12,[1]Master!$F$2:$F$10000,"&lt;="&amp;$C450)</f>
        <v>16245711.640826946</v>
      </c>
      <c r="J450" s="19">
        <f t="shared" ref="J450:J452" si="1195">((((1+1.85%)^(1/252))-1)*D449) + SUM(J449)</f>
        <v>24499.682011777397</v>
      </c>
      <c r="K450" s="19">
        <f>IF((NETWORKDAYS(DATE(YEAR(C450),MONTH(C450),1),C450,Feriados!$A$2:$A$842))&gt;=5,0,IF(NETWORKDAYS(DATE(YEAR(C450),MONTH(C450),1),C450,Feriados!$A$2:$A$842)=1,J449,K449))</f>
        <v>0</v>
      </c>
      <c r="L450" s="30">
        <v>0</v>
      </c>
      <c r="M450" s="19">
        <f>VLOOKUP(C450,'Fluxo de Caixa'!$B$13:$U$10027,20,FALSE)</f>
        <v>19270.999763818909</v>
      </c>
      <c r="N450" s="19">
        <f>SUMIFS([1]Master!$J$2:$J$100,[1]Master!$A$2:$A$100,"="&amp;$I$12,[1]Master!$E$2:$E$100,"="&amp;C450,[1]Master!$J$2:$J$100,"&gt;"&amp;0)</f>
        <v>0</v>
      </c>
      <c r="O450" s="19">
        <f ca="1">-SUMIF('[1]Fluxo de Movimentações'!$A$5:$F$10001,"="&amp;$C451,'[1]Fluxo de Movimentações'!$B$5:$B$10001)</f>
        <v>0</v>
      </c>
      <c r="P450" s="19">
        <f>-SUMIFS([1]Master!$J$1:$J$200,[1]Master!$A$1:$A$200,"="&amp;$I$12,[1]Master!$G$1:$G$200,"&gt;"&amp;C450,[1]Master!$E$1:$E$200,"&lt;="&amp;C450)</f>
        <v>0</v>
      </c>
      <c r="Q450" s="30">
        <v>7718.1409999999996</v>
      </c>
      <c r="R450" s="32">
        <v>0.97781510000000005</v>
      </c>
      <c r="S450" s="30">
        <v>0</v>
      </c>
      <c r="T450" s="30">
        <v>0</v>
      </c>
      <c r="U450" s="30">
        <v>0</v>
      </c>
      <c r="V450" s="30">
        <v>0</v>
      </c>
    </row>
    <row r="451" spans="3:22" x14ac:dyDescent="0.25">
      <c r="C451" s="4">
        <f>WORKDAY(C450,1,Feriados!$A$2:$A$842)</f>
        <v>45474</v>
      </c>
      <c r="D451" s="30">
        <v>16621475.8848</v>
      </c>
      <c r="E451" s="32">
        <v>0.97416950000000002</v>
      </c>
      <c r="F451" s="38">
        <f t="shared" ref="F451" si="1196">D451/TRUNC(E451,7)</f>
        <v>17062201.0695264</v>
      </c>
      <c r="G451" s="19">
        <f t="shared" ref="G451" si="1197">H451*I451</f>
        <v>16620276.017560182</v>
      </c>
      <c r="H451" s="31">
        <v>1.0230562000000001</v>
      </c>
      <c r="I451" s="19">
        <f>SUMIFS([1]Master!$K$2:$K$10000,[1]Master!$A$2:$A$10000,$I$12,[1]Master!$F$2:$F$10000,"&lt;="&amp;$C451)</f>
        <v>16245711.640826946</v>
      </c>
      <c r="J451" s="19">
        <f>((((1+1.85%)^(1/252))-1)*D450)</f>
        <v>1213.6463831144645</v>
      </c>
      <c r="K451" s="19">
        <f>IF((NETWORKDAYS(DATE(YEAR(C451),MONTH(C451),1),C451,Feriados!$A$2:$A$842))&gt;=5,0,IF(NETWORKDAYS(DATE(YEAR(C451),MONTH(C451),1),C451,Feriados!$A$2:$A$842)=1,J450,K450))</f>
        <v>24499.682011777397</v>
      </c>
      <c r="L451" s="30">
        <v>0</v>
      </c>
      <c r="M451" s="19">
        <f>VLOOKUP(C451,'Fluxo de Caixa'!$B$13:$U$10027,20,FALSE)</f>
        <v>19270.999763818909</v>
      </c>
      <c r="N451" s="19">
        <f>SUMIFS([1]Master!$J$2:$J$100,[1]Master!$A$2:$A$100,"="&amp;$I$12,[1]Master!$E$2:$E$100,"="&amp;C451,[1]Master!$J$2:$J$100,"&gt;"&amp;0)</f>
        <v>0</v>
      </c>
      <c r="O451" s="19">
        <f ca="1">-SUMIF('[1]Fluxo de Movimentações'!$A$5:$F$10001,"="&amp;$C452,'[1]Fluxo de Movimentações'!$B$5:$B$10001)</f>
        <v>0</v>
      </c>
      <c r="P451" s="19">
        <f>-SUMIFS([1]Master!$J$1:$J$200,[1]Master!$A$1:$A$200,"="&amp;$I$12,[1]Master!$G$1:$G$200,"&gt;"&amp;C451,[1]Master!$E$1:$E$200,"&lt;="&amp;C451)</f>
        <v>0</v>
      </c>
      <c r="Q451" s="30">
        <v>7642.0847999999996</v>
      </c>
      <c r="R451" s="32">
        <v>0.97416950000000002</v>
      </c>
      <c r="S451" s="30">
        <v>0</v>
      </c>
      <c r="T451" s="30">
        <v>0</v>
      </c>
      <c r="U451" s="30">
        <v>0</v>
      </c>
      <c r="V451" s="30">
        <v>0</v>
      </c>
    </row>
    <row r="452" spans="3:22" x14ac:dyDescent="0.25">
      <c r="C452" s="4">
        <f>WORKDAY(C451,1,Feriados!$A$2:$A$842)</f>
        <v>45475</v>
      </c>
      <c r="D452" s="30">
        <v>16539862.158600001</v>
      </c>
      <c r="E452" s="32">
        <v>0.96938619999999998</v>
      </c>
      <c r="F452" s="38">
        <f t="shared" ref="F452" si="1198">D452/TRUNC(E452,7)</f>
        <v>17062200.966549762</v>
      </c>
      <c r="G452" s="19">
        <f t="shared" ref="G452" si="1199">H452*I452</f>
        <v>16539947.471780946</v>
      </c>
      <c r="H452" s="31">
        <v>1.0181115999999999</v>
      </c>
      <c r="I452" s="19">
        <f>SUMIFS([1]Master!$K$2:$K$10000,[1]Master!$A$2:$A$10000,$I$12,[1]Master!$F$2:$F$10000,"&lt;="&amp;$C452)</f>
        <v>16245711.640826946</v>
      </c>
      <c r="J452" s="19">
        <f t="shared" si="1195"/>
        <v>2422.7679566214497</v>
      </c>
      <c r="K452" s="19">
        <f>IF((NETWORKDAYS(DATE(YEAR(C452),MONTH(C452),1),C452,Feriados!$A$2:$A$842))&gt;=5,0,IF(NETWORKDAYS(DATE(YEAR(C452),MONTH(C452),1),C452,Feriados!$A$2:$A$842)=1,J451,K451))</f>
        <v>24499.682011777397</v>
      </c>
      <c r="L452" s="30">
        <v>0</v>
      </c>
      <c r="M452" s="19">
        <f>VLOOKUP(C452,'Fluxo de Caixa'!$B$13:$U$10027,20,FALSE)</f>
        <v>19270.999763818909</v>
      </c>
      <c r="N452" s="19">
        <f>SUMIFS([1]Master!$J$2:$J$100,[1]Master!$A$2:$A$100,"="&amp;$I$12,[1]Master!$E$2:$E$100,"="&amp;C452,[1]Master!$J$2:$J$100,"&gt;"&amp;0)</f>
        <v>0</v>
      </c>
      <c r="O452" s="19">
        <f ca="1">-SUMIF('[1]Fluxo de Movimentações'!$A$5:$F$10001,"="&amp;$C453,'[1]Fluxo de Movimentações'!$B$5:$B$10001)</f>
        <v>0</v>
      </c>
      <c r="P452" s="19">
        <f>-SUMIFS([1]Master!$J$1:$J$200,[1]Master!$A$1:$A$200,"="&amp;$I$12,[1]Master!$G$1:$G$200,"&gt;"&amp;C452,[1]Master!$E$1:$E$200,"&lt;="&amp;C452)</f>
        <v>0</v>
      </c>
      <c r="Q452" s="30">
        <v>7566.0285999999996</v>
      </c>
      <c r="R452" s="32">
        <v>0.96938619999999998</v>
      </c>
      <c r="S452" s="30">
        <v>0</v>
      </c>
      <c r="T452" s="30">
        <v>0</v>
      </c>
      <c r="U452" s="30">
        <v>0</v>
      </c>
      <c r="V452" s="30">
        <v>0</v>
      </c>
    </row>
    <row r="453" spans="3:22" x14ac:dyDescent="0.25">
      <c r="C453" s="4">
        <f>WORKDAY(C452,1,Feriados!$A$2:$A$842)</f>
        <v>45476</v>
      </c>
      <c r="D453" s="30">
        <v>16835960.672400001</v>
      </c>
      <c r="E453" s="32">
        <v>0.98674030000000001</v>
      </c>
      <c r="F453" s="38">
        <f t="shared" ref="F453" si="1200">D453/TRUNC(E453,7)</f>
        <v>17062200.330117255</v>
      </c>
      <c r="G453" s="19">
        <f t="shared" ref="G453" si="1201">H453*I453</f>
        <v>16811325.223366283</v>
      </c>
      <c r="H453" s="31">
        <v>1.0364165999999999</v>
      </c>
      <c r="I453" s="19">
        <f>SUMIFS([1]Master!$K$2:$K$10000,[1]Master!$A$2:$A$10000,$I$12,[1]Master!$F$2:$F$10000,"&lt;="&amp;$C453)</f>
        <v>16220625.203577679</v>
      </c>
      <c r="J453" s="19">
        <f t="shared" ref="J453" si="1202">((((1+1.85%)^(1/252))-1)*D452) + SUM(J452)</f>
        <v>3625.9525773736586</v>
      </c>
      <c r="K453" s="19">
        <f>IF((NETWORKDAYS(DATE(YEAR(C453),MONTH(C453),1),C453,Feriados!$A$2:$A$842))&gt;=5,0,IF(NETWORKDAYS(DATE(YEAR(C453),MONTH(C453),1),C453,Feriados!$A$2:$A$842)=1,J452,K452))</f>
        <v>24499.682011777397</v>
      </c>
      <c r="L453" s="30">
        <v>0</v>
      </c>
      <c r="M453" s="19">
        <f>VLOOKUP(C453,'Fluxo de Caixa'!$B$13:$U$10027,20,FALSE)</f>
        <v>19270.999763818909</v>
      </c>
      <c r="N453" s="19">
        <f>SUMIFS([1]Master!$J$2:$J$100,[1]Master!$A$2:$A$100,"="&amp;$I$12,[1]Master!$E$2:$E$100,"="&amp;C453,[1]Master!$J$2:$J$100,"&gt;"&amp;0)</f>
        <v>0</v>
      </c>
      <c r="O453" s="19">
        <f ca="1">-SUMIF('[1]Fluxo de Movimentações'!$A$5:$F$10001,"="&amp;$C454,'[1]Fluxo de Movimentações'!$B$5:$B$10001)</f>
        <v>0</v>
      </c>
      <c r="P453" s="19">
        <f>-SUMIFS([1]Master!$J$1:$J$200,[1]Master!$A$1:$A$200,"="&amp;$I$12,[1]Master!$G$1:$G$200,"&gt;"&amp;C453,[1]Master!$E$1:$E$200,"&lt;="&amp;C453)</f>
        <v>26000</v>
      </c>
      <c r="Q453" s="30">
        <v>7489.9723999999997</v>
      </c>
      <c r="R453" s="32">
        <v>0.98674030000000001</v>
      </c>
      <c r="S453" s="30">
        <v>0</v>
      </c>
      <c r="T453" s="30">
        <v>0</v>
      </c>
      <c r="U453" s="30">
        <v>0</v>
      </c>
      <c r="V453" s="30">
        <v>0</v>
      </c>
    </row>
    <row r="454" spans="3:22" x14ac:dyDescent="0.25">
      <c r="C454" s="4">
        <f>WORKDAY(C453,1,Feriados!$A$2:$A$842)</f>
        <v>45477</v>
      </c>
      <c r="D454" s="30">
        <v>17206048.9562</v>
      </c>
      <c r="E454" s="32">
        <v>1.0084308</v>
      </c>
      <c r="F454" s="38">
        <f t="shared" ref="F454" si="1203">D454/TRUNC(E454,7)</f>
        <v>17062200.952410419</v>
      </c>
      <c r="G454" s="19">
        <f t="shared" ref="G454" si="1204">H454*I454</f>
        <v>17182714.280089919</v>
      </c>
      <c r="H454" s="31">
        <v>1.0593127</v>
      </c>
      <c r="I454" s="19">
        <f>SUMIFS([1]Master!$K$2:$K$10000,[1]Master!$A$2:$A$10000,$I$12,[1]Master!$F$2:$F$10000,"&lt;="&amp;$C454)</f>
        <v>16220625.203577679</v>
      </c>
      <c r="J454" s="19">
        <f t="shared" ref="J454" si="1205">((((1+1.85%)^(1/252))-1)*D453) + SUM(J453)</f>
        <v>4850.6767475257093</v>
      </c>
      <c r="K454" s="19">
        <f>IF((NETWORKDAYS(DATE(YEAR(C454),MONTH(C454),1),C454,Feriados!$A$2:$A$842))&gt;=5,0,IF(NETWORKDAYS(DATE(YEAR(C454),MONTH(C454),1),C454,Feriados!$A$2:$A$842)=1,J453,K453))</f>
        <v>24499.682011777397</v>
      </c>
      <c r="L454" s="30">
        <v>0</v>
      </c>
      <c r="M454" s="19">
        <f>VLOOKUP(C454,'Fluxo de Caixa'!$B$13:$U$10027,20,FALSE)</f>
        <v>19270.999763818909</v>
      </c>
      <c r="N454" s="19">
        <f>SUMIFS([1]Master!$J$2:$J$100,[1]Master!$A$2:$A$100,"="&amp;$I$12,[1]Master!$E$2:$E$100,"="&amp;C454,[1]Master!$J$2:$J$100,"&gt;"&amp;0)</f>
        <v>0</v>
      </c>
      <c r="O454" s="19">
        <f ca="1">-SUMIF('[1]Fluxo de Movimentações'!$A$5:$F$10001,"="&amp;$C455,'[1]Fluxo de Movimentações'!$B$5:$B$10001)</f>
        <v>0</v>
      </c>
      <c r="P454" s="19">
        <f>-SUMIFS([1]Master!$J$1:$J$200,[1]Master!$A$1:$A$200,"="&amp;$I$12,[1]Master!$G$1:$G$200,"&gt;"&amp;C454,[1]Master!$E$1:$E$200,"&lt;="&amp;C454)</f>
        <v>26000</v>
      </c>
      <c r="Q454" s="30">
        <v>7413.9161999999997</v>
      </c>
      <c r="R454" s="32">
        <v>1.0084308</v>
      </c>
      <c r="S454" s="30">
        <v>0</v>
      </c>
      <c r="T454" s="30">
        <v>0</v>
      </c>
      <c r="U454" s="30">
        <v>0</v>
      </c>
      <c r="V454" s="30">
        <v>0</v>
      </c>
    </row>
    <row r="455" spans="3:22" x14ac:dyDescent="0.25">
      <c r="C455" s="4">
        <f>WORKDAY(C454,1,Feriados!$A$2:$A$842)</f>
        <v>45478</v>
      </c>
      <c r="D455" s="30">
        <v>17312909.59</v>
      </c>
      <c r="E455" s="32">
        <v>1.0146938000000001</v>
      </c>
      <c r="F455" s="38">
        <f t="shared" ref="F455" si="1206">D455/TRUNC(E455,7)</f>
        <v>17062201.020642877</v>
      </c>
      <c r="G455" s="19">
        <f t="shared" ref="G455" si="1207">H455*I455</f>
        <v>17290902.606072742</v>
      </c>
      <c r="H455" s="31">
        <v>1.0659825000000001</v>
      </c>
      <c r="I455" s="19">
        <f>SUMIFS([1]Master!$K$2:$K$10000,[1]Master!$A$2:$A$10000,$I$12,[1]Master!$F$2:$F$10000,"&lt;="&amp;$C455)</f>
        <v>16220625.203577679</v>
      </c>
      <c r="J455" s="19">
        <f t="shared" ref="J455" si="1208">((((1+1.85%)^(1/252))-1)*D454) + SUM(J454)</f>
        <v>6102.3228186657452</v>
      </c>
      <c r="K455" s="19">
        <f>IF((NETWORKDAYS(DATE(YEAR(C455),MONTH(C455),1),C455,Feriados!$A$2:$A$842))&gt;=5,0,IF(NETWORKDAYS(DATE(YEAR(C455),MONTH(C455),1),C455,Feriados!$A$2:$A$842)=1,J454,K454))</f>
        <v>0</v>
      </c>
      <c r="L455" s="30">
        <v>0</v>
      </c>
      <c r="M455" s="19">
        <f>VLOOKUP(C455,'Fluxo de Caixa'!$B$13:$U$10027,20,FALSE)</f>
        <v>20771.317752041508</v>
      </c>
      <c r="N455" s="19">
        <f>SUMIFS([1]Master!$J$2:$J$100,[1]Master!$A$2:$A$100,"="&amp;$I$12,[1]Master!$E$2:$E$100,"="&amp;C455,[1]Master!$J$2:$J$100,"&gt;"&amp;0)</f>
        <v>0</v>
      </c>
      <c r="O455" s="19">
        <f ca="1">-SUMIF('[1]Fluxo de Movimentações'!$A$5:$F$10001,"="&amp;$C456,'[1]Fluxo de Movimentações'!$B$5:$B$10001)</f>
        <v>0</v>
      </c>
      <c r="P455" s="19">
        <f>-SUMIFS([1]Master!$J$1:$J$200,[1]Master!$A$1:$A$200,"="&amp;$I$12,[1]Master!$G$1:$G$200,"&gt;"&amp;C455,[1]Master!$E$1:$E$200,"&lt;="&amp;C455)</f>
        <v>0</v>
      </c>
      <c r="Q455" s="30">
        <v>7337.86</v>
      </c>
      <c r="R455" s="32">
        <v>1.0146938000000001</v>
      </c>
      <c r="S455" s="30">
        <v>0</v>
      </c>
      <c r="T455" s="30">
        <v>0</v>
      </c>
      <c r="U455" s="30">
        <v>0</v>
      </c>
      <c r="V455" s="30">
        <v>0</v>
      </c>
    </row>
    <row r="456" spans="3:22" x14ac:dyDescent="0.25">
      <c r="C456" s="4">
        <f>WORKDAY(C455,1,Feriados!$A$2:$A$842)</f>
        <v>45481</v>
      </c>
      <c r="D456" s="30">
        <v>17315864.4738</v>
      </c>
      <c r="E456" s="32">
        <v>1.014867</v>
      </c>
      <c r="F456" s="38">
        <f t="shared" ref="F456" si="1209">D456/TRUNC(E456,7)</f>
        <v>17062200.735465828</v>
      </c>
      <c r="G456" s="19">
        <f t="shared" ref="G456" si="1210">H456*I456</f>
        <v>17295192.961439088</v>
      </c>
      <c r="H456" s="31">
        <v>1.0662469999999999</v>
      </c>
      <c r="I456" s="19">
        <f>SUMIFS([1]Master!$K$2:$K$10000,[1]Master!$A$2:$A$10000,$I$12,[1]Master!$F$2:$F$10000,"&lt;="&amp;$C456)</f>
        <v>16220625.203577679</v>
      </c>
      <c r="J456" s="19">
        <f t="shared" ref="J456" si="1211">((((1+1.85%)^(1/252))-1)*D455) + SUM(J455)</f>
        <v>7361.7424171737302</v>
      </c>
      <c r="K456" s="19">
        <f>IF((NETWORKDAYS(DATE(YEAR(C456),MONTH(C456),1),C456,Feriados!$A$2:$A$842))&gt;=5,0,IF(NETWORKDAYS(DATE(YEAR(C456),MONTH(C456),1),C456,Feriados!$A$2:$A$842)=1,J455,K455))</f>
        <v>0</v>
      </c>
      <c r="L456" s="30">
        <v>0</v>
      </c>
      <c r="M456" s="19">
        <f>VLOOKUP(C456,'Fluxo de Caixa'!$B$13:$U$10027,20,FALSE)</f>
        <v>20771.317752041508</v>
      </c>
      <c r="N456" s="19">
        <f>SUMIFS([1]Master!$J$2:$J$100,[1]Master!$A$2:$A$100,"="&amp;$I$12,[1]Master!$E$2:$E$100,"="&amp;C456,[1]Master!$J$2:$J$100,"&gt;"&amp;0)</f>
        <v>0</v>
      </c>
      <c r="O456" s="19">
        <f ca="1">-SUMIF('[1]Fluxo de Movimentações'!$A$5:$F$10001,"="&amp;$C457,'[1]Fluxo de Movimentações'!$B$5:$B$10001)</f>
        <v>0</v>
      </c>
      <c r="P456" s="19">
        <f>-SUMIFS([1]Master!$J$1:$J$200,[1]Master!$A$1:$A$200,"="&amp;$I$12,[1]Master!$G$1:$G$200,"&gt;"&amp;C456,[1]Master!$E$1:$E$200,"&lt;="&amp;C456)</f>
        <v>0</v>
      </c>
      <c r="Q456" s="30">
        <v>7261.8037999999997</v>
      </c>
      <c r="R456" s="32">
        <v>1.014867</v>
      </c>
      <c r="S456" s="30">
        <v>0</v>
      </c>
      <c r="T456" s="30">
        <v>0</v>
      </c>
      <c r="U456" s="30">
        <v>0</v>
      </c>
      <c r="V456" s="30">
        <v>0</v>
      </c>
    </row>
    <row r="457" spans="3:22" x14ac:dyDescent="0.25">
      <c r="C457" s="4">
        <f>WORKDAY(C456,1,Feriados!$A$2:$A$842)</f>
        <v>45482</v>
      </c>
      <c r="D457" s="30">
        <v>17404165.5876</v>
      </c>
      <c r="E457" s="32">
        <v>1.0200422</v>
      </c>
      <c r="F457" s="38">
        <f t="shared" ref="F457" si="1212">D457/TRUNC(E457,7)</f>
        <v>17062201.53205426</v>
      </c>
      <c r="G457" s="19">
        <f t="shared" ref="G457" si="1213">H457*I457</f>
        <v>17384829.75837658</v>
      </c>
      <c r="H457" s="31">
        <v>1.0717730999999999</v>
      </c>
      <c r="I457" s="19">
        <f>SUMIFS([1]Master!$K$2:$K$10000,[1]Master!$A$2:$A$10000,$I$12,[1]Master!$F$2:$F$10000,"&lt;="&amp;$C457)</f>
        <v>16220625.203577679</v>
      </c>
      <c r="J457" s="19">
        <f t="shared" ref="J457" si="1214">((((1+1.85%)^(1/252))-1)*D456) + SUM(J456)</f>
        <v>8621.3769673367042</v>
      </c>
      <c r="K457" s="19">
        <f>IF((NETWORKDAYS(DATE(YEAR(C457),MONTH(C457),1),C457,Feriados!$A$2:$A$842))&gt;=5,0,IF(NETWORKDAYS(DATE(YEAR(C457),MONTH(C457),1),C457,Feriados!$A$2:$A$842)=1,J456,K456))</f>
        <v>0</v>
      </c>
      <c r="L457" s="30">
        <v>0</v>
      </c>
      <c r="M457" s="19">
        <f>VLOOKUP(C457,'Fluxo de Caixa'!$B$13:$U$10027,20,FALSE)</f>
        <v>20771.317752041508</v>
      </c>
      <c r="N457" s="19">
        <f>SUMIFS([1]Master!$J$2:$J$100,[1]Master!$A$2:$A$100,"="&amp;$I$12,[1]Master!$E$2:$E$100,"="&amp;C457,[1]Master!$J$2:$J$100,"&gt;"&amp;0)</f>
        <v>0</v>
      </c>
      <c r="O457" s="19">
        <f ca="1">-SUMIF('[1]Fluxo de Movimentações'!$A$5:$F$10001,"="&amp;$C458,'[1]Fluxo de Movimentações'!$B$5:$B$10001)</f>
        <v>0</v>
      </c>
      <c r="P457" s="19">
        <f>-SUMIFS([1]Master!$J$1:$J$200,[1]Master!$A$1:$A$200,"="&amp;$I$12,[1]Master!$G$1:$G$200,"&gt;"&amp;C457,[1]Master!$E$1:$E$200,"&lt;="&amp;C457)</f>
        <v>0</v>
      </c>
      <c r="Q457" s="30">
        <v>7185.7475999999997</v>
      </c>
      <c r="R457" s="32">
        <v>1.0200422</v>
      </c>
      <c r="S457" s="30">
        <v>0</v>
      </c>
      <c r="T457" s="30">
        <v>0</v>
      </c>
      <c r="U457" s="30">
        <v>0</v>
      </c>
      <c r="V457" s="30">
        <v>0</v>
      </c>
    </row>
    <row r="458" spans="3:22" x14ac:dyDescent="0.25">
      <c r="C458" s="4">
        <f>WORKDAY(C457,1,Feriados!$A$2:$A$842)</f>
        <v>45483</v>
      </c>
      <c r="D458" s="30">
        <v>17371760.981400002</v>
      </c>
      <c r="E458" s="32">
        <v>1.018143</v>
      </c>
      <c r="F458" s="38">
        <f t="shared" ref="F458" si="1215">D458/TRUNC(E458,7)</f>
        <v>17062201.460305676</v>
      </c>
      <c r="G458" s="19">
        <f t="shared" ref="G458" si="1216">H458*I458</f>
        <v>17353767.261111729</v>
      </c>
      <c r="H458" s="31">
        <v>1.0698581</v>
      </c>
      <c r="I458" s="19">
        <f>SUMIFS([1]Master!$K$2:$K$10000,[1]Master!$A$2:$A$10000,$I$12,[1]Master!$F$2:$F$10000,"&lt;="&amp;$C458)</f>
        <v>16220625.203577679</v>
      </c>
      <c r="J458" s="19">
        <f t="shared" ref="J458" si="1217">((((1+1.85%)^(1/252))-1)*D457) + SUM(J457)</f>
        <v>9887.4349411715739</v>
      </c>
      <c r="K458" s="19">
        <f>IF((NETWORKDAYS(DATE(YEAR(C458),MONTH(C458),1),C458,Feriados!$A$2:$A$842))&gt;=5,0,IF(NETWORKDAYS(DATE(YEAR(C458),MONTH(C458),1),C458,Feriados!$A$2:$A$842)=1,J457,K457))</f>
        <v>0</v>
      </c>
      <c r="L458" s="30">
        <v>0</v>
      </c>
      <c r="M458" s="19">
        <f>VLOOKUP(C458,'Fluxo de Caixa'!$B$13:$U$10027,20,FALSE)</f>
        <v>20771.317752041508</v>
      </c>
      <c r="N458" s="19">
        <f>SUMIFS([1]Master!$J$2:$J$100,[1]Master!$A$2:$A$100,"="&amp;$I$12,[1]Master!$E$2:$E$100,"="&amp;C458,[1]Master!$J$2:$J$100,"&gt;"&amp;0)</f>
        <v>0</v>
      </c>
      <c r="O458" s="19">
        <f ca="1">-SUMIF('[1]Fluxo de Movimentações'!$A$5:$F$10001,"="&amp;$C459,'[1]Fluxo de Movimentações'!$B$5:$B$10001)</f>
        <v>0</v>
      </c>
      <c r="P458" s="19">
        <f>-SUMIFS([1]Master!$J$1:$J$200,[1]Master!$A$1:$A$200,"="&amp;$I$12,[1]Master!$G$1:$G$200,"&gt;"&amp;C458,[1]Master!$E$1:$E$200,"&lt;="&amp;C458)</f>
        <v>0</v>
      </c>
      <c r="Q458" s="30">
        <v>7109.6913999999997</v>
      </c>
      <c r="R458" s="32">
        <v>1.018143</v>
      </c>
      <c r="S458" s="30">
        <v>0</v>
      </c>
      <c r="T458" s="30">
        <v>0</v>
      </c>
      <c r="U458" s="30">
        <v>0</v>
      </c>
      <c r="V458" s="30">
        <v>0</v>
      </c>
    </row>
    <row r="459" spans="3:22" x14ac:dyDescent="0.25">
      <c r="C459" s="4">
        <f>WORKDAY(C458,1,Feriados!$A$2:$A$842)</f>
        <v>45484</v>
      </c>
      <c r="D459" s="30">
        <v>17613055.415199999</v>
      </c>
      <c r="E459" s="32">
        <v>1.0322851</v>
      </c>
      <c r="F459" s="38">
        <f t="shared" ref="F459" si="1218">D459/TRUNC(E459,7)</f>
        <v>17062200.563778359</v>
      </c>
      <c r="G459" s="19">
        <f t="shared" ref="G459" si="1219">H459*I459</f>
        <v>17596478.09809538</v>
      </c>
      <c r="H459" s="31">
        <v>1.0848211999999999</v>
      </c>
      <c r="I459" s="19">
        <f>SUMIFS([1]Master!$K$2:$K$10000,[1]Master!$A$2:$A$10000,$I$12,[1]Master!$F$2:$F$10000,"&lt;="&amp;$C459)</f>
        <v>16220625.203577679</v>
      </c>
      <c r="J459" s="19">
        <f t="shared" ref="J459" si="1220">((((1+1.85%)^(1/252))-1)*D458) + SUM(J458)</f>
        <v>11151.13565692004</v>
      </c>
      <c r="K459" s="19">
        <f>IF((NETWORKDAYS(DATE(YEAR(C459),MONTH(C459),1),C459,Feriados!$A$2:$A$842))&gt;=5,0,IF(NETWORKDAYS(DATE(YEAR(C459),MONTH(C459),1),C459,Feriados!$A$2:$A$842)=1,J458,K458))</f>
        <v>0</v>
      </c>
      <c r="L459" s="30">
        <v>-76.654600711602569</v>
      </c>
      <c r="M459" s="19">
        <f>VLOOKUP(C459,'Fluxo de Caixa'!$B$13:$U$10027,20,FALSE)</f>
        <v>20771.317752041508</v>
      </c>
      <c r="N459" s="19">
        <f>SUMIFS([1]Master!$J$2:$J$100,[1]Master!$A$2:$A$100,"="&amp;$I$12,[1]Master!$E$2:$E$100,"="&amp;C459,[1]Master!$J$2:$J$100,"&gt;"&amp;0)</f>
        <v>0</v>
      </c>
      <c r="O459" s="19">
        <f ca="1">-SUMIF('[1]Fluxo de Movimentações'!$A$5:$F$10001,"="&amp;$C460,'[1]Fluxo de Movimentações'!$B$5:$B$10001)</f>
        <v>0</v>
      </c>
      <c r="P459" s="19">
        <f>-SUMIFS([1]Master!$J$1:$J$200,[1]Master!$A$1:$A$200,"="&amp;$I$12,[1]Master!$G$1:$G$200,"&gt;"&amp;C459,[1]Master!$E$1:$E$200,"&lt;="&amp;C459)</f>
        <v>0</v>
      </c>
      <c r="Q459" s="30">
        <v>7033.6351999999997</v>
      </c>
      <c r="R459" s="32">
        <v>1.0322895999999999</v>
      </c>
      <c r="S459" s="30">
        <v>0</v>
      </c>
      <c r="T459" s="30">
        <v>0</v>
      </c>
      <c r="U459" s="30">
        <v>0</v>
      </c>
      <c r="V459" s="30">
        <v>0</v>
      </c>
    </row>
    <row r="460" spans="3:22" x14ac:dyDescent="0.25">
      <c r="C460" s="4">
        <f>WORKDAY(C459,1,Feriados!$A$2:$A$842)</f>
        <v>45485</v>
      </c>
      <c r="D460" s="30">
        <v>17665987.558499999</v>
      </c>
      <c r="E460" s="32">
        <v>1.0353874000000001</v>
      </c>
      <c r="F460" s="38">
        <f t="shared" ref="F460" si="1221">D460/TRUNC(E460,7)</f>
        <v>17062200.639586687</v>
      </c>
      <c r="G460" s="19">
        <f t="shared" ref="G460" si="1222">H460*I460</f>
        <v>17650787.995402001</v>
      </c>
      <c r="H460" s="31">
        <v>1.0881694</v>
      </c>
      <c r="I460" s="19">
        <f>SUMIFS([1]Master!$K$2:$K$10000,[1]Master!$A$2:$A$10000,$I$12,[1]Master!$F$2:$F$10000,"&lt;="&amp;$C460)</f>
        <v>16220625.203577679</v>
      </c>
      <c r="J460" s="19">
        <f t="shared" ref="J460" si="1223">((((1+1.85%)^(1/252))-1)*D459) + SUM(J459)</f>
        <v>12432.389224623219</v>
      </c>
      <c r="K460" s="19">
        <f>IF((NETWORKDAYS(DATE(YEAR(C460),MONTH(C460),1),C460,Feriados!$A$2:$A$842))&gt;=5,0,IF(NETWORKDAYS(DATE(YEAR(C460),MONTH(C460),1),C460,Feriados!$A$2:$A$842)=1,J459,K459))</f>
        <v>0</v>
      </c>
      <c r="L460" s="30">
        <v>-97.101687820241864</v>
      </c>
      <c r="M460" s="19">
        <f>VLOOKUP(C460,'Fluxo de Caixa'!$B$13:$U$10027,20,FALSE)</f>
        <v>20156.657752041509</v>
      </c>
      <c r="N460" s="19">
        <f>SUMIFS([1]Master!$J$2:$J$100,[1]Master!$A$2:$A$100,"="&amp;$I$12,[1]Master!$E$2:$E$100,"="&amp;C460,[1]Master!$J$2:$J$100,"&gt;"&amp;0)</f>
        <v>0</v>
      </c>
      <c r="O460" s="19">
        <f ca="1">-SUMIF('[1]Fluxo de Movimentações'!$A$5:$F$10001,"="&amp;$C461,'[1]Fluxo de Movimentações'!$B$5:$B$10001)</f>
        <v>0</v>
      </c>
      <c r="P460" s="19">
        <f>-SUMIFS([1]Master!$J$1:$J$200,[1]Master!$A$1:$A$200,"="&amp;$I$12,[1]Master!$G$1:$G$200,"&gt;"&amp;C460,[1]Master!$E$1:$E$200,"&lt;="&amp;C460)</f>
        <v>0</v>
      </c>
      <c r="Q460" s="30">
        <v>7572.2385000000004</v>
      </c>
      <c r="R460" s="32">
        <v>1.0353931000000001</v>
      </c>
      <c r="S460" s="30">
        <v>0</v>
      </c>
      <c r="T460" s="30">
        <v>0</v>
      </c>
      <c r="U460" s="30">
        <v>0</v>
      </c>
      <c r="V460" s="30">
        <v>0</v>
      </c>
    </row>
    <row r="461" spans="3:22" x14ac:dyDescent="0.25">
      <c r="C461" s="4">
        <f>WORKDAY(C460,1,Feriados!$A$2:$A$842)</f>
        <v>45488</v>
      </c>
      <c r="D461" s="30">
        <v>17701127.952300001</v>
      </c>
      <c r="E461" s="32">
        <v>1.0374468999999999</v>
      </c>
      <c r="F461" s="38">
        <f t="shared" ref="F461" si="1224">D461/TRUNC(E461,7)</f>
        <v>17062201.402597088</v>
      </c>
      <c r="G461" s="19">
        <f t="shared" ref="G461" si="1225">H461*I461</f>
        <v>17687302.244797774</v>
      </c>
      <c r="H461" s="31">
        <v>1.0904205</v>
      </c>
      <c r="I461" s="19">
        <f>SUMIFS([1]Master!$K$2:$K$10000,[1]Master!$A$2:$A$10000,$I$12,[1]Master!$F$2:$F$10000,"&lt;="&amp;$C461)</f>
        <v>16220625.203577679</v>
      </c>
      <c r="J461" s="19">
        <f t="shared" ref="J461" si="1226">((((1+1.85%)^(1/252))-1)*D460) + SUM(J460)</f>
        <v>13717.493316602315</v>
      </c>
      <c r="K461" s="19">
        <f>IF((NETWORKDAYS(DATE(YEAR(C461),MONTH(C461),1),C461,Feriados!$A$2:$A$842))&gt;=5,0,IF(NETWORKDAYS(DATE(YEAR(C461),MONTH(C461),1),C461,Feriados!$A$2:$A$842)=1,J460,K460))</f>
        <v>0</v>
      </c>
      <c r="L461" s="30">
        <v>-109.79214710930884</v>
      </c>
      <c r="M461" s="19">
        <f>VLOOKUP(C461,'Fluxo de Caixa'!$B$13:$U$10027,20,FALSE)</f>
        <v>20156.657752041509</v>
      </c>
      <c r="N461" s="19">
        <f>SUMIFS([1]Master!$J$2:$J$100,[1]Master!$A$2:$A$100,"="&amp;$I$12,[1]Master!$E$2:$E$100,"="&amp;C461,[1]Master!$J$2:$J$100,"&gt;"&amp;0)</f>
        <v>0</v>
      </c>
      <c r="O461" s="19">
        <f ca="1">-SUMIF('[1]Fluxo de Movimentações'!$A$5:$F$10001,"="&amp;$C462,'[1]Fluxo de Movimentações'!$B$5:$B$10001)</f>
        <v>0</v>
      </c>
      <c r="P461" s="19">
        <f>-SUMIFS([1]Master!$J$1:$J$200,[1]Master!$A$1:$A$200,"="&amp;$I$12,[1]Master!$G$1:$G$200,"&gt;"&amp;C461,[1]Master!$E$1:$E$200,"&lt;="&amp;C461)</f>
        <v>0</v>
      </c>
      <c r="Q461" s="30">
        <v>7496.1823000000004</v>
      </c>
      <c r="R461" s="32">
        <v>1.0374534</v>
      </c>
      <c r="S461" s="30">
        <v>0</v>
      </c>
      <c r="T461" s="30">
        <v>0</v>
      </c>
      <c r="U461" s="30">
        <v>0</v>
      </c>
      <c r="V461" s="30">
        <v>0</v>
      </c>
    </row>
    <row r="462" spans="3:22" x14ac:dyDescent="0.25">
      <c r="C462" s="4">
        <f>WORKDAY(C461,1,Feriados!$A$2:$A$842)</f>
        <v>45489</v>
      </c>
      <c r="D462" s="30">
        <v>17680180.086100001</v>
      </c>
      <c r="E462" s="32">
        <v>1.0362191999999999</v>
      </c>
      <c r="F462" s="38">
        <f t="shared" ref="F462" si="1227">D462/TRUNC(E462,7)</f>
        <v>17062200.822084751</v>
      </c>
      <c r="G462" s="19">
        <f t="shared" ref="G462" si="1228">H462*I462</f>
        <v>17667706.107489333</v>
      </c>
      <c r="H462" s="31">
        <v>1.0892124000000001</v>
      </c>
      <c r="I462" s="19">
        <f>SUMIFS([1]Master!$K$2:$K$10000,[1]Master!$A$2:$A$10000,$I$12,[1]Master!$F$2:$F$10000,"&lt;="&amp;$C462)</f>
        <v>16220625.203577679</v>
      </c>
      <c r="J462" s="19">
        <f t="shared" ref="J462" si="1229">((((1+1.85%)^(1/252))-1)*D461) + SUM(J461)</f>
        <v>15005.153680271096</v>
      </c>
      <c r="K462" s="19">
        <f>IF((NETWORKDAYS(DATE(YEAR(C462),MONTH(C462),1),C462,Feriados!$A$2:$A$842))&gt;=5,0,IF(NETWORKDAYS(DATE(YEAR(C462),MONTH(C462),1),C462,Feriados!$A$2:$A$842)=1,J461,K461))</f>
        <v>0</v>
      </c>
      <c r="L462" s="30">
        <v>-97.809696378511333</v>
      </c>
      <c r="M462" s="19">
        <f>VLOOKUP(C462,'Fluxo de Caixa'!$B$13:$U$10027,20,FALSE)</f>
        <v>20156.657752041509</v>
      </c>
      <c r="N462" s="19">
        <f>SUMIFS([1]Master!$J$2:$J$100,[1]Master!$A$2:$A$100,"="&amp;$I$12,[1]Master!$E$2:$E$100,"="&amp;C462,[1]Master!$J$2:$J$100,"&gt;"&amp;0)</f>
        <v>0</v>
      </c>
      <c r="O462" s="19">
        <f ca="1">-SUMIF('[1]Fluxo de Movimentações'!$A$5:$F$10001,"="&amp;$C463,'[1]Fluxo de Movimentações'!$B$5:$B$10001)</f>
        <v>0</v>
      </c>
      <c r="P462" s="19">
        <f>-SUMIFS([1]Master!$J$1:$J$200,[1]Master!$A$1:$A$200,"="&amp;$I$12,[1]Master!$G$1:$G$200,"&gt;"&amp;C462,[1]Master!$E$1:$E$200,"&lt;="&amp;C462)</f>
        <v>0</v>
      </c>
      <c r="Q462" s="30">
        <v>7420.1261000000004</v>
      </c>
      <c r="R462" s="32">
        <v>1.0362248999999999</v>
      </c>
      <c r="S462" s="30">
        <v>0</v>
      </c>
      <c r="T462" s="30">
        <v>0</v>
      </c>
      <c r="U462" s="30">
        <v>0</v>
      </c>
      <c r="V462" s="30">
        <v>0</v>
      </c>
    </row>
    <row r="463" spans="3:22" x14ac:dyDescent="0.25">
      <c r="C463" s="4">
        <f>WORKDAY(C462,1,Feriados!$A$2:$A$842)</f>
        <v>45490</v>
      </c>
      <c r="D463" s="30">
        <v>17638567.929900002</v>
      </c>
      <c r="E463" s="32">
        <v>1.0337803000000001</v>
      </c>
      <c r="F463" s="38">
        <f t="shared" ref="F463" si="1230">D463/TRUNC(E463,7)</f>
        <v>17062201.639845528</v>
      </c>
      <c r="G463" s="19">
        <f t="shared" ref="G463" si="1231">H463*I463</f>
        <v>17627435.161296409</v>
      </c>
      <c r="H463" s="31">
        <v>1.0867297</v>
      </c>
      <c r="I463" s="19">
        <f>SUMIFS([1]Master!$K$2:$K$10000,[1]Master!$A$2:$A$10000,$I$12,[1]Master!$F$2:$F$10000,"&lt;="&amp;$C463)</f>
        <v>16220625.203577679</v>
      </c>
      <c r="J463" s="19">
        <f t="shared" ref="J463" si="1232">((((1+1.85%)^(1/252))-1)*D462) + SUM(J462)</f>
        <v>16291.290201104446</v>
      </c>
      <c r="K463" s="19">
        <f>IF((NETWORKDAYS(DATE(YEAR(C463),MONTH(C463),1),C463,Feriados!$A$2:$A$842))&gt;=5,0,IF(NETWORKDAYS(DATE(YEAR(C463),MONTH(C463),1),C463,Feriados!$A$2:$A$842)=1,J462,K462))</f>
        <v>0</v>
      </c>
      <c r="L463" s="30">
        <v>-76.83</v>
      </c>
      <c r="M463" s="19">
        <f>VLOOKUP(C463,'Fluxo de Caixa'!$B$13:$U$10027,20,FALSE)</f>
        <v>20156.657752041509</v>
      </c>
      <c r="N463" s="19">
        <f>SUMIFS([1]Master!$J$2:$J$100,[1]Master!$A$2:$A$100,"="&amp;$I$12,[1]Master!$E$2:$E$100,"="&amp;C463,[1]Master!$J$2:$J$100,"&gt;"&amp;0)</f>
        <v>0</v>
      </c>
      <c r="O463" s="19">
        <f ca="1">-SUMIF('[1]Fluxo de Movimentações'!$A$5:$F$10001,"="&amp;$C464,'[1]Fluxo de Movimentações'!$B$5:$B$10001)</f>
        <v>0</v>
      </c>
      <c r="P463" s="19">
        <f>-SUMIFS([1]Master!$J$1:$J$200,[1]Master!$A$1:$A$200,"="&amp;$I$12,[1]Master!$G$1:$G$200,"&gt;"&amp;C463,[1]Master!$E$1:$E$200,"&lt;="&amp;C463)</f>
        <v>0</v>
      </c>
      <c r="Q463" s="30">
        <v>7344.0699000000004</v>
      </c>
      <c r="R463" s="32">
        <v>1.0337848000000001</v>
      </c>
      <c r="S463" s="30">
        <v>0</v>
      </c>
      <c r="T463" s="30">
        <v>0</v>
      </c>
      <c r="U463" s="30">
        <v>0</v>
      </c>
      <c r="V463" s="30">
        <v>0</v>
      </c>
    </row>
    <row r="464" spans="3:22" x14ac:dyDescent="0.25">
      <c r="C464" s="4">
        <f>WORKDAY(C463,1,Feriados!$A$2:$A$842)</f>
        <v>45491</v>
      </c>
      <c r="D464" s="30">
        <v>17288229.103700001</v>
      </c>
      <c r="E464" s="32">
        <v>1.0132473</v>
      </c>
      <c r="F464" s="38">
        <f t="shared" ref="F464" si="1233">D464/TRUNC(E464,7)</f>
        <v>17062201.008282974</v>
      </c>
      <c r="G464" s="19">
        <f t="shared" ref="G464" si="1234">H464*I464</f>
        <v>17278378.661353059</v>
      </c>
      <c r="H464" s="31">
        <v>1.0652104</v>
      </c>
      <c r="I464" s="19">
        <f>SUMIFS([1]Master!$K$2:$K$10000,[1]Master!$A$2:$A$10000,$I$12,[1]Master!$F$2:$F$10000,"&lt;="&amp;$C464)</f>
        <v>16220625.203577679</v>
      </c>
      <c r="J464" s="19">
        <f t="shared" ref="J464" si="1235">((((1+1.85%)^(1/252))-1)*D463) + SUM(J463)</f>
        <v>17574.399664886409</v>
      </c>
      <c r="K464" s="19">
        <f>IF((NETWORKDAYS(DATE(YEAR(C464),MONTH(C464),1),C464,Feriados!$A$2:$A$842))&gt;=5,0,IF(NETWORKDAYS(DATE(YEAR(C464),MONTH(C464),1),C464,Feriados!$A$2:$A$842)=1,J463,K463))</f>
        <v>0</v>
      </c>
      <c r="L464" s="30">
        <v>0</v>
      </c>
      <c r="M464" s="19">
        <f>VLOOKUP(C464,'Fluxo de Caixa'!$B$13:$U$10027,20,FALSE)</f>
        <v>20156.657752041509</v>
      </c>
      <c r="N464" s="19">
        <f>SUMIFS([1]Master!$J$2:$J$100,[1]Master!$A$2:$A$100,"="&amp;$I$12,[1]Master!$E$2:$E$100,"="&amp;C464,[1]Master!$J$2:$J$100,"&gt;"&amp;0)</f>
        <v>0</v>
      </c>
      <c r="O464" s="19">
        <f ca="1">-SUMIF('[1]Fluxo de Movimentações'!$A$5:$F$10001,"="&amp;$C465,'[1]Fluxo de Movimentações'!$B$5:$B$10001)</f>
        <v>0</v>
      </c>
      <c r="P464" s="19">
        <f>-SUMIFS([1]Master!$J$1:$J$200,[1]Master!$A$1:$A$200,"="&amp;$I$12,[1]Master!$G$1:$G$200,"&gt;"&amp;C464,[1]Master!$E$1:$E$200,"&lt;="&amp;C464)</f>
        <v>0</v>
      </c>
      <c r="Q464" s="30">
        <v>7268.0137000000004</v>
      </c>
      <c r="R464" s="32">
        <v>1.0132473</v>
      </c>
      <c r="S464" s="30">
        <v>0</v>
      </c>
      <c r="T464" s="30">
        <v>0</v>
      </c>
      <c r="U464" s="30">
        <v>0</v>
      </c>
      <c r="V464" s="30">
        <v>0</v>
      </c>
    </row>
    <row r="465" spans="3:22" x14ac:dyDescent="0.25">
      <c r="C465" s="4">
        <f>WORKDAY(C464,1,Feriados!$A$2:$A$842)</f>
        <v>45492</v>
      </c>
      <c r="D465" s="30">
        <v>17318914.947500002</v>
      </c>
      <c r="E465" s="32">
        <v>1.0150458</v>
      </c>
      <c r="F465" s="38">
        <f t="shared" ref="F465" si="1236">D465/TRUNC(E465,7)</f>
        <v>17062200.491347287</v>
      </c>
      <c r="G465" s="19">
        <f t="shared" ref="G465" si="1237">H465*I465</f>
        <v>17310398.175504923</v>
      </c>
      <c r="H465" s="31">
        <v>1.0671843999999999</v>
      </c>
      <c r="I465" s="19">
        <f>SUMIFS([1]Master!$K$2:$K$10000,[1]Master!$A$2:$A$10000,$I$12,[1]Master!$F$2:$F$10000,"&lt;="&amp;$C465)</f>
        <v>16220625.203577679</v>
      </c>
      <c r="J465" s="19">
        <f t="shared" ref="J465" si="1238">((((1+1.85%)^(1/252))-1)*D464) + SUM(J464)</f>
        <v>18832.023892836642</v>
      </c>
      <c r="K465" s="19">
        <f>IF((NETWORKDAYS(DATE(YEAR(C465),MONTH(C465),1),C465,Feriados!$A$2:$A$842))&gt;=5,0,IF(NETWORKDAYS(DATE(YEAR(C465),MONTH(C465),1),C465,Feriados!$A$2:$A$842)=1,J464,K464))</f>
        <v>0</v>
      </c>
      <c r="L465" s="30">
        <v>0</v>
      </c>
      <c r="M465" s="19">
        <f>VLOOKUP(C465,'Fluxo de Caixa'!$B$13:$U$10027,20,FALSE)</f>
        <v>20156.657752041509</v>
      </c>
      <c r="N465" s="19">
        <f>SUMIFS([1]Master!$J$2:$J$100,[1]Master!$A$2:$A$100,"="&amp;$I$12,[1]Master!$E$2:$E$100,"="&amp;C465,[1]Master!$J$2:$J$100,"&gt;"&amp;0)</f>
        <v>0</v>
      </c>
      <c r="O465" s="19">
        <f ca="1">-SUMIF('[1]Fluxo de Movimentações'!$A$5:$F$10001,"="&amp;$C466,'[1]Fluxo de Movimentações'!$B$5:$B$10001)</f>
        <v>0</v>
      </c>
      <c r="P465" s="19">
        <f>-SUMIFS([1]Master!$J$1:$J$200,[1]Master!$A$1:$A$200,"="&amp;$I$12,[1]Master!$G$1:$G$200,"&gt;"&amp;C465,[1]Master!$E$1:$E$200,"&lt;="&amp;C465)</f>
        <v>0</v>
      </c>
      <c r="Q465" s="30">
        <v>7191.9575000000004</v>
      </c>
      <c r="R465" s="32">
        <v>1.0150458</v>
      </c>
      <c r="S465" s="30">
        <v>0</v>
      </c>
      <c r="T465" s="30">
        <v>0</v>
      </c>
      <c r="U465" s="30">
        <v>0</v>
      </c>
      <c r="V465" s="30">
        <v>0</v>
      </c>
    </row>
    <row r="466" spans="3:22" x14ac:dyDescent="0.25">
      <c r="C466" s="4">
        <f>WORKDAY(C465,1,Feriados!$A$2:$A$842)</f>
        <v>45495</v>
      </c>
      <c r="D466" s="30">
        <v>17510104.011300001</v>
      </c>
      <c r="E466" s="32">
        <v>1.0262511999999999</v>
      </c>
      <c r="F466" s="38">
        <f t="shared" ref="F466" si="1239">D466/TRUNC(E466,7)</f>
        <v>17062200.766537473</v>
      </c>
      <c r="G466" s="19">
        <f t="shared" ref="G466" si="1240">H466*I466</f>
        <v>17502935.374608867</v>
      </c>
      <c r="H466" s="31">
        <v>1.0790542999999999</v>
      </c>
      <c r="I466" s="19">
        <f>SUMIFS([1]Master!$K$2:$K$10000,[1]Master!$A$2:$A$10000,$I$12,[1]Master!$F$2:$F$10000,"&lt;="&amp;$C466)</f>
        <v>16220625.203577679</v>
      </c>
      <c r="J466" s="19">
        <f t="shared" ref="J466" si="1241">((((1+1.85%)^(1/252))-1)*D465) + SUM(J465)</f>
        <v>20091.880348297655</v>
      </c>
      <c r="K466" s="19">
        <f>IF((NETWORKDAYS(DATE(YEAR(C466),MONTH(C466),1),C466,Feriados!$A$2:$A$842))&gt;=5,0,IF(NETWORKDAYS(DATE(YEAR(C466),MONTH(C466),1),C466,Feriados!$A$2:$A$842)=1,J465,K465))</f>
        <v>0</v>
      </c>
      <c r="L466" s="30">
        <v>-12.22</v>
      </c>
      <c r="M466" s="19">
        <f>VLOOKUP(C466,'Fluxo de Caixa'!$B$13:$U$10027,20,FALSE)</f>
        <v>20156.657752041509</v>
      </c>
      <c r="N466" s="19">
        <f>SUMIFS([1]Master!$J$2:$J$100,[1]Master!$A$2:$A$100,"="&amp;$I$12,[1]Master!$E$2:$E$100,"="&amp;C466,[1]Master!$J$2:$J$100,"&gt;"&amp;0)</f>
        <v>0</v>
      </c>
      <c r="O466" s="19">
        <f ca="1">-SUMIF('[1]Fluxo de Movimentações'!$A$5:$F$10001,"="&amp;$C467,'[1]Fluxo de Movimentações'!$B$5:$B$10001)</f>
        <v>0</v>
      </c>
      <c r="P466" s="19">
        <f>-SUMIFS([1]Master!$J$1:$J$200,[1]Master!$A$1:$A$200,"="&amp;$I$12,[1]Master!$G$1:$G$200,"&gt;"&amp;C466,[1]Master!$E$1:$E$200,"&lt;="&amp;C466)</f>
        <v>0</v>
      </c>
      <c r="Q466" s="30">
        <v>7115.9013000000004</v>
      </c>
      <c r="R466" s="32">
        <v>1.0262519000000001</v>
      </c>
      <c r="S466" s="30">
        <v>0</v>
      </c>
      <c r="T466" s="30">
        <v>0</v>
      </c>
      <c r="U466" s="30">
        <v>0</v>
      </c>
      <c r="V466" s="30">
        <v>0</v>
      </c>
    </row>
    <row r="467" spans="3:22" x14ac:dyDescent="0.25">
      <c r="C467" s="4">
        <f>WORKDAY(C466,1,Feriados!$A$2:$A$842)</f>
        <v>45496</v>
      </c>
      <c r="D467" s="30">
        <v>17279766.875100002</v>
      </c>
      <c r="E467" s="32">
        <v>1.0127512999999999</v>
      </c>
      <c r="F467" s="38">
        <f t="shared" ref="F467:F488" si="1242">D467/TRUNC(E467,7)</f>
        <v>17062201.623537786</v>
      </c>
      <c r="G467" s="19">
        <f t="shared" ref="G467:G468" si="1243">H467*I467</f>
        <v>17273935.832109801</v>
      </c>
      <c r="H467" s="31">
        <v>1.0649365</v>
      </c>
      <c r="I467" s="19">
        <f>SUMIFS([1]Master!$K$2:$K$10000,[1]Master!$A$2:$A$10000,$I$12,[1]Master!$F$2:$F$10000,"&lt;="&amp;$C467)</f>
        <v>16220625.203577679</v>
      </c>
      <c r="J467" s="19">
        <f t="shared" ref="J467" si="1244">((((1+1.85%)^(1/252))-1)*D466) + SUM(J466)</f>
        <v>21365.6447637534</v>
      </c>
      <c r="K467" s="19">
        <f>IF((NETWORKDAYS(DATE(YEAR(C467),MONTH(C467),1),C467,Feriados!$A$2:$A$842))&gt;=5,0,IF(NETWORKDAYS(DATE(YEAR(C467),MONTH(C467),1),C467,Feriados!$A$2:$A$842)=1,J466,K466))</f>
        <v>0</v>
      </c>
      <c r="L467" s="30">
        <v>0</v>
      </c>
      <c r="M467" s="19">
        <f>VLOOKUP(C467,'Fluxo de Caixa'!$B$13:$U$10027,20,FALSE)</f>
        <v>20156.657752041509</v>
      </c>
      <c r="N467" s="19">
        <f>SUMIFS([1]Master!$J$2:$J$100,[1]Master!$A$2:$A$100,"="&amp;$I$12,[1]Master!$E$2:$E$100,"="&amp;C467,[1]Master!$J$2:$J$100,"&gt;"&amp;0)</f>
        <v>0</v>
      </c>
      <c r="O467" s="19">
        <f ca="1">-SUMIF('[1]Fluxo de Movimentações'!$A$5:$F$10001,"="&amp;$C468,'[1]Fluxo de Movimentações'!$B$5:$B$10001)</f>
        <v>0</v>
      </c>
      <c r="P467" s="19">
        <f>-SUMIFS([1]Master!$J$1:$J$200,[1]Master!$A$1:$A$200,"="&amp;$I$12,[1]Master!$G$1:$G$200,"&gt;"&amp;C467,[1]Master!$E$1:$E$200,"&lt;="&amp;C467)</f>
        <v>0</v>
      </c>
      <c r="Q467" s="30">
        <v>7039.8450999999995</v>
      </c>
      <c r="R467" s="32">
        <v>1.0127512999999999</v>
      </c>
      <c r="S467" s="30">
        <v>0</v>
      </c>
      <c r="T467" s="30">
        <v>0</v>
      </c>
      <c r="U467" s="30">
        <v>0</v>
      </c>
      <c r="V467" s="30">
        <v>0</v>
      </c>
    </row>
    <row r="468" spans="3:22" x14ac:dyDescent="0.25">
      <c r="C468" s="4">
        <f>WORKDAY(C467,1,Feriados!$A$2:$A$842)</f>
        <v>45497</v>
      </c>
      <c r="D468" s="30">
        <v>17099794.448899999</v>
      </c>
      <c r="E468" s="32">
        <v>1.0022032999999999</v>
      </c>
      <c r="F468" s="38">
        <f t="shared" si="1242"/>
        <v>17062201.300774004</v>
      </c>
      <c r="G468" s="19">
        <f t="shared" si="1243"/>
        <v>17095296.464680277</v>
      </c>
      <c r="H468" s="31">
        <v>1.0539234</v>
      </c>
      <c r="I468" s="19">
        <f>SUMIFS([1]Master!$K$2:$K$10000,[1]Master!$A$2:$A$10000,$I$12,[1]Master!$F$2:$F$10000,"&lt;="&amp;$C468)</f>
        <v>16220625.203577679</v>
      </c>
      <c r="J468" s="19">
        <f t="shared" ref="J468" si="1245">((((1+1.85%)^(1/252))-1)*D467) + SUM(J467)</f>
        <v>22622.653410799077</v>
      </c>
      <c r="K468" s="19">
        <f>IF((NETWORKDAYS(DATE(YEAR(C468),MONTH(C468),1),C468,Feriados!$A$2:$A$842))&gt;=5,0,IF(NETWORKDAYS(DATE(YEAR(C468),MONTH(C468),1),C468,Feriados!$A$2:$A$842)=1,J467,K467))</f>
        <v>0</v>
      </c>
      <c r="L468" s="30">
        <v>0</v>
      </c>
      <c r="M468" s="19">
        <f>VLOOKUP(C468,'Fluxo de Caixa'!$B$13:$U$10027,20,FALSE)</f>
        <v>20156.657752041509</v>
      </c>
      <c r="N468" s="19">
        <f>SUMIFS([1]Master!$J$2:$J$100,[1]Master!$A$2:$A$100,"="&amp;$I$12,[1]Master!$E$2:$E$100,"="&amp;C468,[1]Master!$J$2:$J$100,"&gt;"&amp;0)</f>
        <v>0</v>
      </c>
      <c r="O468" s="19">
        <f ca="1">-SUMIF('[1]Fluxo de Movimentações'!$A$5:$F$10001,"="&amp;$C469,'[1]Fluxo de Movimentações'!$B$5:$B$10001)</f>
        <v>0</v>
      </c>
      <c r="P468" s="19">
        <f>-SUMIFS([1]Master!$J$1:$J$200,[1]Master!$A$1:$A$200,"="&amp;$I$12,[1]Master!$G$1:$G$200,"&gt;"&amp;C468,[1]Master!$E$1:$E$200,"&lt;="&amp;C468)</f>
        <v>0</v>
      </c>
      <c r="Q468" s="30">
        <v>6963.7888999999996</v>
      </c>
      <c r="R468" s="32">
        <v>1.0022032999999999</v>
      </c>
      <c r="S468" s="30">
        <v>0</v>
      </c>
      <c r="T468" s="30">
        <v>0</v>
      </c>
      <c r="U468" s="30">
        <v>0</v>
      </c>
      <c r="V468" s="30">
        <v>0</v>
      </c>
    </row>
    <row r="469" spans="3:22" x14ac:dyDescent="0.25">
      <c r="C469" s="4">
        <f>WORKDAY(C468,1,Feriados!$A$2:$A$842)</f>
        <v>45498</v>
      </c>
      <c r="D469" s="30">
        <v>17046954.532699998</v>
      </c>
      <c r="E469" s="32">
        <v>0.99910639999999995</v>
      </c>
      <c r="F469" s="38">
        <f t="shared" si="1242"/>
        <v>17062201.315795794</v>
      </c>
      <c r="G469" s="19">
        <f t="shared" ref="G469" si="1246">H469*I469</f>
        <v>17043776.514908675</v>
      </c>
      <c r="H469" s="31">
        <v>1.0507472</v>
      </c>
      <c r="I469" s="19">
        <f>SUMIFS([1]Master!$K$2:$K$10000,[1]Master!$A$2:$A$10000,$I$12,[1]Master!$F$2:$F$10000,"&lt;="&amp;$C469)</f>
        <v>16220625.203577679</v>
      </c>
      <c r="J469" s="19">
        <f t="shared" ref="J469" si="1247">((((1+1.85%)^(1/252))-1)*D468) + SUM(J468)</f>
        <v>23866.570046962988</v>
      </c>
      <c r="K469" s="19">
        <f>IF((NETWORKDAYS(DATE(YEAR(C469),MONTH(C469),1),C469,Feriados!$A$2:$A$842))&gt;=5,0,IF(NETWORKDAYS(DATE(YEAR(C469),MONTH(C469),1),C469,Feriados!$A$2:$A$842)=1,J468,K468))</f>
        <v>0</v>
      </c>
      <c r="L469" s="30">
        <v>0</v>
      </c>
      <c r="M469" s="19">
        <f>VLOOKUP(C469,'Fluxo de Caixa'!$B$13:$U$10027,20,FALSE)</f>
        <v>20156.757752041507</v>
      </c>
      <c r="N469" s="19">
        <f>SUMIFS([1]Master!$J$2:$J$100,[1]Master!$A$2:$A$100,"="&amp;$I$12,[1]Master!$E$2:$E$100,"="&amp;C469,[1]Master!$J$2:$J$100,"&gt;"&amp;0)</f>
        <v>0</v>
      </c>
      <c r="O469" s="19">
        <f ca="1">-SUMIF('[1]Fluxo de Movimentações'!$A$5:$F$10001,"="&amp;$C470,'[1]Fluxo de Movimentações'!$B$5:$B$10001)</f>
        <v>0</v>
      </c>
      <c r="P469" s="19">
        <f>-SUMIFS([1]Master!$J$1:$J$200,[1]Master!$A$1:$A$200,"="&amp;$I$12,[1]Master!$G$1:$G$200,"&gt;"&amp;C469,[1]Master!$E$1:$E$200,"&lt;="&amp;C469)</f>
        <v>0</v>
      </c>
      <c r="Q469" s="30">
        <v>6887.7326999999996</v>
      </c>
      <c r="R469" s="32">
        <v>0.99910639999999995</v>
      </c>
      <c r="S469" s="30">
        <v>0</v>
      </c>
      <c r="T469" s="30">
        <v>0</v>
      </c>
      <c r="U469" s="30">
        <v>0</v>
      </c>
      <c r="V469" s="30">
        <v>0</v>
      </c>
    </row>
    <row r="470" spans="3:22" x14ac:dyDescent="0.25">
      <c r="C470" s="4">
        <f>WORKDAY(C469,1,Feriados!$A$2:$A$842)</f>
        <v>45499</v>
      </c>
      <c r="D470" s="30">
        <v>17267578.736499999</v>
      </c>
      <c r="E470" s="32">
        <v>1.0120370000000001</v>
      </c>
      <c r="F470" s="38">
        <f t="shared" si="1242"/>
        <v>17062201.022788689</v>
      </c>
      <c r="G470" s="19">
        <f t="shared" ref="G470" si="1248">H470*I470</f>
        <v>17265716.841319147</v>
      </c>
      <c r="H470" s="31">
        <v>1.0644298000000001</v>
      </c>
      <c r="I470" s="19">
        <f>SUMIFS([1]Master!$K$2:$K$10000,[1]Master!$A$2:$A$10000,$I$12,[1]Master!$F$2:$F$10000,"&lt;="&amp;$C470)</f>
        <v>16220625.203577679</v>
      </c>
      <c r="J470" s="19">
        <f t="shared" ref="J470" si="1249">((((1+1.85%)^(1/252))-1)*D469) + SUM(J469)</f>
        <v>25106.642867868704</v>
      </c>
      <c r="K470" s="19">
        <f>IF((NETWORKDAYS(DATE(YEAR(C470),MONTH(C470),1),C470,Feriados!$A$2:$A$842))&gt;=5,0,IF(NETWORKDAYS(DATE(YEAR(C470),MONTH(C470),1),C470,Feriados!$A$2:$A$842)=1,J469,K469))</f>
        <v>0</v>
      </c>
      <c r="L470" s="30">
        <v>0</v>
      </c>
      <c r="M470" s="19">
        <f>VLOOKUP(C470,'Fluxo de Caixa'!$B$13:$U$10027,20,FALSE)</f>
        <v>20156.757752041507</v>
      </c>
      <c r="N470" s="19">
        <f>SUMIFS([1]Master!$J$2:$J$100,[1]Master!$A$2:$A$100,"="&amp;$I$12,[1]Master!$E$2:$E$100,"="&amp;C470,[1]Master!$J$2:$J$100,"&gt;"&amp;0)</f>
        <v>0</v>
      </c>
      <c r="O470" s="19">
        <f ca="1">-SUMIF('[1]Fluxo de Movimentações'!$A$5:$F$10001,"="&amp;$C471,'[1]Fluxo de Movimentações'!$B$5:$B$10001)</f>
        <v>0</v>
      </c>
      <c r="P470" s="19">
        <f>-SUMIFS([1]Master!$J$1:$J$200,[1]Master!$A$1:$A$200,"="&amp;$I$12,[1]Master!$G$1:$G$200,"&gt;"&amp;C470,[1]Master!$E$1:$E$200,"&lt;="&amp;C470)</f>
        <v>0</v>
      </c>
      <c r="Q470" s="30">
        <v>6811.6764999999996</v>
      </c>
      <c r="R470" s="32">
        <v>1.0120370000000001</v>
      </c>
      <c r="S470" s="30">
        <v>0</v>
      </c>
      <c r="T470" s="30">
        <v>0</v>
      </c>
      <c r="U470" s="30">
        <v>0</v>
      </c>
      <c r="V470" s="30">
        <v>0</v>
      </c>
    </row>
    <row r="471" spans="3:22" x14ac:dyDescent="0.25">
      <c r="C471" s="4">
        <v>45502</v>
      </c>
      <c r="D471" s="30">
        <v>17132833.5403</v>
      </c>
      <c r="E471" s="32">
        <v>1.0041397000000001</v>
      </c>
      <c r="F471" s="38">
        <f t="shared" si="1242"/>
        <v>17062201.146215014</v>
      </c>
      <c r="G471" s="19">
        <f t="shared" ref="G471" si="1250">H471*I471</f>
        <v>17132303.821082242</v>
      </c>
      <c r="H471" s="31">
        <v>1.0562049</v>
      </c>
      <c r="I471" s="19">
        <f>SUMIFS([1]Master!$K$2:$K$10000,[1]Master!$A$2:$A$10000,$I$12,[1]Master!$F$2:$F$10000,"&lt;="&amp;$C471)</f>
        <v>16220625.203577679</v>
      </c>
      <c r="J471" s="19">
        <f t="shared" ref="J471" si="1251">((((1+1.85%)^(1/252))-1)*D470) + SUM(J470)</f>
        <v>26362.764894410626</v>
      </c>
      <c r="K471" s="19">
        <f>IF((NETWORKDAYS(DATE(YEAR(C471),MONTH(C471),1),C471,Feriados!$A$2:$A$842))&gt;=5,0,IF(NETWORKDAYS(DATE(YEAR(C471),MONTH(C471),1),C471,Feriados!$A$2:$A$842)=1,J470,K470))</f>
        <v>0</v>
      </c>
      <c r="L471" s="30">
        <v>0</v>
      </c>
      <c r="M471" s="19">
        <f>VLOOKUP(C471,'Fluxo de Caixa'!$B$13:$U$10027,20,FALSE)</f>
        <v>20156.757752041507</v>
      </c>
      <c r="N471" s="19">
        <f>SUMIFS([1]Master!$J$2:$J$100,[1]Master!$A$2:$A$100,"="&amp;$I$12,[1]Master!$E$2:$E$100,"="&amp;C471,[1]Master!$J$2:$J$100,"&gt;"&amp;0)</f>
        <v>0</v>
      </c>
      <c r="O471" s="19">
        <f ca="1">-SUMIF('[1]Fluxo de Movimentações'!$A$5:$F$10001,"="&amp;$C472,'[1]Fluxo de Movimentações'!$B$5:$B$10001)</f>
        <v>0</v>
      </c>
      <c r="P471" s="19">
        <f>-SUMIFS([1]Master!$J$1:$J$200,[1]Master!$A$1:$A$200,"="&amp;$I$12,[1]Master!$G$1:$G$200,"&gt;"&amp;C471,[1]Master!$E$1:$E$200,"&lt;="&amp;C471)</f>
        <v>0</v>
      </c>
      <c r="Q471" s="30">
        <v>6735.6202999999996</v>
      </c>
      <c r="R471" s="32">
        <v>1.0041397000000001</v>
      </c>
      <c r="S471" s="30">
        <v>0</v>
      </c>
      <c r="T471" s="30">
        <v>0</v>
      </c>
      <c r="U471" s="30">
        <v>0</v>
      </c>
      <c r="V471" s="30">
        <v>0</v>
      </c>
    </row>
    <row r="472" spans="3:22" x14ac:dyDescent="0.25">
      <c r="C472" s="4">
        <v>45503</v>
      </c>
      <c r="D472" s="30">
        <v>17024772.9641</v>
      </c>
      <c r="E472" s="32">
        <v>0.99780639999999998</v>
      </c>
      <c r="F472" s="38">
        <f t="shared" si="1242"/>
        <v>17062200.607352287</v>
      </c>
      <c r="G472" s="19">
        <f t="shared" ref="G472" si="1252">H472*I472</f>
        <v>17025565.618992619</v>
      </c>
      <c r="H472" s="31">
        <v>1.0496245</v>
      </c>
      <c r="I472" s="19">
        <f>SUMIFS([1]Master!$K$2:$K$10000,[1]Master!$A$2:$A$10000,$I$12,[1]Master!$F$2:$F$10000,"&lt;="&amp;$C472)</f>
        <v>16220625.203577679</v>
      </c>
      <c r="J472" s="19">
        <f t="shared" ref="J472" si="1253">((((1+1.85%)^(1/252))-1)*D471) + SUM(J471)</f>
        <v>27609.084943993279</v>
      </c>
      <c r="K472" s="19">
        <f>IF((NETWORKDAYS(DATE(YEAR(C472),MONTH(C472),1),C472,Feriados!$A$2:$A$842))&gt;=5,0,IF(NETWORKDAYS(DATE(YEAR(C472),MONTH(C472),1),C472,Feriados!$A$2:$A$842)=1,J471,K471))</f>
        <v>0</v>
      </c>
      <c r="L472" s="30">
        <v>0</v>
      </c>
      <c r="M472" s="19">
        <f>VLOOKUP(C472,'Fluxo de Caixa'!$B$13:$U$10027,20,FALSE)</f>
        <v>20156.757752041507</v>
      </c>
      <c r="N472" s="19">
        <f>SUMIFS([1]Master!$J$2:$J$100,[1]Master!$A$2:$A$100,"="&amp;$I$12,[1]Master!$E$2:$E$100,"="&amp;C472,[1]Master!$J$2:$J$100,"&gt;"&amp;0)</f>
        <v>0</v>
      </c>
      <c r="O472" s="19">
        <f ca="1">-SUMIF('[1]Fluxo de Movimentações'!$A$5:$F$10001,"="&amp;$C473,'[1]Fluxo de Movimentações'!$B$5:$B$10001)</f>
        <v>0</v>
      </c>
      <c r="P472" s="19">
        <f>-SUMIFS([1]Master!$J$1:$J$200,[1]Master!$A$1:$A$200,"="&amp;$I$12,[1]Master!$G$1:$G$200,"&gt;"&amp;C472,[1]Master!$E$1:$E$200,"&lt;="&amp;C472)</f>
        <v>0</v>
      </c>
      <c r="Q472" s="30">
        <v>6659.5640999999996</v>
      </c>
      <c r="R472" s="32">
        <v>0.99780639999999998</v>
      </c>
      <c r="S472" s="30">
        <v>0</v>
      </c>
      <c r="T472" s="30">
        <v>0</v>
      </c>
      <c r="U472" s="30">
        <v>0</v>
      </c>
      <c r="V472" s="30">
        <v>0</v>
      </c>
    </row>
    <row r="473" spans="3:22" x14ac:dyDescent="0.25">
      <c r="C473" s="4">
        <f>WORKDAY(C472,1,Feriados!$A$2:$A$842)</f>
        <v>45504</v>
      </c>
      <c r="D473" s="30">
        <v>17230015.137899999</v>
      </c>
      <c r="E473" s="32">
        <v>1.0098354</v>
      </c>
      <c r="F473" s="38">
        <f t="shared" si="1242"/>
        <v>17062201.560670182</v>
      </c>
      <c r="G473" s="19">
        <f t="shared" ref="G473:G474" si="1254">H473*I473</f>
        <v>17232122.304460019</v>
      </c>
      <c r="H473" s="31">
        <v>1.0623587000000001</v>
      </c>
      <c r="I473" s="19">
        <f>SUMIFS([1]Master!$K$2:$K$10000,[1]Master!$A$2:$A$10000,$I$12,[1]Master!$F$2:$F$10000,"&lt;="&amp;$C473)</f>
        <v>16220625.203577679</v>
      </c>
      <c r="J473" s="19">
        <f t="shared" ref="J473" si="1255">((((1+1.85%)^(1/252))-1)*D472) + SUM(J472)</f>
        <v>28847.544176953234</v>
      </c>
      <c r="K473" s="19">
        <f>IF((NETWORKDAYS(DATE(YEAR(C473),MONTH(C473),1),C473,Feriados!$A$2:$A$842))&gt;=5,0,IF(NETWORKDAYS(DATE(YEAR(C473),MONTH(C473),1),C473,Feriados!$A$2:$A$842)=1,J472,K472))</f>
        <v>0</v>
      </c>
      <c r="L473" s="30">
        <v>0</v>
      </c>
      <c r="M473" s="19">
        <f>VLOOKUP(C473,'Fluxo de Caixa'!$B$13:$U$10027,20,FALSE)</f>
        <v>20156.757752041507</v>
      </c>
      <c r="N473" s="19">
        <f>SUMIFS([1]Master!$J$2:$J$100,[1]Master!$A$2:$A$100,"="&amp;$I$12,[1]Master!$E$2:$E$100,"="&amp;C473,[1]Master!$J$2:$J$100,"&gt;"&amp;0)</f>
        <v>0</v>
      </c>
      <c r="O473" s="19">
        <f ca="1">-SUMIF('[1]Fluxo de Movimentações'!$A$5:$F$10001,"="&amp;$C474,'[1]Fluxo de Movimentações'!$B$5:$B$10001)</f>
        <v>0</v>
      </c>
      <c r="P473" s="19">
        <f>-SUMIFS([1]Master!$J$1:$J$200,[1]Master!$A$1:$A$200,"="&amp;$I$12,[1]Master!$G$1:$G$200,"&gt;"&amp;C473,[1]Master!$E$1:$E$200,"&lt;="&amp;C473)</f>
        <v>0</v>
      </c>
      <c r="Q473" s="30">
        <v>6583.5078999999996</v>
      </c>
      <c r="R473" s="32">
        <v>1.0098354</v>
      </c>
      <c r="S473" s="30">
        <v>0</v>
      </c>
      <c r="T473" s="30">
        <v>0</v>
      </c>
      <c r="U473" s="30">
        <v>0</v>
      </c>
      <c r="V473" s="30">
        <v>0</v>
      </c>
    </row>
    <row r="474" spans="3:22" x14ac:dyDescent="0.25">
      <c r="C474" s="4">
        <f>WORKDAY(C473,1,Feriados!$A$2:$A$842)</f>
        <v>45505</v>
      </c>
      <c r="D474" s="30">
        <v>17305889.796999998</v>
      </c>
      <c r="E474" s="32">
        <v>1.0142823999999999</v>
      </c>
      <c r="F474" s="38">
        <f t="shared" si="1242"/>
        <v>17062200.622824568</v>
      </c>
      <c r="G474" s="19">
        <f t="shared" si="1254"/>
        <v>17309327.614241488</v>
      </c>
      <c r="H474" s="31">
        <v>1.0671184</v>
      </c>
      <c r="I474" s="19">
        <f>SUMIFS([1]Master!$K$2:$K$10000,[1]Master!$A$2:$A$10000,$I$12,[1]Master!$F$2:$F$10000,"&lt;="&amp;$C474)</f>
        <v>16220625.203577679</v>
      </c>
      <c r="J474" s="66">
        <f>((((1+1.85%)^(1/252))-1)*D473)</f>
        <v>1253.3894799401262</v>
      </c>
      <c r="K474" s="19">
        <f>IF((NETWORKDAYS(DATE(YEAR(C474),MONTH(C474),1),C474,Feriados!$A$2:$A$842))&gt;=5,0,IF(NETWORKDAYS(DATE(YEAR(C474),MONTH(C474),1),C474,Feriados!$A$2:$A$842)=1,J473,K473))</f>
        <v>28847.544176953234</v>
      </c>
      <c r="L474" s="30">
        <v>0</v>
      </c>
      <c r="M474" s="19">
        <f>VLOOKUP(C474,'Fluxo de Caixa'!$B$13:$U$10027,20,FALSE)</f>
        <v>20156.757752041507</v>
      </c>
      <c r="N474" s="19">
        <f>SUMIFS([1]Master!$J$2:$J$100,[1]Master!$A$2:$A$100,"="&amp;$I$12,[1]Master!$E$2:$E$100,"="&amp;C474,[1]Master!$J$2:$J$100,"&gt;"&amp;0)</f>
        <v>0</v>
      </c>
      <c r="O474" s="19">
        <f ca="1">-SUMIF('[1]Fluxo de Movimentações'!$A$5:$F$10001,"="&amp;$C475,'[1]Fluxo de Movimentações'!$B$5:$B$10001)</f>
        <v>0</v>
      </c>
      <c r="P474" s="19">
        <f>-SUMIFS([1]Master!$J$1:$J$200,[1]Master!$A$1:$A$200,"="&amp;$I$12,[1]Master!$G$1:$G$200,"&gt;"&amp;C474,[1]Master!$E$1:$E$200,"&lt;="&amp;C474)</f>
        <v>0</v>
      </c>
      <c r="Q474" s="30">
        <v>6506.2370000000001</v>
      </c>
      <c r="R474" s="32">
        <v>1.0142823999999999</v>
      </c>
      <c r="S474" s="30">
        <v>0</v>
      </c>
      <c r="T474" s="30">
        <v>0</v>
      </c>
      <c r="U474" s="30">
        <v>0</v>
      </c>
      <c r="V474" s="30">
        <v>0</v>
      </c>
    </row>
    <row r="475" spans="3:22" x14ac:dyDescent="0.25">
      <c r="C475" s="4">
        <f>WORKDAY(C474,1,Feriados!$A$2:$A$842)</f>
        <v>45506</v>
      </c>
      <c r="D475" s="30">
        <v>17399186.3761</v>
      </c>
      <c r="E475" s="32">
        <v>1.0197503999999999</v>
      </c>
      <c r="F475" s="38">
        <f t="shared" si="1242"/>
        <v>17062201.079891708</v>
      </c>
      <c r="G475" s="19">
        <f t="shared" ref="G475" si="1256">H475*I475</f>
        <v>17403960.363741677</v>
      </c>
      <c r="H475" s="31">
        <v>1.0729525</v>
      </c>
      <c r="I475" s="19">
        <f>SUMIFS([1]Master!$K$2:$K$10000,[1]Master!$A$2:$A$10000,$I$12,[1]Master!$F$2:$F$10000,"&lt;="&amp;$C475)</f>
        <v>16220625.203577679</v>
      </c>
      <c r="J475" s="19">
        <f t="shared" ref="J475:J480" si="1257">((((1+1.85%)^(1/252))-1)*D474)+SUM(J474)</f>
        <v>2512.2984268539522</v>
      </c>
      <c r="K475" s="19">
        <f>IF((NETWORKDAYS(DATE(YEAR(C475),MONTH(C475),1),C475,Feriados!$A$2:$A$842))&gt;=5,0,IF(NETWORKDAYS(DATE(YEAR(C475),MONTH(C475),1),C475,Feriados!$A$2:$A$842)=1,J474,K474))</f>
        <v>28847.544176953234</v>
      </c>
      <c r="L475" s="30">
        <v>0</v>
      </c>
      <c r="M475" s="19">
        <f>VLOOKUP(C475,'Fluxo de Caixa'!$B$13:$U$10027,20,FALSE)</f>
        <v>20156.757752041507</v>
      </c>
      <c r="N475" s="19">
        <f>SUMIFS([1]Master!$J$2:$J$100,[1]Master!$A$2:$A$100,"="&amp;$I$12,[1]Master!$E$2:$E$100,"="&amp;C475,[1]Master!$J$2:$J$100,"&gt;"&amp;0)</f>
        <v>0</v>
      </c>
      <c r="O475" s="19">
        <f ca="1">-SUMIF('[1]Fluxo de Movimentações'!$A$5:$F$10001,"="&amp;$C476,'[1]Fluxo de Movimentações'!$B$5:$B$10001)</f>
        <v>0</v>
      </c>
      <c r="P475" s="19">
        <f>-SUMIFS([1]Master!$J$1:$J$200,[1]Master!$A$1:$A$200,"="&amp;$I$12,[1]Master!$G$1:$G$200,"&gt;"&amp;C475,[1]Master!$E$1:$E$200,"&lt;="&amp;C475)</f>
        <v>0</v>
      </c>
      <c r="Q475" s="30">
        <v>6428.9660999999996</v>
      </c>
      <c r="R475" s="32">
        <v>1.0197503999999999</v>
      </c>
      <c r="S475" s="30">
        <v>0</v>
      </c>
      <c r="T475" s="30">
        <v>0</v>
      </c>
      <c r="U475" s="30">
        <v>0</v>
      </c>
      <c r="V475" s="30">
        <v>0</v>
      </c>
    </row>
    <row r="476" spans="3:22" x14ac:dyDescent="0.25">
      <c r="C476" s="4">
        <f>WORKDAY(C475,1,Feriados!$A$2:$A$842)</f>
        <v>45509</v>
      </c>
      <c r="D476" s="30">
        <v>17246423.885200001</v>
      </c>
      <c r="E476" s="32">
        <v>1.0107971</v>
      </c>
      <c r="F476" s="38">
        <f t="shared" si="1242"/>
        <v>17062201.58842957</v>
      </c>
      <c r="G476" s="19">
        <f t="shared" ref="G476" si="1258">H476*I476</f>
        <v>17223540.827466283</v>
      </c>
      <c r="H476" s="31">
        <v>1.0636175000000001</v>
      </c>
      <c r="I476" s="19">
        <f>SUMIFS([1]Master!$K$2:$K$10000,[1]Master!$A$2:$A$10000,$I$12,[1]Master!$F$2:$F$10000,"&lt;="&amp;$C476)</f>
        <v>16193359.762758963</v>
      </c>
      <c r="J476" s="19">
        <f t="shared" si="1257"/>
        <v>3777.9941902518285</v>
      </c>
      <c r="K476" s="19">
        <f>IF((NETWORKDAYS(DATE(YEAR(C476),MONTH(C476),1),C476,Feriados!$A$2:$A$842))&gt;=5,0,IF(NETWORKDAYS(DATE(YEAR(C476),MONTH(C476),1),C476,Feriados!$A$2:$A$842)=1,J475,K475))</f>
        <v>28847.544176953234</v>
      </c>
      <c r="L476" s="30">
        <v>0</v>
      </c>
      <c r="M476" s="19">
        <f>VLOOKUP(C476,'Fluxo de Caixa'!$B$13:$U$10027,20,FALSE)</f>
        <v>20156.757752041507</v>
      </c>
      <c r="N476" s="19">
        <f>SUMIFS([1]Master!$J$2:$J$100,[1]Master!$A$2:$A$100,"="&amp;$I$12,[1]Master!$E$2:$E$100,"="&amp;C476,[1]Master!$J$2:$J$100,"&gt;"&amp;0)</f>
        <v>0</v>
      </c>
      <c r="O476" s="19">
        <f ca="1">-SUMIF('[1]Fluxo de Movimentações'!$A$5:$F$10001,"="&amp;$C477,'[1]Fluxo de Movimentações'!$B$5:$B$10001)</f>
        <v>0</v>
      </c>
      <c r="P476" s="19">
        <f>-SUMIFS([1]Master!$J$1:$J$200,[1]Master!$A$1:$A$200,"="&amp;$I$12,[1]Master!$G$1:$G$200,"&gt;"&amp;C476,[1]Master!$E$1:$E$200,"&lt;="&amp;C476)</f>
        <v>29000</v>
      </c>
      <c r="Q476" s="30">
        <v>6351.6952000000001</v>
      </c>
      <c r="R476" s="32">
        <v>1.0107971</v>
      </c>
      <c r="S476" s="30">
        <v>0</v>
      </c>
      <c r="T476" s="30">
        <v>0</v>
      </c>
      <c r="U476" s="30">
        <v>0</v>
      </c>
      <c r="V476" s="30">
        <v>0</v>
      </c>
    </row>
    <row r="477" spans="3:22" x14ac:dyDescent="0.25">
      <c r="C477" s="4">
        <f>WORKDAY(C476,1,Feriados!$A$2:$A$842)</f>
        <v>45510</v>
      </c>
      <c r="D477" s="30">
        <v>17267343.324299999</v>
      </c>
      <c r="E477" s="32">
        <v>1.0120232</v>
      </c>
      <c r="F477" s="38">
        <f t="shared" si="1242"/>
        <v>17062201.068414241</v>
      </c>
      <c r="G477" s="19">
        <f t="shared" ref="G477" si="1259">H477*I477</f>
        <v>17245792.123116288</v>
      </c>
      <c r="H477" s="31">
        <v>1.0649915999999999</v>
      </c>
      <c r="I477" s="19">
        <f>SUMIFS([1]Master!$K$2:$K$10000,[1]Master!$A$2:$A$10000,$I$12,[1]Master!$F$2:$F$10000,"&lt;="&amp;$C477)</f>
        <v>16193359.762758963</v>
      </c>
      <c r="J477" s="19">
        <f t="shared" si="1257"/>
        <v>5032.5773169229769</v>
      </c>
      <c r="K477" s="19">
        <f>IF((NETWORKDAYS(DATE(YEAR(C477),MONTH(C477),1),C477,Feriados!$A$2:$A$842))&gt;=5,0,IF(NETWORKDAYS(DATE(YEAR(C477),MONTH(C477),1),C477,Feriados!$A$2:$A$842)=1,J476,K476))</f>
        <v>28847.544176953234</v>
      </c>
      <c r="L477" s="30">
        <v>0</v>
      </c>
      <c r="M477" s="19">
        <f>VLOOKUP(C477,'Fluxo de Caixa'!$B$13:$U$10027,20,FALSE)</f>
        <v>20156.757752041507</v>
      </c>
      <c r="N477" s="19">
        <f>SUMIFS([1]Master!$J$2:$J$100,[1]Master!$A$2:$A$100,"="&amp;$I$12,[1]Master!$E$2:$E$100,"="&amp;C477,[1]Master!$J$2:$J$100,"&gt;"&amp;0)</f>
        <v>0</v>
      </c>
      <c r="O477" s="19">
        <f ca="1">-SUMIF('[1]Fluxo de Movimentações'!$A$5:$F$10001,"="&amp;$C478,'[1]Fluxo de Movimentações'!$B$5:$B$10001)</f>
        <v>0</v>
      </c>
      <c r="P477" s="19">
        <f>-SUMIFS([1]Master!$J$1:$J$200,[1]Master!$A$1:$A$200,"="&amp;$I$12,[1]Master!$G$1:$G$200,"&gt;"&amp;C477,[1]Master!$E$1:$E$200,"&lt;="&amp;C477)</f>
        <v>29000</v>
      </c>
      <c r="Q477" s="30">
        <v>6274.4242999999997</v>
      </c>
      <c r="R477" s="32">
        <v>1.0120232</v>
      </c>
      <c r="S477" s="30">
        <v>0</v>
      </c>
      <c r="T477" s="30">
        <v>0</v>
      </c>
      <c r="U477" s="30">
        <v>0</v>
      </c>
      <c r="V477" s="30">
        <v>0</v>
      </c>
    </row>
    <row r="478" spans="3:22" x14ac:dyDescent="0.25">
      <c r="C478" s="4">
        <f>WORKDAY(C477,1,Feriados!$A$2:$A$842)</f>
        <v>45511</v>
      </c>
      <c r="D478" s="30">
        <v>17816123.133400001</v>
      </c>
      <c r="E478" s="32">
        <v>1.0441867</v>
      </c>
      <c r="F478" s="38">
        <f t="shared" si="1242"/>
        <v>17062200.785932247</v>
      </c>
      <c r="G478" s="19">
        <f t="shared" ref="G478:G479" si="1260">H478*I478</f>
        <v>17796014.95914324</v>
      </c>
      <c r="H478" s="31">
        <v>1.0989698999999999</v>
      </c>
      <c r="I478" s="19">
        <f>SUMIFS([1]Master!$K$2:$K$10000,[1]Master!$A$2:$A$10000,$I$12,[1]Master!$F$2:$F$10000,"&lt;="&amp;$C478)</f>
        <v>16193359.762758963</v>
      </c>
      <c r="J478" s="19">
        <f t="shared" si="1257"/>
        <v>6288.6822185133187</v>
      </c>
      <c r="K478" s="19">
        <f>IF((NETWORKDAYS(DATE(YEAR(C478),MONTH(C478),1),C478,Feriados!$A$2:$A$842))&gt;=5,0,IF(NETWORKDAYS(DATE(YEAR(C478),MONTH(C478),1),C478,Feriados!$A$2:$A$842)=1,J477,K477))</f>
        <v>0</v>
      </c>
      <c r="L478" s="30">
        <v>-109.66</v>
      </c>
      <c r="M478" s="19">
        <f>VLOOKUP(C478,'Fluxo de Caixa'!$B$13:$U$10027,20,FALSE)</f>
        <v>20309.213575088274</v>
      </c>
      <c r="N478" s="19">
        <f>SUMIFS([1]Master!$J$2:$J$100,[1]Master!$A$2:$A$100,"="&amp;$I$12,[1]Master!$E$2:$E$100,"="&amp;C478,[1]Master!$J$2:$J$100,"&gt;"&amp;0)</f>
        <v>0</v>
      </c>
      <c r="O478" s="19">
        <f ca="1">-SUMIF('[1]Fluxo de Movimentações'!$A$5:$F$10001,"="&amp;$C479,'[1]Fluxo de Movimentações'!$B$5:$B$10001)</f>
        <v>0</v>
      </c>
      <c r="P478" s="19">
        <f>-SUMIFS([1]Master!$J$1:$J$200,[1]Master!$A$1:$A$200,"="&amp;$I$12,[1]Master!$G$1:$G$200,"&gt;"&amp;C478,[1]Master!$E$1:$E$200,"&lt;="&amp;C478)</f>
        <v>0</v>
      </c>
      <c r="Q478" s="30">
        <v>6197.1534000000001</v>
      </c>
      <c r="R478" s="32">
        <v>1.0441931</v>
      </c>
      <c r="S478" s="30">
        <v>0</v>
      </c>
      <c r="T478" s="30">
        <v>0</v>
      </c>
      <c r="U478" s="30">
        <v>0</v>
      </c>
      <c r="V478" s="30">
        <v>0</v>
      </c>
    </row>
    <row r="479" spans="3:22" x14ac:dyDescent="0.25">
      <c r="C479" s="4">
        <f>WORKDAY(C478,1,Feriados!$A$2:$A$842)</f>
        <v>45512</v>
      </c>
      <c r="D479" s="30">
        <v>18075825.6325</v>
      </c>
      <c r="E479" s="32">
        <v>1.0594075999999999</v>
      </c>
      <c r="F479" s="38">
        <f t="shared" si="1242"/>
        <v>17062201.208014745</v>
      </c>
      <c r="G479" s="19">
        <f t="shared" si="1260"/>
        <v>18057200.897428732</v>
      </c>
      <c r="H479" s="31">
        <v>1.1150990999999999</v>
      </c>
      <c r="I479" s="19">
        <f>SUMIFS([1]Master!$K$2:$K$10000,[1]Master!$A$2:$A$10000,$I$12,[1]Master!$F$2:$F$10000,"&lt;="&amp;$C479)</f>
        <v>16193359.762758963</v>
      </c>
      <c r="J479" s="19">
        <f t="shared" si="1257"/>
        <v>7584.7078534300344</v>
      </c>
      <c r="K479" s="19">
        <f>IF((NETWORKDAYS(DATE(YEAR(C479),MONTH(C479),1),C479,Feriados!$A$2:$A$842))&gt;=5,0,IF(NETWORKDAYS(DATE(YEAR(C479),MONTH(C479),1),C479,Feriados!$A$2:$A$842)=1,J478,K478))</f>
        <v>0</v>
      </c>
      <c r="L479" s="30">
        <v>-219.81</v>
      </c>
      <c r="M479" s="19">
        <f>VLOOKUP(C479,'Fluxo de Caixa'!$B$13:$U$10027,20,FALSE)</f>
        <v>20309.213575088274</v>
      </c>
      <c r="N479" s="19">
        <f>SUMIFS([1]Master!$J$2:$J$100,[1]Master!$A$2:$A$100,"="&amp;$I$12,[1]Master!$E$2:$E$100,"="&amp;C479,[1]Master!$J$2:$J$100,"&gt;"&amp;0)</f>
        <v>0</v>
      </c>
      <c r="O479" s="19">
        <f ca="1">-SUMIF('[1]Fluxo de Movimentações'!$A$5:$F$10001,"="&amp;$C480,'[1]Fluxo de Movimentações'!$B$5:$B$10001)</f>
        <v>0</v>
      </c>
      <c r="P479" s="19">
        <f>-SUMIFS([1]Master!$J$1:$J$200,[1]Master!$A$1:$A$200,"="&amp;$I$12,[1]Master!$G$1:$G$200,"&gt;"&amp;C479,[1]Master!$E$1:$E$200,"&lt;="&amp;C479)</f>
        <v>0</v>
      </c>
      <c r="Q479" s="30">
        <v>6119.8824999999997</v>
      </c>
      <c r="R479" s="32">
        <v>1.0594205000000001</v>
      </c>
      <c r="S479" s="30">
        <v>0</v>
      </c>
      <c r="T479" s="30">
        <v>0</v>
      </c>
      <c r="U479" s="30">
        <v>0</v>
      </c>
      <c r="V479" s="30">
        <v>0</v>
      </c>
    </row>
    <row r="480" spans="3:22" x14ac:dyDescent="0.25">
      <c r="C480" s="4">
        <f>WORKDAY(C479,1,Feriados!$A$2:$A$842)</f>
        <v>45513</v>
      </c>
      <c r="D480" s="30">
        <v>18403806.6516</v>
      </c>
      <c r="E480" s="32">
        <v>1.0786302999999999</v>
      </c>
      <c r="F480" s="38">
        <f t="shared" si="1242"/>
        <v>17062200.692489356</v>
      </c>
      <c r="G480" s="19">
        <f t="shared" ref="G480" si="1261">H480*I480</f>
        <v>18386711.478561234</v>
      </c>
      <c r="H480" s="31">
        <v>1.1354476</v>
      </c>
      <c r="I480" s="19">
        <f>SUMIFS([1]Master!$K$2:$K$10000,[1]Master!$A$2:$A$10000,$I$12,[1]Master!$F$2:$F$10000,"&lt;="&amp;$C480)</f>
        <v>16193359.762758963</v>
      </c>
      <c r="J480" s="19">
        <f t="shared" si="1257"/>
        <v>8899.625426495435</v>
      </c>
      <c r="K480" s="19">
        <f>IF((NETWORKDAYS(DATE(YEAR(C480),MONTH(C480),1),C480,Feriados!$A$2:$A$842))&gt;=5,0,IF(NETWORKDAYS(DATE(YEAR(C480),MONTH(C480),1),C480,Feriados!$A$2:$A$842)=1,J479,K479))</f>
        <v>0</v>
      </c>
      <c r="L480" s="30">
        <v>-357.19</v>
      </c>
      <c r="M480" s="19">
        <f>VLOOKUP(C480,'Fluxo de Caixa'!$B$13:$U$10027,20,FALSE)</f>
        <v>20309.213575088274</v>
      </c>
      <c r="N480" s="19">
        <f>SUMIFS([1]Master!$J$2:$J$100,[1]Master!$A$2:$A$100,"="&amp;$I$12,[1]Master!$E$2:$E$100,"="&amp;C480,[1]Master!$J$2:$J$100,"&gt;"&amp;0)</f>
        <v>0</v>
      </c>
      <c r="O480" s="19">
        <f ca="1">-SUMIF('[1]Fluxo de Movimentações'!$A$5:$F$10001,"="&amp;$C481,'[1]Fluxo de Movimentações'!$B$5:$B$10001)</f>
        <v>0</v>
      </c>
      <c r="P480" s="19">
        <f>-SUMIFS([1]Master!$J$1:$J$200,[1]Master!$A$1:$A$200,"="&amp;$I$12,[1]Master!$G$1:$G$200,"&gt;"&amp;C480,[1]Master!$E$1:$E$200,"&lt;="&amp;C480)</f>
        <v>0</v>
      </c>
      <c r="Q480" s="30">
        <v>6042.6116000000002</v>
      </c>
      <c r="R480" s="32">
        <v>1.0786511999999999</v>
      </c>
      <c r="S480" s="30">
        <v>0</v>
      </c>
      <c r="T480" s="30">
        <v>0</v>
      </c>
      <c r="U480" s="30">
        <v>0</v>
      </c>
      <c r="V480" s="30">
        <v>0</v>
      </c>
    </row>
    <row r="481" spans="3:22" x14ac:dyDescent="0.25">
      <c r="C481" s="4">
        <f>WORKDAY(C480,1,Feriados!$A$2:$A$842)</f>
        <v>45516</v>
      </c>
      <c r="D481" s="30">
        <v>18396975.060699999</v>
      </c>
      <c r="E481" s="32">
        <v>1.0782299</v>
      </c>
      <c r="F481" s="38">
        <f t="shared" si="1242"/>
        <v>17062200.798456803</v>
      </c>
      <c r="G481" s="19">
        <f t="shared" ref="G481" si="1262">H481*I481</f>
        <v>18381289.941712663</v>
      </c>
      <c r="H481" s="31">
        <v>1.1351127999999999</v>
      </c>
      <c r="I481" s="19">
        <f>SUMIFS([1]Master!$K$2:$K$10000,[1]Master!$A$2:$A$10000,$I$12,[1]Master!$F$2:$F$10000,"&lt;="&amp;$C481)</f>
        <v>16193359.762758963</v>
      </c>
      <c r="J481" s="19">
        <f t="shared" ref="J481" si="1263">((((1+1.85%)^(1/252))-1)*D480)+SUM(J480)</f>
        <v>10238.401827058655</v>
      </c>
      <c r="K481" s="19">
        <f>IF((NETWORKDAYS(DATE(YEAR(C481),MONTH(C481),1),C481,Feriados!$A$2:$A$842))&gt;=5,0,IF(NETWORKDAYS(DATE(YEAR(C481),MONTH(C481),1),C481,Feriados!$A$2:$A$842)=1,J480,K480))</f>
        <v>0</v>
      </c>
      <c r="L481" s="30">
        <v>-351.2</v>
      </c>
      <c r="M481" s="19">
        <f>VLOOKUP(C481,'Fluxo de Caixa'!$B$13:$U$10027,20,FALSE)</f>
        <v>20309.213575088274</v>
      </c>
      <c r="N481" s="19">
        <f>SUMIFS([1]Master!$J$2:$J$100,[1]Master!$A$2:$A$100,"="&amp;$I$12,[1]Master!$E$2:$E$100,"="&amp;C481,[1]Master!$J$2:$J$100,"&gt;"&amp;0)</f>
        <v>0</v>
      </c>
      <c r="O481" s="19">
        <f ca="1">-SUMIF('[1]Fluxo de Movimentações'!$A$5:$F$10001,"="&amp;$C482,'[1]Fluxo de Movimentações'!$B$5:$B$10001)</f>
        <v>0</v>
      </c>
      <c r="P481" s="19">
        <f>-SUMIFS([1]Master!$J$1:$J$200,[1]Master!$A$1:$A$200,"="&amp;$I$12,[1]Master!$G$1:$G$200,"&gt;"&amp;C481,[1]Master!$E$1:$E$200,"&lt;="&amp;C481)</f>
        <v>0</v>
      </c>
      <c r="Q481" s="30">
        <v>5965.3406999999997</v>
      </c>
      <c r="R481" s="32">
        <v>1.0782505</v>
      </c>
      <c r="S481" s="30">
        <v>0</v>
      </c>
      <c r="T481" s="30">
        <v>0</v>
      </c>
      <c r="U481" s="30">
        <v>0</v>
      </c>
      <c r="V481" s="30">
        <v>0</v>
      </c>
    </row>
    <row r="482" spans="3:22" x14ac:dyDescent="0.25">
      <c r="C482" s="4">
        <f>WORKDAY(C481,1,Feriados!$A$2:$A$842)</f>
        <v>45517</v>
      </c>
      <c r="D482" s="30">
        <v>18549710.2498</v>
      </c>
      <c r="E482" s="32">
        <v>1.0871816000000001</v>
      </c>
      <c r="F482" s="38">
        <f t="shared" si="1242"/>
        <v>17062200.325870119</v>
      </c>
      <c r="G482" s="19">
        <f t="shared" ref="G482" si="1264">H482*I482</f>
        <v>18535504.164741345</v>
      </c>
      <c r="H482" s="31">
        <v>1.1446361</v>
      </c>
      <c r="I482" s="19">
        <f>SUMIFS([1]Master!$K$2:$K$10000,[1]Master!$A$2:$A$10000,$I$12,[1]Master!$F$2:$F$10000,"&lt;="&amp;$C482)</f>
        <v>16193359.762758963</v>
      </c>
      <c r="J482" s="19">
        <f t="shared" ref="J482" si="1265">((((1+1.85%)^(1/252))-1)*D481)+SUM(J481)</f>
        <v>11576.681266702411</v>
      </c>
      <c r="K482" s="19">
        <f>IF((NETWORKDAYS(DATE(YEAR(C482),MONTH(C482),1),C482,Feriados!$A$2:$A$842))&gt;=5,0,IF(NETWORKDAYS(DATE(YEAR(C482),MONTH(C482),1),C482,Feriados!$A$2:$A$842)=1,J481,K481))</f>
        <v>0</v>
      </c>
      <c r="L482" s="30">
        <v>-414.69</v>
      </c>
      <c r="M482" s="19">
        <f>VLOOKUP(C482,'Fluxo de Caixa'!$B$13:$U$10027,20,FALSE)</f>
        <v>20309.213575088274</v>
      </c>
      <c r="N482" s="19">
        <f>SUMIFS([1]Master!$J$2:$J$100,[1]Master!$A$2:$A$100,"="&amp;$I$12,[1]Master!$E$2:$E$100,"="&amp;C482,[1]Master!$J$2:$J$100,"&gt;"&amp;0)</f>
        <v>0</v>
      </c>
      <c r="O482" s="19">
        <f ca="1">-SUMIF('[1]Fluxo de Movimentações'!$A$5:$F$10001,"="&amp;$C483,'[1]Fluxo de Movimentações'!$B$5:$B$10001)</f>
        <v>0</v>
      </c>
      <c r="P482" s="19">
        <f>-SUMIFS([1]Master!$J$1:$J$200,[1]Master!$A$1:$A$200,"="&amp;$I$12,[1]Master!$G$1:$G$200,"&gt;"&amp;C482,[1]Master!$E$1:$E$200,"&lt;="&amp;C482)</f>
        <v>0</v>
      </c>
      <c r="Q482" s="30">
        <v>5888.0698000000002</v>
      </c>
      <c r="R482" s="32">
        <v>1.0872059000000001</v>
      </c>
      <c r="S482" s="30">
        <v>0</v>
      </c>
      <c r="T482" s="30">
        <v>0</v>
      </c>
      <c r="U482" s="30">
        <v>0</v>
      </c>
      <c r="V482" s="30">
        <v>0</v>
      </c>
    </row>
    <row r="483" spans="3:22" x14ac:dyDescent="0.25">
      <c r="C483" s="4">
        <f>WORKDAY(C482,1,Feriados!$A$2:$A$842)</f>
        <v>45518</v>
      </c>
      <c r="D483" s="30">
        <v>18537670.628899999</v>
      </c>
      <c r="E483" s="32">
        <v>1.0864758999999999</v>
      </c>
      <c r="F483" s="38">
        <f t="shared" si="1242"/>
        <v>17062201.40630823</v>
      </c>
      <c r="G483" s="19">
        <f t="shared" ref="G483" si="1266">H483*I483</f>
        <v>18524882.94007295</v>
      </c>
      <c r="H483" s="31">
        <v>1.1439801999999999</v>
      </c>
      <c r="I483" s="19">
        <f>SUMIFS([1]Master!$K$2:$K$10000,[1]Master!$A$2:$A$10000,$I$12,[1]Master!$F$2:$F$10000,"&lt;="&amp;$C483)</f>
        <v>16193359.762758963</v>
      </c>
      <c r="J483" s="19">
        <f t="shared" ref="J483" si="1267">((((1+1.85%)^(1/252))-1)*D482)+SUM(J482)</f>
        <v>12926.071357016086</v>
      </c>
      <c r="K483" s="19">
        <f>IF((NETWORKDAYS(DATE(YEAR(C483),MONTH(C483),1),C483,Feriados!$A$2:$A$842))&gt;=5,0,IF(NETWORKDAYS(DATE(YEAR(C483),MONTH(C483),1),C483,Feriados!$A$2:$A$842)=1,J482,K482))</f>
        <v>0</v>
      </c>
      <c r="L483" s="30">
        <v>-406.43</v>
      </c>
      <c r="M483" s="19">
        <f>VLOOKUP(C483,'Fluxo de Caixa'!$B$13:$U$10027,20,FALSE)</f>
        <v>19694.553575088274</v>
      </c>
      <c r="N483" s="19">
        <f>SUMIFS([1]Master!$J$2:$J$100,[1]Master!$A$2:$A$100,"="&amp;$I$12,[1]Master!$E$2:$E$100,"="&amp;C483,[1]Master!$J$2:$J$100,"&gt;"&amp;0)</f>
        <v>0</v>
      </c>
      <c r="O483" s="19">
        <f ca="1">-SUMIF('[1]Fluxo de Movimentações'!$A$5:$F$10001,"="&amp;$C484,'[1]Fluxo de Movimentações'!$B$5:$B$10001)</f>
        <v>0</v>
      </c>
      <c r="P483" s="19">
        <f>-SUMIFS([1]Master!$J$1:$J$200,[1]Master!$A$1:$A$200,"="&amp;$I$12,[1]Master!$G$1:$G$200,"&gt;"&amp;C483,[1]Master!$E$1:$E$200,"&lt;="&amp;C483)</f>
        <v>0</v>
      </c>
      <c r="Q483" s="30">
        <v>6425.4588999999996</v>
      </c>
      <c r="R483" s="32">
        <v>1.0864997000000001</v>
      </c>
      <c r="S483" s="30">
        <v>0</v>
      </c>
      <c r="T483" s="30">
        <v>0</v>
      </c>
      <c r="U483" s="30">
        <v>0</v>
      </c>
      <c r="V483" s="30">
        <v>0</v>
      </c>
    </row>
    <row r="484" spans="3:22" x14ac:dyDescent="0.25">
      <c r="C484" s="4">
        <f>WORKDAY(C483,1,Feriados!$A$2:$A$842)</f>
        <v>45519</v>
      </c>
      <c r="D484" s="30">
        <v>18516272.960000001</v>
      </c>
      <c r="E484" s="32">
        <v>1.0852218</v>
      </c>
      <c r="F484" s="38">
        <f t="shared" si="1242"/>
        <v>17062201.441216901</v>
      </c>
      <c r="G484" s="19">
        <f t="shared" ref="G484" si="1268">H484*I484</f>
        <v>18504898.714789733</v>
      </c>
      <c r="H484" s="31">
        <v>1.1427461000000001</v>
      </c>
      <c r="I484" s="19">
        <f>SUMIFS([1]Master!$K$2:$K$10000,[1]Master!$A$2:$A$10000,$I$12,[1]Master!$F$2:$F$10000,"&lt;="&amp;$C484)</f>
        <v>16193359.762758963</v>
      </c>
      <c r="J484" s="19">
        <f t="shared" ref="J484" si="1269">((((1+1.85%)^(1/252))-1)*D483)+SUM(J483)</f>
        <v>14274.58563067738</v>
      </c>
      <c r="K484" s="19">
        <f>IF((NETWORKDAYS(DATE(YEAR(C484),MONTH(C484),1),C484,Feriados!$A$2:$A$842))&gt;=5,0,IF(NETWORKDAYS(DATE(YEAR(C484),MONTH(C484),1),C484,Feriados!$A$2:$A$842)=1,J483,K483))</f>
        <v>0</v>
      </c>
      <c r="L484" s="30">
        <v>-394.09</v>
      </c>
      <c r="M484" s="19">
        <f>VLOOKUP(C484,'Fluxo de Caixa'!$B$13:$U$10027,20,FALSE)</f>
        <v>19694.553575088274</v>
      </c>
      <c r="N484" s="19">
        <f>SUMIFS([1]Master!$J$2:$J$100,[1]Master!$A$2:$A$100,"="&amp;$I$12,[1]Master!$E$2:$E$100,"="&amp;C484,[1]Master!$J$2:$J$100,"&gt;"&amp;0)</f>
        <v>0</v>
      </c>
      <c r="O484" s="19">
        <f ca="1">-SUMIF('[1]Fluxo de Movimentações'!$A$5:$F$10001,"="&amp;$C485,'[1]Fluxo de Movimentações'!$B$5:$B$10001)</f>
        <v>0</v>
      </c>
      <c r="P484" s="19">
        <f>-SUMIFS([1]Master!$J$1:$J$200,[1]Master!$A$1:$A$200,"="&amp;$I$12,[1]Master!$G$1:$G$200,"&gt;"&amp;C484,[1]Master!$E$1:$E$200,"&lt;="&amp;C484)</f>
        <v>0</v>
      </c>
      <c r="Q484" s="30">
        <v>6348.19</v>
      </c>
      <c r="R484" s="32">
        <v>1.0852449</v>
      </c>
      <c r="S484" s="30">
        <v>0</v>
      </c>
      <c r="T484" s="30">
        <v>0</v>
      </c>
      <c r="U484" s="30">
        <v>0</v>
      </c>
      <c r="V484" s="30">
        <v>0</v>
      </c>
    </row>
    <row r="485" spans="3:22" x14ac:dyDescent="0.25">
      <c r="C485" s="4">
        <f>WORKDAY(C484,1,Feriados!$A$2:$A$842)</f>
        <v>45520</v>
      </c>
      <c r="D485" s="30">
        <v>18510705.8871</v>
      </c>
      <c r="E485" s="32">
        <v>1.0848955</v>
      </c>
      <c r="F485" s="38">
        <f t="shared" si="1242"/>
        <v>17062201.739338029</v>
      </c>
      <c r="G485" s="19">
        <f t="shared" ref="G485" si="1270">H485*I485</f>
        <v>18500751.595354486</v>
      </c>
      <c r="H485" s="31">
        <v>1.14249</v>
      </c>
      <c r="I485" s="19">
        <f>SUMIFS([1]Master!$K$2:$K$10000,[1]Master!$A$2:$A$10000,$I$12,[1]Master!$F$2:$F$10000,"&lt;="&amp;$C485)</f>
        <v>16193359.762758963</v>
      </c>
      <c r="J485" s="19">
        <f t="shared" ref="J485" si="1271">((((1+1.85%)^(1/252))-1)*D484)+SUM(J484)</f>
        <v>15621.543340813927</v>
      </c>
      <c r="K485" s="19">
        <f>IF((NETWORKDAYS(DATE(YEAR(C485),MONTH(C485),1),C485,Feriados!$A$2:$A$842))&gt;=5,0,IF(NETWORKDAYS(DATE(YEAR(C485),MONTH(C485),1),C485,Feriados!$A$2:$A$842)=1,J484,K484))</f>
        <v>0</v>
      </c>
      <c r="L485" s="30">
        <v>-389.83</v>
      </c>
      <c r="M485" s="19">
        <f>VLOOKUP(C485,'Fluxo de Caixa'!$B$13:$U$10027,20,FALSE)</f>
        <v>19498.553575088274</v>
      </c>
      <c r="N485" s="19">
        <f>SUMIFS([1]Master!$J$2:$J$100,[1]Master!$A$2:$A$100,"="&amp;$I$12,[1]Master!$E$2:$E$100,"="&amp;C485,[1]Master!$J$2:$J$100,"&gt;"&amp;0)</f>
        <v>0</v>
      </c>
      <c r="O485" s="19">
        <f ca="1">-SUMIF('[1]Fluxo de Movimentações'!$A$5:$F$10001,"="&amp;$C486,'[1]Fluxo de Movimentações'!$B$5:$B$10001)</f>
        <v>0</v>
      </c>
      <c r="P485" s="19">
        <f>-SUMIFS([1]Master!$J$1:$J$200,[1]Master!$A$1:$A$200,"="&amp;$I$12,[1]Master!$G$1:$G$200,"&gt;"&amp;C485,[1]Master!$E$1:$E$200,"&lt;="&amp;C485)</f>
        <v>0</v>
      </c>
      <c r="Q485" s="30">
        <v>6466.9170999999997</v>
      </c>
      <c r="R485" s="32">
        <v>1.0849184000000001</v>
      </c>
      <c r="S485" s="30">
        <v>0</v>
      </c>
      <c r="T485" s="30">
        <v>0</v>
      </c>
      <c r="U485" s="30">
        <v>0</v>
      </c>
      <c r="V485" s="30">
        <v>0</v>
      </c>
    </row>
    <row r="486" spans="3:22" x14ac:dyDescent="0.25">
      <c r="C486" s="4">
        <f>WORKDAY(C485,1,Feriados!$A$2:$A$842)</f>
        <v>45523</v>
      </c>
      <c r="D486" s="30">
        <v>18719804.008099999</v>
      </c>
      <c r="E486" s="32">
        <v>1.0971506</v>
      </c>
      <c r="F486" s="38">
        <f t="shared" si="1242"/>
        <v>17062200.948620908</v>
      </c>
      <c r="G486" s="19">
        <f t="shared" ref="G486" si="1272">H486*I486</f>
        <v>18711367.29043686</v>
      </c>
      <c r="H486" s="31">
        <v>1.1554963</v>
      </c>
      <c r="I486" s="19">
        <f>SUMIFS([1]Master!$K$2:$K$10000,[1]Master!$A$2:$A$10000,$I$12,[1]Master!$F$2:$F$10000,"&lt;="&amp;$C486)</f>
        <v>16193359.762758963</v>
      </c>
      <c r="J486" s="19">
        <f t="shared" ref="J486" si="1273">((((1+1.85%)^(1/252))-1)*D485)+SUM(J485)</f>
        <v>16968.096076807906</v>
      </c>
      <c r="K486" s="19">
        <f>IF((NETWORKDAYS(DATE(YEAR(C486),MONTH(C486),1),C486,Feriados!$A$2:$A$842))&gt;=5,0,IF(NETWORKDAYS(DATE(YEAR(C486),MONTH(C486),1),C486,Feriados!$A$2:$A$842)=1,J485,K485))</f>
        <v>0</v>
      </c>
      <c r="L486" s="30">
        <v>-479.02</v>
      </c>
      <c r="M486" s="19">
        <f>VLOOKUP(C486,'Fluxo de Caixa'!$B$13:$U$10027,20,FALSE)</f>
        <v>19498.553575088274</v>
      </c>
      <c r="N486" s="19">
        <f>SUMIFS([1]Master!$J$2:$J$100,[1]Master!$A$2:$A$100,"="&amp;$I$12,[1]Master!$E$2:$E$100,"="&amp;C486,[1]Master!$J$2:$J$100,"&gt;"&amp;0)</f>
        <v>0</v>
      </c>
      <c r="O486" s="19">
        <f ca="1">-SUMIF('[1]Fluxo de Movimentações'!$A$5:$F$10001,"="&amp;$C487,'[1]Fluxo de Movimentações'!$B$5:$B$10001)</f>
        <v>0</v>
      </c>
      <c r="P486" s="19">
        <f>-SUMIFS([1]Master!$J$1:$J$200,[1]Master!$A$1:$A$200,"="&amp;$I$12,[1]Master!$G$1:$G$200,"&gt;"&amp;C486,[1]Master!$E$1:$E$200,"&lt;="&amp;C486)</f>
        <v>0</v>
      </c>
      <c r="Q486" s="30">
        <v>6385.0880999999999</v>
      </c>
      <c r="R486" s="32">
        <v>1.0971787</v>
      </c>
      <c r="S486" s="30">
        <v>0</v>
      </c>
      <c r="T486" s="30">
        <v>0</v>
      </c>
      <c r="U486" s="30">
        <v>0</v>
      </c>
      <c r="V486" s="30">
        <v>0</v>
      </c>
    </row>
    <row r="487" spans="3:22" x14ac:dyDescent="0.25">
      <c r="C487" s="4">
        <f>WORKDAY(C486,1,Feriados!$A$2:$A$842)</f>
        <v>45524</v>
      </c>
      <c r="D487" s="30">
        <v>18644682.829100002</v>
      </c>
      <c r="E487" s="32">
        <v>1.0927477999999999</v>
      </c>
      <c r="F487" s="38">
        <f t="shared" si="1242"/>
        <v>17062201.204248596</v>
      </c>
      <c r="G487" s="19">
        <f t="shared" ref="G487" si="1274">H487*I487</f>
        <v>18637655.11679678</v>
      </c>
      <c r="H487" s="31">
        <v>1.1509442999999999</v>
      </c>
      <c r="I487" s="19">
        <f>SUMIFS([1]Master!$K$2:$K$10000,[1]Master!$A$2:$A$10000,$I$12,[1]Master!$F$2:$F$10000,"&lt;="&amp;$C487)</f>
        <v>16193359.762758963</v>
      </c>
      <c r="J487" s="19">
        <f t="shared" ref="J487" si="1275">((((1+1.85%)^(1/252))-1)*D486)+SUM(J486)</f>
        <v>18329.859558877211</v>
      </c>
      <c r="K487" s="19">
        <f>IF((NETWORKDAYS(DATE(YEAR(C487),MONTH(C487),1),C487,Feriados!$A$2:$A$842))&gt;=5,0,IF(NETWORKDAYS(DATE(YEAR(C487),MONTH(C487),1),C487,Feriados!$A$2:$A$842)=1,J486,K486))</f>
        <v>0</v>
      </c>
      <c r="L487" s="30">
        <v>-444.44</v>
      </c>
      <c r="M487" s="19">
        <f>VLOOKUP(C487,'Fluxo de Caixa'!$B$13:$U$10027,20,FALSE)</f>
        <v>19498.553575088274</v>
      </c>
      <c r="N487" s="19">
        <f>SUMIFS([1]Master!$J$2:$J$100,[1]Master!$A$2:$A$100,"="&amp;$I$12,[1]Master!$E$2:$E$100,"="&amp;C487,[1]Master!$J$2:$J$100,"&gt;"&amp;0)</f>
        <v>50000</v>
      </c>
      <c r="O487" s="19">
        <f ca="1">-SUMIF('[1]Fluxo de Movimentações'!$A$5:$F$10001,"="&amp;$C488,'[1]Fluxo de Movimentações'!$B$5:$B$10001)</f>
        <v>-50000</v>
      </c>
      <c r="P487" s="19">
        <f>-SUMIFS([1]Master!$J$1:$J$200,[1]Master!$A$1:$A$200,"="&amp;$I$12,[1]Master!$G$1:$G$200,"&gt;"&amp;C487,[1]Master!$E$1:$E$200,"&lt;="&amp;C487)</f>
        <v>0</v>
      </c>
      <c r="Q487" s="30">
        <v>6303.2591000000002</v>
      </c>
      <c r="R487" s="32">
        <v>1.0927739000000001</v>
      </c>
      <c r="S487" s="30">
        <v>0</v>
      </c>
      <c r="T487" s="30">
        <v>0</v>
      </c>
      <c r="U487" s="30">
        <v>0</v>
      </c>
      <c r="V487" s="30">
        <v>0</v>
      </c>
    </row>
    <row r="488" spans="3:22" x14ac:dyDescent="0.25">
      <c r="C488" s="4">
        <f>WORKDAY(C487,1,Feriados!$A$2:$A$842)</f>
        <v>45525</v>
      </c>
      <c r="D488" s="30">
        <v>18634770.910100002</v>
      </c>
      <c r="E488" s="32">
        <v>1.0892364000000001</v>
      </c>
      <c r="F488" s="38">
        <f t="shared" si="1242"/>
        <v>17108105.191949148</v>
      </c>
      <c r="G488" s="19">
        <f t="shared" ref="G488" si="1276">H488*I488</f>
        <v>18629153.365982261</v>
      </c>
      <c r="H488" s="31">
        <v>1.1473316</v>
      </c>
      <c r="I488" s="19">
        <f>SUMIFS([1]Master!$K$2:$K$10000,[1]Master!$A$2:$A$10000,$I$12,[1]Master!$F$2:$F$10000,"&lt;="&amp;$C488)</f>
        <v>16236939.142948963</v>
      </c>
      <c r="J488" s="19">
        <f t="shared" ref="J488" si="1277">((((1+1.85%)^(1/252))-1)*D487)+SUM(J487)</f>
        <v>19686.158385534101</v>
      </c>
      <c r="K488" s="19">
        <f>IF((NETWORKDAYS(DATE(YEAR(C488),MONTH(C488),1),C488,Feriados!$A$2:$A$842))&gt;=5,0,IF(NETWORKDAYS(DATE(YEAR(C488),MONTH(C488),1),C488,Feriados!$A$2:$A$842)=1,J487,K487))</f>
        <v>0</v>
      </c>
      <c r="L488" s="30">
        <v>-416.49</v>
      </c>
      <c r="M488" s="19">
        <f>VLOOKUP(C488,'Fluxo de Caixa'!$B$13:$U$10027,20,FALSE)</f>
        <v>19498.55357508827</v>
      </c>
      <c r="N488" s="19">
        <f>SUMIFS([1]Master!$J$2:$J$100,[1]Master!$A$2:$A$100,"="&amp;$I$12,[1]Master!$E$2:$E$100,"="&amp;C488,[1]Master!$J$2:$J$100,"&gt;"&amp;0)</f>
        <v>100000</v>
      </c>
      <c r="O488" s="19">
        <f ca="1">-SUMIF('[1]Fluxo de Movimentações'!$A$5:$F$10001,"="&amp;$C489,'[1]Fluxo de Movimentações'!$B$5:$B$10001)</f>
        <v>-100000</v>
      </c>
      <c r="P488" s="19">
        <f>-SUMIFS([1]Master!$J$1:$J$200,[1]Master!$A$1:$A$200,"="&amp;$I$12,[1]Master!$G$1:$G$200,"&gt;"&amp;C488,[1]Master!$E$1:$E$200,"&lt;="&amp;C488)</f>
        <v>0</v>
      </c>
      <c r="Q488" s="30">
        <v>6221.4300999999996</v>
      </c>
      <c r="R488" s="32">
        <v>1.0892607999999999</v>
      </c>
      <c r="S488" s="30">
        <v>0</v>
      </c>
      <c r="T488" s="30">
        <v>0</v>
      </c>
      <c r="U488" s="30">
        <v>0</v>
      </c>
      <c r="V488" s="30">
        <v>0</v>
      </c>
    </row>
    <row r="489" spans="3:22" x14ac:dyDescent="0.25">
      <c r="C489" s="4">
        <f>WORKDAY(C488,1,Feriados!$A$2:$A$842)</f>
        <v>45526</v>
      </c>
      <c r="D489" s="30">
        <v>18440993.461100001</v>
      </c>
      <c r="E489" s="32">
        <v>1.0720646</v>
      </c>
      <c r="F489" s="38">
        <f t="shared" ref="F489" si="1278">D489/TRUNC(E489,7)</f>
        <v>17201382.697553862</v>
      </c>
      <c r="G489" s="19">
        <f t="shared" ref="G489" si="1279">H489*I489</f>
        <v>18436683.875976294</v>
      </c>
      <c r="H489" s="31">
        <v>1.129319</v>
      </c>
      <c r="I489" s="19">
        <f>SUMIFS([1]Master!$K$2:$K$10000,[1]Master!$A$2:$A$10000,$I$12,[1]Master!$F$2:$F$10000,"&lt;="&amp;$C489)</f>
        <v>16325488.082619963</v>
      </c>
      <c r="J489" s="19">
        <f t="shared" ref="J489" si="1280">((((1+1.85%)^(1/252))-1)*D488)+SUM(J488)</f>
        <v>21041.736174228972</v>
      </c>
      <c r="K489" s="19">
        <f>IF((NETWORKDAYS(DATE(YEAR(C489),MONTH(C489),1),C489,Feriados!$A$2:$A$842))&gt;=5,0,IF(NETWORKDAYS(DATE(YEAR(C489),MONTH(C489),1),C489,Feriados!$A$2:$A$842)=1,J488,K488))</f>
        <v>0</v>
      </c>
      <c r="L489" s="30">
        <v>-287.05</v>
      </c>
      <c r="M489" s="19">
        <f>VLOOKUP(C489,'Fluxo de Caixa'!$B$13:$U$10027,20,FALSE)</f>
        <v>19498.55357508827</v>
      </c>
      <c r="N489" s="19">
        <f>SUMIFS([1]Master!$J$2:$J$100,[1]Master!$A$2:$A$100,"="&amp;$I$12,[1]Master!$E$2:$E$100,"="&amp;C489,[1]Master!$J$2:$J$100,"&gt;"&amp;0)</f>
        <v>0</v>
      </c>
      <c r="O489" s="19">
        <f ca="1">-SUMIF('[1]Fluxo de Movimentações'!$A$5:$F$10001,"="&amp;$C490,'[1]Fluxo de Movimentações'!$B$5:$B$10001)</f>
        <v>0</v>
      </c>
      <c r="P489" s="19">
        <f>-SUMIFS([1]Master!$J$1:$J$200,[1]Master!$A$1:$A$200,"="&amp;$I$12,[1]Master!$G$1:$G$200,"&gt;"&amp;C489,[1]Master!$E$1:$E$200,"&lt;="&amp;C489)</f>
        <v>0</v>
      </c>
      <c r="Q489" s="30">
        <v>6139.6010999999999</v>
      </c>
      <c r="R489" s="32">
        <v>1.0720814000000001</v>
      </c>
      <c r="S489" s="30">
        <v>0</v>
      </c>
      <c r="T489" s="30">
        <v>0</v>
      </c>
      <c r="U489" s="30">
        <v>0</v>
      </c>
      <c r="V489" s="30">
        <v>0</v>
      </c>
    </row>
    <row r="490" spans="3:22" x14ac:dyDescent="0.25">
      <c r="C490" s="4">
        <f>WORKDAY(C489,1,Feriados!$A$2:$A$842)</f>
        <v>45527</v>
      </c>
      <c r="D490" s="30">
        <v>18633215.662099998</v>
      </c>
      <c r="E490" s="32">
        <v>1.0832394000000001</v>
      </c>
      <c r="F490" s="38">
        <f t="shared" ref="F490" si="1281">D490/TRUNC(E490,7)</f>
        <v>17201382.872613382</v>
      </c>
      <c r="G490" s="19">
        <f t="shared" ref="G490" si="1282">H490*I490</f>
        <v>18630563.739896677</v>
      </c>
      <c r="H490" s="31">
        <v>1.1411948999999999</v>
      </c>
      <c r="I490" s="19">
        <f>SUMIFS([1]Master!$K$2:$K$10000,[1]Master!$A$2:$A$10000,$I$12,[1]Master!$F$2:$F$10000,"&lt;="&amp;$C490)</f>
        <v>16325488.082619963</v>
      </c>
      <c r="J490" s="19">
        <f t="shared" ref="J490" si="1283">((((1+1.85%)^(1/252))-1)*D489)+SUM(J489)</f>
        <v>22383.217712045225</v>
      </c>
      <c r="K490" s="19">
        <f>IF((NETWORKDAYS(DATE(YEAR(C490),MONTH(C490),1),C490,Feriados!$A$2:$A$842))&gt;=5,0,IF(NETWORKDAYS(DATE(YEAR(C490),MONTH(C490),1),C490,Feriados!$A$2:$A$842)=1,J489,K489))</f>
        <v>0</v>
      </c>
      <c r="L490" s="30">
        <v>-521.4</v>
      </c>
      <c r="M490" s="19">
        <f>VLOOKUP(C490,'Fluxo de Caixa'!$B$13:$U$10027,20,FALSE)</f>
        <v>19498.55357508827</v>
      </c>
      <c r="N490" s="19">
        <f>SUMIFS([1]Master!$J$2:$J$100,[1]Master!$A$2:$A$100,"="&amp;$I$12,[1]Master!$E$2:$E$100,"="&amp;C490,[1]Master!$J$2:$J$100,"&gt;"&amp;0)</f>
        <v>0</v>
      </c>
      <c r="O490" s="19">
        <f ca="1">-SUMIF('[1]Fluxo de Movimentações'!$A$5:$F$10001,"="&amp;$C491,'[1]Fluxo de Movimentações'!$B$5:$B$10001)</f>
        <v>0</v>
      </c>
      <c r="P490" s="19">
        <f>-SUMIFS([1]Master!$J$1:$J$200,[1]Master!$A$1:$A$200,"="&amp;$I$12,[1]Master!$G$1:$G$200,"&gt;"&amp;C490,[1]Master!$E$1:$E$200,"&lt;="&amp;C490)</f>
        <v>0</v>
      </c>
      <c r="Q490" s="30">
        <v>6057.7721000000001</v>
      </c>
      <c r="R490" s="32">
        <v>1.0832697</v>
      </c>
      <c r="S490" s="30">
        <v>0</v>
      </c>
      <c r="T490" s="30">
        <v>0</v>
      </c>
      <c r="U490" s="30">
        <v>0</v>
      </c>
      <c r="V490" s="30">
        <v>0</v>
      </c>
    </row>
    <row r="491" spans="3:22" x14ac:dyDescent="0.25">
      <c r="C491" s="4">
        <f>WORKDAY(C490,1,Feriados!$A$2:$A$842)</f>
        <v>45530</v>
      </c>
      <c r="D491" s="30">
        <v>18568158.065099999</v>
      </c>
      <c r="E491" s="32">
        <v>1.0794573000000001</v>
      </c>
      <c r="F491" s="38">
        <f t="shared" ref="F491" si="1284">D491/TRUNC(E491,7)</f>
        <v>17201382.643945247</v>
      </c>
      <c r="G491" s="19">
        <f t="shared" ref="G491" si="1285">H491*I491</f>
        <v>18566856.787751876</v>
      </c>
      <c r="H491" s="31">
        <v>1.1372926000000001</v>
      </c>
      <c r="I491" s="19">
        <f>SUMIFS([1]Master!$K$2:$K$10000,[1]Master!$A$2:$A$10000,$I$12,[1]Master!$F$2:$F$10000,"&lt;="&amp;$C491)</f>
        <v>16325488.082619963</v>
      </c>
      <c r="J491" s="19">
        <f t="shared" ref="J491" si="1286">((((1+1.85%)^(1/252))-1)*D490)+SUM(J490)</f>
        <v>23738.682364943852</v>
      </c>
      <c r="K491" s="19">
        <f>IF((NETWORKDAYS(DATE(YEAR(C491),MONTH(C491),1),C491,Feriados!$A$2:$A$842))&gt;=5,0,IF(NETWORKDAYS(DATE(YEAR(C491),MONTH(C491),1),C491,Feriados!$A$2:$A$842)=1,J490,K490))</f>
        <v>0</v>
      </c>
      <c r="L491" s="30">
        <v>-434.76</v>
      </c>
      <c r="M491" s="19">
        <f>VLOOKUP(C491,'Fluxo de Caixa'!$B$13:$U$10027,20,FALSE)</f>
        <v>19498.55357508827</v>
      </c>
      <c r="N491" s="19">
        <f>SUMIFS([1]Master!$J$2:$J$100,[1]Master!$A$2:$A$100,"="&amp;$I$12,[1]Master!$E$2:$E$100,"="&amp;C491,[1]Master!$J$2:$J$100,"&gt;"&amp;0)</f>
        <v>0</v>
      </c>
      <c r="O491" s="19">
        <f ca="1">-SUMIF('[1]Fluxo de Movimentações'!$A$5:$F$10001,"="&amp;$C492,'[1]Fluxo de Movimentações'!$B$5:$B$10001)</f>
        <v>0</v>
      </c>
      <c r="P491" s="19">
        <f>-SUMIFS([1]Master!$J$1:$J$200,[1]Master!$A$1:$A$200,"="&amp;$I$12,[1]Master!$G$1:$G$200,"&gt;"&amp;C491,[1]Master!$E$1:$E$200,"&lt;="&amp;C491)</f>
        <v>0</v>
      </c>
      <c r="Q491" s="30">
        <v>5975.9450999999999</v>
      </c>
      <c r="R491" s="32">
        <v>1.0794826</v>
      </c>
      <c r="S491" s="30">
        <v>0</v>
      </c>
      <c r="T491" s="30">
        <v>0</v>
      </c>
      <c r="U491" s="30">
        <v>0</v>
      </c>
      <c r="V491" s="30">
        <v>0</v>
      </c>
    </row>
    <row r="492" spans="3:22" x14ac:dyDescent="0.25">
      <c r="C492" s="4">
        <f>WORKDAY(C491,1,Feriados!$A$2:$A$842)</f>
        <v>45531</v>
      </c>
      <c r="D492" s="30">
        <v>18622566.071699999</v>
      </c>
      <c r="E492" s="32">
        <v>1.0826203000000001</v>
      </c>
      <c r="F492" s="38">
        <f t="shared" ref="F492" si="1287">D492/TRUNC(E492,7)</f>
        <v>17201382.674701367</v>
      </c>
      <c r="G492" s="19">
        <f t="shared" ref="G492" si="1288">H492*I492</f>
        <v>18622755.258946761</v>
      </c>
      <c r="H492" s="31">
        <v>1.1407166</v>
      </c>
      <c r="I492" s="19">
        <f>SUMIFS([1]Master!$K$2:$K$10000,[1]Master!$A$2:$A$10000,$I$12,[1]Master!$F$2:$F$10000,"&lt;="&amp;$C492)</f>
        <v>16325488.082619963</v>
      </c>
      <c r="J492" s="19">
        <f t="shared" ref="J492" si="1289">((((1+1.85%)^(1/252))-1)*D491)+SUM(J491)</f>
        <v>25089.414433046855</v>
      </c>
      <c r="K492" s="19">
        <f>IF((NETWORKDAYS(DATE(YEAR(C492),MONTH(C492),1),C492,Feriados!$A$2:$A$842))&gt;=5,0,IF(NETWORKDAYS(DATE(YEAR(C492),MONTH(C492),1),C492,Feriados!$A$2:$A$842)=1,J491,K491))</f>
        <v>0</v>
      </c>
      <c r="L492" s="30">
        <v>-497.02</v>
      </c>
      <c r="M492" s="19">
        <f>VLOOKUP(C492,'Fluxo de Caixa'!$B$13:$U$10027,20,FALSE)</f>
        <v>19498.55357508827</v>
      </c>
      <c r="N492" s="19">
        <f>SUMIFS([1]Master!$J$2:$J$100,[1]Master!$A$2:$A$100,"="&amp;$I$12,[1]Master!$E$2:$E$100,"="&amp;C492,[1]Master!$J$2:$J$100,"&gt;"&amp;0)</f>
        <v>0</v>
      </c>
      <c r="O492" s="19">
        <f ca="1">-SUMIF('[1]Fluxo de Movimentações'!$A$5:$F$10001,"="&amp;$C493,'[1]Fluxo de Movimentações'!$B$5:$B$10001)</f>
        <v>0</v>
      </c>
      <c r="P492" s="19">
        <f>-SUMIFS([1]Master!$J$1:$J$200,[1]Master!$A$1:$A$200,"="&amp;$I$12,[1]Master!$G$1:$G$200,"&gt;"&amp;C492,[1]Master!$E$1:$E$200,"&lt;="&amp;C492)</f>
        <v>0</v>
      </c>
      <c r="Q492" s="30">
        <v>5898.4717000000001</v>
      </c>
      <c r="R492" s="32">
        <v>1.0826492000000001</v>
      </c>
      <c r="S492" s="30">
        <v>0</v>
      </c>
      <c r="T492" s="30">
        <v>0</v>
      </c>
      <c r="U492" s="30">
        <v>0</v>
      </c>
      <c r="V492" s="30">
        <v>0</v>
      </c>
    </row>
    <row r="493" spans="3:22" x14ac:dyDescent="0.25">
      <c r="C493" s="4">
        <f>WORKDAY(C492,1,Feriados!$A$2:$A$842)</f>
        <v>45532</v>
      </c>
      <c r="D493" s="30">
        <v>18577499.928300001</v>
      </c>
      <c r="E493" s="32">
        <v>1.0800004000000001</v>
      </c>
      <c r="F493" s="38">
        <f t="shared" ref="F493" si="1290">D493/TRUNC(E493,7)</f>
        <v>17201382.45161761</v>
      </c>
      <c r="G493" s="19">
        <f t="shared" ref="G493" si="1291">H493*I493</f>
        <v>18579060.090093631</v>
      </c>
      <c r="H493" s="31">
        <v>1.1380401</v>
      </c>
      <c r="I493" s="19">
        <f>SUMIFS([1]Master!$K$2:$K$10000,[1]Master!$A$2:$A$10000,$I$12,[1]Master!$F$2:$F$10000,"&lt;="&amp;$C493)</f>
        <v>16325488.082619963</v>
      </c>
      <c r="J493" s="19">
        <f t="shared" ref="J493" si="1292">((((1+1.85%)^(1/252))-1)*D492)+SUM(J492)</f>
        <v>26444.104386418745</v>
      </c>
      <c r="K493" s="19">
        <f>IF((NETWORKDAYS(DATE(YEAR(C493),MONTH(C493),1),C493,Feriados!$A$2:$A$842))&gt;=5,0,IF(NETWORKDAYS(DATE(YEAR(C493),MONTH(C493),1),C493,Feriados!$A$2:$A$842)=1,J492,K492))</f>
        <v>0</v>
      </c>
      <c r="L493" s="30">
        <v>-435.84</v>
      </c>
      <c r="M493" s="19">
        <f>VLOOKUP(C493,'Fluxo de Caixa'!$B$13:$U$10027,20,FALSE)</f>
        <v>19498.55357508827</v>
      </c>
      <c r="N493" s="19">
        <f>SUMIFS([1]Master!$J$2:$J$100,[1]Master!$A$2:$A$100,"="&amp;$I$12,[1]Master!$E$2:$E$100,"="&amp;C493,[1]Master!$J$2:$J$100,"&gt;"&amp;0)</f>
        <v>0</v>
      </c>
      <c r="O493" s="19">
        <f ca="1">-SUMIF('[1]Fluxo de Movimentações'!$A$5:$F$10001,"="&amp;$C494,'[1]Fluxo de Movimentações'!$B$5:$B$10001)</f>
        <v>0</v>
      </c>
      <c r="P493" s="19">
        <f>-SUMIFS([1]Master!$J$1:$J$200,[1]Master!$A$1:$A$200,"="&amp;$I$12,[1]Master!$G$1:$G$200,"&gt;"&amp;C493,[1]Master!$E$1:$E$200,"&lt;="&amp;C493)</f>
        <v>0</v>
      </c>
      <c r="Q493" s="30">
        <v>5820.9983000000002</v>
      </c>
      <c r="R493" s="32">
        <v>1.0800257</v>
      </c>
      <c r="S493" s="30">
        <v>0</v>
      </c>
      <c r="T493" s="30">
        <v>0</v>
      </c>
      <c r="U493" s="30">
        <v>0</v>
      </c>
      <c r="V493" s="30">
        <v>0</v>
      </c>
    </row>
    <row r="494" spans="3:22" x14ac:dyDescent="0.25">
      <c r="C494" s="4">
        <f>WORKDAY(C493,1,Feriados!$A$2:$A$842)</f>
        <v>45533</v>
      </c>
      <c r="D494" s="30">
        <v>18255991.2949</v>
      </c>
      <c r="E494" s="32">
        <v>1.0613094999999999</v>
      </c>
      <c r="F494" s="38">
        <f t="shared" ref="F494" si="1293">D494/TRUNC(E494,7)</f>
        <v>17201383.097861651</v>
      </c>
      <c r="G494" s="19">
        <f t="shared" ref="G494" si="1294">H494*I494</f>
        <v>18258742.58607097</v>
      </c>
      <c r="H494" s="31">
        <v>1.1184194000000001</v>
      </c>
      <c r="I494" s="19">
        <f>SUMIFS([1]Master!$K$2:$K$10000,[1]Master!$A$2:$A$10000,$I$12,[1]Master!$F$2:$F$10000,"&lt;="&amp;$C494)</f>
        <v>16325488.082619963</v>
      </c>
      <c r="J494" s="19">
        <f t="shared" ref="J494" si="1295">((((1+1.85%)^(1/252))-1)*D493)+SUM(J493)</f>
        <v>27795.51602403833</v>
      </c>
      <c r="K494" s="19">
        <f>IF((NETWORKDAYS(DATE(YEAR(C494),MONTH(C494),1),C494,Feriados!$A$2:$A$842))&gt;=5,0,IF(NETWORKDAYS(DATE(YEAR(C494),MONTH(C494),1),C494,Feriados!$A$2:$A$842)=1,J493,K493))</f>
        <v>0</v>
      </c>
      <c r="L494" s="30">
        <v>-198.09</v>
      </c>
      <c r="M494" s="19">
        <f>VLOOKUP(C494,'Fluxo de Caixa'!$B$13:$U$10027,20,FALSE)</f>
        <v>19498.55357508827</v>
      </c>
      <c r="N494" s="19">
        <f>SUMIFS([1]Master!$J$2:$J$100,[1]Master!$A$2:$A$100,"="&amp;$I$12,[1]Master!$E$2:$E$100,"="&amp;C494,[1]Master!$J$2:$J$100,"&gt;"&amp;0)</f>
        <v>0</v>
      </c>
      <c r="O494" s="19">
        <f ca="1">-SUMIF('[1]Fluxo de Movimentações'!$A$5:$F$10001,"="&amp;$C495,'[1]Fluxo de Movimentações'!$B$5:$B$10001)</f>
        <v>0</v>
      </c>
      <c r="P494" s="19">
        <f>-SUMIFS([1]Master!$J$1:$J$200,[1]Master!$A$1:$A$200,"="&amp;$I$12,[1]Master!$G$1:$G$200,"&gt;"&amp;C494,[1]Master!$E$1:$E$200,"&lt;="&amp;C494)</f>
        <v>0</v>
      </c>
      <c r="Q494" s="30">
        <v>5743.5249000000003</v>
      </c>
      <c r="R494" s="32">
        <v>1.061321</v>
      </c>
      <c r="S494" s="30">
        <v>0</v>
      </c>
      <c r="T494" s="30">
        <v>0</v>
      </c>
      <c r="U494" s="30">
        <v>0</v>
      </c>
      <c r="V494" s="30">
        <v>0</v>
      </c>
    </row>
    <row r="495" spans="3:22" x14ac:dyDescent="0.25">
      <c r="C495" s="4">
        <f>WORKDAY(C494,1,Feriados!$A$2:$A$842)</f>
        <v>45534</v>
      </c>
      <c r="D495" s="30">
        <v>18298173.201499999</v>
      </c>
      <c r="E495" s="32">
        <v>1.0637618</v>
      </c>
      <c r="F495" s="38">
        <f t="shared" ref="F495" si="1296">D495/TRUNC(E495,7)</f>
        <v>17201382.115338225</v>
      </c>
      <c r="G495" s="19">
        <f t="shared" ref="G495" si="1297">H495*I495</f>
        <v>18302346.332190841</v>
      </c>
      <c r="H495" s="31">
        <v>1.1210903000000001</v>
      </c>
      <c r="I495" s="19">
        <f>SUMIFS([1]Master!$K$2:$K$10000,[1]Master!$A$2:$A$10000,$I$12,[1]Master!$F$2:$F$10000,"&lt;="&amp;$C495)</f>
        <v>16325488.082619963</v>
      </c>
      <c r="J495" s="19">
        <f t="shared" ref="J495:J497" si="1298">((((1+1.85%)^(1/252))-1)*D494)+SUM(J494)</f>
        <v>29123.539664863467</v>
      </c>
      <c r="K495" s="19">
        <f>IF((NETWORKDAYS(DATE(YEAR(C495),MONTH(C495),1),C495,Feriados!$A$2:$A$842))&gt;=5,0,IF(NETWORKDAYS(DATE(YEAR(C495),MONTH(C495),1),C495,Feriados!$A$2:$A$842)=1,J494,K494))</f>
        <v>0</v>
      </c>
      <c r="L495" s="30">
        <v>-214.43</v>
      </c>
      <c r="M495" s="19">
        <f>VLOOKUP(C495,'Fluxo de Caixa'!$B$13:$U$10027,20,FALSE)</f>
        <v>19498.55357508827</v>
      </c>
      <c r="N495" s="19">
        <f>SUMIFS([1]Master!$J$2:$J$100,[1]Master!$A$2:$A$100,"="&amp;$I$12,[1]Master!$E$2:$E$100,"="&amp;C495,[1]Master!$J$2:$J$100,"&gt;"&amp;0)</f>
        <v>0</v>
      </c>
      <c r="O495" s="19">
        <f ca="1">-SUMIF('[1]Fluxo de Movimentações'!$A$5:$F$10001,"="&amp;$C496,'[1]Fluxo de Movimentações'!$B$5:$B$10001)</f>
        <v>0</v>
      </c>
      <c r="P495" s="19">
        <f>-SUMIFS([1]Master!$J$1:$J$200,[1]Master!$A$1:$A$200,"="&amp;$I$12,[1]Master!$G$1:$G$200,"&gt;"&amp;C495,[1]Master!$E$1:$E$200,"&lt;="&amp;C495)</f>
        <v>0</v>
      </c>
      <c r="Q495" s="30">
        <v>5666.0514999999996</v>
      </c>
      <c r="R495" s="32">
        <v>1.0637741999999999</v>
      </c>
      <c r="S495" s="30">
        <v>0</v>
      </c>
      <c r="T495" s="30">
        <v>0</v>
      </c>
      <c r="U495" s="30">
        <v>0</v>
      </c>
      <c r="V495" s="30">
        <v>0</v>
      </c>
    </row>
    <row r="496" spans="3:22" x14ac:dyDescent="0.25">
      <c r="C496" s="4">
        <f>WORKDAY(C495,1,Feriados!$A$2:$A$842)</f>
        <v>45537</v>
      </c>
      <c r="D496" s="30">
        <v>18243100.977699999</v>
      </c>
      <c r="E496" s="32">
        <v>1.0605601</v>
      </c>
      <c r="F496" s="38">
        <f t="shared" ref="F496" si="1299">D496/TRUNC(E496,7)</f>
        <v>17201383.474354729</v>
      </c>
      <c r="G496" s="19">
        <f t="shared" ref="G496" si="1300">H496*I496</f>
        <v>18248658.332082335</v>
      </c>
      <c r="H496" s="31">
        <v>1.1178017</v>
      </c>
      <c r="I496" s="19">
        <f>SUMIFS([1]Master!$K$2:$K$10000,[1]Master!$A$2:$A$10000,$I$12,[1]Master!$F$2:$F$10000,"&lt;="&amp;$C496)</f>
        <v>16325488.082619963</v>
      </c>
      <c r="J496" s="66">
        <f>((((1+1.85%)^(1/252))-1)*D495)</f>
        <v>1331.0921441057847</v>
      </c>
      <c r="K496" s="19">
        <f>IF((NETWORKDAYS(DATE(YEAR(C496),MONTH(C496),1),C496,Feriados!$A$2:$A$842))&gt;=5,0,IF(NETWORKDAYS(DATE(YEAR(C496),MONTH(C496),1),C496,Feriados!$A$2:$A$842)=1,J495,K495))</f>
        <v>29123.539664863467</v>
      </c>
      <c r="L496" s="30">
        <v>-188.76</v>
      </c>
      <c r="M496" s="19">
        <f>VLOOKUP(C496,'Fluxo de Caixa'!$B$13:$U$10027,20,FALSE)</f>
        <v>19498.55357508827</v>
      </c>
      <c r="N496" s="19">
        <f>SUMIFS([1]Master!$J$2:$J$100,[1]Master!$A$2:$A$100,"="&amp;$I$12,[1]Master!$E$2:$E$100,"="&amp;C496,[1]Master!$J$2:$J$100,"&gt;"&amp;0)</f>
        <v>0</v>
      </c>
      <c r="O496" s="19">
        <f ca="1">-SUMIF('[1]Fluxo de Movimentações'!$A$5:$F$10001,"="&amp;$C497,'[1]Fluxo de Movimentações'!$B$5:$B$10001)</f>
        <v>0</v>
      </c>
      <c r="P496" s="19">
        <f>-SUMIFS([1]Master!$J$1:$J$200,[1]Master!$A$1:$A$200,"="&amp;$I$12,[1]Master!$G$1:$G$200,"&gt;"&amp;C496,[1]Master!$E$1:$E$200,"&lt;="&amp;C496)</f>
        <v>0</v>
      </c>
      <c r="Q496" s="30">
        <v>5587.2476999999999</v>
      </c>
      <c r="R496" s="32">
        <v>1.0605711</v>
      </c>
      <c r="S496" s="30">
        <v>0</v>
      </c>
      <c r="T496" s="30">
        <v>0</v>
      </c>
      <c r="U496" s="30">
        <v>0</v>
      </c>
      <c r="V496" s="30">
        <v>0</v>
      </c>
    </row>
    <row r="497" spans="3:22" x14ac:dyDescent="0.25">
      <c r="C497" s="4">
        <f>WORKDAY(C496,1,Feriados!$A$2:$A$842)</f>
        <v>45538</v>
      </c>
      <c r="D497" s="30">
        <v>18268675.243900001</v>
      </c>
      <c r="E497" s="32">
        <v>1.0620468999999999</v>
      </c>
      <c r="F497" s="38">
        <f t="shared" ref="F497" si="1301">D497/TRUNC(E497,7)</f>
        <v>17201382.767465357</v>
      </c>
      <c r="G497" s="19">
        <f t="shared" ref="G497" si="1302">H497*I497</f>
        <v>18275647.628980525</v>
      </c>
      <c r="H497" s="31">
        <v>1.1194549</v>
      </c>
      <c r="I497" s="19">
        <f>SUMIFS([1]Master!$K$2:$K$10000,[1]Master!$A$2:$A$10000,$I$12,[1]Master!$F$2:$F$10000,"&lt;="&amp;$C497)</f>
        <v>16325488.082619963</v>
      </c>
      <c r="J497" s="19">
        <f t="shared" si="1298"/>
        <v>2658.1780847697632</v>
      </c>
      <c r="K497" s="19">
        <f>IF((NETWORKDAYS(DATE(YEAR(C497),MONTH(C497),1),C497,Feriados!$A$2:$A$842))&gt;=5,0,IF(NETWORKDAYS(DATE(YEAR(C497),MONTH(C497),1),C497,Feriados!$A$2:$A$842)=1,J496,K496))</f>
        <v>29123.539664863467</v>
      </c>
      <c r="L497" s="30">
        <v>-197.91</v>
      </c>
      <c r="M497" s="19">
        <f>VLOOKUP(C497,'Fluxo de Caixa'!$B$13:$U$10027,20,FALSE)</f>
        <v>19498.55357508827</v>
      </c>
      <c r="N497" s="19">
        <f>SUMIFS([1]Master!$J$2:$J$100,[1]Master!$A$2:$A$100,"="&amp;$I$12,[1]Master!$E$2:$E$100,"="&amp;C497,[1]Master!$J$2:$J$100,"&gt;"&amp;0)</f>
        <v>0</v>
      </c>
      <c r="O497" s="19">
        <f ca="1">-SUMIF('[1]Fluxo de Movimentações'!$A$5:$F$10001,"="&amp;$C498,'[1]Fluxo de Movimentações'!$B$5:$B$10001)</f>
        <v>0</v>
      </c>
      <c r="P497" s="19">
        <f>-SUMIFS([1]Master!$J$1:$J$200,[1]Master!$A$1:$A$200,"="&amp;$I$12,[1]Master!$G$1:$G$200,"&gt;"&amp;C497,[1]Master!$E$1:$E$200,"&lt;="&amp;C497)</f>
        <v>0</v>
      </c>
      <c r="Q497" s="30">
        <v>5508.4439000000002</v>
      </c>
      <c r="R497" s="32">
        <v>1.0620584</v>
      </c>
      <c r="S497" s="30">
        <v>0</v>
      </c>
      <c r="T497" s="30">
        <v>0</v>
      </c>
      <c r="U497" s="30">
        <v>0</v>
      </c>
      <c r="V497" s="30">
        <v>0</v>
      </c>
    </row>
    <row r="498" spans="3:22" x14ac:dyDescent="0.25">
      <c r="C498" s="4">
        <f>WORKDAY(C497,1,Feriados!$A$2:$A$842)</f>
        <v>45539</v>
      </c>
      <c r="D498" s="30">
        <v>18547835.6501</v>
      </c>
      <c r="E498" s="32">
        <v>1.0782759</v>
      </c>
      <c r="F498" s="38">
        <f t="shared" ref="F498" si="1303">D498/TRUNC(E498,7)</f>
        <v>17201381.993328426</v>
      </c>
      <c r="G498" s="19">
        <f t="shared" ref="G498" si="1304">H498*I498</f>
        <v>18526388.884794105</v>
      </c>
      <c r="H498" s="31">
        <v>1.1366514000000001</v>
      </c>
      <c r="I498" s="19">
        <f>SUMIFS([1]Master!$K$2:$K$10000,[1]Master!$A$2:$A$10000,$I$12,[1]Master!$F$2:$F$10000,"&lt;="&amp;$C498)</f>
        <v>16299094.766252963</v>
      </c>
      <c r="J498" s="19">
        <f t="shared" ref="J498" si="1305">((((1+1.85%)^(1/252))-1)*D497)+SUM(J497)</f>
        <v>3987.1244135968236</v>
      </c>
      <c r="K498" s="19">
        <f>IF((NETWORKDAYS(DATE(YEAR(C498),MONTH(C498),1),C498,Feriados!$A$2:$A$842))&gt;=5,0,IF(NETWORKDAYS(DATE(YEAR(C498),MONTH(C498),1),C498,Feriados!$A$2:$A$842)=1,J497,K497))</f>
        <v>29123.539664863467</v>
      </c>
      <c r="L498" s="30">
        <v>-371.01</v>
      </c>
      <c r="M498" s="19">
        <f>VLOOKUP(C498,'Fluxo de Caixa'!$B$13:$U$10027,20,FALSE)</f>
        <v>19498.55357508827</v>
      </c>
      <c r="N498" s="19">
        <f>SUMIFS([1]Master!$J$2:$J$100,[1]Master!$A$2:$A$100,"="&amp;$I$12,[1]Master!$E$2:$E$100,"="&amp;C498,[1]Master!$J$2:$J$100,"&gt;"&amp;0)</f>
        <v>0</v>
      </c>
      <c r="O498" s="19">
        <f ca="1">-SUMIF('[1]Fluxo de Movimentações'!$A$5:$F$10001,"="&amp;$C499,'[1]Fluxo de Movimentações'!$B$5:$B$10001)</f>
        <v>0</v>
      </c>
      <c r="P498" s="19">
        <f>-SUMIFS([1]Master!$J$1:$J$200,[1]Master!$A$1:$A$200,"="&amp;$I$12,[1]Master!$G$1:$G$200,"&gt;"&amp;C498,[1]Master!$E$1:$E$200,"&lt;="&amp;C498)</f>
        <v>30000</v>
      </c>
      <c r="Q498" s="30">
        <v>5429.6400999999996</v>
      </c>
      <c r="R498" s="32">
        <v>1.0782974000000001</v>
      </c>
      <c r="S498" s="30">
        <v>0</v>
      </c>
      <c r="T498" s="30">
        <v>0</v>
      </c>
      <c r="U498" s="30">
        <v>0</v>
      </c>
      <c r="V498" s="30">
        <v>0</v>
      </c>
    </row>
    <row r="499" spans="3:22" x14ac:dyDescent="0.25">
      <c r="C499" s="4">
        <f>WORKDAY(C498,1,Feriados!$A$2:$A$842)</f>
        <v>45540</v>
      </c>
      <c r="D499" s="30">
        <v>18537228.796300001</v>
      </c>
      <c r="E499" s="32">
        <v>1.0776592</v>
      </c>
      <c r="F499" s="38">
        <f t="shared" ref="F499" si="1306">D499/TRUNC(E499,7)</f>
        <v>17201383.142555643</v>
      </c>
      <c r="G499" s="19">
        <f t="shared" ref="G499" si="1307">H499*I499</f>
        <v>18517191.305617504</v>
      </c>
      <c r="H499" s="31">
        <v>1.1360870999999999</v>
      </c>
      <c r="I499" s="19">
        <f>SUMIFS([1]Master!$K$2:$K$10000,[1]Master!$A$2:$A$10000,$I$12,[1]Master!$F$2:$F$10000,"&lt;="&amp;$C499)</f>
        <v>16299094.766252963</v>
      </c>
      <c r="J499" s="19">
        <f t="shared" ref="J499" si="1308">((((1+1.85%)^(1/252))-1)*D498)+SUM(J498)</f>
        <v>5336.3781370225825</v>
      </c>
      <c r="K499" s="19">
        <f>IF((NETWORKDAYS(DATE(YEAR(C499),MONTH(C499),1),C499,Feriados!$A$2:$A$842))&gt;=5,0,IF(NETWORKDAYS(DATE(YEAR(C499),MONTH(C499),1),C499,Feriados!$A$2:$A$842)=1,J498,K498))</f>
        <v>29123.539664863467</v>
      </c>
      <c r="L499" s="30">
        <v>-352.24</v>
      </c>
      <c r="M499" s="19">
        <f>VLOOKUP(C499,'Fluxo de Caixa'!$B$13:$U$10027,20,FALSE)</f>
        <v>19498.55357508827</v>
      </c>
      <c r="N499" s="19">
        <f>SUMIFS([1]Master!$J$2:$J$100,[1]Master!$A$2:$A$100,"="&amp;$I$12,[1]Master!$E$2:$E$100,"="&amp;C499,[1]Master!$J$2:$J$100,"&gt;"&amp;0)</f>
        <v>0</v>
      </c>
      <c r="O499" s="19">
        <f ca="1">-SUMIF('[1]Fluxo de Movimentações'!$A$5:$F$10001,"="&amp;$C500,'[1]Fluxo de Movimentações'!$B$5:$B$10001)</f>
        <v>0</v>
      </c>
      <c r="P499" s="19">
        <f>-SUMIFS([1]Master!$J$1:$J$200,[1]Master!$A$1:$A$200,"="&amp;$I$12,[1]Master!$G$1:$G$200,"&gt;"&amp;C499,[1]Master!$E$1:$E$200,"&lt;="&amp;C499)</f>
        <v>30000</v>
      </c>
      <c r="Q499" s="30">
        <v>5350.8362999999999</v>
      </c>
      <c r="R499" s="32">
        <v>1.0776797</v>
      </c>
      <c r="S499" s="30">
        <v>0</v>
      </c>
      <c r="T499" s="30">
        <v>0</v>
      </c>
      <c r="U499" s="30">
        <v>0</v>
      </c>
      <c r="V499" s="30">
        <v>0</v>
      </c>
    </row>
    <row r="500" spans="3:22" x14ac:dyDescent="0.25">
      <c r="C500" s="4">
        <f>WORKDAY(C499,1,Feriados!$A$2:$A$842)</f>
        <v>45541</v>
      </c>
      <c r="D500" s="30">
        <v>18286015.512499999</v>
      </c>
      <c r="E500" s="32">
        <v>1.0630550000000001</v>
      </c>
      <c r="F500" s="38">
        <f t="shared" ref="F500" si="1309">D500/TRUNC(E500,7)</f>
        <v>17201382.348514423</v>
      </c>
      <c r="G500" s="19">
        <f t="shared" ref="G500" si="1310">H500*I500</f>
        <v>18267252.8369244</v>
      </c>
      <c r="H500" s="31">
        <v>1.1207526000000001</v>
      </c>
      <c r="I500" s="19">
        <f>SUMIFS([1]Master!$K$2:$K$10000,[1]Master!$A$2:$A$10000,$I$12,[1]Master!$F$2:$F$10000,"&lt;="&amp;$C500)</f>
        <v>16299094.766252963</v>
      </c>
      <c r="J500" s="19">
        <f t="shared" ref="J500" si="1311">((((1+1.85%)^(1/252))-1)*D499)+SUM(J499)</f>
        <v>6684.8602697757988</v>
      </c>
      <c r="K500" s="19">
        <f>IF((NETWORKDAYS(DATE(YEAR(C500),MONTH(C500),1),C500,Feriados!$A$2:$A$842))&gt;=5,0,IF(NETWORKDAYS(DATE(YEAR(C500),MONTH(C500),1),C500,Feriados!$A$2:$A$842)=1,J499,K499))</f>
        <v>0</v>
      </c>
      <c r="L500" s="30">
        <v>-199.77</v>
      </c>
      <c r="M500" s="19">
        <f>VLOOKUP(C500,'Fluxo de Caixa'!$B$13:$U$10027,20,FALSE)</f>
        <v>20375.013910224803</v>
      </c>
      <c r="N500" s="19">
        <f>SUMIFS([1]Master!$J$2:$J$100,[1]Master!$A$2:$A$100,"="&amp;$I$12,[1]Master!$E$2:$E$100,"="&amp;C500,[1]Master!$J$2:$J$100,"&gt;"&amp;0)</f>
        <v>0</v>
      </c>
      <c r="O500" s="19">
        <f ca="1">-SUMIF('[1]Fluxo de Movimentações'!$A$5:$F$10001,"="&amp;$C501,'[1]Fluxo de Movimentações'!$B$5:$B$10001)</f>
        <v>0</v>
      </c>
      <c r="P500" s="19">
        <f>-SUMIFS([1]Master!$J$1:$J$200,[1]Master!$A$1:$A$200,"="&amp;$I$12,[1]Master!$G$1:$G$200,"&gt;"&amp;C500,[1]Master!$E$1:$E$200,"&lt;="&amp;C500)</f>
        <v>0</v>
      </c>
      <c r="Q500" s="30">
        <v>5272.0325000000003</v>
      </c>
      <c r="R500" s="32">
        <v>1.0630666</v>
      </c>
      <c r="S500" s="30">
        <v>0</v>
      </c>
      <c r="T500" s="30">
        <v>0</v>
      </c>
      <c r="U500" s="30">
        <v>0</v>
      </c>
      <c r="V500" s="30">
        <v>0</v>
      </c>
    </row>
    <row r="501" spans="3:22" x14ac:dyDescent="0.25">
      <c r="C501" s="4">
        <f>WORKDAY(C500,1,Feriados!$A$2:$A$842)</f>
        <v>45544</v>
      </c>
      <c r="D501" s="30">
        <v>18194575.808699999</v>
      </c>
      <c r="E501" s="32">
        <v>1.0577391</v>
      </c>
      <c r="F501" s="38">
        <f t="shared" ref="F501" si="1312">D501/TRUNC(E501,7)</f>
        <v>17201383.411750589</v>
      </c>
      <c r="G501" s="19">
        <f t="shared" ref="G501" si="1313">H501*I501</f>
        <v>18177180.779427134</v>
      </c>
      <c r="H501" s="31">
        <v>1.1152264000000001</v>
      </c>
      <c r="I501" s="19">
        <f>SUMIFS([1]Master!$K$2:$K$10000,[1]Master!$A$2:$A$10000,$I$12,[1]Master!$F$2:$F$10000,"&lt;="&amp;$C501)</f>
        <v>16299094.766252963</v>
      </c>
      <c r="J501" s="19">
        <f t="shared" ref="J501" si="1314">((((1+1.85%)^(1/252))-1)*D500)+SUM(J500)</f>
        <v>8015.0680084198921</v>
      </c>
      <c r="K501" s="19">
        <f>IF((NETWORKDAYS(DATE(YEAR(C501),MONTH(C501),1),C501,Feriados!$A$2:$A$842))&gt;=5,0,IF(NETWORKDAYS(DATE(YEAR(C501),MONTH(C501),1),C501,Feriados!$A$2:$A$842)=1,J500,K500))</f>
        <v>0</v>
      </c>
      <c r="L501" s="30">
        <v>-158.41</v>
      </c>
      <c r="M501" s="19">
        <f>VLOOKUP(C501,'Fluxo de Caixa'!$B$13:$U$10027,20,FALSE)</f>
        <v>20375.013910224803</v>
      </c>
      <c r="N501" s="19">
        <f>SUMIFS([1]Master!$J$2:$J$100,[1]Master!$A$2:$A$100,"="&amp;$I$12,[1]Master!$E$2:$E$100,"="&amp;C501,[1]Master!$J$2:$J$100,"&gt;"&amp;0)</f>
        <v>0</v>
      </c>
      <c r="O501" s="19">
        <f ca="1">-SUMIF('[1]Fluxo de Movimentações'!$A$5:$F$10001,"="&amp;$C502,'[1]Fluxo de Movimentações'!$B$5:$B$10001)</f>
        <v>0</v>
      </c>
      <c r="P501" s="19">
        <f>-SUMIFS([1]Master!$J$1:$J$200,[1]Master!$A$1:$A$200,"="&amp;$I$12,[1]Master!$G$1:$G$200,"&gt;"&amp;C501,[1]Master!$E$1:$E$200,"&lt;="&amp;C501)</f>
        <v>0</v>
      </c>
      <c r="Q501" s="30">
        <v>5193.2286999999997</v>
      </c>
      <c r="R501" s="32">
        <v>1.0577483999999999</v>
      </c>
      <c r="S501" s="30">
        <v>0</v>
      </c>
      <c r="T501" s="30">
        <v>0</v>
      </c>
      <c r="U501" s="30">
        <v>0</v>
      </c>
      <c r="V501" s="30">
        <v>0</v>
      </c>
    </row>
    <row r="502" spans="3:22" x14ac:dyDescent="0.25">
      <c r="C502" s="4">
        <f>WORKDAY(C501,1,Feriados!$A$2:$A$842)</f>
        <v>45545</v>
      </c>
      <c r="D502" s="30">
        <v>18213513.0649</v>
      </c>
      <c r="E502" s="32">
        <v>1.0588401000000001</v>
      </c>
      <c r="F502" s="38">
        <f t="shared" ref="F502" si="1315">D502/TRUNC(E502,7)</f>
        <v>17201382.026332397</v>
      </c>
      <c r="G502" s="19">
        <f t="shared" ref="G502" si="1316">H502*I502</f>
        <v>18197528.569333322</v>
      </c>
      <c r="H502" s="31">
        <v>1.1164748</v>
      </c>
      <c r="I502" s="19">
        <f>SUMIFS([1]Master!$K$2:$K$10000,[1]Master!$A$2:$A$10000,$I$12,[1]Master!$F$2:$F$10000,"&lt;="&amp;$C502)</f>
        <v>16299094.766252963</v>
      </c>
      <c r="J502" s="19">
        <f t="shared" ref="J502" si="1317">((((1+1.85%)^(1/252))-1)*D501)+SUM(J501)</f>
        <v>9338.6240081145716</v>
      </c>
      <c r="K502" s="19">
        <f>IF((NETWORKDAYS(DATE(YEAR(C502),MONTH(C502),1),C502,Feriados!$A$2:$A$842))&gt;=5,0,IF(NETWORKDAYS(DATE(YEAR(C502),MONTH(C502),1),C502,Feriados!$A$2:$A$842)=1,J501,K501))</f>
        <v>0</v>
      </c>
      <c r="L502" s="30">
        <v>-166.59</v>
      </c>
      <c r="M502" s="19">
        <f>VLOOKUP(C502,'Fluxo de Caixa'!$B$13:$U$10027,20,FALSE)</f>
        <v>20375.013910224803</v>
      </c>
      <c r="N502" s="19">
        <f>SUMIFS([1]Master!$J$2:$J$100,[1]Master!$A$2:$A$100,"="&amp;$I$12,[1]Master!$E$2:$E$100,"="&amp;C502,[1]Master!$J$2:$J$100,"&gt;"&amp;0)</f>
        <v>0</v>
      </c>
      <c r="O502" s="19">
        <f ca="1">-SUMIF('[1]Fluxo de Movimentações'!$A$5:$F$10001,"="&amp;$C503,'[1]Fluxo de Movimentações'!$B$5:$B$10001)</f>
        <v>0</v>
      </c>
      <c r="P502" s="19">
        <f>-SUMIFS([1]Master!$J$1:$J$200,[1]Master!$A$1:$A$200,"="&amp;$I$12,[1]Master!$G$1:$G$200,"&gt;"&amp;C502,[1]Master!$E$1:$E$200,"&lt;="&amp;C502)</f>
        <v>0</v>
      </c>
      <c r="Q502" s="30">
        <v>5114.4249</v>
      </c>
      <c r="R502" s="32">
        <v>1.0588496999999999</v>
      </c>
      <c r="S502" s="30">
        <v>0</v>
      </c>
      <c r="T502" s="30">
        <v>0</v>
      </c>
      <c r="U502" s="30">
        <v>0</v>
      </c>
      <c r="V502" s="30">
        <v>0</v>
      </c>
    </row>
    <row r="503" spans="3:22" x14ac:dyDescent="0.25">
      <c r="C503" s="4">
        <f>WORKDAY(C502,1,Feriados!$A$2:$A$842)</f>
        <v>45546</v>
      </c>
      <c r="D503" s="30">
        <v>18259182.721099999</v>
      </c>
      <c r="E503" s="32">
        <v>1.0614950999999999</v>
      </c>
      <c r="F503" s="38">
        <f t="shared" ref="F503" si="1318">D503/TRUNC(E503,7)</f>
        <v>17201382.014010239</v>
      </c>
      <c r="G503" s="19">
        <f t="shared" ref="G503" si="1319">H503*I503</f>
        <v>18244619.913931981</v>
      </c>
      <c r="H503" s="31">
        <v>1.119364</v>
      </c>
      <c r="I503" s="19">
        <f>SUMIFS([1]Master!$K$2:$K$10000,[1]Master!$A$2:$A$10000,$I$12,[1]Master!$F$2:$F$10000,"&lt;="&amp;$C503)</f>
        <v>16299094.766252963</v>
      </c>
      <c r="J503" s="19">
        <f t="shared" ref="J503" si="1320">((((1+1.85%)^(1/252))-1)*D502)+SUM(J502)</f>
        <v>10663.557589750419</v>
      </c>
      <c r="K503" s="19">
        <f>IF((NETWORKDAYS(DATE(YEAR(C503),MONTH(C503),1),C503,Feriados!$A$2:$A$842))&gt;=5,0,IF(NETWORKDAYS(DATE(YEAR(C503),MONTH(C503),1),C503,Feriados!$A$2:$A$842)=1,J502,K502))</f>
        <v>0</v>
      </c>
      <c r="L503" s="30">
        <v>-184.54</v>
      </c>
      <c r="M503" s="19">
        <f>VLOOKUP(C503,'Fluxo de Caixa'!$B$13:$U$10027,20,FALSE)</f>
        <v>20375.013910224803</v>
      </c>
      <c r="N503" s="19">
        <f>SUMIFS([1]Master!$J$2:$J$100,[1]Master!$A$2:$A$100,"="&amp;$I$12,[1]Master!$E$2:$E$100,"="&amp;C503,[1]Master!$J$2:$J$100,"&gt;"&amp;0)</f>
        <v>0</v>
      </c>
      <c r="O503" s="19">
        <f ca="1">-SUMIF('[1]Fluxo de Movimentações'!$A$5:$F$10001,"="&amp;$C504,'[1]Fluxo de Movimentações'!$B$5:$B$10001)</f>
        <v>0</v>
      </c>
      <c r="P503" s="19">
        <f>-SUMIFS([1]Master!$J$1:$J$200,[1]Master!$A$1:$A$200,"="&amp;$I$12,[1]Master!$G$1:$G$200,"&gt;"&amp;C503,[1]Master!$E$1:$E$200,"&lt;="&amp;C503)</f>
        <v>0</v>
      </c>
      <c r="Q503" s="30">
        <v>5035.6211000000003</v>
      </c>
      <c r="R503" s="32">
        <v>1.0615057999999999</v>
      </c>
      <c r="S503" s="30">
        <v>0</v>
      </c>
      <c r="T503" s="30">
        <v>0</v>
      </c>
      <c r="U503" s="30">
        <v>0</v>
      </c>
      <c r="V503" s="30">
        <v>0</v>
      </c>
    </row>
    <row r="504" spans="3:22" x14ac:dyDescent="0.25">
      <c r="C504" s="4">
        <f>WORKDAY(C503,1,Feriados!$A$2:$A$842)</f>
        <v>45547</v>
      </c>
      <c r="D504" s="30">
        <v>18145418.267299999</v>
      </c>
      <c r="E504" s="32">
        <v>1.0548814</v>
      </c>
      <c r="F504" s="38">
        <f t="shared" ref="F504" si="1321">D504/TRUNC(E504,7)</f>
        <v>17201382.323453613</v>
      </c>
      <c r="G504" s="19">
        <f t="shared" ref="G504" si="1322">H504*I504</f>
        <v>18132211.576967042</v>
      </c>
      <c r="H504" s="31">
        <v>1.1124674000000001</v>
      </c>
      <c r="I504" s="19">
        <f>SUMIFS([1]Master!$K$2:$K$10000,[1]Master!$A$2:$A$10000,$I$12,[1]Master!$F$2:$F$10000,"&lt;="&amp;$C504)</f>
        <v>16299094.766252963</v>
      </c>
      <c r="J504" s="19">
        <f t="shared" ref="J504" si="1323">((((1+1.85%)^(1/252))-1)*D503)+SUM(J503)</f>
        <v>11991.813389397998</v>
      </c>
      <c r="K504" s="19">
        <f>IF((NETWORKDAYS(DATE(YEAR(C504),MONTH(C504),1),C504,Feriados!$A$2:$A$842))&gt;=5,0,IF(NETWORKDAYS(DATE(YEAR(C504),MONTH(C504),1),C504,Feriados!$A$2:$A$842)=1,J503,K503))</f>
        <v>0</v>
      </c>
      <c r="L504" s="30">
        <v>-133.61000000000001</v>
      </c>
      <c r="M504" s="19">
        <f>VLOOKUP(C504,'Fluxo de Caixa'!$B$13:$U$10027,20,FALSE)</f>
        <v>20375.013910224803</v>
      </c>
      <c r="N504" s="19">
        <f>SUMIFS([1]Master!$J$2:$J$100,[1]Master!$A$2:$A$100,"="&amp;$I$12,[1]Master!$E$2:$E$100,"="&amp;C504,[1]Master!$J$2:$J$100,"&gt;"&amp;0)</f>
        <v>0</v>
      </c>
      <c r="O504" s="19">
        <f ca="1">-SUMIF('[1]Fluxo de Movimentações'!$A$5:$F$10001,"="&amp;$C505,'[1]Fluxo de Movimentações'!$B$5:$B$10001)</f>
        <v>0</v>
      </c>
      <c r="P504" s="19">
        <f>-SUMIFS([1]Master!$J$1:$J$200,[1]Master!$A$1:$A$200,"="&amp;$I$12,[1]Master!$G$1:$G$200,"&gt;"&amp;C504,[1]Master!$E$1:$E$200,"&lt;="&amp;C504)</f>
        <v>0</v>
      </c>
      <c r="Q504" s="30">
        <v>4956.8172999999997</v>
      </c>
      <c r="R504" s="32">
        <v>1.0548891</v>
      </c>
      <c r="S504" s="30">
        <v>0</v>
      </c>
      <c r="T504" s="30">
        <v>0</v>
      </c>
      <c r="U504" s="30">
        <v>0</v>
      </c>
      <c r="V504" s="30">
        <v>0</v>
      </c>
    </row>
    <row r="505" spans="3:22" x14ac:dyDescent="0.25">
      <c r="C505" s="4">
        <f>WORKDAY(C504,1,Feriados!$A$2:$A$842)</f>
        <v>45548</v>
      </c>
      <c r="D505" s="30">
        <v>18348092.954700001</v>
      </c>
      <c r="E505" s="32">
        <v>1.0666637999999999</v>
      </c>
      <c r="F505" s="38">
        <f t="shared" ref="F505" si="1324">D505/TRUNC(E505,7)</f>
        <v>17201383.37374907</v>
      </c>
      <c r="G505" s="19">
        <f t="shared" ref="G505" si="1325">H505*I505</f>
        <v>18336370.778190173</v>
      </c>
      <c r="H505" s="31">
        <v>1.1249932</v>
      </c>
      <c r="I505" s="19">
        <f>SUMIFS([1]Master!$K$2:$K$10000,[1]Master!$A$2:$A$10000,$I$12,[1]Master!$F$2:$F$10000,"&lt;="&amp;$C505)</f>
        <v>16299094.766252963</v>
      </c>
      <c r="J505" s="19">
        <f t="shared" ref="J505" si="1326">((((1+1.85%)^(1/252))-1)*D504)+SUM(J504)</f>
        <v>13311.793446485699</v>
      </c>
      <c r="K505" s="19">
        <f>IF((NETWORKDAYS(DATE(YEAR(C505),MONTH(C505),1),C505,Feriados!$A$2:$A$842))&gt;=5,0,IF(NETWORKDAYS(DATE(YEAR(C505),MONTH(C505),1),C505,Feriados!$A$2:$A$842)=1,J504,K504))</f>
        <v>0</v>
      </c>
      <c r="L505" s="30">
        <v>-219.34</v>
      </c>
      <c r="M505" s="19">
        <f>VLOOKUP(C505,'Fluxo de Caixa'!$B$13:$U$10027,20,FALSE)</f>
        <v>19760.353910224803</v>
      </c>
      <c r="N505" s="19">
        <f>SUMIFS([1]Master!$J$2:$J$100,[1]Master!$A$2:$A$100,"="&amp;$I$12,[1]Master!$E$2:$E$100,"="&amp;C505,[1]Master!$J$2:$J$100,"&gt;"&amp;0)</f>
        <v>0</v>
      </c>
      <c r="O505" s="19">
        <f ca="1">-SUMIF('[1]Fluxo de Movimentações'!$A$5:$F$10001,"="&amp;$C506,'[1]Fluxo de Movimentações'!$B$5:$B$10001)</f>
        <v>0</v>
      </c>
      <c r="P505" s="19">
        <f>-SUMIFS([1]Master!$J$1:$J$200,[1]Master!$A$1:$A$200,"="&amp;$I$12,[1]Master!$G$1:$G$200,"&gt;"&amp;C505,[1]Master!$E$1:$E$200,"&lt;="&amp;C505)</f>
        <v>0</v>
      </c>
      <c r="Q505" s="30">
        <v>5492.6746999999996</v>
      </c>
      <c r="R505" s="32">
        <v>1.0666766000000001</v>
      </c>
      <c r="S505" s="30">
        <v>0</v>
      </c>
      <c r="T505" s="30">
        <v>0</v>
      </c>
      <c r="U505" s="30">
        <v>0</v>
      </c>
      <c r="V505" s="30">
        <v>0</v>
      </c>
    </row>
    <row r="506" spans="3:22" x14ac:dyDescent="0.25">
      <c r="C506" s="4">
        <f>WORKDAY(C505,1,Feriados!$A$2:$A$842)</f>
        <v>45551</v>
      </c>
      <c r="D506" s="30">
        <v>18306534.940900002</v>
      </c>
      <c r="E506" s="32">
        <v>1.0642479</v>
      </c>
      <c r="F506" s="38">
        <f t="shared" ref="F506" si="1327">D506/TRUNC(E506,7)</f>
        <v>17201382.253984246</v>
      </c>
      <c r="G506" s="19">
        <f t="shared" ref="G506" si="1328">H506*I506</f>
        <v>18296206.548867173</v>
      </c>
      <c r="H506" s="31">
        <v>1.1225290000000001</v>
      </c>
      <c r="I506" s="19">
        <f>SUMIFS([1]Master!$K$2:$K$10000,[1]Master!$A$2:$A$10000,$I$12,[1]Master!$F$2:$F$10000,"&lt;="&amp;$C506)</f>
        <v>16299094.766252963</v>
      </c>
      <c r="J506" s="19">
        <f t="shared" ref="J506" si="1329">((((1+1.85%)^(1/252))-1)*D505)+SUM(J505)</f>
        <v>14646.516979943224</v>
      </c>
      <c r="K506" s="19">
        <f>IF((NETWORKDAYS(DATE(YEAR(C506),MONTH(C506),1),C506,Feriados!$A$2:$A$842))&gt;=5,0,IF(NETWORKDAYS(DATE(YEAR(C506),MONTH(C506),1),C506,Feriados!$A$2:$A$842)=1,J505,K505))</f>
        <v>0</v>
      </c>
      <c r="L506" s="30">
        <v>-199.6</v>
      </c>
      <c r="M506" s="19">
        <f>VLOOKUP(C506,'Fluxo de Caixa'!$B$13:$U$10027,20,FALSE)</f>
        <v>19760.353910224803</v>
      </c>
      <c r="N506" s="19">
        <f>SUMIFS([1]Master!$J$2:$J$100,[1]Master!$A$2:$A$100,"="&amp;$I$12,[1]Master!$E$2:$E$100,"="&amp;C506,[1]Master!$J$2:$J$100,"&gt;"&amp;0)</f>
        <v>0</v>
      </c>
      <c r="O506" s="19">
        <f ca="1">-SUMIF('[1]Fluxo de Movimentações'!$A$5:$F$10001,"="&amp;$C507,'[1]Fluxo de Movimentações'!$B$5:$B$10001)</f>
        <v>0</v>
      </c>
      <c r="P506" s="19">
        <f>-SUMIFS([1]Master!$J$1:$J$200,[1]Master!$A$1:$A$200,"="&amp;$I$12,[1]Master!$G$1:$G$200,"&gt;"&amp;C506,[1]Master!$E$1:$E$200,"&lt;="&amp;C506)</f>
        <v>0</v>
      </c>
      <c r="Q506" s="30">
        <v>5413.8708999999999</v>
      </c>
      <c r="R506" s="32">
        <v>1.0642594999999999</v>
      </c>
      <c r="S506" s="30">
        <v>0</v>
      </c>
      <c r="T506" s="30">
        <v>0</v>
      </c>
      <c r="U506" s="30">
        <v>0</v>
      </c>
      <c r="V506" s="30">
        <v>0</v>
      </c>
    </row>
    <row r="507" spans="3:22" x14ac:dyDescent="0.25">
      <c r="C507" s="4">
        <f>WORKDAY(C506,1,Feriados!$A$2:$A$842)</f>
        <v>45552</v>
      </c>
      <c r="D507" s="30">
        <v>18381385.577100001</v>
      </c>
      <c r="E507" s="32">
        <v>1.0685993</v>
      </c>
      <c r="F507" s="38">
        <f t="shared" ref="F507" si="1330">D507/TRUNC(E507,7)</f>
        <v>17201382.760684945</v>
      </c>
      <c r="G507" s="19">
        <f t="shared" ref="G507" si="1331">H507*I507</f>
        <v>18372496.091830097</v>
      </c>
      <c r="H507" s="31">
        <v>1.1272096</v>
      </c>
      <c r="I507" s="19">
        <f>SUMIFS([1]Master!$K$2:$K$10000,[1]Master!$A$2:$A$10000,$I$12,[1]Master!$F$2:$F$10000,"&lt;="&amp;$C507)</f>
        <v>16299094.766252963</v>
      </c>
      <c r="J507" s="19">
        <f t="shared" ref="J507" si="1332">((((1+1.85%)^(1/252))-1)*D506)+SUM(J506)</f>
        <v>15978.217394913201</v>
      </c>
      <c r="K507" s="19">
        <f>IF((NETWORKDAYS(DATE(YEAR(C507),MONTH(C507),1),C507,Feriados!$A$2:$A$842))&gt;=5,0,IF(NETWORKDAYS(DATE(YEAR(C507),MONTH(C507),1),C507,Feriados!$A$2:$A$842)=1,J506,K506))</f>
        <v>0</v>
      </c>
      <c r="L507" s="30">
        <v>-228</v>
      </c>
      <c r="M507" s="19">
        <f>VLOOKUP(C507,'Fluxo de Caixa'!$B$13:$U$10027,20,FALSE)</f>
        <v>19760.353910224803</v>
      </c>
      <c r="N507" s="19">
        <f>SUMIFS([1]Master!$J$2:$J$100,[1]Master!$A$2:$A$100,"="&amp;$I$12,[1]Master!$E$2:$E$100,"="&amp;C507,[1]Master!$J$2:$J$100,"&gt;"&amp;0)</f>
        <v>0</v>
      </c>
      <c r="O507" s="19">
        <f ca="1">-SUMIF('[1]Fluxo de Movimentações'!$A$5:$F$10001,"="&amp;$C508,'[1]Fluxo de Movimentações'!$B$5:$B$10001)</f>
        <v>0</v>
      </c>
      <c r="P507" s="19">
        <f>-SUMIFS([1]Master!$J$1:$J$200,[1]Master!$A$1:$A$200,"="&amp;$I$12,[1]Master!$G$1:$G$200,"&gt;"&amp;C507,[1]Master!$E$1:$E$200,"&lt;="&amp;C507)</f>
        <v>0</v>
      </c>
      <c r="Q507" s="30">
        <v>5335.0671000000002</v>
      </c>
      <c r="R507" s="32">
        <v>1.0686126</v>
      </c>
      <c r="S507" s="30">
        <v>0</v>
      </c>
      <c r="T507" s="30">
        <v>0</v>
      </c>
      <c r="U507" s="30">
        <v>0</v>
      </c>
      <c r="V507" s="30">
        <v>0</v>
      </c>
    </row>
    <row r="508" spans="3:22" x14ac:dyDescent="0.25">
      <c r="C508" s="4">
        <f>WORKDAY(C507,1,Feriados!$A$2:$A$842)</f>
        <v>45553</v>
      </c>
      <c r="D508" s="30">
        <v>18351867.103300001</v>
      </c>
      <c r="E508" s="32">
        <v>1.0668833</v>
      </c>
      <c r="F508" s="38">
        <f t="shared" ref="F508" si="1333">D508/TRUNC(E508,7)</f>
        <v>17201381.916185211</v>
      </c>
      <c r="G508" s="19">
        <f t="shared" ref="G508" si="1334">H508*I508</f>
        <v>18344376.893539354</v>
      </c>
      <c r="H508" s="31">
        <v>1.1254843999999999</v>
      </c>
      <c r="I508" s="19">
        <f>SUMIFS([1]Master!$K$2:$K$10000,[1]Master!$A$2:$A$10000,$I$12,[1]Master!$F$2:$F$10000,"&lt;="&amp;$C508)</f>
        <v>16299094.766252963</v>
      </c>
      <c r="J508" s="19">
        <f t="shared" ref="J508" si="1335">((((1+1.85%)^(1/252))-1)*D507)+SUM(J507)</f>
        <v>17315.362784784767</v>
      </c>
      <c r="K508" s="19">
        <f>IF((NETWORKDAYS(DATE(YEAR(C508),MONTH(C508),1),C508,Feriados!$A$2:$A$842))&gt;=5,0,IF(NETWORKDAYS(DATE(YEAR(C508),MONTH(C508),1),C508,Feriados!$A$2:$A$842)=1,J507,K507))</f>
        <v>0</v>
      </c>
      <c r="L508" s="30">
        <v>-211.33</v>
      </c>
      <c r="M508" s="19">
        <f>VLOOKUP(C508,'Fluxo de Caixa'!$B$13:$U$10027,20,FALSE)</f>
        <v>19760.353910224803</v>
      </c>
      <c r="N508" s="19">
        <f>SUMIFS([1]Master!$J$2:$J$100,[1]Master!$A$2:$A$100,"="&amp;$I$12,[1]Master!$E$2:$E$100,"="&amp;C508,[1]Master!$J$2:$J$100,"&gt;"&amp;0)</f>
        <v>0</v>
      </c>
      <c r="O508" s="19">
        <f ca="1">-SUMIF('[1]Fluxo de Movimentações'!$A$5:$F$10001,"="&amp;$C509,'[1]Fluxo de Movimentações'!$B$5:$B$10001)</f>
        <v>0</v>
      </c>
      <c r="P508" s="19">
        <f>-SUMIFS([1]Master!$J$1:$J$200,[1]Master!$A$1:$A$200,"="&amp;$I$12,[1]Master!$G$1:$G$200,"&gt;"&amp;C508,[1]Master!$E$1:$E$200,"&lt;="&amp;C508)</f>
        <v>0</v>
      </c>
      <c r="Q508" s="30">
        <v>5256.2632999999996</v>
      </c>
      <c r="R508" s="32">
        <v>1.0668955</v>
      </c>
      <c r="S508" s="30">
        <v>0</v>
      </c>
      <c r="T508" s="30">
        <v>0</v>
      </c>
      <c r="U508" s="30">
        <v>0</v>
      </c>
      <c r="V508" s="30">
        <v>0</v>
      </c>
    </row>
    <row r="509" spans="3:22" x14ac:dyDescent="0.25">
      <c r="C509" s="4">
        <f>WORKDAY(C508,1,Feriados!$A$2:$A$842)</f>
        <v>45554</v>
      </c>
      <c r="D509" s="30">
        <v>18105793.509500001</v>
      </c>
      <c r="E509" s="32">
        <v>1.0525777999999999</v>
      </c>
      <c r="F509" s="38">
        <f t="shared" ref="F509" si="1336">D509/TRUNC(E509,7)</f>
        <v>17201382.652664728</v>
      </c>
      <c r="G509" s="19">
        <f t="shared" ref="G509" si="1337">H509*I509</f>
        <v>18099606.86779663</v>
      </c>
      <c r="H509" s="31">
        <v>1.1104670000000001</v>
      </c>
      <c r="I509" s="19">
        <f>SUMIFS([1]Master!$K$2:$K$10000,[1]Master!$A$2:$A$10000,$I$12,[1]Master!$F$2:$F$10000,"&lt;="&amp;$C509)</f>
        <v>16299094.766252963</v>
      </c>
      <c r="J509" s="19">
        <f t="shared" ref="J509" si="1338">((((1+1.85%)^(1/252))-1)*D508)+SUM(J508)</f>
        <v>18650.360866936135</v>
      </c>
      <c r="K509" s="19">
        <f>IF((NETWORKDAYS(DATE(YEAR(C509),MONTH(C509),1),C509,Feriados!$A$2:$A$842))&gt;=5,0,IF(NETWORKDAYS(DATE(YEAR(C509),MONTH(C509),1),C509,Feriados!$A$2:$A$842)=1,J508,K508))</f>
        <v>0</v>
      </c>
      <c r="L509" s="30">
        <v>-101.11</v>
      </c>
      <c r="M509" s="19">
        <f>VLOOKUP(C509,'Fluxo de Caixa'!$B$13:$U$10027,20,FALSE)</f>
        <v>19760.353910224803</v>
      </c>
      <c r="N509" s="19">
        <f>SUMIFS([1]Master!$J$2:$J$100,[1]Master!$A$2:$A$100,"="&amp;$I$12,[1]Master!$E$2:$E$100,"="&amp;C509,[1]Master!$J$2:$J$100,"&gt;"&amp;0)</f>
        <v>0</v>
      </c>
      <c r="O509" s="19">
        <f ca="1">-SUMIF('[1]Fluxo de Movimentações'!$A$5:$F$10001,"="&amp;$C510,'[1]Fluxo de Movimentações'!$B$5:$B$10001)</f>
        <v>0</v>
      </c>
      <c r="P509" s="19">
        <f>-SUMIFS([1]Master!$J$1:$J$200,[1]Master!$A$1:$A$200,"="&amp;$I$12,[1]Master!$G$1:$G$200,"&gt;"&amp;C509,[1]Master!$E$1:$E$200,"&lt;="&amp;C509)</f>
        <v>0</v>
      </c>
      <c r="Q509" s="30">
        <v>5177.4594999999999</v>
      </c>
      <c r="R509" s="32">
        <v>1.0525837</v>
      </c>
      <c r="S509" s="30">
        <v>0</v>
      </c>
      <c r="T509" s="30">
        <v>0</v>
      </c>
      <c r="U509" s="30">
        <v>0</v>
      </c>
      <c r="V509" s="30">
        <v>0</v>
      </c>
    </row>
    <row r="510" spans="3:22" x14ac:dyDescent="0.25">
      <c r="C510" s="4">
        <f>WORKDAY(C509,1,Feriados!$A$2:$A$842)</f>
        <v>45555</v>
      </c>
      <c r="D510" s="30">
        <v>17633021.3257</v>
      </c>
      <c r="E510" s="32">
        <v>1.0250933</v>
      </c>
      <c r="F510" s="38">
        <f t="shared" ref="F510" si="1339">D510/TRUNC(E510,7)</f>
        <v>17201381.889531422</v>
      </c>
      <c r="G510" s="19">
        <f t="shared" ref="G510" si="1340">H510*I510</f>
        <v>17628129.473131135</v>
      </c>
      <c r="H510" s="31">
        <v>1.0815404</v>
      </c>
      <c r="I510" s="19">
        <f>SUMIFS([1]Master!$K$2:$K$10000,[1]Master!$A$2:$A$10000,$I$12,[1]Master!$F$2:$F$10000,"&lt;="&amp;$C510)</f>
        <v>16299094.766252963</v>
      </c>
      <c r="J510" s="19">
        <f t="shared" ref="J510" si="1341">((((1+1.85%)^(1/252))-1)*D509)+SUM(J509)</f>
        <v>19967.458439349612</v>
      </c>
      <c r="K510" s="19">
        <f>IF((NETWORKDAYS(DATE(YEAR(C510),MONTH(C510),1),C510,Feriados!$A$2:$A$842))&gt;=5,0,IF(NETWORKDAYS(DATE(YEAR(C510),MONTH(C510),1),C510,Feriados!$A$2:$A$842)=1,J509,K509))</f>
        <v>0</v>
      </c>
      <c r="L510" s="30">
        <v>0</v>
      </c>
      <c r="M510" s="19">
        <f>VLOOKUP(C510,'Fluxo de Caixa'!$B$13:$U$10027,20,FALSE)</f>
        <v>19760.353910224803</v>
      </c>
      <c r="N510" s="19">
        <f>SUMIFS([1]Master!$J$2:$J$100,[1]Master!$A$2:$A$100,"="&amp;$I$12,[1]Master!$E$2:$E$100,"="&amp;C510,[1]Master!$J$2:$J$100,"&gt;"&amp;0)</f>
        <v>0</v>
      </c>
      <c r="O510" s="19">
        <f ca="1">-SUMIF('[1]Fluxo de Movimentações'!$A$5:$F$10001,"="&amp;$C511,'[1]Fluxo de Movimentações'!$B$5:$B$10001)</f>
        <v>0</v>
      </c>
      <c r="P510" s="19">
        <f>-SUMIFS([1]Master!$J$1:$J$200,[1]Master!$A$1:$A$200,"="&amp;$I$12,[1]Master!$G$1:$G$200,"&gt;"&amp;C510,[1]Master!$E$1:$E$200,"&lt;="&amp;C510)</f>
        <v>0</v>
      </c>
      <c r="Q510" s="30">
        <v>5098.6557000000003</v>
      </c>
      <c r="R510" s="32">
        <v>1.0250933</v>
      </c>
      <c r="S510" s="30">
        <v>0</v>
      </c>
      <c r="T510" s="30">
        <v>0</v>
      </c>
      <c r="U510" s="30">
        <v>0</v>
      </c>
      <c r="V510" s="30">
        <v>0</v>
      </c>
    </row>
    <row r="511" spans="3:22" x14ac:dyDescent="0.25">
      <c r="C511" s="4">
        <f>WORKDAY(C510,1,Feriados!$A$2:$A$842)</f>
        <v>45558</v>
      </c>
      <c r="D511" s="30">
        <v>17416756.271899998</v>
      </c>
      <c r="E511" s="32">
        <v>1.014381</v>
      </c>
      <c r="F511" s="38">
        <f t="shared" ref="F511" si="1342">D511/TRUNC(E511,7)</f>
        <v>17169836.848186232</v>
      </c>
      <c r="G511" s="19">
        <f t="shared" ref="G511" si="1343">H511*I511</f>
        <v>17413225.921392675</v>
      </c>
      <c r="H511" s="31">
        <v>1.0703187000000001</v>
      </c>
      <c r="I511" s="19">
        <f>SUMIFS([1]Master!$K$2:$K$10000,[1]Master!$A$2:$A$10000,$I$12,[1]Master!$F$2:$F$10000,"&lt;="&amp;$C511)</f>
        <v>16269197.129222048</v>
      </c>
      <c r="J511" s="19">
        <f t="shared" ref="J511" si="1344">((((1+1.85%)^(1/252))-1)*D510)+SUM(J510)</f>
        <v>21250.164417975117</v>
      </c>
      <c r="K511" s="19">
        <f>IF((NETWORKDAYS(DATE(YEAR(C511),MONTH(C511),1),C511,Feriados!$A$2:$A$842))&gt;=5,0,IF(NETWORKDAYS(DATE(YEAR(C511),MONTH(C511),1),C511,Feriados!$A$2:$A$842)=1,J510,K510))</f>
        <v>0</v>
      </c>
      <c r="L511" s="30">
        <v>0</v>
      </c>
      <c r="M511" s="19">
        <f>VLOOKUP(C511,'Fluxo de Caixa'!$B$13:$U$10027,20,FALSE)</f>
        <v>19760.353910224803</v>
      </c>
      <c r="N511" s="19">
        <f>SUMIFS([1]Master!$J$2:$J$100,[1]Master!$A$2:$A$100,"="&amp;$I$12,[1]Master!$E$2:$E$100,"="&amp;C511,[1]Master!$J$2:$J$100,"&gt;"&amp;0)</f>
        <v>0</v>
      </c>
      <c r="O511" s="19">
        <f ca="1">-SUMIF('[1]Fluxo de Movimentações'!$A$5:$F$10001,"="&amp;$C512,'[1]Fluxo de Movimentações'!$B$5:$B$10001)</f>
        <v>0</v>
      </c>
      <c r="P511" s="19">
        <f>-SUMIFS([1]Master!$J$1:$J$200,[1]Master!$A$1:$A$200,"="&amp;$I$12,[1]Master!$G$1:$G$200,"&gt;"&amp;C511,[1]Master!$E$1:$E$200,"&lt;="&amp;C511)</f>
        <v>32000</v>
      </c>
      <c r="Q511" s="30">
        <v>5019.8518999999997</v>
      </c>
      <c r="R511" s="32">
        <v>1.014381</v>
      </c>
      <c r="S511" s="30">
        <v>0</v>
      </c>
      <c r="T511" s="30">
        <v>0</v>
      </c>
      <c r="U511" s="30">
        <v>-32000</v>
      </c>
      <c r="V511" s="30">
        <v>0</v>
      </c>
    </row>
    <row r="512" spans="3:22" x14ac:dyDescent="0.25">
      <c r="C512" s="4">
        <f>WORKDAY(C511,1,Feriados!$A$2:$A$842)</f>
        <v>45559</v>
      </c>
      <c r="D512" s="30">
        <v>17605971.608100001</v>
      </c>
      <c r="E512" s="32">
        <v>1.0254011999999999</v>
      </c>
      <c r="F512" s="38">
        <f t="shared" ref="F512" si="1345">D512/TRUNC(E512,7)</f>
        <v>17169837.140916161</v>
      </c>
      <c r="G512" s="19">
        <f t="shared" ref="G512" si="1346">H512*I512</f>
        <v>17603787.027367253</v>
      </c>
      <c r="H512" s="31">
        <v>1.0820316999999999</v>
      </c>
      <c r="I512" s="19">
        <f>SUMIFS([1]Master!$K$2:$K$10000,[1]Master!$A$2:$A$10000,$I$12,[1]Master!$F$2:$F$10000,"&lt;="&amp;$C512)</f>
        <v>16269197.129222048</v>
      </c>
      <c r="J512" s="19">
        <f t="shared" ref="J512" si="1347">((((1+1.85%)^(1/252))-1)*D511)+SUM(J511)</f>
        <v>22517.138295314457</v>
      </c>
      <c r="K512" s="19">
        <f>IF((NETWORKDAYS(DATE(YEAR(C512),MONTH(C512),1),C512,Feriados!$A$2:$A$842))&gt;=5,0,IF(NETWORKDAYS(DATE(YEAR(C512),MONTH(C512),1),C512,Feriados!$A$2:$A$842)=1,J511,K511))</f>
        <v>0</v>
      </c>
      <c r="L512" s="30">
        <v>0</v>
      </c>
      <c r="M512" s="19">
        <f>VLOOKUP(C512,'Fluxo de Caixa'!$B$13:$U$10027,20,FALSE)</f>
        <v>19760.353910224803</v>
      </c>
      <c r="N512" s="19">
        <f>SUMIFS([1]Master!$J$2:$J$100,[1]Master!$A$2:$A$100,"="&amp;$I$12,[1]Master!$E$2:$E$100,"="&amp;C512,[1]Master!$J$2:$J$100,"&gt;"&amp;0)</f>
        <v>0</v>
      </c>
      <c r="O512" s="19">
        <f ca="1">-SUMIF('[1]Fluxo de Movimentações'!$A$5:$F$10001,"="&amp;$C513,'[1]Fluxo de Movimentações'!$B$5:$B$10001)</f>
        <v>0</v>
      </c>
      <c r="P512" s="19">
        <f>-SUMIFS([1]Master!$J$1:$J$200,[1]Master!$A$1:$A$200,"="&amp;$I$12,[1]Master!$G$1:$G$200,"&gt;"&amp;C512,[1]Master!$E$1:$E$200,"&lt;="&amp;C512)</f>
        <v>32000</v>
      </c>
      <c r="Q512" s="30">
        <v>4941.0481</v>
      </c>
      <c r="R512" s="32">
        <v>1.0254011999999999</v>
      </c>
      <c r="S512" s="30">
        <v>0</v>
      </c>
      <c r="T512" s="30">
        <v>0</v>
      </c>
      <c r="U512" s="30">
        <v>-32000</v>
      </c>
      <c r="V512" s="30">
        <v>0</v>
      </c>
    </row>
    <row r="513" spans="3:22" x14ac:dyDescent="0.25">
      <c r="C513" s="4">
        <f>WORKDAY(C512,1,Feriados!$A$2:$A$842)</f>
        <v>45560</v>
      </c>
      <c r="D513" s="30">
        <v>17297703.434300002</v>
      </c>
      <c r="E513" s="32">
        <v>1.0074472000000001</v>
      </c>
      <c r="F513" s="38">
        <f t="shared" ref="F513" si="1348">D513/TRUNC(E513,7)</f>
        <v>17169836.229928475</v>
      </c>
      <c r="G513" s="19">
        <f t="shared" ref="G513" si="1349">H513*I513</f>
        <v>17296878.385042757</v>
      </c>
      <c r="H513" s="31">
        <v>1.0631672999999999</v>
      </c>
      <c r="I513" s="19">
        <f>SUMIFS([1]Master!$K$2:$K$10000,[1]Master!$A$2:$A$10000,$I$12,[1]Master!$F$2:$F$10000,"&lt;="&amp;$C513)</f>
        <v>16269197.129222048</v>
      </c>
      <c r="J513" s="19">
        <f t="shared" ref="J513" si="1350">((((1+1.85%)^(1/252))-1)*D512)+SUM(J512)</f>
        <v>23797.876554747389</v>
      </c>
      <c r="K513" s="19">
        <f>IF((NETWORKDAYS(DATE(YEAR(C513),MONTH(C513),1),C513,Feriados!$A$2:$A$842))&gt;=5,0,IF(NETWORKDAYS(DATE(YEAR(C513),MONTH(C513),1),C513,Feriados!$A$2:$A$842)=1,J512,K512))</f>
        <v>0</v>
      </c>
      <c r="L513" s="30">
        <v>0</v>
      </c>
      <c r="M513" s="19">
        <f>VLOOKUP(C513,'Fluxo de Caixa'!$B$13:$U$10027,20,FALSE)</f>
        <v>19760.353910224803</v>
      </c>
      <c r="N513" s="19">
        <f>SUMIFS([1]Master!$J$2:$J$100,[1]Master!$A$2:$A$100,"="&amp;$I$12,[1]Master!$E$2:$E$100,"="&amp;C513,[1]Master!$J$2:$J$100,"&gt;"&amp;0)</f>
        <v>0</v>
      </c>
      <c r="O513" s="19">
        <f ca="1">-SUMIF('[1]Fluxo de Movimentações'!$A$5:$F$10001,"="&amp;$C514,'[1]Fluxo de Movimentações'!$B$5:$B$10001)</f>
        <v>0</v>
      </c>
      <c r="P513" s="19">
        <f>-SUMIFS([1]Master!$J$1:$J$200,[1]Master!$A$1:$A$200,"="&amp;$I$12,[1]Master!$G$1:$G$200,"&gt;"&amp;C513,[1]Master!$E$1:$E$200,"&lt;="&amp;C513)</f>
        <v>0</v>
      </c>
      <c r="Q513" s="30">
        <v>4862.2443000000003</v>
      </c>
      <c r="R513" s="32">
        <v>1.0074472000000001</v>
      </c>
      <c r="S513" s="30">
        <v>0</v>
      </c>
      <c r="T513" s="30">
        <v>0</v>
      </c>
      <c r="U513" s="30">
        <v>0</v>
      </c>
      <c r="V513" s="30">
        <v>0</v>
      </c>
    </row>
    <row r="514" spans="3:22" x14ac:dyDescent="0.25">
      <c r="C514" s="4">
        <f>WORKDAY(C513,1,Feriados!$A$2:$A$842)</f>
        <v>45561</v>
      </c>
      <c r="D514" s="30">
        <v>17435829.1305</v>
      </c>
      <c r="E514" s="32">
        <v>1.0154919</v>
      </c>
      <c r="F514" s="38">
        <f t="shared" ref="F514" si="1351">D514/TRUNC(E514,7)</f>
        <v>17169835.752013385</v>
      </c>
      <c r="G514" s="19">
        <f t="shared" ref="G514" si="1352">H514*I514</f>
        <v>17436341.196673874</v>
      </c>
      <c r="H514" s="31">
        <v>1.0717395000000001</v>
      </c>
      <c r="I514" s="19">
        <f>SUMIFS([1]Master!$K$2:$K$10000,[1]Master!$A$2:$A$10000,$I$12,[1]Master!$F$2:$F$10000,"&lt;="&amp;$C514)</f>
        <v>16269197.129222048</v>
      </c>
      <c r="J514" s="19">
        <f t="shared" ref="J514" si="1353">((((1+1.85%)^(1/252))-1)*D513)+SUM(J513)</f>
        <v>25056.18998849393</v>
      </c>
      <c r="K514" s="19">
        <f>IF((NETWORKDAYS(DATE(YEAR(C514),MONTH(C514),1),C514,Feriados!$A$2:$A$842))&gt;=5,0,IF(NETWORKDAYS(DATE(YEAR(C514),MONTH(C514),1),C514,Feriados!$A$2:$A$842)=1,J513,K513))</f>
        <v>0</v>
      </c>
      <c r="L514" s="30">
        <v>0</v>
      </c>
      <c r="M514" s="19">
        <f>VLOOKUP(C514,'Fluxo de Caixa'!$B$13:$U$10027,20,FALSE)</f>
        <v>19760.353910224803</v>
      </c>
      <c r="N514" s="19">
        <f>SUMIFS([1]Master!$J$2:$J$100,[1]Master!$A$2:$A$100,"="&amp;$I$12,[1]Master!$E$2:$E$100,"="&amp;C514,[1]Master!$J$2:$J$100,"&gt;"&amp;0)</f>
        <v>0</v>
      </c>
      <c r="O514" s="19">
        <f ca="1">-SUMIF('[1]Fluxo de Movimentações'!$A$5:$F$10001,"="&amp;$C515,'[1]Fluxo de Movimentações'!$B$5:$B$10001)</f>
        <v>0</v>
      </c>
      <c r="P514" s="19">
        <f>-SUMIFS([1]Master!$J$1:$J$200,[1]Master!$A$1:$A$200,"="&amp;$I$12,[1]Master!$G$1:$G$200,"&gt;"&amp;C514,[1]Master!$E$1:$E$200,"&lt;="&amp;C514)</f>
        <v>0</v>
      </c>
      <c r="Q514" s="30">
        <v>4783.4404999999997</v>
      </c>
      <c r="R514" s="32">
        <v>1.0154919</v>
      </c>
      <c r="S514" s="30">
        <v>0</v>
      </c>
      <c r="T514" s="30">
        <v>0</v>
      </c>
      <c r="U514" s="30">
        <v>0</v>
      </c>
      <c r="V514" s="30">
        <v>0</v>
      </c>
    </row>
    <row r="515" spans="3:22" x14ac:dyDescent="0.25">
      <c r="C515" s="4">
        <f>WORKDAY(C514,1,Feriados!$A$2:$A$842)</f>
        <v>45562</v>
      </c>
      <c r="D515" s="30">
        <v>17458064.166700002</v>
      </c>
      <c r="E515" s="32">
        <v>1.0167869</v>
      </c>
      <c r="F515" s="38">
        <f t="shared" ref="F515" si="1354">D515/TRUNC(E515,7)</f>
        <v>17169835.849281695</v>
      </c>
      <c r="G515" s="19">
        <f t="shared" ref="G515" si="1355">H515*I515</f>
        <v>17459923.397912681</v>
      </c>
      <c r="H515" s="31">
        <v>1.0731889999999999</v>
      </c>
      <c r="I515" s="19">
        <f>SUMIFS([1]Master!$K$2:$K$10000,[1]Master!$A$2:$A$10000,$I$12,[1]Master!$F$2:$F$10000,"&lt;="&amp;$C515)</f>
        <v>16269197.129222048</v>
      </c>
      <c r="J515" s="19">
        <f t="shared" ref="J515" si="1356">((((1+1.85%)^(1/252))-1)*D514)+SUM(J514)</f>
        <v>26324.551312108291</v>
      </c>
      <c r="K515" s="19">
        <f>IF((NETWORKDAYS(DATE(YEAR(C515),MONTH(C515),1),C515,Feriados!$A$2:$A$842))&gt;=5,0,IF(NETWORKDAYS(DATE(YEAR(C515),MONTH(C515),1),C515,Feriados!$A$2:$A$842)=1,J514,K514))</f>
        <v>0</v>
      </c>
      <c r="L515" s="30">
        <v>0</v>
      </c>
      <c r="M515" s="19">
        <f>VLOOKUP(C515,'Fluxo de Caixa'!$B$13:$U$10027,20,FALSE)</f>
        <v>19760.353910224803</v>
      </c>
      <c r="N515" s="19">
        <f>SUMIFS([1]Master!$J$2:$J$100,[1]Master!$A$2:$A$100,"="&amp;$I$12,[1]Master!$E$2:$E$100,"="&amp;C515,[1]Master!$J$2:$J$100,"&gt;"&amp;0)</f>
        <v>0</v>
      </c>
      <c r="O515" s="19">
        <f ca="1">-SUMIF('[1]Fluxo de Movimentações'!$A$5:$F$10001,"="&amp;$C516,'[1]Fluxo de Movimentações'!$B$5:$B$10001)</f>
        <v>0</v>
      </c>
      <c r="P515" s="19">
        <f>-SUMIFS([1]Master!$J$1:$J$200,[1]Master!$A$1:$A$200,"="&amp;$I$12,[1]Master!$G$1:$G$200,"&gt;"&amp;C515,[1]Master!$E$1:$E$200,"&lt;="&amp;C515)</f>
        <v>0</v>
      </c>
      <c r="Q515" s="30">
        <v>4704.6367</v>
      </c>
      <c r="R515" s="32">
        <v>1.0167869</v>
      </c>
      <c r="S515" s="30">
        <v>0</v>
      </c>
      <c r="T515" s="30">
        <v>0</v>
      </c>
      <c r="U515" s="30">
        <v>0</v>
      </c>
      <c r="V515" s="30">
        <v>0</v>
      </c>
    </row>
    <row r="516" spans="3:22" x14ac:dyDescent="0.25">
      <c r="C516" s="4">
        <f>WORKDAY(C515,1,Feriados!$A$2:$A$842)</f>
        <v>45565</v>
      </c>
      <c r="D516" s="30">
        <v>17227444.982900001</v>
      </c>
      <c r="E516" s="32">
        <v>1.0033551999999999</v>
      </c>
      <c r="F516" s="38">
        <f t="shared" ref="F516" si="1357">D516/TRUNC(E516,7)</f>
        <v>17169836.746647652</v>
      </c>
      <c r="G516" s="19">
        <f t="shared" ref="G516" si="1358">H516*I516</f>
        <v>17230652.991208546</v>
      </c>
      <c r="H516" s="31">
        <v>1.0590967</v>
      </c>
      <c r="I516" s="19">
        <f>SUMIFS([1]Master!$K$2:$K$10000,[1]Master!$A$2:$A$10000,$I$12,[1]Master!$F$2:$F$10000,"&lt;="&amp;$C516)</f>
        <v>16269197.129222048</v>
      </c>
      <c r="J516" s="19">
        <f t="shared" ref="J516:J518" si="1359">((((1+1.85%)^(1/252))-1)*D515)+SUM(J515)</f>
        <v>27594.530113144239</v>
      </c>
      <c r="K516" s="19">
        <f>IF((NETWORKDAYS(DATE(YEAR(C516),MONTH(C516),1),C516,Feriados!$A$2:$A$842))&gt;=5,0,IF(NETWORKDAYS(DATE(YEAR(C516),MONTH(C516),1),C516,Feriados!$A$2:$A$842)=1,J515,K515))</f>
        <v>0</v>
      </c>
      <c r="L516" s="30">
        <v>0</v>
      </c>
      <c r="M516" s="19">
        <f>VLOOKUP(C516,'Fluxo de Caixa'!$B$13:$U$10027,20,FALSE)</f>
        <v>19760.353910224803</v>
      </c>
      <c r="N516" s="19">
        <f>SUMIFS([1]Master!$J$2:$J$100,[1]Master!$A$2:$A$100,"="&amp;$I$12,[1]Master!$E$2:$E$100,"="&amp;C516,[1]Master!$J$2:$J$100,"&gt;"&amp;0)</f>
        <v>0</v>
      </c>
      <c r="O516" s="19">
        <f ca="1">-SUMIF('[1]Fluxo de Movimentações'!$A$5:$F$10001,"="&amp;$C517,'[1]Fluxo de Movimentações'!$B$5:$B$10001)</f>
        <v>0</v>
      </c>
      <c r="P516" s="19">
        <f>-SUMIFS([1]Master!$J$1:$J$200,[1]Master!$A$1:$A$200,"="&amp;$I$12,[1]Master!$G$1:$G$200,"&gt;"&amp;C516,[1]Master!$E$1:$E$200,"&lt;="&amp;C516)</f>
        <v>0</v>
      </c>
      <c r="Q516" s="30">
        <v>4625.8329000000003</v>
      </c>
      <c r="R516" s="32">
        <v>1.0033551999999999</v>
      </c>
      <c r="S516" s="30">
        <v>0</v>
      </c>
      <c r="T516" s="30">
        <v>0</v>
      </c>
      <c r="U516" s="30">
        <v>0</v>
      </c>
      <c r="V516" s="30">
        <v>0</v>
      </c>
    </row>
    <row r="517" spans="3:22" x14ac:dyDescent="0.25">
      <c r="C517" s="4">
        <f>WORKDAY(C516,1,Feriados!$A$2:$A$842)</f>
        <v>45566</v>
      </c>
      <c r="D517" s="30">
        <v>17191663.874200001</v>
      </c>
      <c r="E517" s="32">
        <v>1.0012713</v>
      </c>
      <c r="F517" s="38">
        <f t="shared" ref="F517" si="1360">D517/TRUNC(E517,7)</f>
        <v>17169835.861868806</v>
      </c>
      <c r="G517" s="19">
        <f t="shared" ref="G517" si="1361">H517*I517</f>
        <v>17196201.339367703</v>
      </c>
      <c r="H517" s="31">
        <v>1.0569790999999999</v>
      </c>
      <c r="I517" s="19">
        <f>SUMIFS([1]Master!$K$2:$K$10000,[1]Master!$A$2:$A$10000,$I$12,[1]Master!$F$2:$F$10000,"&lt;="&amp;$C517)</f>
        <v>16269197.129222048</v>
      </c>
      <c r="J517" s="66">
        <f>((((1+1.85%)^(1/252))-1)*D516)</f>
        <v>1253.2025152037038</v>
      </c>
      <c r="K517" s="19">
        <f>IF((NETWORKDAYS(DATE(YEAR(C517),MONTH(C517),1),C517,Feriados!$A$2:$A$842))&gt;=5,0,IF(NETWORKDAYS(DATE(YEAR(C517),MONTH(C517),1),C517,Feriados!$A$2:$A$842)=1,J516,K516))</f>
        <v>27594.530113144239</v>
      </c>
      <c r="L517" s="30">
        <v>0</v>
      </c>
      <c r="M517" s="19">
        <f>VLOOKUP(C517,'Fluxo de Caixa'!$B$13:$U$10027,20,FALSE)</f>
        <v>19760.353910224803</v>
      </c>
      <c r="N517" s="19">
        <f>SUMIFS([1]Master!$J$2:$J$100,[1]Master!$A$2:$A$100,"="&amp;$I$12,[1]Master!$E$2:$E$100,"="&amp;C517,[1]Master!$J$2:$J$100,"&gt;"&amp;0)</f>
        <v>0</v>
      </c>
      <c r="O517" s="19">
        <f ca="1">-SUMIF('[1]Fluxo de Movimentações'!$A$5:$F$10001,"="&amp;$C518,'[1]Fluxo de Movimentações'!$B$5:$B$10001)</f>
        <v>0</v>
      </c>
      <c r="P517" s="19">
        <f>-SUMIFS([1]Master!$J$1:$J$200,[1]Master!$A$1:$A$200,"="&amp;$I$12,[1]Master!$G$1:$G$200,"&gt;"&amp;C517,[1]Master!$E$1:$E$200,"&lt;="&amp;C517)</f>
        <v>0</v>
      </c>
      <c r="Q517" s="30">
        <v>4549.5742</v>
      </c>
      <c r="R517" s="32">
        <v>1.0012713</v>
      </c>
      <c r="S517" s="30">
        <v>0</v>
      </c>
      <c r="T517" s="30">
        <v>0</v>
      </c>
      <c r="U517" s="30">
        <v>0</v>
      </c>
      <c r="V517" s="30">
        <v>0</v>
      </c>
    </row>
    <row r="518" spans="3:22" x14ac:dyDescent="0.25">
      <c r="C518" s="4">
        <f>WORKDAY(C517,1,Feriados!$A$2:$A$842)</f>
        <v>45567</v>
      </c>
      <c r="D518" s="30">
        <v>17320819.2355</v>
      </c>
      <c r="E518" s="32">
        <v>1.0087934999999999</v>
      </c>
      <c r="F518" s="38">
        <f t="shared" ref="F518" si="1362">D518/TRUNC(E518,7)</f>
        <v>17169836.280170325</v>
      </c>
      <c r="G518" s="19">
        <f t="shared" ref="G518" si="1363">H518*I518</f>
        <v>17326683.554183491</v>
      </c>
      <c r="H518" s="31">
        <v>1.0649993</v>
      </c>
      <c r="I518" s="19">
        <f>SUMIFS([1]Master!$K$2:$K$10000,[1]Master!$A$2:$A$10000,$I$12,[1]Master!$F$2:$F$10000,"&lt;="&amp;$C518)</f>
        <v>16269197.129222048</v>
      </c>
      <c r="J518" s="19">
        <f t="shared" si="1359"/>
        <v>2503.8021502087404</v>
      </c>
      <c r="K518" s="19">
        <f>IF((NETWORKDAYS(DATE(YEAR(C518),MONTH(C518),1),C518,Feriados!$A$2:$A$842))&gt;=5,0,IF(NETWORKDAYS(DATE(YEAR(C518),MONTH(C518),1),C518,Feriados!$A$2:$A$842)=1,J517,K517))</f>
        <v>27594.530113144239</v>
      </c>
      <c r="L518" s="30">
        <v>0</v>
      </c>
      <c r="M518" s="19">
        <f>VLOOKUP(C518,'Fluxo de Caixa'!$B$13:$U$10027,20,FALSE)</f>
        <v>19760.353910224803</v>
      </c>
      <c r="N518" s="19">
        <f>SUMIFS([1]Master!$J$2:$J$100,[1]Master!$A$2:$A$100,"="&amp;$I$12,[1]Master!$E$2:$E$100,"="&amp;C518,[1]Master!$J$2:$J$100,"&gt;"&amp;0)</f>
        <v>0</v>
      </c>
      <c r="O518" s="19">
        <f ca="1">-SUMIF('[1]Fluxo de Movimentações'!$A$5:$F$10001,"="&amp;$C519,'[1]Fluxo de Movimentações'!$B$5:$B$10001)</f>
        <v>0</v>
      </c>
      <c r="P518" s="19">
        <f>-SUMIFS([1]Master!$J$1:$J$200,[1]Master!$A$1:$A$200,"="&amp;$I$12,[1]Master!$G$1:$G$200,"&gt;"&amp;C518,[1]Master!$E$1:$E$200,"&lt;="&amp;C518)</f>
        <v>0</v>
      </c>
      <c r="Q518" s="30">
        <v>4473.3154999999997</v>
      </c>
      <c r="R518" s="32">
        <v>1.0087934999999999</v>
      </c>
      <c r="S518" s="30">
        <v>0</v>
      </c>
      <c r="T518" s="30">
        <v>0</v>
      </c>
      <c r="U518" s="30">
        <v>0</v>
      </c>
      <c r="V518" s="30">
        <v>0</v>
      </c>
    </row>
    <row r="519" spans="3:22" x14ac:dyDescent="0.25">
      <c r="C519" s="4">
        <f>WORKDAY(C518,1,Feriados!$A$2:$A$842)</f>
        <v>45568</v>
      </c>
      <c r="D519" s="30">
        <v>16973337.926800001</v>
      </c>
      <c r="E519" s="32">
        <v>0.98855559999999998</v>
      </c>
      <c r="F519" s="38">
        <f t="shared" ref="F519" si="1364">D519/TRUNC(E519,7)</f>
        <v>17169836.40252506</v>
      </c>
      <c r="G519" s="19">
        <f t="shared" ref="G519" si="1365">H519*I519</f>
        <v>16952538.489142451</v>
      </c>
      <c r="H519" s="31">
        <v>1.0437232000000001</v>
      </c>
      <c r="I519" s="19">
        <f>SUMIFS([1]Master!$K$2:$K$10000,[1]Master!$A$2:$A$10000,$I$12,[1]Master!$F$2:$F$10000,"&lt;="&amp;$C519)</f>
        <v>16242370.093088331</v>
      </c>
      <c r="J519" s="19">
        <f t="shared" ref="J519" si="1366">((((1+1.85%)^(1/252))-1)*D518)+SUM(J518)</f>
        <v>3763.7971322193175</v>
      </c>
      <c r="K519" s="19">
        <f>IF((NETWORKDAYS(DATE(YEAR(C519),MONTH(C519),1),C519,Feriados!$A$2:$A$842))&gt;=5,0,IF(NETWORKDAYS(DATE(YEAR(C519),MONTH(C519),1),C519,Feriados!$A$2:$A$842)=1,J518,K518))</f>
        <v>27594.530113144239</v>
      </c>
      <c r="L519" s="30">
        <v>0</v>
      </c>
      <c r="M519" s="19">
        <f>VLOOKUP(C519,'Fluxo de Caixa'!$B$13:$U$10027,20,FALSE)</f>
        <v>19760.353910224803</v>
      </c>
      <c r="N519" s="19">
        <f>SUMIFS([1]Master!$J$2:$J$100,[1]Master!$A$2:$A$100,"="&amp;$I$12,[1]Master!$E$2:$E$100,"="&amp;C519,[1]Master!$J$2:$J$100,"&gt;"&amp;0)</f>
        <v>0</v>
      </c>
      <c r="O519" s="19">
        <f ca="1">-SUMIF('[1]Fluxo de Movimentações'!$A$5:$F$10001,"="&amp;$C520,'[1]Fluxo de Movimentações'!$B$5:$B$10001)</f>
        <v>0</v>
      </c>
      <c r="P519" s="19">
        <f>-SUMIFS([1]Master!$J$1:$J$200,[1]Master!$A$1:$A$200,"="&amp;$I$12,[1]Master!$G$1:$G$200,"&gt;"&amp;C519,[1]Master!$E$1:$E$200,"&lt;="&amp;C519)</f>
        <v>28000</v>
      </c>
      <c r="Q519" s="30">
        <v>4397.0568000000003</v>
      </c>
      <c r="R519" s="32">
        <v>0.98855559999999998</v>
      </c>
      <c r="S519" s="30">
        <v>0</v>
      </c>
      <c r="T519" s="30">
        <v>0</v>
      </c>
      <c r="U519" s="30">
        <v>0</v>
      </c>
      <c r="V519" s="30">
        <v>0</v>
      </c>
    </row>
    <row r="520" spans="3:22" x14ac:dyDescent="0.25">
      <c r="C520" s="4">
        <f>WORKDAY(C519,1,Feriados!$A$2:$A$842)</f>
        <v>45569</v>
      </c>
      <c r="D520" s="30">
        <v>17154534.348099999</v>
      </c>
      <c r="E520" s="32">
        <v>0.99910880000000002</v>
      </c>
      <c r="F520" s="38">
        <f t="shared" ref="F520" si="1367">D520/TRUNC(E520,7)</f>
        <v>17169836.106037699</v>
      </c>
      <c r="G520" s="19">
        <f t="shared" ref="G520" si="1368">H520*I520</f>
        <v>17135045.880693436</v>
      </c>
      <c r="H520" s="31">
        <v>1.0549596999999999</v>
      </c>
      <c r="I520" s="19">
        <f>SUMIFS([1]Master!$K$2:$K$10000,[1]Master!$A$2:$A$10000,$I$12,[1]Master!$F$2:$F$10000,"&lt;="&amp;$C520)</f>
        <v>16242370.093088331</v>
      </c>
      <c r="J520" s="19">
        <f t="shared" ref="J520" si="1369">((((1+1.85%)^(1/252))-1)*D519)+SUM(J519)</f>
        <v>4998.5147471867058</v>
      </c>
      <c r="K520" s="19">
        <f>IF((NETWORKDAYS(DATE(YEAR(C520),MONTH(C520),1),C520,Feriados!$A$2:$A$842))&gt;=5,0,IF(NETWORKDAYS(DATE(YEAR(C520),MONTH(C520),1),C520,Feriados!$A$2:$A$842)=1,J519,K519))</f>
        <v>27594.530113144239</v>
      </c>
      <c r="L520" s="30">
        <v>0</v>
      </c>
      <c r="M520" s="19">
        <f>VLOOKUP(C520,'Fluxo de Caixa'!$B$13:$U$10027,20,FALSE)</f>
        <v>19760.353910224803</v>
      </c>
      <c r="N520" s="19">
        <f>SUMIFS([1]Master!$J$2:$J$100,[1]Master!$A$2:$A$100,"="&amp;$I$12,[1]Master!$E$2:$E$100,"="&amp;C520,[1]Master!$J$2:$J$100,"&gt;"&amp;0)</f>
        <v>0</v>
      </c>
      <c r="O520" s="19">
        <f ca="1">-SUMIF('[1]Fluxo de Movimentações'!$A$5:$F$10001,"="&amp;$C521,'[1]Fluxo de Movimentações'!$B$5:$B$10001)</f>
        <v>0</v>
      </c>
      <c r="P520" s="19">
        <f>-SUMIFS([1]Master!$J$1:$J$200,[1]Master!$A$1:$A$200,"="&amp;$I$12,[1]Master!$G$1:$G$200,"&gt;"&amp;C520,[1]Master!$E$1:$E$200,"&lt;="&amp;C520)</f>
        <v>28000</v>
      </c>
      <c r="Q520" s="30">
        <v>4320.7981</v>
      </c>
      <c r="R520" s="32">
        <v>0.99910880000000002</v>
      </c>
      <c r="S520" s="30">
        <v>0</v>
      </c>
      <c r="T520" s="30">
        <v>0</v>
      </c>
      <c r="U520" s="30">
        <v>0</v>
      </c>
      <c r="V520" s="30">
        <v>0</v>
      </c>
    </row>
    <row r="521" spans="3:22" x14ac:dyDescent="0.25">
      <c r="C521" s="4">
        <f>WORKDAY(C520,1,Feriados!$A$2:$A$842)</f>
        <v>45572</v>
      </c>
      <c r="D521" s="30">
        <v>17047183.259399999</v>
      </c>
      <c r="E521" s="32">
        <v>0.99285650000000003</v>
      </c>
      <c r="F521" s="38">
        <f t="shared" ref="F521" si="1370">D521/TRUNC(E521,7)</f>
        <v>17169835.982742719</v>
      </c>
      <c r="G521" s="19">
        <f t="shared" ref="G521" si="1371">H521*I521</f>
        <v>17029018.937199775</v>
      </c>
      <c r="H521" s="31">
        <v>1.0484319</v>
      </c>
      <c r="I521" s="19">
        <f>SUMIFS([1]Master!$K$2:$K$10000,[1]Master!$A$2:$A$10000,$I$12,[1]Master!$F$2:$F$10000,"&lt;="&amp;$C521)</f>
        <v>16242370.093088331</v>
      </c>
      <c r="J521" s="19">
        <f t="shared" ref="J521" si="1372">((((1+1.85%)^(1/252))-1)*D520)+SUM(J520)</f>
        <v>6246.4134119931423</v>
      </c>
      <c r="K521" s="19">
        <f>IF((NETWORKDAYS(DATE(YEAR(C521),MONTH(C521),1),C521,Feriados!$A$2:$A$842))&gt;=5,0,IF(NETWORKDAYS(DATE(YEAR(C521),MONTH(C521),1),C521,Feriados!$A$2:$A$842)=1,J520,K520))</f>
        <v>0</v>
      </c>
      <c r="L521" s="30">
        <v>0</v>
      </c>
      <c r="M521" s="19">
        <f>VLOOKUP(C521,'Fluxo de Caixa'!$B$13:$U$10027,20,FALSE)</f>
        <v>20165.823797080604</v>
      </c>
      <c r="N521" s="19">
        <f>SUMIFS([1]Master!$J$2:$J$100,[1]Master!$A$2:$A$100,"="&amp;$I$12,[1]Master!$E$2:$E$100,"="&amp;C521,[1]Master!$J$2:$J$100,"&gt;"&amp;0)</f>
        <v>0</v>
      </c>
      <c r="O521" s="19">
        <f ca="1">-SUMIF('[1]Fluxo de Movimentações'!$A$5:$F$10001,"="&amp;$C522,'[1]Fluxo de Movimentações'!$B$5:$B$10001)</f>
        <v>0</v>
      </c>
      <c r="P521" s="19">
        <f>-SUMIFS([1]Master!$J$1:$J$200,[1]Master!$A$1:$A$200,"="&amp;$I$12,[1]Master!$G$1:$G$200,"&gt;"&amp;C521,[1]Master!$E$1:$E$200,"&lt;="&amp;C521)</f>
        <v>0</v>
      </c>
      <c r="Q521" s="30">
        <v>4244.5393999999997</v>
      </c>
      <c r="R521" s="32">
        <v>0.99285650000000003</v>
      </c>
      <c r="S521" s="30">
        <v>0</v>
      </c>
      <c r="T521" s="30">
        <v>0</v>
      </c>
      <c r="U521" s="30">
        <v>0</v>
      </c>
      <c r="V521" s="30">
        <v>0</v>
      </c>
    </row>
    <row r="522" spans="3:22" x14ac:dyDescent="0.25">
      <c r="C522" s="4">
        <f>WORKDAY(C521,1,Feriados!$A$2:$A$842)</f>
        <v>45573</v>
      </c>
      <c r="D522" s="30">
        <v>17171113.460700002</v>
      </c>
      <c r="E522" s="32">
        <v>1.0000743999999999</v>
      </c>
      <c r="F522" s="38">
        <f t="shared" ref="F522" si="1373">D522/TRUNC(E522,7)</f>
        <v>17169836.024899751</v>
      </c>
      <c r="G522" s="19">
        <f t="shared" ref="G522" si="1374">H522*I522</f>
        <v>17154265.477224588</v>
      </c>
      <c r="H522" s="31">
        <v>1.0561430000000001</v>
      </c>
      <c r="I522" s="19">
        <f>SUMIFS([1]Master!$K$2:$K$10000,[1]Master!$A$2:$A$10000,$I$12,[1]Master!$F$2:$F$10000,"&lt;="&amp;$C522)</f>
        <v>16242370.093088331</v>
      </c>
      <c r="J522" s="19">
        <f t="shared" ref="J522" si="1375">((((1+1.85%)^(1/252))-1)*D521)+SUM(J521)</f>
        <v>7486.5028715168319</v>
      </c>
      <c r="K522" s="19">
        <f>IF((NETWORKDAYS(DATE(YEAR(C522),MONTH(C522),1),C522,Feriados!$A$2:$A$842))&gt;=5,0,IF(NETWORKDAYS(DATE(YEAR(C522),MONTH(C522),1),C522,Feriados!$A$2:$A$842)=1,J521,K521))</f>
        <v>0</v>
      </c>
      <c r="L522" s="30">
        <v>0</v>
      </c>
      <c r="M522" s="19">
        <f>VLOOKUP(C522,'Fluxo de Caixa'!$B$13:$U$10027,20,FALSE)</f>
        <v>20165.823797080604</v>
      </c>
      <c r="N522" s="19">
        <f>SUMIFS([1]Master!$J$2:$J$100,[1]Master!$A$2:$A$100,"="&amp;$I$12,[1]Master!$E$2:$E$100,"="&amp;C522,[1]Master!$J$2:$J$100,"&gt;"&amp;0)</f>
        <v>0</v>
      </c>
      <c r="O522" s="19">
        <f ca="1">-SUMIF('[1]Fluxo de Movimentações'!$A$5:$F$10001,"="&amp;$C523,'[1]Fluxo de Movimentações'!$B$5:$B$10001)</f>
        <v>0</v>
      </c>
      <c r="P522" s="19">
        <f>-SUMIFS([1]Master!$J$1:$J$200,[1]Master!$A$1:$A$200,"="&amp;$I$12,[1]Master!$G$1:$G$200,"&gt;"&amp;C522,[1]Master!$E$1:$E$200,"&lt;="&amp;C522)</f>
        <v>0</v>
      </c>
      <c r="Q522" s="30">
        <v>4168.2807000000003</v>
      </c>
      <c r="R522" s="32">
        <v>1.0000743999999999</v>
      </c>
      <c r="S522" s="30">
        <v>0</v>
      </c>
      <c r="T522" s="30">
        <v>0</v>
      </c>
      <c r="U522" s="30">
        <v>0</v>
      </c>
      <c r="V522" s="30">
        <v>0</v>
      </c>
    </row>
    <row r="523" spans="3:22" x14ac:dyDescent="0.25">
      <c r="C523" s="4">
        <f>WORKDAY(C522,1,Feriados!$A$2:$A$842)</f>
        <v>45574</v>
      </c>
      <c r="D523" s="30">
        <v>16861092.112</v>
      </c>
      <c r="E523" s="32">
        <v>0.98201819999999995</v>
      </c>
      <c r="F523" s="38">
        <f t="shared" ref="F523" si="1376">D523/TRUNC(E523,7)</f>
        <v>17169836.681234624</v>
      </c>
      <c r="G523" s="19">
        <f t="shared" ref="G523" si="1377">H523*I523</f>
        <v>16845569.48818339</v>
      </c>
      <c r="H523" s="31">
        <v>1.0371374</v>
      </c>
      <c r="I523" s="19">
        <f>SUMIFS([1]Master!$K$2:$K$10000,[1]Master!$A$2:$A$10000,$I$12,[1]Master!$F$2:$F$10000,"&lt;="&amp;$C523)</f>
        <v>16242370.093088331</v>
      </c>
      <c r="J523" s="19">
        <f t="shared" ref="J523" si="1378">((((1+1.85%)^(1/252))-1)*D522)+SUM(J522)</f>
        <v>8735.6075761992215</v>
      </c>
      <c r="K523" s="19">
        <f>IF((NETWORKDAYS(DATE(YEAR(C523),MONTH(C523),1),C523,Feriados!$A$2:$A$842))&gt;=5,0,IF(NETWORKDAYS(DATE(YEAR(C523),MONTH(C523),1),C523,Feriados!$A$2:$A$842)=1,J522,K522))</f>
        <v>0</v>
      </c>
      <c r="L523" s="30">
        <v>0</v>
      </c>
      <c r="M523" s="19">
        <f>VLOOKUP(C523,'Fluxo de Caixa'!$B$13:$U$10027,20,FALSE)</f>
        <v>20165.823797080604</v>
      </c>
      <c r="N523" s="19">
        <f>SUMIFS([1]Master!$J$2:$J$100,[1]Master!$A$2:$A$100,"="&amp;$I$12,[1]Master!$E$2:$E$100,"="&amp;C523,[1]Master!$J$2:$J$100,"&gt;"&amp;0)</f>
        <v>0</v>
      </c>
      <c r="O523" s="19">
        <f ca="1">-SUMIF('[1]Fluxo de Movimentações'!$A$5:$F$10001,"="&amp;$C524,'[1]Fluxo de Movimentações'!$B$5:$B$10001)</f>
        <v>0</v>
      </c>
      <c r="P523" s="19">
        <f>-SUMIFS([1]Master!$J$1:$J$200,[1]Master!$A$1:$A$200,"="&amp;$I$12,[1]Master!$G$1:$G$200,"&gt;"&amp;C523,[1]Master!$E$1:$E$200,"&lt;="&amp;C523)</f>
        <v>0</v>
      </c>
      <c r="Q523" s="30">
        <v>4092.0219999999999</v>
      </c>
      <c r="R523" s="32">
        <v>0.98201819999999995</v>
      </c>
      <c r="S523" s="30">
        <v>0</v>
      </c>
      <c r="T523" s="30">
        <v>0</v>
      </c>
      <c r="U523" s="30">
        <v>0</v>
      </c>
      <c r="V523" s="30">
        <v>0</v>
      </c>
    </row>
    <row r="524" spans="3:22" x14ac:dyDescent="0.25">
      <c r="C524" s="4">
        <f>WORKDAY(C523,1,Feriados!$A$2:$A$842)</f>
        <v>45575</v>
      </c>
      <c r="D524" s="30">
        <v>16852675.143300001</v>
      </c>
      <c r="E524" s="32">
        <v>0.98152799999999996</v>
      </c>
      <c r="F524" s="38">
        <f t="shared" ref="F524" si="1379">D524/TRUNC(E524,7)</f>
        <v>17169836.360552121</v>
      </c>
      <c r="G524" s="19">
        <f t="shared" ref="G524" si="1380">H524*I524</f>
        <v>16838455.330082618</v>
      </c>
      <c r="H524" s="31">
        <v>1.0366994</v>
      </c>
      <c r="I524" s="19">
        <f>SUMIFS([1]Master!$K$2:$K$10000,[1]Master!$A$2:$A$10000,$I$12,[1]Master!$F$2:$F$10000,"&lt;="&amp;$C524)</f>
        <v>16242370.093088331</v>
      </c>
      <c r="J524" s="19">
        <f t="shared" ref="J524" si="1381">((((1+1.85%)^(1/252))-1)*D523)+SUM(J523)</f>
        <v>9962.1599212982055</v>
      </c>
      <c r="K524" s="19">
        <f>IF((NETWORKDAYS(DATE(YEAR(C524),MONTH(C524),1),C524,Feriados!$A$2:$A$842))&gt;=5,0,IF(NETWORKDAYS(DATE(YEAR(C524),MONTH(C524),1),C524,Feriados!$A$2:$A$842)=1,J523,K523))</f>
        <v>0</v>
      </c>
      <c r="L524" s="30">
        <v>0</v>
      </c>
      <c r="M524" s="19">
        <f>VLOOKUP(C524,'Fluxo de Caixa'!$B$13:$U$10027,20,FALSE)</f>
        <v>20165.823797080604</v>
      </c>
      <c r="N524" s="19">
        <f>SUMIFS([1]Master!$J$2:$J$100,[1]Master!$A$2:$A$100,"="&amp;$I$12,[1]Master!$E$2:$E$100,"="&amp;C524,[1]Master!$J$2:$J$100,"&gt;"&amp;0)</f>
        <v>0</v>
      </c>
      <c r="O524" s="19">
        <f ca="1">-SUMIF('[1]Fluxo de Movimentações'!$A$5:$F$10001,"="&amp;$C525,'[1]Fluxo de Movimentações'!$B$5:$B$10001)</f>
        <v>0</v>
      </c>
      <c r="P524" s="19">
        <f>-SUMIFS([1]Master!$J$1:$J$200,[1]Master!$A$1:$A$200,"="&amp;$I$12,[1]Master!$G$1:$G$200,"&gt;"&amp;C524,[1]Master!$E$1:$E$200,"&lt;="&amp;C524)</f>
        <v>0</v>
      </c>
      <c r="Q524" s="30">
        <v>4015.7633000000001</v>
      </c>
      <c r="R524" s="32">
        <v>0.98152799999999996</v>
      </c>
      <c r="S524" s="30">
        <v>0</v>
      </c>
      <c r="T524" s="30">
        <v>0</v>
      </c>
      <c r="U524" s="30">
        <v>0</v>
      </c>
      <c r="V524" s="30">
        <v>0</v>
      </c>
    </row>
    <row r="525" spans="3:22" x14ac:dyDescent="0.25">
      <c r="C525" s="4">
        <f>WORKDAY(C524,1,Feriados!$A$2:$A$842)</f>
        <v>45576</v>
      </c>
      <c r="D525" s="30">
        <v>16859062.084600002</v>
      </c>
      <c r="E525" s="32">
        <v>0.9819</v>
      </c>
      <c r="F525" s="38">
        <f t="shared" ref="F525" si="1382">D525/TRUNC(E525,7)</f>
        <v>17169836.118341994</v>
      </c>
      <c r="G525" s="19">
        <f t="shared" ref="G525" si="1383">H525*I525</f>
        <v>16846144.468084686</v>
      </c>
      <c r="H525" s="31">
        <v>1.0371728</v>
      </c>
      <c r="I525" s="19">
        <f>SUMIFS([1]Master!$K$2:$K$10000,[1]Master!$A$2:$A$10000,$I$12,[1]Master!$F$2:$F$10000,"&lt;="&amp;$C525)</f>
        <v>16242370.093088331</v>
      </c>
      <c r="J525" s="19">
        <f t="shared" ref="J525" si="1384">((((1+1.85%)^(1/252))-1)*D524)+SUM(J524)</f>
        <v>11188.099977903121</v>
      </c>
      <c r="K525" s="19">
        <f>IF((NETWORKDAYS(DATE(YEAR(C525),MONTH(C525),1),C525,Feriados!$A$2:$A$842))&gt;=5,0,IF(NETWORKDAYS(DATE(YEAR(C525),MONTH(C525),1),C525,Feriados!$A$2:$A$842)=1,J524,K524))</f>
        <v>0</v>
      </c>
      <c r="L525" s="30">
        <v>0</v>
      </c>
      <c r="M525" s="19">
        <f>VLOOKUP(C525,'Fluxo de Caixa'!$B$13:$U$10027,20,FALSE)</f>
        <v>20165.823797080604</v>
      </c>
      <c r="N525" s="19">
        <f>SUMIFS([1]Master!$J$2:$J$100,[1]Master!$A$2:$A$100,"="&amp;$I$12,[1]Master!$E$2:$E$100,"="&amp;C525,[1]Master!$J$2:$J$100,"&gt;"&amp;0)</f>
        <v>0</v>
      </c>
      <c r="O525" s="19">
        <f ca="1">-SUMIF('[1]Fluxo de Movimentações'!$A$5:$F$10001,"="&amp;$C526,'[1]Fluxo de Movimentações'!$B$5:$B$10001)</f>
        <v>0</v>
      </c>
      <c r="P525" s="19">
        <f>-SUMIFS([1]Master!$J$1:$J$200,[1]Master!$A$1:$A$200,"="&amp;$I$12,[1]Master!$G$1:$G$200,"&gt;"&amp;C525,[1]Master!$E$1:$E$200,"&lt;="&amp;C525)</f>
        <v>0</v>
      </c>
      <c r="Q525" s="30">
        <v>3939.5046000000002</v>
      </c>
      <c r="R525" s="32">
        <v>0.9819</v>
      </c>
      <c r="S525" s="30">
        <v>0</v>
      </c>
      <c r="T525" s="30">
        <v>0</v>
      </c>
      <c r="U525" s="30">
        <v>0</v>
      </c>
      <c r="V525" s="30">
        <v>0</v>
      </c>
    </row>
    <row r="526" spans="3:22" x14ac:dyDescent="0.25">
      <c r="C526" s="4">
        <f>WORKDAY(C525,1,Feriados!$A$2:$A$842)</f>
        <v>45579</v>
      </c>
      <c r="D526" s="30">
        <v>17110815.546100002</v>
      </c>
      <c r="E526" s="32">
        <v>0.99656250000000002</v>
      </c>
      <c r="F526" s="38">
        <f t="shared" ref="F526" si="1385">D526/TRUNC(E526,7)</f>
        <v>17169836.860307306</v>
      </c>
      <c r="G526" s="19">
        <f t="shared" ref="G526" si="1386">H526*I526</f>
        <v>17099200.594135001</v>
      </c>
      <c r="H526" s="31">
        <v>1.0527527999999999</v>
      </c>
      <c r="I526" s="19">
        <f>SUMIFS([1]Master!$K$2:$K$10000,[1]Master!$A$2:$A$10000,$I$12,[1]Master!$F$2:$F$10000,"&lt;="&amp;$C526)</f>
        <v>16242370.093088331</v>
      </c>
      <c r="J526" s="19">
        <f t="shared" ref="J526" si="1387">((((1+1.85%)^(1/252))-1)*D525)+SUM(J525)</f>
        <v>12414.50464959806</v>
      </c>
      <c r="K526" s="19">
        <f>IF((NETWORKDAYS(DATE(YEAR(C526),MONTH(C526),1),C526,Feriados!$A$2:$A$842))&gt;=5,0,IF(NETWORKDAYS(DATE(YEAR(C526),MONTH(C526),1),C526,Feriados!$A$2:$A$842)=1,J525,K525))</f>
        <v>0</v>
      </c>
      <c r="L526" s="30">
        <v>0</v>
      </c>
      <c r="M526" s="19">
        <f>VLOOKUP(C526,'Fluxo de Caixa'!$B$13:$U$10027,20,FALSE)</f>
        <v>19551.163797080604</v>
      </c>
      <c r="N526" s="19">
        <f>SUMIFS([1]Master!$J$2:$J$100,[1]Master!$A$2:$A$100,"="&amp;$I$12,[1]Master!$E$2:$E$100,"="&amp;C526,[1]Master!$J$2:$J$100,"&gt;"&amp;0)</f>
        <v>0</v>
      </c>
      <c r="O526" s="19">
        <f ca="1">-SUMIF('[1]Fluxo de Movimentações'!$A$5:$F$10001,"="&amp;$C527,'[1]Fluxo de Movimentações'!$B$5:$B$10001)</f>
        <v>0</v>
      </c>
      <c r="P526" s="19">
        <f>-SUMIFS([1]Master!$J$1:$J$200,[1]Master!$A$1:$A$200,"="&amp;$I$12,[1]Master!$G$1:$G$200,"&gt;"&amp;C526,[1]Master!$E$1:$E$200,"&lt;="&amp;C526)</f>
        <v>0</v>
      </c>
      <c r="Q526" s="30">
        <v>4477.9061000000002</v>
      </c>
      <c r="R526" s="32">
        <v>0.99656250000000002</v>
      </c>
      <c r="S526" s="30">
        <v>0</v>
      </c>
      <c r="T526" s="30">
        <v>0</v>
      </c>
      <c r="U526" s="30">
        <v>0</v>
      </c>
      <c r="V526" s="30">
        <v>0</v>
      </c>
    </row>
    <row r="527" spans="3:22" x14ac:dyDescent="0.25">
      <c r="C527" s="4">
        <f>WORKDAY(C526,1,Feriados!$A$2:$A$842)</f>
        <v>45580</v>
      </c>
      <c r="D527" s="30">
        <v>17130926.387400001</v>
      </c>
      <c r="E527" s="32">
        <v>0.9977338</v>
      </c>
      <c r="F527" s="38">
        <f t="shared" ref="F527" si="1388">D527/TRUNC(E527,7)</f>
        <v>17169836.671264421</v>
      </c>
      <c r="G527" s="19">
        <f t="shared" ref="G527" si="1389">H527*I527</f>
        <v>17120632.401472833</v>
      </c>
      <c r="H527" s="31">
        <v>1.0540723000000001</v>
      </c>
      <c r="I527" s="19">
        <f>SUMIFS([1]Master!$K$2:$K$10000,[1]Master!$A$2:$A$10000,$I$12,[1]Master!$F$2:$F$10000,"&lt;="&amp;$C527)</f>
        <v>16242370.093088331</v>
      </c>
      <c r="J527" s="19">
        <f t="shared" ref="J527" si="1390">((((1+1.85%)^(1/252))-1)*D526)+SUM(J526)</f>
        <v>13659.223010379003</v>
      </c>
      <c r="K527" s="19">
        <f>IF((NETWORKDAYS(DATE(YEAR(C527),MONTH(C527),1),C527,Feriados!$A$2:$A$842))&gt;=5,0,IF(NETWORKDAYS(DATE(YEAR(C527),MONTH(C527),1),C527,Feriados!$A$2:$A$842)=1,J526,K526))</f>
        <v>0</v>
      </c>
      <c r="L527" s="30">
        <v>0</v>
      </c>
      <c r="M527" s="19">
        <f>VLOOKUP(C527,'Fluxo de Caixa'!$B$13:$U$10027,20,FALSE)</f>
        <v>19551.163797080604</v>
      </c>
      <c r="N527" s="19">
        <f>SUMIFS([1]Master!$J$2:$J$100,[1]Master!$A$2:$A$100,"="&amp;$I$12,[1]Master!$E$2:$E$100,"="&amp;C527,[1]Master!$J$2:$J$100,"&gt;"&amp;0)</f>
        <v>0</v>
      </c>
      <c r="O527" s="19">
        <f ca="1">-SUMIF('[1]Fluxo de Movimentações'!$A$5:$F$10001,"="&amp;$C528,'[1]Fluxo de Movimentações'!$B$5:$B$10001)</f>
        <v>0</v>
      </c>
      <c r="P527" s="19">
        <f>-SUMIFS([1]Master!$J$1:$J$200,[1]Master!$A$1:$A$200,"="&amp;$I$12,[1]Master!$G$1:$G$200,"&gt;"&amp;C527,[1]Master!$E$1:$E$200,"&lt;="&amp;C527)</f>
        <v>0</v>
      </c>
      <c r="Q527" s="30">
        <v>4401.6473999999998</v>
      </c>
      <c r="R527" s="32">
        <v>0.9977338</v>
      </c>
      <c r="S527" s="30">
        <v>0</v>
      </c>
      <c r="T527" s="30">
        <v>0</v>
      </c>
      <c r="U527" s="30">
        <v>0</v>
      </c>
      <c r="V527" s="30">
        <v>0</v>
      </c>
    </row>
    <row r="528" spans="3:22" x14ac:dyDescent="0.25">
      <c r="C528" s="4">
        <f>WORKDAY(C527,1,Feriados!$A$2:$A$842)</f>
        <v>45581</v>
      </c>
      <c r="D528" s="30">
        <v>17223676.506999999</v>
      </c>
      <c r="E528" s="32">
        <v>1.0031357000000001</v>
      </c>
      <c r="F528" s="38">
        <f t="shared" ref="F528" si="1391">D528/TRUNC(E528,7)</f>
        <v>17169837.048965558</v>
      </c>
      <c r="G528" s="19">
        <f t="shared" ref="G528" si="1392">H528*I528</f>
        <v>17214704.96057798</v>
      </c>
      <c r="H528" s="31">
        <v>1.0598641</v>
      </c>
      <c r="I528" s="19">
        <f>SUMIFS([1]Master!$K$2:$K$10000,[1]Master!$A$2:$A$10000,$I$12,[1]Master!$F$2:$F$10000,"&lt;="&amp;$C528)</f>
        <v>16242370.093088331</v>
      </c>
      <c r="J528" s="19">
        <f t="shared" ref="J528" si="1393">((((1+1.85%)^(1/252))-1)*D527)+SUM(J527)</f>
        <v>14905.404325006266</v>
      </c>
      <c r="K528" s="19">
        <f>IF((NETWORKDAYS(DATE(YEAR(C528),MONTH(C528),1),C528,Feriados!$A$2:$A$842))&gt;=5,0,IF(NETWORKDAYS(DATE(YEAR(C528),MONTH(C528),1),C528,Feriados!$A$2:$A$842)=1,J527,K527))</f>
        <v>0</v>
      </c>
      <c r="L528" s="30">
        <v>0</v>
      </c>
      <c r="M528" s="19">
        <f>VLOOKUP(C528,'Fluxo de Caixa'!$B$13:$U$10027,20,FALSE)</f>
        <v>19551.163797080604</v>
      </c>
      <c r="N528" s="19">
        <f>SUMIFS([1]Master!$J$2:$J$100,[1]Master!$A$2:$A$100,"="&amp;$I$12,[1]Master!$E$2:$E$100,"="&amp;C528,[1]Master!$J$2:$J$100,"&gt;"&amp;0)</f>
        <v>0</v>
      </c>
      <c r="O528" s="19">
        <f ca="1">-SUMIF('[1]Fluxo de Movimentações'!$A$5:$F$10001,"="&amp;$C529,'[1]Fluxo de Movimentações'!$B$5:$B$10001)</f>
        <v>0</v>
      </c>
      <c r="P528" s="19">
        <f>-SUMIFS([1]Master!$J$1:$J$200,[1]Master!$A$1:$A$200,"="&amp;$I$12,[1]Master!$G$1:$G$200,"&gt;"&amp;C528,[1]Master!$E$1:$E$200,"&lt;="&amp;C528)</f>
        <v>0</v>
      </c>
      <c r="Q528" s="30">
        <v>4325.3869999999997</v>
      </c>
      <c r="R528" s="32">
        <v>1.0031357000000001</v>
      </c>
      <c r="S528" s="30">
        <v>0</v>
      </c>
      <c r="T528" s="30">
        <v>0</v>
      </c>
      <c r="U528" s="30">
        <v>0</v>
      </c>
      <c r="V528" s="30">
        <v>0</v>
      </c>
    </row>
    <row r="529" spans="3:22" x14ac:dyDescent="0.25">
      <c r="C529" s="4">
        <f>WORKDAY(C528,1,Feriados!$A$2:$A$842)</f>
        <v>45582</v>
      </c>
      <c r="D529" s="30">
        <v>17126830.5064</v>
      </c>
      <c r="E529" s="32">
        <v>0.99749529999999997</v>
      </c>
      <c r="F529" s="38">
        <f t="shared" ref="F529" si="1394">D529/TRUNC(E529,7)</f>
        <v>17169835.794113517</v>
      </c>
      <c r="G529" s="19">
        <f t="shared" ref="G529" si="1395">H529*I529</f>
        <v>17119183.582060527</v>
      </c>
      <c r="H529" s="31">
        <v>1.0539831</v>
      </c>
      <c r="I529" s="19">
        <f>SUMIFS([1]Master!$K$2:$K$10000,[1]Master!$A$2:$A$10000,$I$12,[1]Master!$F$2:$F$10000,"&lt;="&amp;$C529)</f>
        <v>16242370.093088331</v>
      </c>
      <c r="J529" s="19">
        <f t="shared" ref="J529" si="1396">((((1+1.85%)^(1/252))-1)*D528)+SUM(J528)</f>
        <v>16158.332704174065</v>
      </c>
      <c r="K529" s="19">
        <f>IF((NETWORKDAYS(DATE(YEAR(C529),MONTH(C529),1),C529,Feriados!$A$2:$A$842))&gt;=5,0,IF(NETWORKDAYS(DATE(YEAR(C529),MONTH(C529),1),C529,Feriados!$A$2:$A$842)=1,J528,K528))</f>
        <v>0</v>
      </c>
      <c r="L529" s="30">
        <v>0</v>
      </c>
      <c r="M529" s="19">
        <f>VLOOKUP(C529,'Fluxo de Caixa'!$B$13:$U$10027,20,FALSE)</f>
        <v>19355.163797080604</v>
      </c>
      <c r="N529" s="19">
        <f>SUMIFS([1]Master!$J$2:$J$100,[1]Master!$A$2:$A$100,"="&amp;$I$12,[1]Master!$E$2:$E$100,"="&amp;C529,[1]Master!$J$2:$J$100,"&gt;"&amp;0)</f>
        <v>0</v>
      </c>
      <c r="O529" s="19">
        <f ca="1">-SUMIF('[1]Fluxo de Movimentações'!$A$5:$F$10001,"="&amp;$C530,'[1]Fluxo de Movimentações'!$B$5:$B$10001)</f>
        <v>0</v>
      </c>
      <c r="P529" s="19">
        <f>-SUMIFS([1]Master!$J$1:$J$200,[1]Master!$A$1:$A$200,"="&amp;$I$12,[1]Master!$G$1:$G$200,"&gt;"&amp;C529,[1]Master!$E$1:$E$200,"&lt;="&amp;C529)</f>
        <v>0</v>
      </c>
      <c r="Q529" s="30">
        <v>4449.6863999999996</v>
      </c>
      <c r="R529" s="32">
        <v>0.99749529999999997</v>
      </c>
      <c r="S529" s="30">
        <v>0</v>
      </c>
      <c r="T529" s="30">
        <v>0</v>
      </c>
      <c r="U529" s="30">
        <v>0</v>
      </c>
      <c r="V529" s="30">
        <v>0</v>
      </c>
    </row>
    <row r="530" spans="3:22" x14ac:dyDescent="0.25">
      <c r="C530" s="4">
        <f>WORKDAY(C529,1,Feriados!$A$2:$A$842)</f>
        <v>45583</v>
      </c>
      <c r="D530" s="30">
        <v>17020558.015299998</v>
      </c>
      <c r="E530" s="32">
        <v>0.99353400000000003</v>
      </c>
      <c r="F530" s="38">
        <f t="shared" ref="F530" si="1397">D530/TRUNC(E530,7)</f>
        <v>17131329.189841513</v>
      </c>
      <c r="G530" s="19">
        <f t="shared" ref="G530" si="1398">H530*I530</f>
        <v>17010492.410459179</v>
      </c>
      <c r="H530" s="31">
        <v>1.0498771</v>
      </c>
      <c r="I530" s="19">
        <f>SUMIFS([1]Master!$K$2:$K$10000,[1]Master!$A$2:$A$10000,$I$12,[1]Master!$F$2:$F$10000,"&lt;="&amp;$C530)</f>
        <v>16202365.41063633</v>
      </c>
      <c r="J530" s="19">
        <f t="shared" ref="J530" si="1399">((((1+1.85%)^(1/252))-1)*D529)+SUM(J529)</f>
        <v>17404.216065832894</v>
      </c>
      <c r="K530" s="19">
        <f>IF((NETWORKDAYS(DATE(YEAR(C530),MONTH(C530),1),C530,Feriados!$A$2:$A$842))&gt;=5,0,IF(NETWORKDAYS(DATE(YEAR(C530),MONTH(C530),1),C530,Feriados!$A$2:$A$842)=1,J529,K529))</f>
        <v>0</v>
      </c>
      <c r="L530" s="30">
        <v>0</v>
      </c>
      <c r="M530" s="19">
        <f>VLOOKUP(C530,'Fluxo de Caixa'!$B$13:$U$10027,20,FALSE)</f>
        <v>19355.163797080604</v>
      </c>
      <c r="N530" s="19">
        <f>SUMIFS([1]Master!$J$2:$J$100,[1]Master!$A$2:$A$100,"="&amp;$I$12,[1]Master!$E$2:$E$100,"="&amp;C530,[1]Master!$J$2:$J$100,"&gt;"&amp;0)</f>
        <v>0</v>
      </c>
      <c r="O530" s="19">
        <f ca="1">-SUMIF('[1]Fluxo de Movimentações'!$A$5:$F$10001,"="&amp;$C531,'[1]Fluxo de Movimentações'!$B$5:$B$10001)</f>
        <v>0</v>
      </c>
      <c r="P530" s="19">
        <f>-SUMIFS([1]Master!$J$1:$J$200,[1]Master!$A$1:$A$200,"="&amp;$I$12,[1]Master!$G$1:$G$200,"&gt;"&amp;C530,[1]Master!$E$1:$E$200,"&lt;="&amp;C530)</f>
        <v>42000</v>
      </c>
      <c r="Q530" s="30">
        <v>4373.2052999999996</v>
      </c>
      <c r="R530" s="32">
        <v>0.99353400000000003</v>
      </c>
      <c r="S530" s="30">
        <v>0</v>
      </c>
      <c r="T530" s="30">
        <v>0</v>
      </c>
      <c r="U530" s="30">
        <v>-38258.960893832882</v>
      </c>
      <c r="V530" s="30">
        <v>0</v>
      </c>
    </row>
    <row r="531" spans="3:22" x14ac:dyDescent="0.25">
      <c r="C531" s="4">
        <f>WORKDAY(C530,1,Feriados!$A$2:$A$842)</f>
        <v>45586</v>
      </c>
      <c r="D531" s="30">
        <v>17064400.994199999</v>
      </c>
      <c r="E531" s="32">
        <v>0.99609329999999996</v>
      </c>
      <c r="F531" s="38">
        <f t="shared" ref="F531" si="1400">D531/TRUNC(E531,7)</f>
        <v>17131327.953114431</v>
      </c>
      <c r="G531" s="19">
        <f t="shared" ref="G531" si="1401">H531*I531</f>
        <v>17055650.023095164</v>
      </c>
      <c r="H531" s="31">
        <v>1.0526641999999999</v>
      </c>
      <c r="I531" s="19">
        <f>SUMIFS([1]Master!$K$2:$K$10000,[1]Master!$A$2:$A$10000,$I$12,[1]Master!$F$2:$F$10000,"&lt;="&amp;$C531)</f>
        <v>16202365.41063633</v>
      </c>
      <c r="J531" s="19">
        <f t="shared" ref="J531" si="1402">((((1+1.85%)^(1/252))-1)*D530)+SUM(J530)</f>
        <v>18642.368684292389</v>
      </c>
      <c r="K531" s="19">
        <f>IF((NETWORKDAYS(DATE(YEAR(C531),MONTH(C531),1),C531,Feriados!$A$2:$A$842))&gt;=5,0,IF(NETWORKDAYS(DATE(YEAR(C531),MONTH(C531),1),C531,Feriados!$A$2:$A$842)=1,J530,K530))</f>
        <v>0</v>
      </c>
      <c r="L531" s="30">
        <v>0</v>
      </c>
      <c r="M531" s="19">
        <f>VLOOKUP(C531,'Fluxo de Caixa'!$B$13:$U$10027,20,FALSE)</f>
        <v>19355.163797080604</v>
      </c>
      <c r="N531" s="19">
        <f>SUMIFS([1]Master!$J$2:$J$100,[1]Master!$A$2:$A$100,"="&amp;$I$12,[1]Master!$E$2:$E$100,"="&amp;C531,[1]Master!$J$2:$J$100,"&gt;"&amp;0)</f>
        <v>0</v>
      </c>
      <c r="O531" s="19">
        <f ca="1">-SUMIF('[1]Fluxo de Movimentações'!$A$5:$F$10001,"="&amp;$C532,'[1]Fluxo de Movimentações'!$B$5:$B$10001)</f>
        <v>0</v>
      </c>
      <c r="P531" s="19">
        <f>-SUMIFS([1]Master!$J$1:$J$200,[1]Master!$A$1:$A$200,"="&amp;$I$12,[1]Master!$G$1:$G$200,"&gt;"&amp;C531,[1]Master!$E$1:$E$200,"&lt;="&amp;C531)</f>
        <v>42000</v>
      </c>
      <c r="Q531" s="30">
        <v>4296.7241999999997</v>
      </c>
      <c r="R531" s="32">
        <v>0.99609329999999996</v>
      </c>
      <c r="S531" s="30">
        <v>0</v>
      </c>
      <c r="T531" s="30">
        <v>0</v>
      </c>
      <c r="U531" s="30">
        <v>-38258.960893832882</v>
      </c>
      <c r="V531" s="30">
        <v>0</v>
      </c>
    </row>
    <row r="532" spans="3:22" x14ac:dyDescent="0.25">
      <c r="C532" s="4">
        <f>WORKDAY(C531,1,Feriados!$A$2:$A$842)</f>
        <v>45587</v>
      </c>
      <c r="D532" s="30">
        <v>16987589.873100001</v>
      </c>
      <c r="E532" s="32">
        <v>0.99160959999999998</v>
      </c>
      <c r="F532" s="38">
        <f t="shared" ref="F532" si="1403">D532/TRUNC(E532,7)</f>
        <v>17131328.572353475</v>
      </c>
      <c r="G532" s="19">
        <f t="shared" ref="G532" si="1404">H532*I532</f>
        <v>16980156.721700843</v>
      </c>
      <c r="H532" s="31">
        <v>1.0480048</v>
      </c>
      <c r="I532" s="19">
        <f>SUMIFS([1]Master!$K$2:$K$10000,[1]Master!$A$2:$A$10000,$I$12,[1]Master!$F$2:$F$10000,"&lt;="&amp;$C532)</f>
        <v>16202365.41063633</v>
      </c>
      <c r="J532" s="19">
        <f t="shared" ref="J532" si="1405">((((1+1.85%)^(1/252))-1)*D531)+SUM(J531)</f>
        <v>19883.710639968518</v>
      </c>
      <c r="K532" s="19">
        <f>IF((NETWORKDAYS(DATE(YEAR(C532),MONTH(C532),1),C532,Feriados!$A$2:$A$842))&gt;=5,0,IF(NETWORKDAYS(DATE(YEAR(C532),MONTH(C532),1),C532,Feriados!$A$2:$A$842)=1,J531,K531))</f>
        <v>0</v>
      </c>
      <c r="L532" s="30">
        <v>0</v>
      </c>
      <c r="M532" s="19">
        <f>VLOOKUP(C532,'Fluxo de Caixa'!$B$13:$U$10027,20,FALSE)</f>
        <v>23096.202903247722</v>
      </c>
      <c r="N532" s="19">
        <f>SUMIFS([1]Master!$J$2:$J$100,[1]Master!$A$2:$A$100,"="&amp;$I$12,[1]Master!$E$2:$E$100,"="&amp;C532,[1]Master!$J$2:$J$100,"&gt;"&amp;0)</f>
        <v>0</v>
      </c>
      <c r="O532" s="19">
        <f ca="1">-SUMIF('[1]Fluxo de Movimentações'!$A$5:$F$10001,"="&amp;$C533,'[1]Fluxo de Movimentações'!$B$5:$B$10001)</f>
        <v>0</v>
      </c>
      <c r="P532" s="19">
        <f>-SUMIFS([1]Master!$J$1:$J$200,[1]Master!$A$1:$A$200,"="&amp;$I$12,[1]Master!$G$1:$G$200,"&gt;"&amp;C532,[1]Master!$E$1:$E$200,"&lt;="&amp;C532)</f>
        <v>0</v>
      </c>
      <c r="Q532" s="30">
        <v>4220.2430999999997</v>
      </c>
      <c r="R532" s="32">
        <v>0.99160959999999998</v>
      </c>
      <c r="S532" s="30">
        <v>0</v>
      </c>
      <c r="T532" s="30">
        <v>0</v>
      </c>
      <c r="U532" s="30">
        <v>0</v>
      </c>
      <c r="V532" s="30">
        <v>0</v>
      </c>
    </row>
    <row r="533" spans="3:22" x14ac:dyDescent="0.25">
      <c r="C533" s="4">
        <f>WORKDAY(C532,1,Feriados!$A$2:$A$842)</f>
        <v>45588</v>
      </c>
      <c r="D533" s="30">
        <v>16940099.282000002</v>
      </c>
      <c r="E533" s="32">
        <v>0.98883750000000004</v>
      </c>
      <c r="F533" s="38">
        <f t="shared" ref="F533" si="1406">D533/TRUNC(E533,7)</f>
        <v>17131327.727761135</v>
      </c>
      <c r="G533" s="19">
        <f t="shared" ref="G533" si="1407">H533*I533</f>
        <v>16933978.360043991</v>
      </c>
      <c r="H533" s="31">
        <v>1.0451547000000001</v>
      </c>
      <c r="I533" s="19">
        <f>SUMIFS([1]Master!$K$2:$K$10000,[1]Master!$A$2:$A$10000,$I$12,[1]Master!$F$2:$F$10000,"&lt;="&amp;$C533)</f>
        <v>16202365.41063633</v>
      </c>
      <c r="J533" s="19">
        <f t="shared" ref="J533" si="1408">((((1+1.85%)^(1/252))-1)*D532)+SUM(J532)</f>
        <v>21119.465006176</v>
      </c>
      <c r="K533" s="19">
        <f>IF((NETWORKDAYS(DATE(YEAR(C533),MONTH(C533),1),C533,Feriados!$A$2:$A$842))&gt;=5,0,IF(NETWORKDAYS(DATE(YEAR(C533),MONTH(C533),1),C533,Feriados!$A$2:$A$842)=1,J532,K532))</f>
        <v>0</v>
      </c>
      <c r="L533" s="30">
        <v>0</v>
      </c>
      <c r="M533" s="19">
        <f>VLOOKUP(C533,'Fluxo de Caixa'!$B$13:$U$10027,20,FALSE)</f>
        <v>23096.202903247722</v>
      </c>
      <c r="N533" s="19">
        <f>SUMIFS([1]Master!$J$2:$J$100,[1]Master!$A$2:$A$100,"="&amp;$I$12,[1]Master!$E$2:$E$100,"="&amp;C533,[1]Master!$J$2:$J$100,"&gt;"&amp;0)</f>
        <v>0</v>
      </c>
      <c r="O533" s="19">
        <f ca="1">-SUMIF('[1]Fluxo de Movimentações'!$A$5:$F$10001,"="&amp;$C534,'[1]Fluxo de Movimentações'!$B$5:$B$10001)</f>
        <v>0</v>
      </c>
      <c r="P533" s="19">
        <f>-SUMIFS([1]Master!$J$1:$J$200,[1]Master!$A$1:$A$200,"="&amp;$I$12,[1]Master!$G$1:$G$200,"&gt;"&amp;C533,[1]Master!$E$1:$E$200,"&lt;="&amp;C533)</f>
        <v>0</v>
      </c>
      <c r="Q533" s="30">
        <v>4143.7619999999997</v>
      </c>
      <c r="R533" s="32">
        <v>0.98883750000000004</v>
      </c>
      <c r="S533" s="30">
        <v>0</v>
      </c>
      <c r="T533" s="30">
        <v>0</v>
      </c>
      <c r="U533" s="30">
        <v>0</v>
      </c>
      <c r="V533" s="30">
        <v>0</v>
      </c>
    </row>
    <row r="534" spans="3:22" x14ac:dyDescent="0.25">
      <c r="C534" s="4">
        <f>WORKDAY(C533,1,Feriados!$A$2:$A$842)</f>
        <v>45589</v>
      </c>
      <c r="D534" s="30">
        <v>17105201.760899998</v>
      </c>
      <c r="E534" s="32">
        <v>0.99847490000000005</v>
      </c>
      <c r="F534" s="38">
        <f t="shared" ref="F534" si="1409">D534/TRUNC(E534,7)</f>
        <v>17131328.750377197</v>
      </c>
      <c r="G534" s="19">
        <f t="shared" ref="G534" si="1410">H534*I534</f>
        <v>17100389.614703551</v>
      </c>
      <c r="H534" s="31">
        <v>1.0554254999999999</v>
      </c>
      <c r="I534" s="19">
        <f>SUMIFS([1]Master!$K$2:$K$10000,[1]Master!$A$2:$A$10000,$I$12,[1]Master!$F$2:$F$10000,"&lt;="&amp;$C534)</f>
        <v>16202365.41063633</v>
      </c>
      <c r="J534" s="19">
        <f t="shared" ref="J534" si="1411">((((1+1.85%)^(1/252))-1)*D533)+SUM(J533)</f>
        <v>22351.764691304885</v>
      </c>
      <c r="K534" s="19">
        <f>IF((NETWORKDAYS(DATE(YEAR(C534),MONTH(C534),1),C534,Feriados!$A$2:$A$842))&gt;=5,0,IF(NETWORKDAYS(DATE(YEAR(C534),MONTH(C534),1),C534,Feriados!$A$2:$A$842)=1,J533,K533))</f>
        <v>0</v>
      </c>
      <c r="L534" s="30">
        <v>0</v>
      </c>
      <c r="M534" s="19">
        <f>VLOOKUP(C534,'Fluxo de Caixa'!$B$13:$U$10027,20,FALSE)</f>
        <v>23096.202903247722</v>
      </c>
      <c r="N534" s="19">
        <f>SUMIFS([1]Master!$J$2:$J$100,[1]Master!$A$2:$A$100,"="&amp;$I$12,[1]Master!$E$2:$E$100,"="&amp;C534,[1]Master!$J$2:$J$100,"&gt;"&amp;0)</f>
        <v>0</v>
      </c>
      <c r="O534" s="19">
        <f ca="1">-SUMIF('[1]Fluxo de Movimentações'!$A$5:$F$10001,"="&amp;$C535,'[1]Fluxo de Movimentações'!$B$5:$B$10001)</f>
        <v>0</v>
      </c>
      <c r="P534" s="19">
        <f>-SUMIFS([1]Master!$J$1:$J$200,[1]Master!$A$1:$A$200,"="&amp;$I$12,[1]Master!$G$1:$G$200,"&gt;"&amp;C534,[1]Master!$E$1:$E$200,"&lt;="&amp;C534)</f>
        <v>0</v>
      </c>
      <c r="Q534" s="30">
        <v>4067.2809000000002</v>
      </c>
      <c r="R534" s="32">
        <v>0.99847490000000005</v>
      </c>
      <c r="S534" s="30">
        <v>0</v>
      </c>
      <c r="T534" s="30">
        <v>0</v>
      </c>
      <c r="U534" s="30">
        <v>0</v>
      </c>
      <c r="V534" s="30">
        <v>0</v>
      </c>
    </row>
    <row r="535" spans="3:22" x14ac:dyDescent="0.25">
      <c r="C535" s="4">
        <f>WORKDAY(C534,1,Feriados!$A$2:$A$842)</f>
        <v>45590</v>
      </c>
      <c r="D535" s="30">
        <v>16932521.529800002</v>
      </c>
      <c r="E535" s="32">
        <v>0.98839509999999997</v>
      </c>
      <c r="F535" s="38">
        <f t="shared" ref="F535" si="1412">D535/TRUNC(E535,7)</f>
        <v>17131328.888417196</v>
      </c>
      <c r="G535" s="19">
        <f t="shared" ref="G535" si="1413">H535*I535</f>
        <v>16929030.157647584</v>
      </c>
      <c r="H535" s="31">
        <v>1.0448493000000001</v>
      </c>
      <c r="I535" s="19">
        <f>SUMIFS([1]Master!$K$2:$K$10000,[1]Master!$A$2:$A$10000,$I$12,[1]Master!$F$2:$F$10000,"&lt;="&amp;$C535)</f>
        <v>16202365.41063633</v>
      </c>
      <c r="J535" s="19">
        <f t="shared" ref="J535" si="1414">((((1+1.85%)^(1/252))-1)*D534)+SUM(J534)</f>
        <v>23596.074679878606</v>
      </c>
      <c r="K535" s="19">
        <f>IF((NETWORKDAYS(DATE(YEAR(C535),MONTH(C535),1),C535,Feriados!$A$2:$A$842))&gt;=5,0,IF(NETWORKDAYS(DATE(YEAR(C535),MONTH(C535),1),C535,Feriados!$A$2:$A$842)=1,J534,K534))</f>
        <v>0</v>
      </c>
      <c r="L535" s="30">
        <v>0</v>
      </c>
      <c r="M535" s="19">
        <f>VLOOKUP(C535,'Fluxo de Caixa'!$B$13:$U$10027,20,FALSE)</f>
        <v>23096.202903247722</v>
      </c>
      <c r="N535" s="19">
        <f>SUMIFS([1]Master!$J$2:$J$100,[1]Master!$A$2:$A$100,"="&amp;$I$12,[1]Master!$E$2:$E$100,"="&amp;C535,[1]Master!$J$2:$J$100,"&gt;"&amp;0)</f>
        <v>0</v>
      </c>
      <c r="O535" s="19">
        <f ca="1">-SUMIF('[1]Fluxo de Movimentações'!$A$5:$F$10001,"="&amp;$C536,'[1]Fluxo de Movimentações'!$B$5:$B$10001)</f>
        <v>0</v>
      </c>
      <c r="P535" s="19">
        <f>-SUMIFS([1]Master!$J$1:$J$200,[1]Master!$A$1:$A$200,"="&amp;$I$12,[1]Master!$G$1:$G$200,"&gt;"&amp;C535,[1]Master!$E$1:$E$200,"&lt;="&amp;C535)</f>
        <v>0</v>
      </c>
      <c r="Q535" s="30">
        <v>3990.7997999999998</v>
      </c>
      <c r="R535" s="32">
        <v>0.98839509999999997</v>
      </c>
      <c r="S535" s="30">
        <v>0</v>
      </c>
      <c r="T535" s="30">
        <v>0</v>
      </c>
      <c r="U535" s="30">
        <v>0</v>
      </c>
      <c r="V535" s="30">
        <v>0</v>
      </c>
    </row>
    <row r="536" spans="3:22" x14ac:dyDescent="0.25">
      <c r="C536" s="4">
        <f>WORKDAY(C535,1,Feriados!$A$2:$A$842)</f>
        <v>45593</v>
      </c>
      <c r="D536" s="30">
        <v>17053840.9087</v>
      </c>
      <c r="E536" s="32">
        <v>0.9954769</v>
      </c>
      <c r="F536" s="38">
        <f t="shared" ref="F536" si="1415">D536/TRUNC(E536,7)</f>
        <v>17131327.616642836</v>
      </c>
      <c r="G536" s="19">
        <f t="shared" ref="G536" si="1416">H536*I536</f>
        <v>17051657.760257982</v>
      </c>
      <c r="H536" s="31">
        <v>1.0524178</v>
      </c>
      <c r="I536" s="19">
        <f>SUMIFS([1]Master!$K$2:$K$10000,[1]Master!$A$2:$A$10000,$I$12,[1]Master!$F$2:$F$10000,"&lt;="&amp;$C536)</f>
        <v>16202365.41063633</v>
      </c>
      <c r="J536" s="19">
        <f t="shared" ref="J536" si="1417">((((1+1.85%)^(1/252))-1)*D535)+SUM(J535)</f>
        <v>24827.823124929462</v>
      </c>
      <c r="K536" s="19">
        <f>IF((NETWORKDAYS(DATE(YEAR(C536),MONTH(C536),1),C536,Feriados!$A$2:$A$842))&gt;=5,0,IF(NETWORKDAYS(DATE(YEAR(C536),MONTH(C536),1),C536,Feriados!$A$2:$A$842)=1,J535,K535))</f>
        <v>0</v>
      </c>
      <c r="L536" s="30">
        <v>0</v>
      </c>
      <c r="M536" s="19">
        <f>VLOOKUP(C536,'Fluxo de Caixa'!$B$13:$U$10027,20,FALSE)</f>
        <v>23096.202903247722</v>
      </c>
      <c r="N536" s="19">
        <f>SUMIFS([1]Master!$J$2:$J$100,[1]Master!$A$2:$A$100,"="&amp;$I$12,[1]Master!$E$2:$E$100,"="&amp;C536,[1]Master!$J$2:$J$100,"&gt;"&amp;0)</f>
        <v>0</v>
      </c>
      <c r="O536" s="19">
        <f ca="1">-SUMIF('[1]Fluxo de Movimentações'!$A$5:$F$10001,"="&amp;$C537,'[1]Fluxo de Movimentações'!$B$5:$B$10001)</f>
        <v>0</v>
      </c>
      <c r="P536" s="19">
        <f>-SUMIFS([1]Master!$J$1:$J$200,[1]Master!$A$1:$A$200,"="&amp;$I$12,[1]Master!$G$1:$G$200,"&gt;"&amp;C536,[1]Master!$E$1:$E$200,"&lt;="&amp;C536)</f>
        <v>0</v>
      </c>
      <c r="Q536" s="30">
        <v>3914.3186999999998</v>
      </c>
      <c r="R536" s="32">
        <v>0.9954769</v>
      </c>
      <c r="S536" s="30">
        <v>0</v>
      </c>
      <c r="T536" s="30">
        <v>0</v>
      </c>
      <c r="U536" s="30">
        <v>0</v>
      </c>
      <c r="V536" s="30">
        <v>0</v>
      </c>
    </row>
    <row r="537" spans="3:22" x14ac:dyDescent="0.25">
      <c r="C537" s="4">
        <f>WORKDAY(C536,1,Feriados!$A$2:$A$842)</f>
        <v>45594</v>
      </c>
      <c r="D537" s="30">
        <v>17053567.287599999</v>
      </c>
      <c r="E537" s="32">
        <v>0.99546089999999998</v>
      </c>
      <c r="F537" s="38">
        <f t="shared" ref="F537" si="1418">D537/TRUNC(E537,7)</f>
        <v>17131328.098974053</v>
      </c>
      <c r="G537" s="19">
        <f t="shared" ref="G537" si="1419">H537*I537</f>
        <v>17052701.19259043</v>
      </c>
      <c r="H537" s="31">
        <v>1.0524822</v>
      </c>
      <c r="I537" s="19">
        <f>SUMIFS([1]Master!$K$2:$K$10000,[1]Master!$A$2:$A$10000,$I$12,[1]Master!$F$2:$F$10000,"&lt;="&amp;$C537)</f>
        <v>16202365.41063633</v>
      </c>
      <c r="J537" s="19">
        <f t="shared" ref="J537" si="1420">((((1+1.85%)^(1/252))-1)*D536)+SUM(J536)</f>
        <v>26068.396892071396</v>
      </c>
      <c r="K537" s="19">
        <f>IF((NETWORKDAYS(DATE(YEAR(C537),MONTH(C537),1),C537,Feriados!$A$2:$A$842))&gt;=5,0,IF(NETWORKDAYS(DATE(YEAR(C537),MONTH(C537),1),C537,Feriados!$A$2:$A$842)=1,J536,K536))</f>
        <v>0</v>
      </c>
      <c r="L537" s="30">
        <v>0</v>
      </c>
      <c r="M537" s="19">
        <f>VLOOKUP(C537,'Fluxo de Caixa'!$B$13:$U$10027,20,FALSE)</f>
        <v>23096.202903247722</v>
      </c>
      <c r="N537" s="19">
        <f>SUMIFS([1]Master!$J$2:$J$100,[1]Master!$A$2:$A$100,"="&amp;$I$12,[1]Master!$E$2:$E$100,"="&amp;C537,[1]Master!$J$2:$J$100,"&gt;"&amp;0)</f>
        <v>0</v>
      </c>
      <c r="O537" s="19">
        <f ca="1">-SUMIF('[1]Fluxo de Movimentações'!$A$5:$F$10001,"="&amp;$C538,'[1]Fluxo de Movimentações'!$B$5:$B$10001)</f>
        <v>0</v>
      </c>
      <c r="P537" s="19">
        <f>-SUMIFS([1]Master!$J$1:$J$200,[1]Master!$A$1:$A$200,"="&amp;$I$12,[1]Master!$G$1:$G$200,"&gt;"&amp;C537,[1]Master!$E$1:$E$200,"&lt;="&amp;C537)</f>
        <v>0</v>
      </c>
      <c r="Q537" s="30">
        <v>3837.8375999999998</v>
      </c>
      <c r="R537" s="32">
        <v>0.99546089999999998</v>
      </c>
      <c r="S537" s="30">
        <v>0</v>
      </c>
      <c r="T537" s="30">
        <v>0</v>
      </c>
      <c r="U537" s="30">
        <v>0</v>
      </c>
      <c r="V537" s="30">
        <v>0</v>
      </c>
    </row>
    <row r="538" spans="3:22" x14ac:dyDescent="0.25">
      <c r="C538" s="4">
        <f>WORKDAY(C537,1,Feriados!$A$2:$A$842)</f>
        <v>45595</v>
      </c>
      <c r="D538" s="30">
        <v>17204954.316500001</v>
      </c>
      <c r="E538" s="32">
        <v>1.0042977</v>
      </c>
      <c r="F538" s="38">
        <f t="shared" ref="F538" si="1421">D538/TRUNC(E538,7)</f>
        <v>17131329.003840197</v>
      </c>
      <c r="G538" s="19">
        <f t="shared" ref="G538" si="1422">H538*I538</f>
        <v>17205405.246112593</v>
      </c>
      <c r="H538" s="31">
        <v>1.0619069999999999</v>
      </c>
      <c r="I538" s="19">
        <f>SUMIFS([1]Master!$K$2:$K$10000,[1]Master!$A$2:$A$10000,$I$12,[1]Master!$F$2:$F$10000,"&lt;="&amp;$C538)</f>
        <v>16202365.41063633</v>
      </c>
      <c r="J538" s="19">
        <f t="shared" ref="J538" si="1423">((((1+1.85%)^(1/252))-1)*D537)+SUM(J537)</f>
        <v>27308.950754772999</v>
      </c>
      <c r="K538" s="19">
        <f>IF((NETWORKDAYS(DATE(YEAR(C538),MONTH(C538),1),C538,Feriados!$A$2:$A$842))&gt;=5,0,IF(NETWORKDAYS(DATE(YEAR(C538),MONTH(C538),1),C538,Feriados!$A$2:$A$842)=1,J537,K537))</f>
        <v>0</v>
      </c>
      <c r="L538" s="30">
        <v>0</v>
      </c>
      <c r="M538" s="19">
        <f>VLOOKUP(C538,'Fluxo de Caixa'!$B$13:$U$10027,20,FALSE)</f>
        <v>23096.202903247722</v>
      </c>
      <c r="N538" s="19">
        <f>SUMIFS([1]Master!$J$2:$J$100,[1]Master!$A$2:$A$100,"="&amp;$I$12,[1]Master!$E$2:$E$100,"="&amp;C538,[1]Master!$J$2:$J$100,"&gt;"&amp;0)</f>
        <v>0</v>
      </c>
      <c r="O538" s="19">
        <f ca="1">-SUMIF('[1]Fluxo de Movimentações'!$A$5:$F$10001,"="&amp;$C539,'[1]Fluxo de Movimentações'!$B$5:$B$10001)</f>
        <v>0</v>
      </c>
      <c r="P538" s="19">
        <f>-SUMIFS([1]Master!$J$1:$J$200,[1]Master!$A$1:$A$200,"="&amp;$I$12,[1]Master!$G$1:$G$200,"&gt;"&amp;C538,[1]Master!$E$1:$E$200,"&lt;="&amp;C538)</f>
        <v>0</v>
      </c>
      <c r="Q538" s="30">
        <v>3761.3564999999999</v>
      </c>
      <c r="R538" s="32">
        <v>1.0042977</v>
      </c>
      <c r="S538" s="30">
        <v>0</v>
      </c>
      <c r="T538" s="30">
        <v>0</v>
      </c>
      <c r="U538" s="30">
        <v>0</v>
      </c>
      <c r="V538" s="30">
        <v>0</v>
      </c>
    </row>
    <row r="539" spans="3:22" x14ac:dyDescent="0.25">
      <c r="C539" s="4">
        <f>WORKDAY(C538,1,Feriados!$A$2:$A$842)</f>
        <v>45596</v>
      </c>
      <c r="D539" s="30">
        <v>17058119.305399999</v>
      </c>
      <c r="E539" s="32">
        <v>0.99572660000000002</v>
      </c>
      <c r="F539" s="38">
        <f t="shared" ref="F539" si="1424">D539/TRUNC(E539,7)</f>
        <v>17131328.323859178</v>
      </c>
      <c r="G539" s="19">
        <f t="shared" ref="G539" si="1425">H539*I539</f>
        <v>17059898.283305835</v>
      </c>
      <c r="H539" s="31">
        <v>1.0529264</v>
      </c>
      <c r="I539" s="19">
        <f>SUMIFS([1]Master!$K$2:$K$10000,[1]Master!$A$2:$A$10000,$I$12,[1]Master!$F$2:$F$10000,"&lt;="&amp;$C539)</f>
        <v>16202365.41063633</v>
      </c>
      <c r="J539" s="19">
        <f t="shared" ref="J539" si="1426">((((1+1.85%)^(1/252))-1)*D538)+SUM(J538)</f>
        <v>28560.517196854482</v>
      </c>
      <c r="K539" s="19">
        <f>IF((NETWORKDAYS(DATE(YEAR(C539),MONTH(C539),1),C539,Feriados!$A$2:$A$842))&gt;=5,0,IF(NETWORKDAYS(DATE(YEAR(C539),MONTH(C539),1),C539,Feriados!$A$2:$A$842)=1,J538,K538))</f>
        <v>0</v>
      </c>
      <c r="L539" s="30">
        <v>0</v>
      </c>
      <c r="M539" s="19">
        <f>VLOOKUP(C539,'Fluxo de Caixa'!$B$13:$U$10027,20,FALSE)</f>
        <v>23096.202903247722</v>
      </c>
      <c r="N539" s="19">
        <f>SUMIFS([1]Master!$J$2:$J$100,[1]Master!$A$2:$A$100,"="&amp;$I$12,[1]Master!$E$2:$E$100,"="&amp;C539,[1]Master!$J$2:$J$100,"&gt;"&amp;0)</f>
        <v>0</v>
      </c>
      <c r="O539" s="19">
        <f ca="1">-SUMIF('[1]Fluxo de Movimentações'!$A$5:$F$10001,"="&amp;$C540,'[1]Fluxo de Movimentações'!$B$5:$B$10001)</f>
        <v>0</v>
      </c>
      <c r="P539" s="19">
        <f>-SUMIFS([1]Master!$J$1:$J$200,[1]Master!$A$1:$A$200,"="&amp;$I$12,[1]Master!$G$1:$G$200,"&gt;"&amp;C539,[1]Master!$E$1:$E$200,"&lt;="&amp;C539)</f>
        <v>0</v>
      </c>
      <c r="Q539" s="30">
        <v>3684.8753999999999</v>
      </c>
      <c r="R539" s="32">
        <v>0.99572660000000002</v>
      </c>
      <c r="S539" s="30">
        <v>0</v>
      </c>
      <c r="T539" s="30">
        <v>0</v>
      </c>
      <c r="U539" s="30">
        <v>0</v>
      </c>
      <c r="V539" s="30">
        <v>0</v>
      </c>
    </row>
    <row r="540" spans="3:22" x14ac:dyDescent="0.25">
      <c r="C540" s="4">
        <f>WORKDAY(C539,1,Feriados!$A$2:$A$842)</f>
        <v>45597</v>
      </c>
      <c r="D540" s="30">
        <v>16697886.3882</v>
      </c>
      <c r="E540" s="32">
        <v>0.97469890000000003</v>
      </c>
      <c r="F540" s="38">
        <f t="shared" ref="F540" si="1427">D540/TRUNC(E540,7)</f>
        <v>17131327.826675497</v>
      </c>
      <c r="G540" s="19">
        <f t="shared" ref="G540" si="1428">H540*I540</f>
        <v>16700988.345439041</v>
      </c>
      <c r="H540" s="31">
        <v>1.0307747</v>
      </c>
      <c r="I540" s="19">
        <f>SUMIFS([1]Master!$K$2:$K$10000,[1]Master!$A$2:$A$10000,$I$12,[1]Master!$F$2:$F$10000,"&lt;="&amp;$C540)</f>
        <v>16202365.41063633</v>
      </c>
      <c r="J540" s="66">
        <f>((((1+1.85%)^(1/252))-1)*D539)</f>
        <v>1240.8849971305244</v>
      </c>
      <c r="K540" s="19">
        <f>IF((NETWORKDAYS(DATE(YEAR(C540),MONTH(C540),1),C540,Feriados!$A$2:$A$842))&gt;=5,0,IF(NETWORKDAYS(DATE(YEAR(C540),MONTH(C540),1),C540,Feriados!$A$2:$A$842)=1,J539,K539))</f>
        <v>28560.517196854482</v>
      </c>
      <c r="L540" s="30">
        <v>0</v>
      </c>
      <c r="M540" s="19">
        <f>VLOOKUP(C540,'Fluxo de Caixa'!$B$13:$U$10027,20,FALSE)</f>
        <v>23096.202903247722</v>
      </c>
      <c r="N540" s="19">
        <f>SUMIFS([1]Master!$J$2:$J$100,[1]Master!$A$2:$A$100,"="&amp;$I$12,[1]Master!$E$2:$E$100,"="&amp;C540,[1]Master!$J$2:$J$100,"&gt;"&amp;0)</f>
        <v>0</v>
      </c>
      <c r="O540" s="19">
        <f ca="1">-SUMIF('[1]Fluxo de Movimentações'!$A$5:$F$10001,"="&amp;$C541,'[1]Fluxo de Movimentações'!$B$5:$B$10001)</f>
        <v>0</v>
      </c>
      <c r="P540" s="19">
        <f>-SUMIFS([1]Master!$J$1:$J$200,[1]Master!$A$1:$A$200,"="&amp;$I$12,[1]Master!$G$1:$G$200,"&gt;"&amp;C540,[1]Master!$E$1:$E$200,"&lt;="&amp;C540)</f>
        <v>0</v>
      </c>
      <c r="Q540" s="30">
        <v>3602.7682</v>
      </c>
      <c r="R540" s="32">
        <v>0.97469890000000003</v>
      </c>
      <c r="S540" s="30">
        <v>0</v>
      </c>
      <c r="T540" s="30">
        <v>0</v>
      </c>
      <c r="U540" s="30">
        <v>0</v>
      </c>
      <c r="V540" s="30">
        <v>0</v>
      </c>
    </row>
    <row r="541" spans="3:22" x14ac:dyDescent="0.25">
      <c r="C541" s="4">
        <f>WORKDAY(C540,1,Feriados!$A$2:$A$842)</f>
        <v>45600</v>
      </c>
      <c r="D541" s="30">
        <v>17200159.111000001</v>
      </c>
      <c r="E541" s="32">
        <v>1.0040178</v>
      </c>
      <c r="F541" s="38">
        <f t="shared" ref="F541" si="1429">D541/TRUNC(E541,7)</f>
        <v>17131328.857914671</v>
      </c>
      <c r="G541" s="19">
        <f t="shared" ref="G541" si="1430">H541*I541</f>
        <v>17204557.862401616</v>
      </c>
      <c r="H541" s="31">
        <v>1.0618547</v>
      </c>
      <c r="I541" s="19">
        <f>SUMIFS([1]Master!$K$2:$K$10000,[1]Master!$A$2:$A$10000,$I$12,[1]Master!$F$2:$F$10000,"&lt;="&amp;$C541)</f>
        <v>16202365.41063633</v>
      </c>
      <c r="J541" s="19">
        <f t="shared" ref="J541:J542" si="1431">((((1+1.85%)^(1/252))-1)*D540)+SUM(J540)</f>
        <v>2455.5650173569106</v>
      </c>
      <c r="K541" s="19">
        <f>IF((NETWORKDAYS(DATE(YEAR(C541),MONTH(C541),1),C541,Feriados!$A$2:$A$842))&gt;=5,0,IF(NETWORKDAYS(DATE(YEAR(C541),MONTH(C541),1),C541,Feriados!$A$2:$A$842)=1,J540,K540))</f>
        <v>28560.517196854482</v>
      </c>
      <c r="L541" s="30">
        <v>0</v>
      </c>
      <c r="M541" s="19">
        <f>VLOOKUP(C541,'Fluxo de Caixa'!$B$13:$U$10027,20,FALSE)</f>
        <v>23096.202903247722</v>
      </c>
      <c r="N541" s="19">
        <f>SUMIFS([1]Master!$J$2:$J$100,[1]Master!$A$2:$A$100,"="&amp;$I$12,[1]Master!$E$2:$E$100,"="&amp;C541,[1]Master!$J$2:$J$100,"&gt;"&amp;0)</f>
        <v>0</v>
      </c>
      <c r="O541" s="19">
        <f ca="1">-SUMIF('[1]Fluxo de Movimentações'!$A$5:$F$10001,"="&amp;$C542,'[1]Fluxo de Movimentações'!$B$5:$B$10001)</f>
        <v>0</v>
      </c>
      <c r="P541" s="19">
        <f>-SUMIFS([1]Master!$J$1:$J$200,[1]Master!$A$1:$A$200,"="&amp;$I$12,[1]Master!$G$1:$G$200,"&gt;"&amp;C541,[1]Master!$E$1:$E$200,"&lt;="&amp;C541)</f>
        <v>0</v>
      </c>
      <c r="Q541" s="30">
        <v>3520.6610000000001</v>
      </c>
      <c r="R541" s="32">
        <v>1.0040178</v>
      </c>
      <c r="S541" s="30">
        <v>0</v>
      </c>
      <c r="T541" s="30">
        <v>0</v>
      </c>
      <c r="U541" s="30">
        <v>0</v>
      </c>
      <c r="V541" s="30">
        <v>0</v>
      </c>
    </row>
    <row r="542" spans="3:22" x14ac:dyDescent="0.25">
      <c r="C542" s="4">
        <f>WORKDAY(C541,1,Feriados!$A$2:$A$842)</f>
        <v>45601</v>
      </c>
      <c r="D542" s="30">
        <v>17155231.713799998</v>
      </c>
      <c r="E542" s="32">
        <v>1.0013953</v>
      </c>
      <c r="F542" s="38">
        <f t="shared" ref="F542" si="1432">D542/TRUNC(E542,7)</f>
        <v>17131328.371323492</v>
      </c>
      <c r="G542" s="19">
        <f t="shared" ref="G542" si="1433">H542*I542</f>
        <v>17131963.778027758</v>
      </c>
      <c r="H542" s="31">
        <v>1.0591641000000001</v>
      </c>
      <c r="I542" s="19">
        <f>SUMIFS([1]Master!$K$2:$K$10000,[1]Master!$A$2:$A$10000,$I$12,[1]Master!$F$2:$F$10000,"&lt;="&amp;$C542)</f>
        <v>16174985.328550844</v>
      </c>
      <c r="J542" s="19">
        <f t="shared" si="1431"/>
        <v>3706.7826344327405</v>
      </c>
      <c r="K542" s="19">
        <f>IF((NETWORKDAYS(DATE(YEAR(C542),MONTH(C542),1),C542,Feriados!$A$2:$A$842))&gt;=5,0,IF(NETWORKDAYS(DATE(YEAR(C542),MONTH(C542),1),C542,Feriados!$A$2:$A$842)=1,J541,K541))</f>
        <v>28560.517196854482</v>
      </c>
      <c r="L542" s="30">
        <v>0</v>
      </c>
      <c r="M542" s="19">
        <f>VLOOKUP(C542,'Fluxo de Caixa'!$B$13:$U$10027,20,FALSE)</f>
        <v>23096.202903247722</v>
      </c>
      <c r="N542" s="19">
        <f>SUMIFS([1]Master!$J$2:$J$100,[1]Master!$A$2:$A$100,"="&amp;$I$12,[1]Master!$E$2:$E$100,"="&amp;C542,[1]Master!$J$2:$J$100,"&gt;"&amp;0)</f>
        <v>0</v>
      </c>
      <c r="O542" s="19">
        <f ca="1">-SUMIF('[1]Fluxo de Movimentações'!$A$5:$F$10001,"="&amp;$C543,'[1]Fluxo de Movimentações'!$B$5:$B$10001)</f>
        <v>0</v>
      </c>
      <c r="P542" s="19">
        <f>-SUMIFS([1]Master!$J$1:$J$200,[1]Master!$A$1:$A$200,"="&amp;$I$12,[1]Master!$G$1:$G$200,"&gt;"&amp;C542,[1]Master!$E$1:$E$200,"&lt;="&amp;C542)</f>
        <v>29000</v>
      </c>
      <c r="Q542" s="30">
        <v>3438.5538000000001</v>
      </c>
      <c r="R542" s="32">
        <v>1.0013953</v>
      </c>
      <c r="S542" s="30">
        <v>0</v>
      </c>
      <c r="T542" s="30">
        <v>0</v>
      </c>
      <c r="U542" s="30">
        <v>0</v>
      </c>
      <c r="V542" s="30">
        <v>0</v>
      </c>
    </row>
    <row r="543" spans="3:22" x14ac:dyDescent="0.25">
      <c r="C543" s="4">
        <f>WORKDAY(C542,1,Feriados!$A$2:$A$842)</f>
        <v>45602</v>
      </c>
      <c r="D543" s="30">
        <v>17150415.956599999</v>
      </c>
      <c r="E543" s="32">
        <v>1.0011142</v>
      </c>
      <c r="F543" s="38">
        <f t="shared" ref="F543" si="1434">D543/TRUNC(E543,7)</f>
        <v>17131328.230685372</v>
      </c>
      <c r="G543" s="19">
        <f t="shared" ref="G543" si="1435">H543*I543</f>
        <v>17128478.068689454</v>
      </c>
      <c r="H543" s="31">
        <v>1.0589485999999999</v>
      </c>
      <c r="I543" s="19">
        <f>SUMIFS([1]Master!$K$2:$K$10000,[1]Master!$A$2:$A$10000,$I$12,[1]Master!$F$2:$F$10000,"&lt;="&amp;$C543)</f>
        <v>16174985.328550844</v>
      </c>
      <c r="J543" s="19">
        <f t="shared" ref="J543" si="1436">((((1+1.85%)^(1/252))-1)*D542)+SUM(J542)</f>
        <v>4954.732028784395</v>
      </c>
      <c r="K543" s="19">
        <f>IF((NETWORKDAYS(DATE(YEAR(C543),MONTH(C543),1),C543,Feriados!$A$2:$A$842))&gt;=5,0,IF(NETWORKDAYS(DATE(YEAR(C543),MONTH(C543),1),C543,Feriados!$A$2:$A$842)=1,J542,K542))</f>
        <v>28560.517196854482</v>
      </c>
      <c r="L543" s="30">
        <v>0</v>
      </c>
      <c r="M543" s="19">
        <f>VLOOKUP(C543,'Fluxo de Caixa'!$B$13:$U$10027,20,FALSE)</f>
        <v>23096.202903247722</v>
      </c>
      <c r="N543" s="19">
        <f>SUMIFS([1]Master!$J$2:$J$100,[1]Master!$A$2:$A$100,"="&amp;$I$12,[1]Master!$E$2:$E$100,"="&amp;C543,[1]Master!$J$2:$J$100,"&gt;"&amp;0)</f>
        <v>0</v>
      </c>
      <c r="O543" s="19">
        <f ca="1">-SUMIF('[1]Fluxo de Movimentações'!$A$5:$F$10001,"="&amp;$C544,'[1]Fluxo de Movimentações'!$B$5:$B$10001)</f>
        <v>0</v>
      </c>
      <c r="P543" s="19">
        <f>-SUMIFS([1]Master!$J$1:$J$200,[1]Master!$A$1:$A$200,"="&amp;$I$12,[1]Master!$G$1:$G$200,"&gt;"&amp;C543,[1]Master!$E$1:$E$200,"&lt;="&amp;C543)</f>
        <v>29000</v>
      </c>
      <c r="Q543" s="30">
        <v>3356.4466000000002</v>
      </c>
      <c r="R543" s="32">
        <v>1.0011142</v>
      </c>
      <c r="S543" s="30">
        <v>0</v>
      </c>
      <c r="T543" s="30">
        <v>0</v>
      </c>
      <c r="U543" s="30">
        <v>0</v>
      </c>
      <c r="V543" s="30">
        <v>0</v>
      </c>
    </row>
    <row r="544" spans="3:22" x14ac:dyDescent="0.25">
      <c r="C544" s="4">
        <f>WORKDAY(C543,1,Feriados!$A$2:$A$842)</f>
        <v>45603</v>
      </c>
      <c r="D544" s="30">
        <v>16747343.2994</v>
      </c>
      <c r="E544" s="32">
        <v>0.97758579999999995</v>
      </c>
      <c r="F544" s="38">
        <f t="shared" ref="F544" si="1437">D544/TRUNC(E544,7)</f>
        <v>17131328.318598736</v>
      </c>
      <c r="G544" s="19">
        <f t="shared" ref="G544" si="1438">H544*I544</f>
        <v>16726735.105588639</v>
      </c>
      <c r="H544" s="31">
        <v>1.0341113</v>
      </c>
      <c r="I544" s="19">
        <f>SUMIFS([1]Master!$K$2:$K$10000,[1]Master!$A$2:$A$10000,$I$12,[1]Master!$F$2:$F$10000,"&lt;="&amp;$C544)</f>
        <v>16174985.328550844</v>
      </c>
      <c r="J544" s="19">
        <f t="shared" ref="J544" si="1439">((((1+1.85%)^(1/252))-1)*D543)+SUM(J543)</f>
        <v>6202.3311031064895</v>
      </c>
      <c r="K544" s="19">
        <f>IF((NETWORKDAYS(DATE(YEAR(C544),MONTH(C544),1),C544,Feriados!$A$2:$A$842))&gt;=5,0,IF(NETWORKDAYS(DATE(YEAR(C544),MONTH(C544),1),C544,Feriados!$A$2:$A$842)=1,J543,K543))</f>
        <v>0</v>
      </c>
      <c r="L544" s="30">
        <v>0</v>
      </c>
      <c r="M544" s="19">
        <f>VLOOKUP(C544,'Fluxo de Caixa'!$B$13:$U$10027,20,FALSE)</f>
        <v>23535.68570639324</v>
      </c>
      <c r="N544" s="19">
        <f>SUMIFS([1]Master!$J$2:$J$100,[1]Master!$A$2:$A$100,"="&amp;$I$12,[1]Master!$E$2:$E$100,"="&amp;C544,[1]Master!$J$2:$J$100,"&gt;"&amp;0)</f>
        <v>0</v>
      </c>
      <c r="O544" s="19">
        <f ca="1">-SUMIF('[1]Fluxo de Movimentações'!$A$5:$F$10001,"="&amp;$C545,'[1]Fluxo de Movimentações'!$B$5:$B$10001)</f>
        <v>0</v>
      </c>
      <c r="P544" s="19">
        <f>-SUMIFS([1]Master!$J$1:$J$200,[1]Master!$A$1:$A$200,"="&amp;$I$12,[1]Master!$G$1:$G$200,"&gt;"&amp;C544,[1]Master!$E$1:$E$200,"&lt;="&amp;C544)</f>
        <v>0</v>
      </c>
      <c r="Q544" s="30">
        <v>3274.3393999999998</v>
      </c>
      <c r="R544" s="32">
        <v>0.97758579999999995</v>
      </c>
      <c r="S544" s="30">
        <v>0</v>
      </c>
      <c r="T544" s="30">
        <v>0</v>
      </c>
      <c r="U544" s="30">
        <v>0</v>
      </c>
      <c r="V544" s="30">
        <v>0</v>
      </c>
    </row>
    <row r="545" spans="3:22" x14ac:dyDescent="0.25">
      <c r="C545" s="4">
        <f>WORKDAY(C544,1,Feriados!$A$2:$A$842)</f>
        <v>45604</v>
      </c>
      <c r="D545" s="30">
        <v>16506779.302200001</v>
      </c>
      <c r="E545" s="32">
        <v>0.9635435</v>
      </c>
      <c r="F545" s="38">
        <f t="shared" ref="F545" si="1440">D545/TRUNC(E545,7)</f>
        <v>17131327.544838402</v>
      </c>
      <c r="G545" s="19">
        <f t="shared" ref="G545" si="1441">H545*I545</f>
        <v>16487471.48761165</v>
      </c>
      <c r="H545" s="31">
        <v>1.0193190999999999</v>
      </c>
      <c r="I545" s="19">
        <f>SUMIFS([1]Master!$K$2:$K$10000,[1]Master!$A$2:$A$10000,$I$12,[1]Master!$F$2:$F$10000,"&lt;="&amp;$C545)</f>
        <v>16174985.328550844</v>
      </c>
      <c r="J545" s="19">
        <f t="shared" ref="J545" si="1442">((((1+1.85%)^(1/252))-1)*D544)+SUM(J544)</f>
        <v>7420.608843457454</v>
      </c>
      <c r="K545" s="19">
        <f>IF((NETWORKDAYS(DATE(YEAR(C545),MONTH(C545),1),C545,Feriados!$A$2:$A$842))&gt;=5,0,IF(NETWORKDAYS(DATE(YEAR(C545),MONTH(C545),1),C545,Feriados!$A$2:$A$842)=1,J544,K544))</f>
        <v>0</v>
      </c>
      <c r="L545" s="30">
        <v>0</v>
      </c>
      <c r="M545" s="19">
        <f>VLOOKUP(C545,'Fluxo de Caixa'!$B$13:$U$10027,20,FALSE)</f>
        <v>23535.68570639324</v>
      </c>
      <c r="N545" s="19">
        <f>SUMIFS([1]Master!$J$2:$J$100,[1]Master!$A$2:$A$100,"="&amp;$I$12,[1]Master!$E$2:$E$100,"="&amp;C545,[1]Master!$J$2:$J$100,"&gt;"&amp;0)</f>
        <v>0</v>
      </c>
      <c r="O545" s="19">
        <f ca="1">-SUMIF('[1]Fluxo de Movimentações'!$A$5:$F$10001,"="&amp;$C546,'[1]Fluxo de Movimentações'!$B$5:$B$10001)</f>
        <v>0</v>
      </c>
      <c r="P545" s="19">
        <f>-SUMIFS([1]Master!$J$1:$J$200,[1]Master!$A$1:$A$200,"="&amp;$I$12,[1]Master!$G$1:$G$200,"&gt;"&amp;C545,[1]Master!$E$1:$E$200,"&lt;="&amp;C545)</f>
        <v>0</v>
      </c>
      <c r="Q545" s="30">
        <v>3192.2321999999999</v>
      </c>
      <c r="R545" s="32">
        <v>0.9635435</v>
      </c>
      <c r="S545" s="30">
        <v>0</v>
      </c>
      <c r="T545" s="30">
        <v>0</v>
      </c>
      <c r="U545" s="30">
        <v>0</v>
      </c>
      <c r="V545" s="30">
        <v>0</v>
      </c>
    </row>
    <row r="546" spans="3:22" x14ac:dyDescent="0.25">
      <c r="C546" s="4">
        <f>WORKDAY(C545,1,Feriados!$A$2:$A$842)</f>
        <v>45607</v>
      </c>
      <c r="D546" s="30">
        <v>16584200.664999999</v>
      </c>
      <c r="E546" s="32">
        <v>0.96806270000000005</v>
      </c>
      <c r="F546" s="38">
        <f t="shared" ref="F546" si="1443">D546/TRUNC(E546,7)</f>
        <v>17131329.060607333</v>
      </c>
      <c r="G546" s="19">
        <f t="shared" ref="G546" si="1444">H546*I546</f>
        <v>16566175.731223313</v>
      </c>
      <c r="H546" s="31">
        <v>1.0241849000000001</v>
      </c>
      <c r="I546" s="19">
        <f>SUMIFS([1]Master!$K$2:$K$10000,[1]Master!$A$2:$A$10000,$I$12,[1]Master!$F$2:$F$10000,"&lt;="&amp;$C546)</f>
        <v>16174985.328550844</v>
      </c>
      <c r="J546" s="19">
        <f t="shared" ref="J546" si="1445">((((1+1.85%)^(1/252))-1)*D545)+SUM(J545)</f>
        <v>8621.3868671262444</v>
      </c>
      <c r="K546" s="19">
        <f>IF((NETWORKDAYS(DATE(YEAR(C546),MONTH(C546),1),C546,Feriados!$A$2:$A$842))&gt;=5,0,IF(NETWORKDAYS(DATE(YEAR(C546),MONTH(C546),1),C546,Feriados!$A$2:$A$842)=1,J545,K545))</f>
        <v>0</v>
      </c>
      <c r="L546" s="30">
        <v>0</v>
      </c>
      <c r="M546" s="19">
        <f>VLOOKUP(C546,'Fluxo de Caixa'!$B$13:$U$10027,20,FALSE)</f>
        <v>23535.68570639324</v>
      </c>
      <c r="N546" s="19">
        <f>SUMIFS([1]Master!$J$2:$J$100,[1]Master!$A$2:$A$100,"="&amp;$I$12,[1]Master!$E$2:$E$100,"="&amp;C546,[1]Master!$J$2:$J$100,"&gt;"&amp;0)</f>
        <v>0</v>
      </c>
      <c r="O546" s="19">
        <f ca="1">-SUMIF('[1]Fluxo de Movimentações'!$A$5:$F$10001,"="&amp;$C547,'[1]Fluxo de Movimentações'!$B$5:$B$10001)</f>
        <v>0</v>
      </c>
      <c r="P546" s="19">
        <f>-SUMIFS([1]Master!$J$1:$J$200,[1]Master!$A$1:$A$200,"="&amp;$I$12,[1]Master!$G$1:$G$200,"&gt;"&amp;C546,[1]Master!$E$1:$E$200,"&lt;="&amp;C546)</f>
        <v>0</v>
      </c>
      <c r="Q546" s="30">
        <v>3110.125</v>
      </c>
      <c r="R546" s="32">
        <v>0.96806270000000005</v>
      </c>
      <c r="S546" s="30">
        <v>0</v>
      </c>
      <c r="T546" s="30">
        <v>0</v>
      </c>
      <c r="U546" s="30">
        <v>0</v>
      </c>
      <c r="V546" s="30">
        <v>0</v>
      </c>
    </row>
    <row r="547" spans="3:22" x14ac:dyDescent="0.25">
      <c r="C547" s="4">
        <f>WORKDAY(C546,1,Feriados!$A$2:$A$842)</f>
        <v>45608</v>
      </c>
      <c r="D547" s="30">
        <v>16707936.697799999</v>
      </c>
      <c r="E547" s="32">
        <v>0.97528550000000003</v>
      </c>
      <c r="F547" s="38">
        <f t="shared" ref="F547" si="1446">D547/TRUNC(E547,7)</f>
        <v>17131328.92655535</v>
      </c>
      <c r="G547" s="19">
        <f t="shared" ref="G547" si="1447">H547*I547</f>
        <v>16691200.280320346</v>
      </c>
      <c r="H547" s="31">
        <v>1.0319144</v>
      </c>
      <c r="I547" s="19">
        <f>SUMIFS([1]Master!$K$2:$K$10000,[1]Master!$A$2:$A$10000,$I$12,[1]Master!$F$2:$F$10000,"&lt;="&amp;$C547)</f>
        <v>16174985.328550844</v>
      </c>
      <c r="J547" s="19">
        <f t="shared" ref="J547" si="1448">((((1+1.85%)^(1/252))-1)*D546)+SUM(J546)</f>
        <v>9827.7968720138269</v>
      </c>
      <c r="K547" s="19">
        <f>IF((NETWORKDAYS(DATE(YEAR(C547),MONTH(C547),1),C547,Feriados!$A$2:$A$842))&gt;=5,0,IF(NETWORKDAYS(DATE(YEAR(C547),MONTH(C547),1),C547,Feriados!$A$2:$A$842)=1,J546,K546))</f>
        <v>0</v>
      </c>
      <c r="L547" s="30">
        <v>0</v>
      </c>
      <c r="M547" s="19">
        <f>VLOOKUP(C547,'Fluxo de Caixa'!$B$13:$U$10027,20,FALSE)</f>
        <v>23535.68570639324</v>
      </c>
      <c r="N547" s="19">
        <f>SUMIFS([1]Master!$J$2:$J$100,[1]Master!$A$2:$A$100,"="&amp;$I$12,[1]Master!$E$2:$E$100,"="&amp;C547,[1]Master!$J$2:$J$100,"&gt;"&amp;0)</f>
        <v>0</v>
      </c>
      <c r="O547" s="19">
        <f ca="1">-SUMIF('[1]Fluxo de Movimentações'!$A$5:$F$10001,"="&amp;$C548,'[1]Fluxo de Movimentações'!$B$5:$B$10001)</f>
        <v>0</v>
      </c>
      <c r="P547" s="19">
        <f>-SUMIFS([1]Master!$J$1:$J$200,[1]Master!$A$1:$A$200,"="&amp;$I$12,[1]Master!$G$1:$G$200,"&gt;"&amp;C547,[1]Master!$E$1:$E$200,"&lt;="&amp;C547)</f>
        <v>0</v>
      </c>
      <c r="Q547" s="30">
        <v>3028.0178000000001</v>
      </c>
      <c r="R547" s="32">
        <v>0.97528550000000003</v>
      </c>
      <c r="S547" s="30">
        <v>0</v>
      </c>
      <c r="T547" s="30">
        <v>0</v>
      </c>
      <c r="U547" s="30">
        <v>0</v>
      </c>
      <c r="V547" s="30">
        <v>0</v>
      </c>
    </row>
    <row r="548" spans="3:22" x14ac:dyDescent="0.25">
      <c r="C548" s="4">
        <f>WORKDAY(C547,1,Feriados!$A$2:$A$842)</f>
        <v>45609</v>
      </c>
      <c r="D548" s="30">
        <v>16652362.400599999</v>
      </c>
      <c r="E548" s="32">
        <v>0.9720415</v>
      </c>
      <c r="F548" s="38">
        <f t="shared" ref="F548" si="1449">D548/TRUNC(E548,7)</f>
        <v>17131328.652737562</v>
      </c>
      <c r="G548" s="19">
        <f t="shared" ref="G548" si="1450">H548*I548</f>
        <v>16636923.499551862</v>
      </c>
      <c r="H548" s="31">
        <v>1.0285588000000001</v>
      </c>
      <c r="I548" s="19">
        <f>SUMIFS([1]Master!$K$2:$K$10000,[1]Master!$A$2:$A$10000,$I$12,[1]Master!$F$2:$F$10000,"&lt;="&amp;$C548)</f>
        <v>16174985.328550844</v>
      </c>
      <c r="J548" s="19">
        <f t="shared" ref="J548" si="1451">((((1+1.85%)^(1/252))-1)*D547)+SUM(J547)</f>
        <v>11043.207997362406</v>
      </c>
      <c r="K548" s="19">
        <f>IF((NETWORKDAYS(DATE(YEAR(C548),MONTH(C548),1),C548,Feriados!$A$2:$A$842))&gt;=5,0,IF(NETWORKDAYS(DATE(YEAR(C548),MONTH(C548),1),C548,Feriados!$A$2:$A$842)=1,J547,K547))</f>
        <v>0</v>
      </c>
      <c r="L548" s="30">
        <v>0</v>
      </c>
      <c r="M548" s="19">
        <f>VLOOKUP(C548,'Fluxo de Caixa'!$B$13:$U$10027,20,FALSE)</f>
        <v>23535.68570639324</v>
      </c>
      <c r="N548" s="19">
        <f>SUMIFS([1]Master!$J$2:$J$100,[1]Master!$A$2:$A$100,"="&amp;$I$12,[1]Master!$E$2:$E$100,"="&amp;C548,[1]Master!$J$2:$J$100,"&gt;"&amp;0)</f>
        <v>0</v>
      </c>
      <c r="O548" s="19">
        <f ca="1">-SUMIF('[1]Fluxo de Movimentações'!$A$5:$F$10001,"="&amp;$C549,'[1]Fluxo de Movimentações'!$B$5:$B$10001)</f>
        <v>0</v>
      </c>
      <c r="P548" s="19">
        <f>-SUMIFS([1]Master!$J$1:$J$200,[1]Master!$A$1:$A$200,"="&amp;$I$12,[1]Master!$G$1:$G$200,"&gt;"&amp;C548,[1]Master!$E$1:$E$200,"&lt;="&amp;C548)</f>
        <v>0</v>
      </c>
      <c r="Q548" s="30">
        <v>2945.9106000000002</v>
      </c>
      <c r="R548" s="32">
        <v>0.9720415</v>
      </c>
      <c r="S548" s="30">
        <v>0</v>
      </c>
      <c r="T548" s="30">
        <v>0</v>
      </c>
      <c r="U548" s="30">
        <v>0</v>
      </c>
      <c r="V548" s="30">
        <v>0</v>
      </c>
    </row>
    <row r="549" spans="3:22" x14ac:dyDescent="0.25">
      <c r="C549" s="4">
        <f>WORKDAY(C548,1,Feriados!$A$2:$A$842)</f>
        <v>45610</v>
      </c>
      <c r="D549" s="30">
        <v>16690034.472899999</v>
      </c>
      <c r="E549" s="32">
        <v>0.97424049999999995</v>
      </c>
      <c r="F549" s="38">
        <f t="shared" ref="F549" si="1452">D549/TRUNC(E549,7)</f>
        <v>17131328.940749232</v>
      </c>
      <c r="G549" s="19">
        <f t="shared" ref="G549" si="1453">H549*I549</f>
        <v>16675889.03920834</v>
      </c>
      <c r="H549" s="31">
        <v>1.0309678</v>
      </c>
      <c r="I549" s="19">
        <f>SUMIFS([1]Master!$K$2:$K$10000,[1]Master!$A$2:$A$10000,$I$12,[1]Master!$F$2:$F$10000,"&lt;="&amp;$C549)</f>
        <v>16174985.328550844</v>
      </c>
      <c r="J549" s="19">
        <f t="shared" ref="J549" si="1454">((((1+1.85%)^(1/252))-1)*D548)+SUM(J548)</f>
        <v>12254.576396171975</v>
      </c>
      <c r="K549" s="19">
        <f>IF((NETWORKDAYS(DATE(YEAR(C549),MONTH(C549),1),C549,Feriados!$A$2:$A$842))&gt;=5,0,IF(NETWORKDAYS(DATE(YEAR(C549),MONTH(C549),1),C549,Feriados!$A$2:$A$842)=1,J548,K548))</f>
        <v>0</v>
      </c>
      <c r="L549" s="30">
        <v>0</v>
      </c>
      <c r="M549" s="19">
        <f>VLOOKUP(C549,'Fluxo de Caixa'!$B$13:$U$10027,20,FALSE)</f>
        <v>22921.02570639324</v>
      </c>
      <c r="N549" s="19">
        <f>SUMIFS([1]Master!$J$2:$J$100,[1]Master!$A$2:$A$100,"="&amp;$I$12,[1]Master!$E$2:$E$100,"="&amp;C549,[1]Master!$J$2:$J$100,"&gt;"&amp;0)</f>
        <v>0</v>
      </c>
      <c r="O549" s="19">
        <f ca="1">-SUMIF('[1]Fluxo de Movimentações'!$A$5:$F$10001,"="&amp;$C550,'[1]Fluxo de Movimentações'!$B$5:$B$10001)</f>
        <v>0</v>
      </c>
      <c r="P549" s="19">
        <f>-SUMIFS([1]Master!$J$1:$J$200,[1]Master!$A$1:$A$200,"="&amp;$I$12,[1]Master!$G$1:$G$200,"&gt;"&amp;C549,[1]Master!$E$1:$E$200,"&lt;="&amp;C549)</f>
        <v>0</v>
      </c>
      <c r="Q549" s="30">
        <v>3478.4629</v>
      </c>
      <c r="R549" s="32">
        <v>0.97424049999999995</v>
      </c>
      <c r="S549" s="30">
        <v>0</v>
      </c>
      <c r="T549" s="30">
        <v>0</v>
      </c>
      <c r="U549" s="30">
        <v>0</v>
      </c>
      <c r="V549" s="30">
        <v>0</v>
      </c>
    </row>
    <row r="550" spans="3:22" x14ac:dyDescent="0.25">
      <c r="C550" s="4">
        <f>WORKDAY(C549,1,Feriados!$A$2:$A$842)</f>
        <v>45614</v>
      </c>
      <c r="D550" s="30">
        <v>16581669.5657</v>
      </c>
      <c r="E550" s="32">
        <v>0.96791499999999997</v>
      </c>
      <c r="F550" s="38">
        <f t="shared" ref="F550" si="1455">D550/TRUNC(E550,7)</f>
        <v>17131328.232024506</v>
      </c>
      <c r="G550" s="19">
        <f t="shared" ref="G550" si="1456">H550*I550</f>
        <v>16568820.341324532</v>
      </c>
      <c r="H550" s="31">
        <v>1.0243484</v>
      </c>
      <c r="I550" s="19">
        <f>SUMIFS([1]Master!$K$2:$K$10000,[1]Master!$A$2:$A$10000,$I$12,[1]Master!$F$2:$F$10000,"&lt;="&amp;$C550)</f>
        <v>16174985.328550844</v>
      </c>
      <c r="J550" s="19">
        <f t="shared" ref="J550" si="1457">((((1+1.85%)^(1/252))-1)*D549)+SUM(J549)</f>
        <v>13468.685232452461</v>
      </c>
      <c r="K550" s="19">
        <f>IF((NETWORKDAYS(DATE(YEAR(C550),MONTH(C550),1),C550,Feriados!$A$2:$A$842))&gt;=5,0,IF(NETWORKDAYS(DATE(YEAR(C550),MONTH(C550),1),C550,Feriados!$A$2:$A$842)=1,J549,K549))</f>
        <v>0</v>
      </c>
      <c r="L550" s="30">
        <v>0</v>
      </c>
      <c r="M550" s="19">
        <f>VLOOKUP(C550,'Fluxo de Caixa'!$B$13:$U$10027,20,FALSE)</f>
        <v>22921.02570639324</v>
      </c>
      <c r="N550" s="19">
        <f>SUMIFS([1]Master!$J$2:$J$100,[1]Master!$A$2:$A$100,"="&amp;$I$12,[1]Master!$E$2:$E$100,"="&amp;C550,[1]Master!$J$2:$J$100,"&gt;"&amp;0)</f>
        <v>0</v>
      </c>
      <c r="O550" s="19">
        <f ca="1">-SUMIF('[1]Fluxo de Movimentações'!$A$5:$F$10001,"="&amp;$C551,'[1]Fluxo de Movimentações'!$B$5:$B$10001)</f>
        <v>0</v>
      </c>
      <c r="P550" s="19">
        <f>-SUMIFS([1]Master!$J$1:$J$200,[1]Master!$A$1:$A$200,"="&amp;$I$12,[1]Master!$G$1:$G$200,"&gt;"&amp;C550,[1]Master!$E$1:$E$200,"&lt;="&amp;C550)</f>
        <v>0</v>
      </c>
      <c r="Q550" s="30">
        <v>3396.3557000000001</v>
      </c>
      <c r="R550" s="32">
        <v>0.96791499999999997</v>
      </c>
      <c r="S550" s="30">
        <v>0</v>
      </c>
      <c r="T550" s="30">
        <v>0</v>
      </c>
      <c r="U550" s="30">
        <v>0</v>
      </c>
      <c r="V550" s="30">
        <v>0</v>
      </c>
    </row>
    <row r="551" spans="3:22" x14ac:dyDescent="0.25">
      <c r="C551" s="4">
        <f>WORKDAY(C550,1,Feriados!$A$2:$A$842)</f>
        <v>45615</v>
      </c>
      <c r="D551" s="30">
        <v>16627555.588500001</v>
      </c>
      <c r="E551" s="32">
        <v>0.9705935</v>
      </c>
      <c r="F551" s="38">
        <f t="shared" ref="F551" si="1458">D551/TRUNC(E551,7)</f>
        <v>17131327.984887596</v>
      </c>
      <c r="G551" s="19">
        <f t="shared" ref="G551" si="1459">H551*I551</f>
        <v>16615994.686035249</v>
      </c>
      <c r="H551" s="31">
        <v>1.0272649</v>
      </c>
      <c r="I551" s="19">
        <f>SUMIFS([1]Master!$K$2:$K$10000,[1]Master!$A$2:$A$10000,$I$12,[1]Master!$F$2:$F$10000,"&lt;="&amp;$C551)</f>
        <v>16174985.328550844</v>
      </c>
      <c r="J551" s="19">
        <f t="shared" ref="J551" si="1460">((((1+1.85%)^(1/252))-1)*D550)+SUM(J550)</f>
        <v>14674.911113692448</v>
      </c>
      <c r="K551" s="19">
        <f>IF((NETWORKDAYS(DATE(YEAR(C551),MONTH(C551),1),C551,Feriados!$A$2:$A$842))&gt;=5,0,IF(NETWORKDAYS(DATE(YEAR(C551),MONTH(C551),1),C551,Feriados!$A$2:$A$842)=1,J550,K550))</f>
        <v>0</v>
      </c>
      <c r="L551" s="30">
        <v>0</v>
      </c>
      <c r="M551" s="19">
        <f>VLOOKUP(C551,'Fluxo de Caixa'!$B$13:$U$10027,20,FALSE)</f>
        <v>22921.02570639324</v>
      </c>
      <c r="N551" s="19">
        <f>SUMIFS([1]Master!$J$2:$J$100,[1]Master!$A$2:$A$100,"="&amp;$I$12,[1]Master!$E$2:$E$100,"="&amp;C551,[1]Master!$J$2:$J$100,"&gt;"&amp;0)</f>
        <v>0</v>
      </c>
      <c r="O551" s="19">
        <f ca="1">-SUMIF('[1]Fluxo de Movimentações'!$A$5:$F$10001,"="&amp;$C552,'[1]Fluxo de Movimentações'!$B$5:$B$10001)</f>
        <v>0</v>
      </c>
      <c r="P551" s="19">
        <f>-SUMIFS([1]Master!$J$1:$J$200,[1]Master!$A$1:$A$200,"="&amp;$I$12,[1]Master!$G$1:$G$200,"&gt;"&amp;C551,[1]Master!$E$1:$E$200,"&lt;="&amp;C551)</f>
        <v>0</v>
      </c>
      <c r="Q551" s="30">
        <v>3314.2485000000001</v>
      </c>
      <c r="R551" s="32">
        <v>0.9705935</v>
      </c>
      <c r="S551" s="30">
        <v>0</v>
      </c>
      <c r="T551" s="30">
        <v>0</v>
      </c>
      <c r="U551" s="30">
        <v>0</v>
      </c>
      <c r="V551" s="30">
        <v>0</v>
      </c>
    </row>
    <row r="552" spans="3:22" x14ac:dyDescent="0.25">
      <c r="C552" s="4">
        <f>WORKDAY(C551,1,Feriados!$A$2:$A$842)</f>
        <v>45617</v>
      </c>
      <c r="D552" s="30">
        <v>16407953.371300001</v>
      </c>
      <c r="E552" s="32">
        <v>0.95777469999999998</v>
      </c>
      <c r="F552" s="38">
        <f t="shared" ref="F552" si="1461">D552/TRUNC(E552,7)</f>
        <v>17131328.872332919</v>
      </c>
      <c r="G552" s="19">
        <f t="shared" ref="G552" si="1462">H552*I552</f>
        <v>16397684.144052865</v>
      </c>
      <c r="H552" s="31">
        <v>1.0137681000000001</v>
      </c>
      <c r="I552" s="19">
        <f>SUMIFS([1]Master!$K$2:$K$10000,[1]Master!$A$2:$A$10000,$I$12,[1]Master!$F$2:$F$10000,"&lt;="&amp;$C552)</f>
        <v>16174985.328550844</v>
      </c>
      <c r="J552" s="19">
        <f t="shared" ref="J552" si="1463">((((1+1.85%)^(1/252))-1)*D551)+SUM(J551)</f>
        <v>15884.474952432385</v>
      </c>
      <c r="K552" s="19">
        <f>IF((NETWORKDAYS(DATE(YEAR(C552),MONTH(C552),1),C552,Feriados!$A$2:$A$842))&gt;=5,0,IF(NETWORKDAYS(DATE(YEAR(C552),MONTH(C552),1),C552,Feriados!$A$2:$A$842)=1,J551,K551))</f>
        <v>0</v>
      </c>
      <c r="L552" s="30">
        <v>0</v>
      </c>
      <c r="M552" s="19">
        <f>VLOOKUP(C552,'Fluxo de Caixa'!$B$13:$U$10027,20,FALSE)</f>
        <v>22921.02570639324</v>
      </c>
      <c r="N552" s="19">
        <f>SUMIFS([1]Master!$J$2:$J$100,[1]Master!$A$2:$A$100,"="&amp;$I$12,[1]Master!$E$2:$E$100,"="&amp;C552,[1]Master!$J$2:$J$100,"&gt;"&amp;0)</f>
        <v>0</v>
      </c>
      <c r="O552" s="19">
        <f ca="1">-SUMIF('[1]Fluxo de Movimentações'!$A$5:$F$10001,"="&amp;$C553,'[1]Fluxo de Movimentações'!$B$5:$B$10001)</f>
        <v>0</v>
      </c>
      <c r="P552" s="19">
        <f>-SUMIFS([1]Master!$J$1:$J$200,[1]Master!$A$1:$A$200,"="&amp;$I$12,[1]Master!$G$1:$G$200,"&gt;"&amp;C552,[1]Master!$E$1:$E$200,"&lt;="&amp;C552)</f>
        <v>0</v>
      </c>
      <c r="Q552" s="30">
        <v>3232.1412999999998</v>
      </c>
      <c r="R552" s="32">
        <v>0.95777469999999998</v>
      </c>
      <c r="S552" s="30">
        <v>0</v>
      </c>
      <c r="T552" s="30">
        <v>0</v>
      </c>
      <c r="U552" s="30">
        <v>0</v>
      </c>
      <c r="V552" s="30">
        <v>0</v>
      </c>
    </row>
    <row r="553" spans="3:22" x14ac:dyDescent="0.25">
      <c r="C553" s="4">
        <f>WORKDAY(C552,1,Feriados!$A$2:$A$842)</f>
        <v>45618</v>
      </c>
      <c r="D553" s="30">
        <v>16665531.723300001</v>
      </c>
      <c r="E553" s="32">
        <v>0.97281019999999996</v>
      </c>
      <c r="F553" s="38">
        <f t="shared" ref="F553" si="1464">D553/TRUNC(E553,7)</f>
        <v>17131329.136248779</v>
      </c>
      <c r="G553" s="19">
        <f t="shared" ref="G553" si="1465">H553*I553</f>
        <v>16656534.051764198</v>
      </c>
      <c r="H553" s="31">
        <v>1.0297712000000001</v>
      </c>
      <c r="I553" s="19">
        <f>SUMIFS([1]Master!$K$2:$K$10000,[1]Master!$A$2:$A$10000,$I$12,[1]Master!$F$2:$F$10000,"&lt;="&amp;$C553)</f>
        <v>16174985.328550844</v>
      </c>
      <c r="J553" s="19">
        <f t="shared" ref="J553" si="1466">((((1+1.85%)^(1/252))-1)*D552)+SUM(J552)</f>
        <v>17078.063929478525</v>
      </c>
      <c r="K553" s="19">
        <f>IF((NETWORKDAYS(DATE(YEAR(C553),MONTH(C553),1),C553,Feriados!$A$2:$A$842))&gt;=5,0,IF(NETWORKDAYS(DATE(YEAR(C553),MONTH(C553),1),C553,Feriados!$A$2:$A$842)=1,J552,K552))</f>
        <v>0</v>
      </c>
      <c r="L553" s="30">
        <v>0</v>
      </c>
      <c r="M553" s="19">
        <f>VLOOKUP(C553,'Fluxo de Caixa'!$B$13:$U$10027,20,FALSE)</f>
        <v>22921.02570639324</v>
      </c>
      <c r="N553" s="19">
        <f>SUMIFS([1]Master!$J$2:$J$100,[1]Master!$A$2:$A$100,"="&amp;$I$12,[1]Master!$E$2:$E$100,"="&amp;C553,[1]Master!$J$2:$J$100,"&gt;"&amp;0)</f>
        <v>0</v>
      </c>
      <c r="O553" s="19">
        <f ca="1">-SUMIF('[1]Fluxo de Movimentações'!$A$5:$F$10001,"="&amp;$C554,'[1]Fluxo de Movimentações'!$B$5:$B$10001)</f>
        <v>0</v>
      </c>
      <c r="P553" s="19">
        <f>-SUMIFS([1]Master!$J$1:$J$200,[1]Master!$A$1:$A$200,"="&amp;$I$12,[1]Master!$G$1:$G$200,"&gt;"&amp;C553,[1]Master!$E$1:$E$200,"&lt;="&amp;C553)</f>
        <v>0</v>
      </c>
      <c r="Q553" s="30">
        <v>3154.1633000000002</v>
      </c>
      <c r="R553" s="32">
        <v>0.95777469999999998</v>
      </c>
      <c r="S553" s="30">
        <v>0</v>
      </c>
      <c r="T553" s="30">
        <v>0</v>
      </c>
      <c r="U553" s="30">
        <v>0</v>
      </c>
      <c r="V553" s="30">
        <v>0</v>
      </c>
    </row>
    <row r="554" spans="3:22" x14ac:dyDescent="0.25">
      <c r="C554" s="4">
        <f>WORKDAY(C553,1,Feriados!$A$2:$A$842)</f>
        <v>45621</v>
      </c>
      <c r="D554" s="30">
        <v>16817987.735300001</v>
      </c>
      <c r="E554" s="32">
        <v>0.98170950000000001</v>
      </c>
      <c r="F554" s="38">
        <f t="shared" ref="F554" si="1467">D554/TRUNC(E554,7)</f>
        <v>17131328.295488637</v>
      </c>
      <c r="G554" s="19">
        <f t="shared" ref="G554" si="1468">H554*I554</f>
        <v>16810288.609801803</v>
      </c>
      <c r="H554" s="31">
        <v>1.0392768999999999</v>
      </c>
      <c r="I554" s="19">
        <f>SUMIFS([1]Master!$K$2:$K$10000,[1]Master!$A$2:$A$10000,$I$12,[1]Master!$F$2:$F$10000,"&lt;="&amp;$C554)</f>
        <v>16174985.328550844</v>
      </c>
      <c r="J554" s="19">
        <f t="shared" ref="J554" si="1469">((((1+1.85%)^(1/252))-1)*D553)+SUM(J553)</f>
        <v>18290.39032457527</v>
      </c>
      <c r="K554" s="19">
        <f>IF((NETWORKDAYS(DATE(YEAR(C554),MONTH(C554),1),C554,Feriados!$A$2:$A$842))&gt;=5,0,IF(NETWORKDAYS(DATE(YEAR(C554),MONTH(C554),1),C554,Feriados!$A$2:$A$842)=1,J553,K553))</f>
        <v>0</v>
      </c>
      <c r="L554" s="30">
        <v>0</v>
      </c>
      <c r="M554" s="19">
        <f>VLOOKUP(C554,'Fluxo de Caixa'!$B$13:$U$10027,20,FALSE)</f>
        <v>22921.02570639324</v>
      </c>
      <c r="N554" s="19">
        <f>SUMIFS([1]Master!$J$2:$J$100,[1]Master!$A$2:$A$100,"="&amp;$I$12,[1]Master!$E$2:$E$100,"="&amp;C554,[1]Master!$J$2:$J$100,"&gt;"&amp;0)</f>
        <v>0</v>
      </c>
      <c r="O554" s="19">
        <f ca="1">-SUMIF('[1]Fluxo de Movimentações'!$A$5:$F$10001,"="&amp;$C555,'[1]Fluxo de Movimentações'!$B$5:$B$10001)</f>
        <v>0</v>
      </c>
      <c r="P554" s="19">
        <f>-SUMIFS([1]Master!$J$1:$J$200,[1]Master!$A$1:$A$200,"="&amp;$I$12,[1]Master!$G$1:$G$200,"&gt;"&amp;C554,[1]Master!$E$1:$E$200,"&lt;="&amp;C554)</f>
        <v>0</v>
      </c>
      <c r="Q554" s="30">
        <v>3067.9353000000001</v>
      </c>
      <c r="R554" s="32">
        <v>0.98170950000000001</v>
      </c>
      <c r="S554" s="30">
        <v>0</v>
      </c>
      <c r="T554" s="30">
        <v>0</v>
      </c>
      <c r="U554" s="30">
        <v>0</v>
      </c>
      <c r="V554" s="30">
        <v>0</v>
      </c>
    </row>
    <row r="555" spans="3:22" x14ac:dyDescent="0.25">
      <c r="C555" s="4">
        <f>WORKDAY(C554,1,Feriados!$A$2:$A$842)</f>
        <v>45622</v>
      </c>
      <c r="D555" s="30">
        <v>17202234.757300001</v>
      </c>
      <c r="E555" s="32">
        <v>1.0041389999999999</v>
      </c>
      <c r="F555" s="38">
        <f t="shared" ref="F555" si="1470">D555/TRUNC(E555,7)</f>
        <v>17131328.189921916</v>
      </c>
      <c r="G555" s="19">
        <f t="shared" ref="G555" si="1471">H555*I555</f>
        <v>17195845.265084337</v>
      </c>
      <c r="H555" s="31">
        <v>1.0631135</v>
      </c>
      <c r="I555" s="19">
        <f>SUMIFS([1]Master!$K$2:$K$10000,[1]Master!$A$2:$A$10000,$I$12,[1]Master!$F$2:$F$10000,"&lt;="&amp;$C555)</f>
        <v>16174985.328550844</v>
      </c>
      <c r="J555" s="19">
        <f t="shared" ref="J555" si="1472">((((1+1.85%)^(1/252))-1)*D554)+SUM(J554)</f>
        <v>19513.80706173295</v>
      </c>
      <c r="K555" s="19">
        <f>IF((NETWORKDAYS(DATE(YEAR(C555),MONTH(C555),1),C555,Feriados!$A$2:$A$842))&gt;=5,0,IF(NETWORKDAYS(DATE(YEAR(C555),MONTH(C555),1),C555,Feriados!$A$2:$A$842)=1,J554,K554))</f>
        <v>0</v>
      </c>
      <c r="L555" s="30">
        <v>0</v>
      </c>
      <c r="M555" s="19">
        <f>VLOOKUP(C555,'Fluxo de Caixa'!$B$13:$U$10027,20,FALSE)</f>
        <v>22921.02570639324</v>
      </c>
      <c r="N555" s="19">
        <f>SUMIFS([1]Master!$J$2:$J$100,[1]Master!$A$2:$A$100,"="&amp;$I$12,[1]Master!$E$2:$E$100,"="&amp;C555,[1]Master!$J$2:$J$100,"&gt;"&amp;0)</f>
        <v>0</v>
      </c>
      <c r="O555" s="19">
        <f ca="1">-SUMIF('[1]Fluxo de Movimentações'!$A$5:$F$10001,"="&amp;$C556,'[1]Fluxo de Movimentações'!$B$5:$B$10001)</f>
        <v>0</v>
      </c>
      <c r="P555" s="19">
        <f>-SUMIFS([1]Master!$J$1:$J$200,[1]Master!$A$1:$A$200,"="&amp;$I$12,[1]Master!$G$1:$G$200,"&gt;"&amp;C555,[1]Master!$E$1:$E$200,"&lt;="&amp;C555)</f>
        <v>0</v>
      </c>
      <c r="Q555" s="30">
        <v>2981.7073</v>
      </c>
      <c r="R555" s="32">
        <v>1.0041389999999999</v>
      </c>
      <c r="S555" s="30">
        <v>0</v>
      </c>
      <c r="T555" s="30">
        <v>0</v>
      </c>
      <c r="U555" s="30">
        <v>0</v>
      </c>
      <c r="V555" s="30">
        <v>0</v>
      </c>
    </row>
    <row r="556" spans="3:22" x14ac:dyDescent="0.25">
      <c r="C556" s="4">
        <f>WORKDAY(C555,1,Feriados!$A$2:$A$842)</f>
        <v>45623</v>
      </c>
      <c r="D556" s="30">
        <v>16611697.439300001</v>
      </c>
      <c r="E556" s="32">
        <v>0.96966779999999997</v>
      </c>
      <c r="F556" s="38">
        <f t="shared" ref="F556" si="1473">D556/TRUNC(E556,7)</f>
        <v>17131328.316048034</v>
      </c>
      <c r="G556" s="19">
        <f t="shared" ref="G556" si="1474">H556*I556</f>
        <v>16606645.544515349</v>
      </c>
      <c r="H556" s="31">
        <v>1.0266869000000001</v>
      </c>
      <c r="I556" s="19">
        <f>SUMIFS([1]Master!$K$2:$K$10000,[1]Master!$A$2:$A$10000,$I$12,[1]Master!$F$2:$F$10000,"&lt;="&amp;$C556)</f>
        <v>16174985.328550844</v>
      </c>
      <c r="J556" s="19">
        <f t="shared" ref="J556" si="1475">((((1+1.85%)^(1/252))-1)*D555)+SUM(J555)</f>
        <v>20765.175670738601</v>
      </c>
      <c r="K556" s="19">
        <f>IF((NETWORKDAYS(DATE(YEAR(C556),MONTH(C556),1),C556,Feriados!$A$2:$A$842))&gt;=5,0,IF(NETWORKDAYS(DATE(YEAR(C556),MONTH(C556),1),C556,Feriados!$A$2:$A$842)=1,J555,K555))</f>
        <v>0</v>
      </c>
      <c r="L556" s="30">
        <v>0</v>
      </c>
      <c r="M556" s="19">
        <f>VLOOKUP(C556,'Fluxo de Caixa'!$B$13:$U$10027,20,FALSE)</f>
        <v>22421.02570639324</v>
      </c>
      <c r="N556" s="19">
        <f>SUMIFS([1]Master!$J$2:$J$100,[1]Master!$A$2:$A$100,"="&amp;$I$12,[1]Master!$E$2:$E$100,"="&amp;C556,[1]Master!$J$2:$J$100,"&gt;"&amp;0)</f>
        <v>0</v>
      </c>
      <c r="O556" s="19">
        <f ca="1">-SUMIF('[1]Fluxo de Movimentações'!$A$5:$F$10001,"="&amp;$C557,'[1]Fluxo de Movimentações'!$B$5:$B$10001)</f>
        <v>0</v>
      </c>
      <c r="P556" s="19">
        <f>-SUMIFS([1]Master!$J$1:$J$200,[1]Master!$A$1:$A$200,"="&amp;$I$12,[1]Master!$G$1:$G$200,"&gt;"&amp;C556,[1]Master!$E$1:$E$200,"&lt;="&amp;C556)</f>
        <v>0</v>
      </c>
      <c r="Q556" s="30">
        <v>3395.4793</v>
      </c>
      <c r="R556" s="32">
        <v>0.96966779999999997</v>
      </c>
      <c r="S556" s="30">
        <v>0</v>
      </c>
      <c r="T556" s="30">
        <v>0</v>
      </c>
      <c r="U556" s="30">
        <v>0</v>
      </c>
      <c r="V556" s="30">
        <v>0</v>
      </c>
    </row>
    <row r="557" spans="3:22" x14ac:dyDescent="0.25">
      <c r="C557" s="4">
        <f>WORKDAY(C556,1,Feriados!$A$2:$A$842)</f>
        <v>45624</v>
      </c>
      <c r="D557" s="30">
        <v>15982481.425000001</v>
      </c>
      <c r="E557" s="32">
        <v>0.93293879999999996</v>
      </c>
      <c r="F557" s="38">
        <f t="shared" ref="F557" si="1476">D557/TRUNC(E557,7)</f>
        <v>17131328.898530107</v>
      </c>
      <c r="G557" s="19">
        <f t="shared" ref="G557" si="1477">H557*I557</f>
        <v>15978726.144066872</v>
      </c>
      <c r="H557" s="31">
        <v>0.98786649999999998</v>
      </c>
      <c r="I557" s="19">
        <f>SUMIFS([1]Master!$K$2:$K$10000,[1]Master!$A$2:$A$10000,$I$12,[1]Master!$F$2:$F$10000,"&lt;="&amp;$C557)</f>
        <v>16174985.328550844</v>
      </c>
      <c r="J557" s="19">
        <f t="shared" ref="J557" si="1478">((((1+1.85%)^(1/252))-1)*D556)+SUM(J556)</f>
        <v>21973.585915751573</v>
      </c>
      <c r="K557" s="19">
        <f>IF((NETWORKDAYS(DATE(YEAR(C557),MONTH(C557),1),C557,Feriados!$A$2:$A$842))&gt;=5,0,IF(NETWORKDAYS(DATE(YEAR(C557),MONTH(C557),1),C557,Feriados!$A$2:$A$842)=1,J556,K556))</f>
        <v>0</v>
      </c>
      <c r="L557" s="30">
        <v>0</v>
      </c>
      <c r="M557" s="19">
        <f>VLOOKUP(C557,'Fluxo de Caixa'!$B$13:$U$10027,20,FALSE)</f>
        <v>22421.02570639324</v>
      </c>
      <c r="N557" s="19">
        <f>SUMIFS([1]Master!$J$2:$J$100,[1]Master!$A$2:$A$100,"="&amp;$I$12,[1]Master!$E$2:$E$100,"="&amp;C557,[1]Master!$J$2:$J$100,"&gt;"&amp;0)</f>
        <v>0</v>
      </c>
      <c r="O557" s="19">
        <f ca="1">-SUMIF('[1]Fluxo de Movimentações'!$A$5:$F$10001,"="&amp;$C558,'[1]Fluxo de Movimentações'!$B$5:$B$10001)</f>
        <v>0</v>
      </c>
      <c r="P557" s="19">
        <f>-SUMIFS([1]Master!$J$1:$J$200,[1]Master!$A$1:$A$200,"="&amp;$I$12,[1]Master!$G$1:$G$200,"&gt;"&amp;C557,[1]Master!$E$1:$E$200,"&lt;="&amp;C557)</f>
        <v>0</v>
      </c>
      <c r="Q557" s="30">
        <v>3307.2750000000001</v>
      </c>
      <c r="R557" s="32">
        <v>0.93293879999999996</v>
      </c>
      <c r="S557" s="30">
        <v>0</v>
      </c>
      <c r="T557" s="30">
        <v>0</v>
      </c>
      <c r="U557" s="30">
        <v>0</v>
      </c>
      <c r="V557" s="30">
        <v>0</v>
      </c>
    </row>
    <row r="558" spans="3:22" x14ac:dyDescent="0.25">
      <c r="C558" s="4">
        <f>WORKDAY(C557,1,Feriados!$A$2:$A$842)</f>
        <v>45625</v>
      </c>
      <c r="D558" s="30">
        <v>15997250.3007</v>
      </c>
      <c r="E558" s="32">
        <v>0.93380090000000004</v>
      </c>
      <c r="F558" s="38">
        <f t="shared" ref="F558" si="1479">D558/TRUNC(E558,7)</f>
        <v>17131328.852542333</v>
      </c>
      <c r="G558" s="19">
        <f t="shared" ref="G558" si="1480">H558*I558</f>
        <v>15994745.84953627</v>
      </c>
      <c r="H558" s="31">
        <v>0.98885690000000004</v>
      </c>
      <c r="I558" s="19">
        <f>SUMIFS([1]Master!$K$2:$K$10000,[1]Master!$A$2:$A$10000,$I$12,[1]Master!$F$2:$F$10000,"&lt;="&amp;$C558)</f>
        <v>16174985.328550844</v>
      </c>
      <c r="J558" s="19">
        <f t="shared" ref="J558:J560" si="1481">((((1+1.85%)^(1/252))-1)*D557)+SUM(J557)</f>
        <v>23136.224132903775</v>
      </c>
      <c r="K558" s="19">
        <f>IF((NETWORKDAYS(DATE(YEAR(C558),MONTH(C558),1),C558,Feriados!$A$2:$A$842))&gt;=5,0,IF(NETWORKDAYS(DATE(YEAR(C558),MONTH(C558),1),C558,Feriados!$A$2:$A$842)=1,J557,K557))</f>
        <v>0</v>
      </c>
      <c r="L558" s="30">
        <v>0</v>
      </c>
      <c r="M558" s="19">
        <f>VLOOKUP(C558,'Fluxo de Caixa'!$B$13:$U$10027,20,FALSE)</f>
        <v>22421.02570639324</v>
      </c>
      <c r="N558" s="19">
        <f>SUMIFS([1]Master!$J$2:$J$100,[1]Master!$A$2:$A$100,"="&amp;$I$12,[1]Master!$E$2:$E$100,"="&amp;C558,[1]Master!$J$2:$J$100,"&gt;"&amp;0)</f>
        <v>0</v>
      </c>
      <c r="O558" s="19">
        <f ca="1">-SUMIF('[1]Fluxo de Movimentações'!$A$5:$F$10001,"="&amp;$C559,'[1]Fluxo de Movimentações'!$B$5:$B$10001)</f>
        <v>0</v>
      </c>
      <c r="P558" s="19">
        <f>-SUMIFS([1]Master!$J$1:$J$200,[1]Master!$A$1:$A$200,"="&amp;$I$12,[1]Master!$G$1:$G$200,"&gt;"&amp;C558,[1]Master!$E$1:$E$200,"&lt;="&amp;C558)</f>
        <v>0</v>
      </c>
      <c r="Q558" s="30">
        <v>3219.0707000000002</v>
      </c>
      <c r="R558" s="32">
        <v>0.93380090000000004</v>
      </c>
      <c r="S558" s="30">
        <v>0</v>
      </c>
      <c r="T558" s="30">
        <v>0</v>
      </c>
      <c r="U558" s="30">
        <v>0</v>
      </c>
      <c r="V558" s="30">
        <v>0</v>
      </c>
    </row>
    <row r="559" spans="3:22" x14ac:dyDescent="0.25">
      <c r="C559" s="4">
        <f>WORKDAY(C558,1,Feriados!$A$2:$A$842)</f>
        <v>45628</v>
      </c>
      <c r="D559" s="30">
        <v>15813932.5974</v>
      </c>
      <c r="E559" s="32">
        <v>0.92310020000000004</v>
      </c>
      <c r="F559" s="38">
        <f t="shared" ref="F559" si="1482">D559/TRUNC(E559,7)</f>
        <v>17131328.318854228</v>
      </c>
      <c r="G559" s="19">
        <f t="shared" ref="G559" si="1483">H559*I559</f>
        <v>15812676.979681034</v>
      </c>
      <c r="H559" s="31">
        <v>0.97760069999999999</v>
      </c>
      <c r="I559" s="19">
        <f>SUMIFS([1]Master!$K$2:$K$10000,[1]Master!$A$2:$A$10000,$I$12,[1]Master!$F$2:$F$10000,"&lt;="&amp;$C559)</f>
        <v>16174985.328550844</v>
      </c>
      <c r="J559" s="66">
        <f>((((1+1.85%)^(1/252))-1)*D558)</f>
        <v>1163.7125721823479</v>
      </c>
      <c r="K559" s="19">
        <f>IF((NETWORKDAYS(DATE(YEAR(C559),MONTH(C559),1),C559,Feriados!$A$2:$A$842))&gt;=5,0,IF(NETWORKDAYS(DATE(YEAR(C559),MONTH(C559),1),C559,Feriados!$A$2:$A$842)=1,J558,K558))</f>
        <v>23136.224132903775</v>
      </c>
      <c r="L559" s="30">
        <v>0</v>
      </c>
      <c r="M559" s="19">
        <f>VLOOKUP(C559,'Fluxo de Caixa'!$B$13:$U$10027,20,FALSE)</f>
        <v>22421.02570639324</v>
      </c>
      <c r="N559" s="19">
        <f>SUMIFS([1]Master!$J$2:$J$100,[1]Master!$A$2:$A$100,"="&amp;$I$12,[1]Master!$E$2:$E$100,"="&amp;C559,[1]Master!$J$2:$J$100,"&gt;"&amp;0)</f>
        <v>0</v>
      </c>
      <c r="O559" s="19">
        <f ca="1">-SUMIF('[1]Fluxo de Movimentações'!$A$5:$F$10001,"="&amp;$C560,'[1]Fluxo de Movimentações'!$B$5:$B$10001)</f>
        <v>0</v>
      </c>
      <c r="P559" s="19">
        <f>-SUMIFS([1]Master!$J$1:$J$200,[1]Master!$A$1:$A$200,"="&amp;$I$12,[1]Master!$G$1:$G$200,"&gt;"&amp;C559,[1]Master!$E$1:$E$200,"&lt;="&amp;C559)</f>
        <v>0</v>
      </c>
      <c r="Q559" s="30">
        <v>3133.9474</v>
      </c>
      <c r="R559" s="32">
        <v>0.92310020000000004</v>
      </c>
      <c r="S559" s="30">
        <v>0</v>
      </c>
      <c r="T559" s="30">
        <v>0</v>
      </c>
      <c r="U559" s="30">
        <v>0</v>
      </c>
      <c r="V559" s="30">
        <v>0</v>
      </c>
    </row>
    <row r="560" spans="3:22" x14ac:dyDescent="0.25">
      <c r="C560" s="4">
        <f>WORKDAY(C559,1,Feriados!$A$2:$A$842)</f>
        <v>45629</v>
      </c>
      <c r="D560" s="30">
        <v>15916525.9541</v>
      </c>
      <c r="E560" s="32">
        <v>0.92908880000000005</v>
      </c>
      <c r="F560" s="38">
        <f t="shared" ref="F560" si="1484">D560/TRUNC(E560,7)</f>
        <v>17131329.054983765</v>
      </c>
      <c r="G560" s="19">
        <f t="shared" ref="G560" si="1485">H560*I560</f>
        <v>15916505.828003535</v>
      </c>
      <c r="H560" s="31">
        <v>0.9840198</v>
      </c>
      <c r="I560" s="19">
        <f>SUMIFS([1]Master!$K$2:$K$10000,[1]Master!$A$2:$A$10000,$I$12,[1]Master!$F$2:$F$10000,"&lt;="&amp;$C560)</f>
        <v>16174985.328550844</v>
      </c>
      <c r="J560" s="19">
        <f t="shared" si="1481"/>
        <v>2314.0897828479438</v>
      </c>
      <c r="K560" s="19">
        <f>IF((NETWORKDAYS(DATE(YEAR(C560),MONTH(C560),1),C560,Feriados!$A$2:$A$842))&gt;=5,0,IF(NETWORKDAYS(DATE(YEAR(C560),MONTH(C560),1),C560,Feriados!$A$2:$A$842)=1,J559,K559))</f>
        <v>23136.224132903775</v>
      </c>
      <c r="L560" s="30">
        <v>0</v>
      </c>
      <c r="M560" s="19">
        <f>VLOOKUP(C560,'Fluxo de Caixa'!$B$13:$U$10027,20,FALSE)</f>
        <v>22421.02570639324</v>
      </c>
      <c r="N560" s="19">
        <f>SUMIFS([1]Master!$J$2:$J$100,[1]Master!$A$2:$A$100,"="&amp;$I$12,[1]Master!$E$2:$E$100,"="&amp;C560,[1]Master!$J$2:$J$100,"&gt;"&amp;0)</f>
        <v>0</v>
      </c>
      <c r="O560" s="19">
        <f ca="1">-SUMIF('[1]Fluxo de Movimentações'!$A$5:$F$10001,"="&amp;$C561,'[1]Fluxo de Movimentações'!$B$5:$B$10001)</f>
        <v>0</v>
      </c>
      <c r="P560" s="19">
        <f>-SUMIFS([1]Master!$J$1:$J$200,[1]Master!$A$1:$A$200,"="&amp;$I$12,[1]Master!$G$1:$G$200,"&gt;"&amp;C560,[1]Master!$E$1:$E$200,"&lt;="&amp;C560)</f>
        <v>0</v>
      </c>
      <c r="Q560" s="30">
        <v>3048.8240999999998</v>
      </c>
      <c r="R560" s="32">
        <v>0.92908880000000005</v>
      </c>
      <c r="S560" s="30">
        <v>0</v>
      </c>
      <c r="T560" s="30">
        <v>0</v>
      </c>
      <c r="U560" s="30">
        <v>0</v>
      </c>
      <c r="V560" s="30">
        <v>0</v>
      </c>
    </row>
    <row r="561" spans="3:22" x14ac:dyDescent="0.25">
      <c r="C561" s="4">
        <f>WORKDAY(C560,1,Feriados!$A$2:$A$842)</f>
        <v>45630</v>
      </c>
      <c r="D561" s="30">
        <v>15885474.1108</v>
      </c>
      <c r="E561" s="32">
        <v>0.92727630000000005</v>
      </c>
      <c r="F561" s="38">
        <f t="shared" ref="F561" si="1486">D561/TRUNC(E561,7)</f>
        <v>17131327.642904278</v>
      </c>
      <c r="G561" s="19">
        <f t="shared" ref="G561" si="1487">H561*I561</f>
        <v>15863196.947541788</v>
      </c>
      <c r="H561" s="31">
        <v>0.98217690000000002</v>
      </c>
      <c r="I561" s="19">
        <f>SUMIFS([1]Master!$K$2:$K$10000,[1]Master!$A$2:$A$10000,$I$12,[1]Master!$F$2:$F$10000,"&lt;="&amp;$C561)</f>
        <v>16151058.885157844</v>
      </c>
      <c r="J561" s="19">
        <f t="shared" ref="J561" si="1488">((((1+1.85%)^(1/252))-1)*D560)+SUM(J560)</f>
        <v>3471.930099783056</v>
      </c>
      <c r="K561" s="19">
        <f>IF((NETWORKDAYS(DATE(YEAR(C561),MONTH(C561),1),C561,Feriados!$A$2:$A$842))&gt;=5,0,IF(NETWORKDAYS(DATE(YEAR(C561),MONTH(C561),1),C561,Feriados!$A$2:$A$842)=1,J560,K560))</f>
        <v>23136.224132903775</v>
      </c>
      <c r="L561" s="30">
        <v>0</v>
      </c>
      <c r="M561" s="19">
        <f>VLOOKUP(C561,'Fluxo de Caixa'!$B$13:$U$10027,20,FALSE)</f>
        <v>22421.02570639324</v>
      </c>
      <c r="N561" s="19">
        <f>SUMIFS([1]Master!$J$2:$J$100,[1]Master!$A$2:$A$100,"="&amp;$I$12,[1]Master!$E$2:$E$100,"="&amp;C561,[1]Master!$J$2:$J$100,"&gt;"&amp;0)</f>
        <v>0</v>
      </c>
      <c r="O561" s="19">
        <f ca="1">-SUMIF('[1]Fluxo de Movimentações'!$A$5:$F$10001,"="&amp;$C562,'[1]Fluxo de Movimentações'!$B$5:$B$10001)</f>
        <v>0</v>
      </c>
      <c r="P561" s="19">
        <f>-SUMIFS([1]Master!$J$1:$J$200,[1]Master!$A$1:$A$200,"="&amp;$I$12,[1]Master!$G$1:$G$200,"&gt;"&amp;C561,[1]Master!$E$1:$E$200,"&lt;="&amp;C561)</f>
        <v>23500</v>
      </c>
      <c r="Q561" s="30">
        <v>2963.7008000000001</v>
      </c>
      <c r="R561" s="32">
        <v>0.92727630000000005</v>
      </c>
      <c r="S561" s="30">
        <v>0</v>
      </c>
      <c r="T561" s="30">
        <v>0</v>
      </c>
      <c r="U561" s="30">
        <v>0</v>
      </c>
      <c r="V561" s="30">
        <v>0</v>
      </c>
    </row>
    <row r="562" spans="3:22" x14ac:dyDescent="0.25">
      <c r="C562" s="4">
        <f>WORKDAY(C561,1,Feriados!$A$2:$A$842)</f>
        <v>45631</v>
      </c>
      <c r="D562" s="30">
        <v>16132113.397500001</v>
      </c>
      <c r="E562" s="32">
        <v>0.94167319999999999</v>
      </c>
      <c r="F562" s="38">
        <f t="shared" ref="F562" si="1489">D562/TRUNC(E562,7)</f>
        <v>17131328.997681998</v>
      </c>
      <c r="G562" s="19">
        <f t="shared" ref="G562" si="1490">H562*I562</f>
        <v>16111076.938887637</v>
      </c>
      <c r="H562" s="31">
        <v>0.99752450000000004</v>
      </c>
      <c r="I562" s="19">
        <f>SUMIFS([1]Master!$K$2:$K$10000,[1]Master!$A$2:$A$10000,$I$12,[1]Master!$F$2:$F$10000,"&lt;="&amp;$C562)</f>
        <v>16151058.885157844</v>
      </c>
      <c r="J562" s="19">
        <f t="shared" ref="J562" si="1491">((((1+1.85%)^(1/252))-1)*D561)+SUM(J561)</f>
        <v>4627.5115647430848</v>
      </c>
      <c r="K562" s="19">
        <f>IF((NETWORKDAYS(DATE(YEAR(C562),MONTH(C562),1),C562,Feriados!$A$2:$A$842))&gt;=5,0,IF(NETWORKDAYS(DATE(YEAR(C562),MONTH(C562),1),C562,Feriados!$A$2:$A$842)=1,J561,K561))</f>
        <v>23136.224132903775</v>
      </c>
      <c r="L562" s="30">
        <v>0</v>
      </c>
      <c r="M562" s="19">
        <f>VLOOKUP(C562,'Fluxo de Caixa'!$B$13:$U$10027,20,FALSE)</f>
        <v>22421.02570639324</v>
      </c>
      <c r="N562" s="19">
        <f>SUMIFS([1]Master!$J$2:$J$100,[1]Master!$A$2:$A$100,"="&amp;$I$12,[1]Master!$E$2:$E$100,"="&amp;C562,[1]Master!$J$2:$J$100,"&gt;"&amp;0)</f>
        <v>0</v>
      </c>
      <c r="O562" s="19">
        <f ca="1">-SUMIF('[1]Fluxo de Movimentações'!$A$5:$F$10001,"="&amp;$C563,'[1]Fluxo de Movimentações'!$B$5:$B$10001)</f>
        <v>0</v>
      </c>
      <c r="P562" s="19">
        <f>-SUMIFS([1]Master!$J$1:$J$200,[1]Master!$A$1:$A$200,"="&amp;$I$12,[1]Master!$G$1:$G$200,"&gt;"&amp;C562,[1]Master!$E$1:$E$200,"&lt;="&amp;C562)</f>
        <v>23500</v>
      </c>
      <c r="Q562" s="30">
        <v>2878.5774999999999</v>
      </c>
      <c r="R562" s="32">
        <v>0.94167319999999999</v>
      </c>
      <c r="S562" s="30">
        <v>0</v>
      </c>
      <c r="T562" s="30">
        <v>0</v>
      </c>
      <c r="U562" s="30">
        <v>0</v>
      </c>
      <c r="V562" s="30">
        <v>0</v>
      </c>
    </row>
    <row r="563" spans="3:22" x14ac:dyDescent="0.25">
      <c r="C563" s="4">
        <f>WORKDAY(C562,1,Feriados!$A$2:$A$842)</f>
        <v>45632</v>
      </c>
      <c r="D563" s="30">
        <v>15867607.0342</v>
      </c>
      <c r="E563" s="32">
        <v>0.92623330000000004</v>
      </c>
      <c r="F563" s="38">
        <f t="shared" ref="F563" si="1492">D563/TRUNC(E563,7)</f>
        <v>17131328.612564459</v>
      </c>
      <c r="G563" s="19">
        <f t="shared" ref="G563" si="1493">H563*I563</f>
        <v>15847829.21501256</v>
      </c>
      <c r="H563" s="31">
        <v>0.98122540000000003</v>
      </c>
      <c r="I563" s="19">
        <f>SUMIFS([1]Master!$K$2:$K$10000,[1]Master!$A$2:$A$10000,$I$12,[1]Master!$F$2:$F$10000,"&lt;="&amp;$C563)</f>
        <v>16151058.885157844</v>
      </c>
      <c r="J563" s="19">
        <f t="shared" ref="J563" si="1494">((((1+1.85%)^(1/252))-1)*D562)+SUM(J562)</f>
        <v>5801.0346905093029</v>
      </c>
      <c r="K563" s="19">
        <f>IF((NETWORKDAYS(DATE(YEAR(C563),MONTH(C563),1),C563,Feriados!$A$2:$A$842))&gt;=5,0,IF(NETWORKDAYS(DATE(YEAR(C563),MONTH(C563),1),C563,Feriados!$A$2:$A$842)=1,J562,K562))</f>
        <v>0</v>
      </c>
      <c r="L563" s="30">
        <v>0</v>
      </c>
      <c r="M563" s="19">
        <f>VLOOKUP(C563,'Fluxo de Caixa'!$B$13:$U$10027,20,FALSE)</f>
        <v>22784.80157348944</v>
      </c>
      <c r="N563" s="19">
        <f>SUMIFS([1]Master!$J$2:$J$100,[1]Master!$A$2:$A$100,"="&amp;$I$12,[1]Master!$E$2:$E$100,"="&amp;C563,[1]Master!$J$2:$J$100,"&gt;"&amp;0)</f>
        <v>0</v>
      </c>
      <c r="O563" s="19">
        <f ca="1">-SUMIF('[1]Fluxo de Movimentações'!$A$5:$F$10001,"="&amp;$C564,'[1]Fluxo de Movimentações'!$B$5:$B$10001)</f>
        <v>0</v>
      </c>
      <c r="P563" s="19">
        <f>-SUMIFS([1]Master!$J$1:$J$200,[1]Master!$A$1:$A$200,"="&amp;$I$12,[1]Master!$G$1:$G$200,"&gt;"&amp;C563,[1]Master!$E$1:$E$200,"&lt;="&amp;C563)</f>
        <v>0</v>
      </c>
      <c r="Q563" s="30">
        <v>2793.4542000000001</v>
      </c>
      <c r="R563" s="32">
        <v>0.92623330000000004</v>
      </c>
      <c r="S563" s="30">
        <v>0</v>
      </c>
      <c r="T563" s="30">
        <v>0</v>
      </c>
      <c r="U563" s="30">
        <v>0</v>
      </c>
      <c r="V563" s="30">
        <v>0</v>
      </c>
    </row>
    <row r="564" spans="3:22" x14ac:dyDescent="0.25">
      <c r="C564" s="4">
        <f>WORKDAY(C563,1,Feriados!$A$2:$A$842)</f>
        <v>45635</v>
      </c>
      <c r="D564" s="30">
        <v>15787741.040899999</v>
      </c>
      <c r="E564" s="32">
        <v>0.92157129999999998</v>
      </c>
      <c r="F564" s="38">
        <f t="shared" ref="F564" si="1495">D564/TRUNC(E564,7)</f>
        <v>17131328.895441949</v>
      </c>
      <c r="G564" s="19">
        <f t="shared" ref="G564" si="1496">H564*I564</f>
        <v>15769202.630147835</v>
      </c>
      <c r="H564" s="31">
        <v>0.97635720000000004</v>
      </c>
      <c r="I564" s="19">
        <f>SUMIFS([1]Master!$K$2:$K$10000,[1]Master!$A$2:$A$10000,$I$12,[1]Master!$F$2:$F$10000,"&lt;="&amp;$C564)</f>
        <v>16151058.885157844</v>
      </c>
      <c r="J564" s="19">
        <f t="shared" ref="J564" si="1497">((((1+1.85%)^(1/252))-1)*D563)+SUM(J563)</f>
        <v>6955.3164232480603</v>
      </c>
      <c r="K564" s="19">
        <f>IF((NETWORKDAYS(DATE(YEAR(C564),MONTH(C564),1),C564,Feriados!$A$2:$A$842))&gt;=5,0,IF(NETWORKDAYS(DATE(YEAR(C564),MONTH(C564),1),C564,Feriados!$A$2:$A$842)=1,J563,K563))</f>
        <v>0</v>
      </c>
      <c r="L564" s="30">
        <v>0</v>
      </c>
      <c r="M564" s="19">
        <f>VLOOKUP(C564,'Fluxo de Caixa'!$B$13:$U$10027,20,FALSE)</f>
        <v>22784.80157348944</v>
      </c>
      <c r="N564" s="19">
        <f>SUMIFS([1]Master!$J$2:$J$100,[1]Master!$A$2:$A$100,"="&amp;$I$12,[1]Master!$E$2:$E$100,"="&amp;C564,[1]Master!$J$2:$J$100,"&gt;"&amp;0)</f>
        <v>0</v>
      </c>
      <c r="O564" s="19">
        <f ca="1">-SUMIF('[1]Fluxo de Movimentações'!$A$5:$F$10001,"="&amp;$C565,'[1]Fluxo de Movimentações'!$B$5:$B$10001)</f>
        <v>0</v>
      </c>
      <c r="P564" s="19">
        <f>-SUMIFS([1]Master!$J$1:$J$200,[1]Master!$A$1:$A$200,"="&amp;$I$12,[1]Master!$G$1:$G$200,"&gt;"&amp;C564,[1]Master!$E$1:$E$200,"&lt;="&amp;C564)</f>
        <v>0</v>
      </c>
      <c r="Q564" s="30">
        <v>2708.3308999999999</v>
      </c>
      <c r="R564" s="32">
        <v>0.92157129999999998</v>
      </c>
      <c r="S564" s="30">
        <v>0</v>
      </c>
      <c r="T564" s="30">
        <v>0</v>
      </c>
      <c r="U564" s="30">
        <v>0</v>
      </c>
      <c r="V564" s="30">
        <v>0</v>
      </c>
    </row>
    <row r="565" spans="3:22" x14ac:dyDescent="0.25">
      <c r="C565" s="4">
        <f>WORKDAY(C564,1,Feriados!$A$2:$A$842)</f>
        <v>45636</v>
      </c>
      <c r="D565" s="30">
        <v>16041894.4476</v>
      </c>
      <c r="E565" s="32">
        <v>0.93640690000000004</v>
      </c>
      <c r="F565" s="38">
        <f t="shared" ref="F565" si="1498">D565/TRUNC(E565,7)</f>
        <v>17131328.749926981</v>
      </c>
      <c r="G565" s="19">
        <f t="shared" ref="G565" si="1499">H565*I565</f>
        <v>16024589.633663503</v>
      </c>
      <c r="H565" s="31">
        <v>0.99216959999999998</v>
      </c>
      <c r="I565" s="19">
        <f>SUMIFS([1]Master!$K$2:$K$10000,[1]Master!$A$2:$A$10000,$I$12,[1]Master!$F$2:$F$10000,"&lt;="&amp;$C565)</f>
        <v>16151058.885157844</v>
      </c>
      <c r="J565" s="19">
        <f t="shared" ref="J565" si="1500">((((1+1.85%)^(1/252))-1)*D564)+SUM(J564)</f>
        <v>8103.7883412532829</v>
      </c>
      <c r="K565" s="19">
        <f>IF((NETWORKDAYS(DATE(YEAR(C565),MONTH(C565),1),C565,Feriados!$A$2:$A$842))&gt;=5,0,IF(NETWORKDAYS(DATE(YEAR(C565),MONTH(C565),1),C565,Feriados!$A$2:$A$842)=1,J564,K564))</f>
        <v>0</v>
      </c>
      <c r="L565" s="30">
        <v>0</v>
      </c>
      <c r="M565" s="19">
        <f>VLOOKUP(C565,'Fluxo de Caixa'!$B$13:$U$10027,20,FALSE)</f>
        <v>22784.80157348944</v>
      </c>
      <c r="N565" s="19">
        <f>SUMIFS([1]Master!$J$2:$J$100,[1]Master!$A$2:$A$100,"="&amp;$I$12,[1]Master!$E$2:$E$100,"="&amp;C565,[1]Master!$J$2:$J$100,"&gt;"&amp;0)</f>
        <v>0</v>
      </c>
      <c r="O565" s="19">
        <f ca="1">-SUMIF('[1]Fluxo de Movimentações'!$A$5:$F$10001,"="&amp;$C566,'[1]Fluxo de Movimentações'!$B$5:$B$10001)</f>
        <v>0</v>
      </c>
      <c r="P565" s="19">
        <f>-SUMIFS([1]Master!$J$1:$J$200,[1]Master!$A$1:$A$200,"="&amp;$I$12,[1]Master!$G$1:$G$200,"&gt;"&amp;C565,[1]Master!$E$1:$E$200,"&lt;="&amp;C565)</f>
        <v>0</v>
      </c>
      <c r="Q565" s="30">
        <v>2623.2076000000002</v>
      </c>
      <c r="R565" s="32">
        <v>0.93640690000000004</v>
      </c>
      <c r="S565" s="30">
        <v>0</v>
      </c>
      <c r="T565" s="30">
        <v>0</v>
      </c>
      <c r="U565" s="30">
        <v>0</v>
      </c>
      <c r="V565" s="30">
        <v>0</v>
      </c>
    </row>
    <row r="566" spans="3:22" x14ac:dyDescent="0.25">
      <c r="C566" s="4">
        <f>WORKDAY(C565,1,Feriados!$A$2:$A$842)</f>
        <v>45637</v>
      </c>
      <c r="D566" s="30">
        <v>16307885.8643</v>
      </c>
      <c r="E566" s="32">
        <v>0.95193349999999999</v>
      </c>
      <c r="F566" s="38">
        <f t="shared" ref="F566" si="1501">D566/TRUNC(E566,7)</f>
        <v>17131328.884107977</v>
      </c>
      <c r="G566" s="19">
        <f t="shared" ref="G566" si="1502">H566*I566</f>
        <v>16291833.129506769</v>
      </c>
      <c r="H566" s="31">
        <v>1.0087161</v>
      </c>
      <c r="I566" s="19">
        <f>SUMIFS([1]Master!$K$2:$K$10000,[1]Master!$A$2:$A$10000,$I$12,[1]Master!$F$2:$F$10000,"&lt;="&amp;$C566)</f>
        <v>16151058.885157844</v>
      </c>
      <c r="J566" s="19">
        <f t="shared" ref="J566" si="1503">((((1+1.85%)^(1/252))-1)*D565)+SUM(J565)</f>
        <v>9270.7485312477747</v>
      </c>
      <c r="K566" s="19">
        <f>IF((NETWORKDAYS(DATE(YEAR(C566),MONTH(C566),1),C566,Feriados!$A$2:$A$842))&gt;=5,0,IF(NETWORKDAYS(DATE(YEAR(C566),MONTH(C566),1),C566,Feriados!$A$2:$A$842)=1,J565,K565))</f>
        <v>0</v>
      </c>
      <c r="L566" s="30">
        <v>0</v>
      </c>
      <c r="M566" s="19">
        <f>VLOOKUP(C566,'Fluxo de Caixa'!$B$13:$U$10027,20,FALSE)</f>
        <v>22784.80157348944</v>
      </c>
      <c r="N566" s="19">
        <f>SUMIFS([1]Master!$J$2:$J$100,[1]Master!$A$2:$A$100,"="&amp;$I$12,[1]Master!$E$2:$E$100,"="&amp;C566,[1]Master!$J$2:$J$100,"&gt;"&amp;0)</f>
        <v>0</v>
      </c>
      <c r="O566" s="19">
        <f ca="1">-SUMIF('[1]Fluxo de Movimentações'!$A$5:$F$10001,"="&amp;$C567,'[1]Fluxo de Movimentações'!$B$5:$B$10001)</f>
        <v>0</v>
      </c>
      <c r="P566" s="19">
        <f>-SUMIFS([1]Master!$J$1:$J$200,[1]Master!$A$1:$A$200,"="&amp;$I$12,[1]Master!$G$1:$G$200,"&gt;"&amp;C566,[1]Master!$E$1:$E$200,"&lt;="&amp;C566)</f>
        <v>0</v>
      </c>
      <c r="Q566" s="30">
        <v>2538.0843</v>
      </c>
      <c r="R566" s="32">
        <v>0.95193349999999999</v>
      </c>
      <c r="S566" s="30">
        <v>0</v>
      </c>
      <c r="T566" s="30">
        <v>0</v>
      </c>
      <c r="U566" s="30">
        <v>0</v>
      </c>
      <c r="V566" s="30">
        <v>0</v>
      </c>
    </row>
    <row r="567" spans="3:22" x14ac:dyDescent="0.25">
      <c r="C567" s="4">
        <f>WORKDAY(C566,1,Feriados!$A$2:$A$842)</f>
        <v>45638</v>
      </c>
      <c r="D567" s="30">
        <v>15751681.821</v>
      </c>
      <c r="E567" s="32">
        <v>0.91946649999999996</v>
      </c>
      <c r="F567" s="38">
        <f t="shared" ref="F567" si="1504">D567/TRUNC(E567,7)</f>
        <v>17131327.591597956</v>
      </c>
      <c r="G567" s="19">
        <f t="shared" ref="G567" si="1505">H567*I567</f>
        <v>15736900.512377519</v>
      </c>
      <c r="H567" s="31">
        <v>0.97435720000000003</v>
      </c>
      <c r="I567" s="19">
        <f>SUMIFS([1]Master!$K$2:$K$10000,[1]Master!$A$2:$A$10000,$I$12,[1]Master!$F$2:$F$10000,"&lt;="&amp;$C567)</f>
        <v>16151058.885157844</v>
      </c>
      <c r="J567" s="19">
        <f t="shared" ref="J567" si="1506">((((1+1.85%)^(1/252))-1)*D566)+SUM(J566)</f>
        <v>10457.058143792268</v>
      </c>
      <c r="K567" s="19">
        <f>IF((NETWORKDAYS(DATE(YEAR(C567),MONTH(C567),1),C567,Feriados!$A$2:$A$842))&gt;=5,0,IF(NETWORKDAYS(DATE(YEAR(C567),MONTH(C567),1),C567,Feriados!$A$2:$A$842)=1,J566,K566))</f>
        <v>0</v>
      </c>
      <c r="L567" s="30">
        <v>0</v>
      </c>
      <c r="M567" s="19">
        <f>VLOOKUP(C567,'Fluxo de Caixa'!$B$13:$U$10027,20,FALSE)</f>
        <v>18192.101573489439</v>
      </c>
      <c r="N567" s="19">
        <f>SUMIFS([1]Master!$J$2:$J$100,[1]Master!$A$2:$A$100,"="&amp;$I$12,[1]Master!$E$2:$E$100,"="&amp;C567,[1]Master!$J$2:$J$100,"&gt;"&amp;0)</f>
        <v>0</v>
      </c>
      <c r="O567" s="19">
        <f ca="1">-SUMIF('[1]Fluxo de Movimentações'!$A$5:$F$10001,"="&amp;$C568,'[1]Fluxo de Movimentações'!$B$5:$B$10001)</f>
        <v>0</v>
      </c>
      <c r="P567" s="19">
        <f>-SUMIFS([1]Master!$J$1:$J$200,[1]Master!$A$1:$A$200,"="&amp;$I$12,[1]Master!$G$1:$G$200,"&gt;"&amp;C567,[1]Master!$E$1:$E$200,"&lt;="&amp;C567)</f>
        <v>0</v>
      </c>
      <c r="Q567" s="30">
        <v>7045.6610000000001</v>
      </c>
      <c r="R567" s="32">
        <v>0.91946649999999996</v>
      </c>
      <c r="S567" s="30">
        <v>0</v>
      </c>
      <c r="T567" s="30">
        <v>0</v>
      </c>
      <c r="U567" s="30">
        <v>0</v>
      </c>
      <c r="V567" s="30">
        <v>0</v>
      </c>
    </row>
    <row r="568" spans="3:22" x14ac:dyDescent="0.25">
      <c r="C568" s="4">
        <f>WORKDAY(C567,1,Feriados!$A$2:$A$842)</f>
        <v>45639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BC8CF-6265-4C7B-86EA-58619BB02953}">
  <sheetPr codeName="Planilha3"/>
  <dimension ref="B6:W571"/>
  <sheetViews>
    <sheetView topLeftCell="A4" workbookViewId="0">
      <pane xSplit="2" ySplit="10" topLeftCell="C554" activePane="bottomRight" state="frozen"/>
      <selection activeCell="A4" sqref="A4"/>
      <selection pane="topRight" activeCell="C4" sqref="C4"/>
      <selection pane="bottomLeft" activeCell="A14" sqref="A14"/>
      <selection pane="bottomRight" activeCell="O572" sqref="O572"/>
    </sheetView>
  </sheetViews>
  <sheetFormatPr defaultRowHeight="15" x14ac:dyDescent="0.25"/>
  <cols>
    <col min="2" max="2" width="10.7109375" bestFit="1" customWidth="1"/>
    <col min="3" max="14" width="12.7109375" customWidth="1"/>
    <col min="15" max="15" width="6.7109375" bestFit="1" customWidth="1"/>
    <col min="16" max="16" width="14" customWidth="1"/>
    <col min="17" max="18" width="12.7109375" customWidth="1"/>
    <col min="19" max="19" width="12.28515625" bestFit="1" customWidth="1"/>
    <col min="20" max="23" width="12.7109375" customWidth="1"/>
  </cols>
  <sheetData>
    <row r="6" spans="2:23" x14ac:dyDescent="0.25">
      <c r="R6" s="44" t="s">
        <v>110</v>
      </c>
    </row>
    <row r="11" spans="2:23" x14ac:dyDescent="0.25">
      <c r="S11" t="s">
        <v>156</v>
      </c>
    </row>
    <row r="13" spans="2:23" ht="36.75" thickBot="1" x14ac:dyDescent="0.3">
      <c r="C13" s="25" t="s">
        <v>99</v>
      </c>
      <c r="D13" s="27" t="s">
        <v>68</v>
      </c>
      <c r="E13" s="25" t="s">
        <v>93</v>
      </c>
      <c r="F13" s="25" t="s">
        <v>100</v>
      </c>
      <c r="G13" s="25" t="s">
        <v>101</v>
      </c>
      <c r="H13" s="25" t="s">
        <v>102</v>
      </c>
      <c r="I13" s="27" t="s">
        <v>94</v>
      </c>
      <c r="J13" s="25" t="s">
        <v>95</v>
      </c>
      <c r="K13" s="25" t="s">
        <v>96</v>
      </c>
      <c r="L13" s="25" t="s">
        <v>97</v>
      </c>
      <c r="M13" s="25" t="s">
        <v>98</v>
      </c>
      <c r="N13" s="25" t="s">
        <v>103</v>
      </c>
      <c r="O13" s="25" t="s">
        <v>104</v>
      </c>
      <c r="P13" s="25" t="s">
        <v>165</v>
      </c>
      <c r="Q13" s="25" t="s">
        <v>71</v>
      </c>
      <c r="R13" s="40" t="s">
        <v>109</v>
      </c>
      <c r="S13" s="43" t="s">
        <v>108</v>
      </c>
      <c r="T13" s="40" t="s">
        <v>61</v>
      </c>
      <c r="U13" s="40" t="s">
        <v>105</v>
      </c>
      <c r="V13" s="25"/>
      <c r="W13" s="25"/>
    </row>
    <row r="14" spans="2:23" x14ac:dyDescent="0.25">
      <c r="B14" s="56">
        <v>44833</v>
      </c>
      <c r="D14" s="41">
        <v>0</v>
      </c>
      <c r="E14" s="41">
        <v>0</v>
      </c>
      <c r="F14" s="41">
        <v>0</v>
      </c>
      <c r="G14" s="41">
        <v>0</v>
      </c>
      <c r="H14" s="41">
        <v>0</v>
      </c>
      <c r="I14" s="41">
        <v>0</v>
      </c>
      <c r="J14" s="41">
        <v>0</v>
      </c>
      <c r="K14" s="19">
        <v>-5716299.0199999996</v>
      </c>
      <c r="L14" s="41">
        <v>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19">
        <v>5841299.0199999996</v>
      </c>
      <c r="S14">
        <v>0</v>
      </c>
      <c r="T14" s="41">
        <v>0</v>
      </c>
      <c r="U14" s="19">
        <v>125000</v>
      </c>
      <c r="V14" s="69"/>
      <c r="W14" s="69"/>
    </row>
    <row r="15" spans="2:23" x14ac:dyDescent="0.25">
      <c r="B15" s="56">
        <v>44834</v>
      </c>
      <c r="C15">
        <v>125000</v>
      </c>
      <c r="D15" s="41">
        <v>0</v>
      </c>
      <c r="E15" s="41">
        <v>0</v>
      </c>
      <c r="F15" s="41">
        <v>0</v>
      </c>
      <c r="G15" s="41">
        <v>0</v>
      </c>
      <c r="H15" s="41">
        <v>0</v>
      </c>
      <c r="I15" s="41">
        <v>0</v>
      </c>
      <c r="J15" s="41">
        <v>0</v>
      </c>
      <c r="K15" s="19">
        <v>-200000</v>
      </c>
      <c r="L15" s="41">
        <v>0</v>
      </c>
      <c r="M15" s="41">
        <v>0</v>
      </c>
      <c r="N15" s="41">
        <v>0</v>
      </c>
      <c r="O15" s="41">
        <v>0</v>
      </c>
      <c r="P15" s="41">
        <v>0</v>
      </c>
      <c r="Q15" s="41">
        <v>0</v>
      </c>
      <c r="R15" s="19">
        <v>100000</v>
      </c>
      <c r="S15">
        <v>0</v>
      </c>
      <c r="T15" s="41">
        <v>0</v>
      </c>
      <c r="U15" s="19">
        <v>25000</v>
      </c>
      <c r="V15" s="69"/>
      <c r="W15" s="69"/>
    </row>
    <row r="16" spans="2:23" x14ac:dyDescent="0.25">
      <c r="B16" s="56">
        <v>44837</v>
      </c>
      <c r="C16">
        <v>25000</v>
      </c>
      <c r="D16" s="41">
        <v>0</v>
      </c>
      <c r="E16" s="41">
        <v>0</v>
      </c>
      <c r="F16" s="41">
        <v>0</v>
      </c>
      <c r="G16" s="41">
        <v>0</v>
      </c>
      <c r="H16" s="41">
        <v>0</v>
      </c>
      <c r="I16" s="41">
        <v>0</v>
      </c>
      <c r="J16" s="41">
        <v>0</v>
      </c>
      <c r="K16" s="19">
        <v>0</v>
      </c>
      <c r="L16" s="41">
        <v>0</v>
      </c>
      <c r="M16" s="41">
        <v>0</v>
      </c>
      <c r="N16" s="41">
        <v>0</v>
      </c>
      <c r="O16" s="41">
        <v>0</v>
      </c>
      <c r="P16" s="41">
        <v>0</v>
      </c>
      <c r="Q16" s="41">
        <v>0</v>
      </c>
      <c r="R16" s="19">
        <v>0</v>
      </c>
      <c r="S16">
        <v>0</v>
      </c>
      <c r="T16" s="41">
        <v>0</v>
      </c>
      <c r="U16" s="19">
        <v>25000</v>
      </c>
      <c r="V16" s="69"/>
      <c r="W16" s="69"/>
    </row>
    <row r="17" spans="2:23" x14ac:dyDescent="0.25">
      <c r="B17" s="56">
        <v>44838</v>
      </c>
      <c r="C17">
        <v>25000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  <c r="I17" s="41">
        <v>0</v>
      </c>
      <c r="J17" s="41">
        <v>0</v>
      </c>
      <c r="K17" s="19">
        <v>0</v>
      </c>
      <c r="L17" s="41">
        <v>0</v>
      </c>
      <c r="M17" s="41">
        <v>0</v>
      </c>
      <c r="N17" s="41">
        <v>0</v>
      </c>
      <c r="O17" s="41">
        <v>0</v>
      </c>
      <c r="P17" s="41">
        <v>0</v>
      </c>
      <c r="Q17" s="41">
        <v>0</v>
      </c>
      <c r="R17" s="19">
        <v>0</v>
      </c>
      <c r="S17">
        <v>0</v>
      </c>
      <c r="T17" s="41">
        <v>0</v>
      </c>
      <c r="U17" s="19">
        <v>25000</v>
      </c>
      <c r="V17" s="69"/>
      <c r="W17" s="69"/>
    </row>
    <row r="18" spans="2:23" x14ac:dyDescent="0.25">
      <c r="B18" s="56">
        <v>44839</v>
      </c>
      <c r="C18">
        <v>25000</v>
      </c>
      <c r="D18" s="41">
        <v>0</v>
      </c>
      <c r="E18" s="41">
        <v>0</v>
      </c>
      <c r="F18" s="41">
        <v>0</v>
      </c>
      <c r="G18" s="41">
        <v>0</v>
      </c>
      <c r="H18" s="41">
        <v>0</v>
      </c>
      <c r="I18" s="41">
        <v>0</v>
      </c>
      <c r="J18" s="41">
        <v>0</v>
      </c>
      <c r="K18" s="19">
        <v>0</v>
      </c>
      <c r="L18" s="41">
        <v>0</v>
      </c>
      <c r="M18" s="41">
        <v>0</v>
      </c>
      <c r="N18" s="41">
        <v>0</v>
      </c>
      <c r="O18" s="41">
        <v>0</v>
      </c>
      <c r="P18" s="41">
        <v>0</v>
      </c>
      <c r="Q18" s="41">
        <v>0</v>
      </c>
      <c r="R18" s="19">
        <v>0</v>
      </c>
      <c r="S18">
        <v>0</v>
      </c>
      <c r="T18" s="41">
        <v>0</v>
      </c>
      <c r="U18" s="19">
        <v>25000</v>
      </c>
      <c r="V18" s="69"/>
      <c r="W18" s="69"/>
    </row>
    <row r="19" spans="2:23" x14ac:dyDescent="0.25">
      <c r="B19" s="56">
        <v>44840</v>
      </c>
      <c r="C19">
        <v>25000</v>
      </c>
      <c r="D19" s="41">
        <v>0</v>
      </c>
      <c r="E19" s="41">
        <v>0</v>
      </c>
      <c r="F19" s="41">
        <v>0</v>
      </c>
      <c r="G19" s="41">
        <v>0</v>
      </c>
      <c r="H19" s="41">
        <v>0</v>
      </c>
      <c r="I19" s="41">
        <v>0</v>
      </c>
      <c r="J19" s="41">
        <v>0</v>
      </c>
      <c r="K19" s="19">
        <v>0</v>
      </c>
      <c r="L19" s="41">
        <v>0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19">
        <v>0</v>
      </c>
      <c r="S19">
        <v>0</v>
      </c>
      <c r="T19" s="41">
        <v>0</v>
      </c>
      <c r="U19" s="19">
        <v>25000</v>
      </c>
      <c r="V19" s="69"/>
      <c r="W19" s="69"/>
    </row>
    <row r="20" spans="2:23" x14ac:dyDescent="0.25">
      <c r="B20" s="56">
        <v>44841</v>
      </c>
      <c r="C20">
        <v>25000</v>
      </c>
      <c r="D20" s="41">
        <v>-424.92</v>
      </c>
      <c r="E20" s="41">
        <v>0</v>
      </c>
      <c r="F20" s="41">
        <v>0</v>
      </c>
      <c r="G20" s="41">
        <v>0</v>
      </c>
      <c r="H20" s="41">
        <v>0</v>
      </c>
      <c r="I20" s="41">
        <v>0</v>
      </c>
      <c r="J20" s="41">
        <v>0</v>
      </c>
      <c r="K20" s="19">
        <v>-100000</v>
      </c>
      <c r="L20" s="41">
        <v>0</v>
      </c>
      <c r="M20" s="41">
        <v>0</v>
      </c>
      <c r="N20" s="41">
        <v>0</v>
      </c>
      <c r="O20" s="41">
        <v>0</v>
      </c>
      <c r="P20" s="41">
        <v>0</v>
      </c>
      <c r="Q20" s="41">
        <v>-1338</v>
      </c>
      <c r="R20" s="19">
        <v>100000</v>
      </c>
      <c r="S20">
        <v>0</v>
      </c>
      <c r="T20" s="41">
        <v>0</v>
      </c>
      <c r="U20" s="19">
        <v>23237.08</v>
      </c>
      <c r="V20" s="69"/>
      <c r="W20" s="69"/>
    </row>
    <row r="21" spans="2:23" x14ac:dyDescent="0.25">
      <c r="B21" s="56">
        <v>44844</v>
      </c>
      <c r="C21">
        <v>23237.08</v>
      </c>
      <c r="D21" s="41">
        <v>0</v>
      </c>
      <c r="E21" s="41">
        <v>0</v>
      </c>
      <c r="F21" s="41">
        <v>0</v>
      </c>
      <c r="G21" s="41">
        <v>0</v>
      </c>
      <c r="H21" s="41">
        <v>0</v>
      </c>
      <c r="I21" s="41">
        <v>0</v>
      </c>
      <c r="J21" s="41">
        <v>0</v>
      </c>
      <c r="K21" s="19">
        <v>0</v>
      </c>
      <c r="L21" s="41">
        <v>0</v>
      </c>
      <c r="M21" s="41">
        <v>0</v>
      </c>
      <c r="N21" s="41">
        <v>0</v>
      </c>
      <c r="O21" s="41">
        <v>0</v>
      </c>
      <c r="P21" s="41">
        <v>0</v>
      </c>
      <c r="Q21" s="41">
        <v>0</v>
      </c>
      <c r="R21" s="19">
        <v>0</v>
      </c>
      <c r="S21">
        <v>0</v>
      </c>
      <c r="T21" s="41">
        <v>0</v>
      </c>
      <c r="U21" s="19">
        <v>23237.08</v>
      </c>
      <c r="V21" s="69"/>
      <c r="W21" s="69"/>
    </row>
    <row r="22" spans="2:23" x14ac:dyDescent="0.25">
      <c r="B22" s="56">
        <v>44845</v>
      </c>
      <c r="C22">
        <v>23237.08</v>
      </c>
      <c r="D22" s="41">
        <v>0</v>
      </c>
      <c r="E22" s="41">
        <v>0</v>
      </c>
      <c r="F22" s="41">
        <v>0</v>
      </c>
      <c r="G22" s="41">
        <v>0</v>
      </c>
      <c r="H22" s="41">
        <v>0</v>
      </c>
      <c r="I22" s="41">
        <v>0</v>
      </c>
      <c r="J22" s="41">
        <v>0</v>
      </c>
      <c r="K22" s="19">
        <v>0</v>
      </c>
      <c r="L22" s="41">
        <v>0</v>
      </c>
      <c r="M22" s="41">
        <v>0</v>
      </c>
      <c r="N22" s="41">
        <v>0</v>
      </c>
      <c r="O22" s="41">
        <v>0</v>
      </c>
      <c r="P22" s="41">
        <v>0</v>
      </c>
      <c r="Q22" s="41">
        <v>0</v>
      </c>
      <c r="R22" s="19">
        <v>0</v>
      </c>
      <c r="S22">
        <v>0</v>
      </c>
      <c r="T22" s="41">
        <v>0</v>
      </c>
      <c r="U22">
        <v>23237.08</v>
      </c>
      <c r="V22" s="69"/>
      <c r="W22" s="69"/>
    </row>
    <row r="23" spans="2:23" x14ac:dyDescent="0.25">
      <c r="B23" s="56">
        <v>44847</v>
      </c>
      <c r="C23">
        <v>23237.08</v>
      </c>
      <c r="D23" s="41">
        <v>0</v>
      </c>
      <c r="E23" s="41">
        <v>0</v>
      </c>
      <c r="F23" s="41">
        <v>0</v>
      </c>
      <c r="G23" s="41">
        <v>0</v>
      </c>
      <c r="H23" s="41">
        <v>0</v>
      </c>
      <c r="I23" s="41">
        <v>0</v>
      </c>
      <c r="J23" s="41">
        <v>0</v>
      </c>
      <c r="K23" s="19">
        <v>0</v>
      </c>
      <c r="L23" s="41">
        <v>0</v>
      </c>
      <c r="M23" s="41">
        <v>0</v>
      </c>
      <c r="N23" s="41">
        <v>0</v>
      </c>
      <c r="O23" s="41">
        <v>0</v>
      </c>
      <c r="P23" s="41">
        <v>0</v>
      </c>
      <c r="Q23" s="41">
        <v>0</v>
      </c>
      <c r="R23" s="19">
        <v>0</v>
      </c>
      <c r="S23">
        <v>0</v>
      </c>
      <c r="T23" s="41">
        <v>0</v>
      </c>
      <c r="U23">
        <v>23237.08</v>
      </c>
      <c r="V23" s="69"/>
      <c r="W23" s="69"/>
    </row>
    <row r="24" spans="2:23" x14ac:dyDescent="0.25">
      <c r="B24" s="56">
        <v>44848</v>
      </c>
      <c r="C24">
        <v>23237.08</v>
      </c>
      <c r="D24" s="41">
        <v>0</v>
      </c>
      <c r="E24" s="41">
        <v>0</v>
      </c>
      <c r="F24" s="41">
        <v>0</v>
      </c>
      <c r="G24" s="41">
        <v>0</v>
      </c>
      <c r="H24" s="41">
        <v>0</v>
      </c>
      <c r="I24" s="41">
        <v>0</v>
      </c>
      <c r="J24" s="41">
        <v>0</v>
      </c>
      <c r="K24" s="19">
        <v>-500000</v>
      </c>
      <c r="L24" s="41">
        <v>0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19">
        <v>500000</v>
      </c>
      <c r="S24">
        <v>0</v>
      </c>
      <c r="T24" s="41">
        <v>0</v>
      </c>
      <c r="U24">
        <v>23237.08</v>
      </c>
      <c r="V24" s="69"/>
      <c r="W24" s="69"/>
    </row>
    <row r="25" spans="2:23" x14ac:dyDescent="0.25">
      <c r="B25" s="56">
        <v>44851</v>
      </c>
      <c r="C25">
        <v>23237.08</v>
      </c>
      <c r="D25" s="41">
        <v>0</v>
      </c>
      <c r="E25" s="41">
        <v>0</v>
      </c>
      <c r="F25" s="41">
        <v>0</v>
      </c>
      <c r="G25" s="41">
        <v>0</v>
      </c>
      <c r="H25" s="41">
        <v>0</v>
      </c>
      <c r="I25" s="41">
        <v>0</v>
      </c>
      <c r="J25" s="41">
        <v>0</v>
      </c>
      <c r="K25" s="19">
        <v>0</v>
      </c>
      <c r="L25" s="41">
        <v>0</v>
      </c>
      <c r="M25" s="41">
        <v>0</v>
      </c>
      <c r="N25" s="41">
        <v>0</v>
      </c>
      <c r="O25" s="41">
        <v>0</v>
      </c>
      <c r="P25" s="41">
        <v>0</v>
      </c>
      <c r="Q25" s="41">
        <v>0</v>
      </c>
      <c r="R25" s="19">
        <v>0</v>
      </c>
      <c r="S25">
        <v>0</v>
      </c>
      <c r="T25" s="41">
        <v>0</v>
      </c>
      <c r="U25">
        <v>23237.08</v>
      </c>
      <c r="V25" s="69"/>
      <c r="W25" s="69"/>
    </row>
    <row r="26" spans="2:23" x14ac:dyDescent="0.25">
      <c r="B26" s="56">
        <v>44852</v>
      </c>
      <c r="C26">
        <v>23237.08</v>
      </c>
      <c r="D26" s="41">
        <v>0</v>
      </c>
      <c r="E26" s="41">
        <v>0</v>
      </c>
      <c r="F26" s="41">
        <v>0</v>
      </c>
      <c r="G26" s="41">
        <v>0</v>
      </c>
      <c r="H26" s="41">
        <v>0</v>
      </c>
      <c r="I26" s="41">
        <v>0</v>
      </c>
      <c r="J26" s="41">
        <v>0</v>
      </c>
      <c r="K26" s="19">
        <v>-100000</v>
      </c>
      <c r="L26" s="41">
        <v>0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19">
        <v>100000</v>
      </c>
      <c r="S26">
        <v>0</v>
      </c>
      <c r="T26" s="41">
        <v>0</v>
      </c>
      <c r="U26">
        <v>23237.08</v>
      </c>
      <c r="V26" s="69"/>
      <c r="W26" s="69"/>
    </row>
    <row r="27" spans="2:23" x14ac:dyDescent="0.25">
      <c r="B27" s="56">
        <v>44853</v>
      </c>
      <c r="C27">
        <v>23237.08</v>
      </c>
      <c r="D27" s="41">
        <v>0</v>
      </c>
      <c r="E27" s="41">
        <v>0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19">
        <v>0</v>
      </c>
      <c r="L27" s="41">
        <v>0</v>
      </c>
      <c r="M27" s="41">
        <v>0</v>
      </c>
      <c r="N27" s="41">
        <v>0</v>
      </c>
      <c r="O27" s="41">
        <v>0</v>
      </c>
      <c r="P27" s="41">
        <v>0</v>
      </c>
      <c r="Q27" s="41">
        <v>0</v>
      </c>
      <c r="R27" s="19">
        <v>0</v>
      </c>
      <c r="S27">
        <v>0</v>
      </c>
      <c r="T27" s="41">
        <v>0</v>
      </c>
      <c r="U27">
        <v>23237.08</v>
      </c>
      <c r="V27" s="69"/>
      <c r="W27" s="69"/>
    </row>
    <row r="28" spans="2:23" x14ac:dyDescent="0.25">
      <c r="B28" s="56">
        <v>44854</v>
      </c>
      <c r="C28">
        <v>23237.08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19">
        <v>-2100000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19">
        <v>2100000</v>
      </c>
      <c r="S28">
        <v>0</v>
      </c>
      <c r="T28" s="41">
        <v>0</v>
      </c>
      <c r="U28">
        <v>23237.08</v>
      </c>
      <c r="V28" s="69"/>
      <c r="W28" s="69"/>
    </row>
    <row r="29" spans="2:23" x14ac:dyDescent="0.25">
      <c r="B29" s="56">
        <v>44855</v>
      </c>
      <c r="C29">
        <v>23237.08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19">
        <v>0</v>
      </c>
      <c r="L29" s="41">
        <v>0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19">
        <v>0</v>
      </c>
      <c r="S29">
        <v>0</v>
      </c>
      <c r="T29" s="41">
        <v>0</v>
      </c>
      <c r="U29">
        <v>23237.08</v>
      </c>
      <c r="V29" s="69"/>
      <c r="W29" s="69"/>
    </row>
    <row r="30" spans="2:23" x14ac:dyDescent="0.25">
      <c r="B30" s="56">
        <v>44858</v>
      </c>
      <c r="C30">
        <v>23237.08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19">
        <v>0</v>
      </c>
      <c r="L30" s="41">
        <v>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19">
        <v>0</v>
      </c>
      <c r="S30">
        <v>0</v>
      </c>
      <c r="T30" s="41">
        <v>0</v>
      </c>
      <c r="U30">
        <v>23237.08</v>
      </c>
      <c r="V30" s="69"/>
      <c r="W30" s="69"/>
    </row>
    <row r="31" spans="2:23" x14ac:dyDescent="0.25">
      <c r="B31" s="56">
        <v>44859</v>
      </c>
      <c r="C31">
        <v>23237.08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19">
        <v>0</v>
      </c>
      <c r="L31" s="41">
        <v>0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19">
        <v>0</v>
      </c>
      <c r="S31">
        <v>0</v>
      </c>
      <c r="T31" s="41">
        <v>0</v>
      </c>
      <c r="U31">
        <v>23237.08</v>
      </c>
      <c r="V31" s="69"/>
      <c r="W31" s="69"/>
    </row>
    <row r="32" spans="2:23" x14ac:dyDescent="0.25">
      <c r="B32" s="56">
        <v>44860</v>
      </c>
      <c r="C32">
        <v>23237.08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19">
        <v>0</v>
      </c>
      <c r="L32" s="41">
        <v>0</v>
      </c>
      <c r="M32" s="41">
        <v>0</v>
      </c>
      <c r="N32" s="41">
        <v>0</v>
      </c>
      <c r="O32" s="41">
        <v>0</v>
      </c>
      <c r="P32" s="41">
        <v>0</v>
      </c>
      <c r="Q32" s="41">
        <v>0</v>
      </c>
      <c r="R32" s="19">
        <v>0</v>
      </c>
      <c r="S32">
        <v>0</v>
      </c>
      <c r="T32" s="41">
        <v>0</v>
      </c>
      <c r="U32">
        <v>23237.08</v>
      </c>
      <c r="V32" s="69"/>
      <c r="W32" s="69"/>
    </row>
    <row r="33" spans="2:23" x14ac:dyDescent="0.25">
      <c r="B33" s="56">
        <v>44861</v>
      </c>
      <c r="C33">
        <v>23237.08</v>
      </c>
      <c r="D33" s="41">
        <v>0</v>
      </c>
      <c r="E33" s="41">
        <v>0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19">
        <v>0</v>
      </c>
      <c r="L33" s="41">
        <v>0</v>
      </c>
      <c r="M33" s="41">
        <v>0</v>
      </c>
      <c r="N33" s="41">
        <v>0</v>
      </c>
      <c r="O33" s="41">
        <v>0</v>
      </c>
      <c r="P33" s="41">
        <v>0</v>
      </c>
      <c r="Q33" s="41">
        <v>0</v>
      </c>
      <c r="R33" s="19">
        <v>0</v>
      </c>
      <c r="S33">
        <v>0</v>
      </c>
      <c r="T33" s="41">
        <v>0</v>
      </c>
      <c r="U33">
        <v>23237.08</v>
      </c>
      <c r="V33" s="69"/>
      <c r="W33" s="69"/>
    </row>
    <row r="34" spans="2:23" x14ac:dyDescent="0.25">
      <c r="B34" s="56">
        <v>44862</v>
      </c>
      <c r="C34">
        <v>23237.08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19">
        <v>0</v>
      </c>
      <c r="L34" s="41">
        <v>0</v>
      </c>
      <c r="M34" s="41">
        <v>0</v>
      </c>
      <c r="N34" s="41">
        <v>0</v>
      </c>
      <c r="O34" s="41">
        <v>0</v>
      </c>
      <c r="P34" s="41">
        <v>0</v>
      </c>
      <c r="Q34" s="41">
        <v>0</v>
      </c>
      <c r="R34" s="19">
        <v>0</v>
      </c>
      <c r="S34">
        <v>0</v>
      </c>
      <c r="T34" s="41">
        <v>0</v>
      </c>
      <c r="U34">
        <v>23237.08</v>
      </c>
      <c r="V34" s="69"/>
      <c r="W34" s="69"/>
    </row>
    <row r="35" spans="2:23" x14ac:dyDescent="0.25">
      <c r="B35" s="56">
        <v>44865</v>
      </c>
      <c r="C35">
        <v>23237.08</v>
      </c>
      <c r="D35" s="41">
        <v>0</v>
      </c>
      <c r="E35" s="41">
        <v>0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19">
        <v>0</v>
      </c>
      <c r="L35" s="41">
        <v>0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19">
        <v>0</v>
      </c>
      <c r="S35">
        <v>0</v>
      </c>
      <c r="T35" s="41">
        <v>0</v>
      </c>
      <c r="U35">
        <v>23237.08</v>
      </c>
      <c r="V35" s="69"/>
      <c r="W35" s="69"/>
    </row>
    <row r="36" spans="2:23" x14ac:dyDescent="0.25">
      <c r="B36" s="56">
        <v>44866</v>
      </c>
      <c r="C36">
        <v>23237.08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19">
        <v>0</v>
      </c>
      <c r="L36" s="41">
        <v>0</v>
      </c>
      <c r="M36" s="41">
        <v>0</v>
      </c>
      <c r="N36" s="41">
        <v>0</v>
      </c>
      <c r="O36" s="41">
        <v>0</v>
      </c>
      <c r="P36" s="41">
        <v>0</v>
      </c>
      <c r="Q36" s="41">
        <v>0</v>
      </c>
      <c r="R36" s="19">
        <v>0</v>
      </c>
      <c r="S36">
        <v>0</v>
      </c>
      <c r="T36" s="41">
        <v>0</v>
      </c>
      <c r="U36">
        <v>23237.08</v>
      </c>
      <c r="V36" s="69"/>
      <c r="W36" s="69"/>
    </row>
    <row r="37" spans="2:23" x14ac:dyDescent="0.25">
      <c r="B37" s="56">
        <v>44868</v>
      </c>
      <c r="C37">
        <v>23237.08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19">
        <v>0</v>
      </c>
      <c r="L37" s="41">
        <v>0</v>
      </c>
      <c r="M37" s="41">
        <v>0</v>
      </c>
      <c r="N37" s="41">
        <v>0</v>
      </c>
      <c r="O37" s="41">
        <v>0</v>
      </c>
      <c r="P37" s="41">
        <v>0</v>
      </c>
      <c r="Q37" s="41">
        <v>0</v>
      </c>
      <c r="R37" s="19">
        <v>0</v>
      </c>
      <c r="S37">
        <v>0</v>
      </c>
      <c r="T37" s="41">
        <v>0</v>
      </c>
      <c r="U37">
        <v>23237.08</v>
      </c>
      <c r="V37" s="69"/>
      <c r="W37" s="69"/>
    </row>
    <row r="38" spans="2:23" x14ac:dyDescent="0.25">
      <c r="B38" s="56">
        <v>44869</v>
      </c>
      <c r="C38">
        <v>23237.08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19">
        <v>0</v>
      </c>
      <c r="L38" s="41">
        <v>0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19">
        <v>0</v>
      </c>
      <c r="S38">
        <v>0</v>
      </c>
      <c r="T38" s="41">
        <v>0</v>
      </c>
      <c r="U38">
        <v>23237.08</v>
      </c>
      <c r="V38" s="69"/>
      <c r="W38" s="69"/>
    </row>
    <row r="39" spans="2:23" x14ac:dyDescent="0.25">
      <c r="B39" s="56">
        <v>44872</v>
      </c>
      <c r="C39">
        <v>23237.08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19">
        <v>0</v>
      </c>
      <c r="L39" s="41">
        <v>0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19">
        <v>0</v>
      </c>
      <c r="S39">
        <v>0</v>
      </c>
      <c r="T39" s="41">
        <v>0</v>
      </c>
      <c r="U39">
        <v>23237.08</v>
      </c>
      <c r="V39" s="69"/>
      <c r="W39" s="69"/>
    </row>
    <row r="40" spans="2:23" x14ac:dyDescent="0.25">
      <c r="B40" s="56">
        <v>44873</v>
      </c>
      <c r="C40">
        <v>23237.08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19">
        <v>0</v>
      </c>
      <c r="L40" s="41">
        <v>0</v>
      </c>
      <c r="M40" s="41">
        <v>0</v>
      </c>
      <c r="N40" s="41">
        <v>0</v>
      </c>
      <c r="O40" s="41">
        <v>0</v>
      </c>
      <c r="P40" s="41">
        <v>0</v>
      </c>
      <c r="Q40" s="41">
        <v>0</v>
      </c>
      <c r="R40" s="19">
        <v>0</v>
      </c>
      <c r="S40">
        <v>0</v>
      </c>
      <c r="T40" s="41">
        <v>0</v>
      </c>
      <c r="U40">
        <v>23237.08</v>
      </c>
      <c r="V40" s="69"/>
      <c r="W40" s="69"/>
    </row>
    <row r="41" spans="2:23" x14ac:dyDescent="0.25">
      <c r="B41" s="4">
        <v>44868</v>
      </c>
      <c r="C41">
        <v>23237.08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19">
        <v>0</v>
      </c>
      <c r="L41" s="41">
        <v>0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19">
        <v>0</v>
      </c>
      <c r="S41">
        <v>0</v>
      </c>
      <c r="T41" s="41">
        <v>0</v>
      </c>
      <c r="U41">
        <v>23237.08</v>
      </c>
    </row>
    <row r="42" spans="2:23" x14ac:dyDescent="0.25">
      <c r="B42" s="4">
        <v>44869</v>
      </c>
      <c r="C42">
        <v>23237.08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19">
        <v>0</v>
      </c>
      <c r="L42" s="41">
        <v>0</v>
      </c>
      <c r="M42" s="41">
        <v>0</v>
      </c>
      <c r="N42" s="41">
        <v>0</v>
      </c>
      <c r="O42" s="41">
        <v>0</v>
      </c>
      <c r="P42" s="41">
        <v>0</v>
      </c>
      <c r="Q42" s="41">
        <v>0</v>
      </c>
      <c r="R42" s="19">
        <v>0</v>
      </c>
      <c r="S42">
        <v>0</v>
      </c>
      <c r="T42" s="41">
        <v>0</v>
      </c>
      <c r="U42">
        <v>23237.08</v>
      </c>
    </row>
    <row r="43" spans="2:23" x14ac:dyDescent="0.25">
      <c r="B43" s="4">
        <v>44872</v>
      </c>
      <c r="C43">
        <v>23237.08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19">
        <v>0</v>
      </c>
      <c r="L43" s="41">
        <v>0</v>
      </c>
      <c r="M43" s="41">
        <v>0</v>
      </c>
      <c r="N43" s="41">
        <v>0</v>
      </c>
      <c r="O43" s="41">
        <v>0</v>
      </c>
      <c r="P43" s="41">
        <v>0</v>
      </c>
      <c r="Q43" s="41">
        <v>0</v>
      </c>
      <c r="R43" s="19">
        <v>0</v>
      </c>
      <c r="S43">
        <v>11000</v>
      </c>
      <c r="T43" s="41">
        <v>0</v>
      </c>
      <c r="U43">
        <v>34237.08</v>
      </c>
    </row>
    <row r="44" spans="2:23" x14ac:dyDescent="0.25">
      <c r="B44" s="4">
        <v>44873</v>
      </c>
      <c r="C44">
        <v>34237.08</v>
      </c>
      <c r="D44" s="42">
        <v>-10357.33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19">
        <v>0</v>
      </c>
      <c r="L44" s="41">
        <v>0</v>
      </c>
      <c r="M44" s="41">
        <v>0</v>
      </c>
      <c r="N44" s="41">
        <v>0</v>
      </c>
      <c r="O44" s="41">
        <v>0</v>
      </c>
      <c r="P44" s="41">
        <v>0</v>
      </c>
      <c r="Q44" s="41">
        <v>0</v>
      </c>
      <c r="R44" s="19">
        <v>0</v>
      </c>
      <c r="S44">
        <v>0</v>
      </c>
      <c r="T44" s="41">
        <v>0</v>
      </c>
      <c r="U44">
        <v>23879.75</v>
      </c>
    </row>
    <row r="45" spans="2:23" x14ac:dyDescent="0.25">
      <c r="B45" s="4">
        <v>44874</v>
      </c>
      <c r="C45">
        <v>23879.75</v>
      </c>
      <c r="D45" s="41">
        <v>0</v>
      </c>
      <c r="E45" s="41">
        <v>0</v>
      </c>
      <c r="F45" s="41">
        <v>0</v>
      </c>
      <c r="G45" s="41">
        <v>0</v>
      </c>
      <c r="H45" s="41">
        <v>0</v>
      </c>
      <c r="I45" s="41">
        <v>0</v>
      </c>
      <c r="J45" s="41">
        <v>0</v>
      </c>
      <c r="K45" s="19">
        <v>0</v>
      </c>
      <c r="L45" s="41">
        <v>0</v>
      </c>
      <c r="M45" s="41">
        <v>0</v>
      </c>
      <c r="N45" s="41">
        <v>0</v>
      </c>
      <c r="O45" s="41">
        <v>0</v>
      </c>
      <c r="P45" s="41">
        <v>0</v>
      </c>
      <c r="Q45" s="41">
        <v>0</v>
      </c>
      <c r="R45" s="19">
        <v>0</v>
      </c>
      <c r="S45">
        <v>0</v>
      </c>
      <c r="T45" s="41">
        <v>0</v>
      </c>
      <c r="U45">
        <v>23879.75</v>
      </c>
    </row>
    <row r="46" spans="2:23" x14ac:dyDescent="0.25">
      <c r="B46" s="4">
        <v>44875</v>
      </c>
      <c r="C46">
        <v>23879.75</v>
      </c>
      <c r="D46" s="41">
        <v>0</v>
      </c>
      <c r="E46" s="41">
        <v>0</v>
      </c>
      <c r="F46" s="41">
        <v>0</v>
      </c>
      <c r="G46" s="41">
        <v>0</v>
      </c>
      <c r="H46" s="41">
        <v>0</v>
      </c>
      <c r="I46" s="41">
        <v>0</v>
      </c>
      <c r="J46" s="41">
        <v>0</v>
      </c>
      <c r="K46" s="19">
        <v>0</v>
      </c>
      <c r="L46" s="41">
        <v>0</v>
      </c>
      <c r="M46" s="41">
        <v>0</v>
      </c>
      <c r="N46" s="41">
        <v>0</v>
      </c>
      <c r="O46" s="41">
        <v>0</v>
      </c>
      <c r="P46" s="41">
        <v>0</v>
      </c>
      <c r="Q46" s="41">
        <v>0</v>
      </c>
      <c r="R46" s="19">
        <v>0</v>
      </c>
      <c r="S46">
        <v>0</v>
      </c>
      <c r="T46" s="41">
        <v>0</v>
      </c>
      <c r="U46">
        <v>23879.75</v>
      </c>
    </row>
    <row r="47" spans="2:23" x14ac:dyDescent="0.25">
      <c r="B47" s="4">
        <v>44876</v>
      </c>
      <c r="C47">
        <v>23879.75</v>
      </c>
      <c r="D47" s="41">
        <v>0</v>
      </c>
      <c r="E47" s="41">
        <v>0</v>
      </c>
      <c r="F47" s="41">
        <v>0</v>
      </c>
      <c r="G47" s="41">
        <v>0</v>
      </c>
      <c r="H47" s="41">
        <v>0</v>
      </c>
      <c r="I47" s="41">
        <v>0</v>
      </c>
      <c r="J47" s="41">
        <v>0</v>
      </c>
      <c r="K47" s="19">
        <v>0</v>
      </c>
      <c r="L47" s="41">
        <v>0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19">
        <v>0</v>
      </c>
      <c r="S47">
        <v>0</v>
      </c>
      <c r="T47" s="41">
        <v>0</v>
      </c>
      <c r="U47">
        <v>23879.75</v>
      </c>
    </row>
    <row r="48" spans="2:23" x14ac:dyDescent="0.25">
      <c r="B48" s="4">
        <v>44879</v>
      </c>
      <c r="C48">
        <v>23879.75</v>
      </c>
      <c r="D48" s="41">
        <v>0</v>
      </c>
      <c r="E48" s="41">
        <v>0</v>
      </c>
      <c r="F48" s="41">
        <v>0</v>
      </c>
      <c r="G48" s="41">
        <v>0</v>
      </c>
      <c r="H48" s="41">
        <v>0</v>
      </c>
      <c r="I48" s="41">
        <v>0</v>
      </c>
      <c r="J48" s="41">
        <v>0</v>
      </c>
      <c r="K48" s="19">
        <v>-100000</v>
      </c>
      <c r="L48" s="41">
        <v>0</v>
      </c>
      <c r="M48" s="41">
        <v>0</v>
      </c>
      <c r="N48" s="41">
        <v>0</v>
      </c>
      <c r="O48" s="41">
        <v>0</v>
      </c>
      <c r="P48" s="41">
        <v>0</v>
      </c>
      <c r="Q48" s="41">
        <v>0</v>
      </c>
      <c r="R48" s="19">
        <v>200000</v>
      </c>
      <c r="S48">
        <v>0</v>
      </c>
      <c r="T48" s="41">
        <v>0</v>
      </c>
      <c r="U48">
        <v>123879.75</v>
      </c>
    </row>
    <row r="49" spans="2:21" x14ac:dyDescent="0.25">
      <c r="B49" s="4">
        <v>44881</v>
      </c>
      <c r="C49">
        <v>123879.75</v>
      </c>
      <c r="D49" s="41">
        <v>0</v>
      </c>
      <c r="E49" s="41">
        <v>0</v>
      </c>
      <c r="F49" s="41">
        <v>0</v>
      </c>
      <c r="G49" s="41">
        <v>0</v>
      </c>
      <c r="H49" s="41">
        <v>0</v>
      </c>
      <c r="I49" s="41">
        <v>0</v>
      </c>
      <c r="J49" s="41">
        <v>0</v>
      </c>
      <c r="K49" s="19">
        <v>-1100000</v>
      </c>
      <c r="L49" s="41">
        <v>0</v>
      </c>
      <c r="M49" s="41">
        <v>0</v>
      </c>
      <c r="N49" s="41">
        <v>0</v>
      </c>
      <c r="O49" s="41">
        <v>0</v>
      </c>
      <c r="P49" s="41">
        <v>0</v>
      </c>
      <c r="Q49" s="41">
        <v>0</v>
      </c>
      <c r="R49" s="19">
        <v>1000000</v>
      </c>
      <c r="S49">
        <v>0</v>
      </c>
      <c r="T49" s="41">
        <v>0</v>
      </c>
      <c r="U49">
        <v>23879.75</v>
      </c>
    </row>
    <row r="50" spans="2:21" x14ac:dyDescent="0.25">
      <c r="B50" s="4">
        <v>44882</v>
      </c>
      <c r="C50">
        <v>23879.75</v>
      </c>
      <c r="D50" s="41">
        <v>0</v>
      </c>
      <c r="E50" s="41">
        <v>0</v>
      </c>
      <c r="F50" s="41">
        <v>0</v>
      </c>
      <c r="G50" s="41">
        <v>0</v>
      </c>
      <c r="H50" s="41">
        <v>0</v>
      </c>
      <c r="I50" s="41">
        <v>0</v>
      </c>
      <c r="J50" s="41">
        <v>0</v>
      </c>
      <c r="K50" s="19">
        <v>0</v>
      </c>
      <c r="L50" s="41">
        <v>0</v>
      </c>
      <c r="M50" s="41">
        <v>0</v>
      </c>
      <c r="N50" s="41">
        <v>0</v>
      </c>
      <c r="O50" s="41">
        <v>0</v>
      </c>
      <c r="P50" s="41">
        <v>0</v>
      </c>
      <c r="Q50" s="41">
        <v>0</v>
      </c>
      <c r="R50" s="19">
        <v>0</v>
      </c>
      <c r="S50">
        <v>0</v>
      </c>
      <c r="T50" s="41">
        <v>0</v>
      </c>
      <c r="U50">
        <v>23879.75</v>
      </c>
    </row>
    <row r="51" spans="2:21" x14ac:dyDescent="0.25">
      <c r="B51" s="4">
        <v>44883</v>
      </c>
      <c r="C51">
        <v>23879.75</v>
      </c>
      <c r="D51" s="41">
        <v>0</v>
      </c>
      <c r="E51" s="41">
        <v>0</v>
      </c>
      <c r="F51" s="41">
        <v>0</v>
      </c>
      <c r="G51" s="41">
        <v>0</v>
      </c>
      <c r="H51" s="41">
        <v>0</v>
      </c>
      <c r="I51" s="41">
        <v>0</v>
      </c>
      <c r="J51" s="41">
        <v>0</v>
      </c>
      <c r="K51" s="19">
        <v>0</v>
      </c>
      <c r="L51" s="41">
        <v>0</v>
      </c>
      <c r="M51" s="41">
        <v>0</v>
      </c>
      <c r="N51" s="41">
        <v>0</v>
      </c>
      <c r="O51" s="41">
        <v>0</v>
      </c>
      <c r="P51" s="41">
        <v>0</v>
      </c>
      <c r="Q51" s="41">
        <v>0</v>
      </c>
      <c r="R51" s="19">
        <v>0</v>
      </c>
      <c r="S51">
        <v>0</v>
      </c>
      <c r="T51" s="41">
        <v>0</v>
      </c>
      <c r="U51">
        <v>23879.75</v>
      </c>
    </row>
    <row r="52" spans="2:21" x14ac:dyDescent="0.25">
      <c r="B52" s="4">
        <v>44886</v>
      </c>
      <c r="C52">
        <v>23879.75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19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19">
        <v>0</v>
      </c>
      <c r="S52">
        <v>0</v>
      </c>
      <c r="T52" s="41">
        <v>0</v>
      </c>
      <c r="U52">
        <v>23879.75</v>
      </c>
    </row>
    <row r="53" spans="2:21" x14ac:dyDescent="0.25">
      <c r="B53" s="4">
        <v>44887</v>
      </c>
      <c r="C53">
        <v>23879.75</v>
      </c>
      <c r="D53" s="41">
        <v>0</v>
      </c>
      <c r="E53" s="41">
        <v>0</v>
      </c>
      <c r="F53" s="41">
        <v>0</v>
      </c>
      <c r="G53" s="41">
        <v>0</v>
      </c>
      <c r="H53" s="41">
        <v>0</v>
      </c>
      <c r="I53" s="41">
        <v>0</v>
      </c>
      <c r="J53" s="41">
        <v>0</v>
      </c>
      <c r="K53" s="19">
        <v>0</v>
      </c>
      <c r="L53" s="41">
        <v>0</v>
      </c>
      <c r="M53" s="41">
        <v>0</v>
      </c>
      <c r="N53" s="41">
        <v>0</v>
      </c>
      <c r="O53" s="41">
        <v>0</v>
      </c>
      <c r="P53" s="41">
        <v>0</v>
      </c>
      <c r="Q53" s="41">
        <v>0</v>
      </c>
      <c r="R53" s="19">
        <v>0</v>
      </c>
      <c r="S53">
        <v>0</v>
      </c>
      <c r="T53" s="41">
        <v>0</v>
      </c>
      <c r="U53">
        <v>23879.75</v>
      </c>
    </row>
    <row r="54" spans="2:21" x14ac:dyDescent="0.25">
      <c r="B54" s="4">
        <v>44888</v>
      </c>
      <c r="C54">
        <v>23879.75</v>
      </c>
      <c r="D54" s="41">
        <v>0</v>
      </c>
      <c r="E54" s="41">
        <v>0</v>
      </c>
      <c r="F54" s="41">
        <v>0</v>
      </c>
      <c r="G54" s="41">
        <v>0</v>
      </c>
      <c r="H54" s="41">
        <v>0</v>
      </c>
      <c r="I54" s="41">
        <v>0</v>
      </c>
      <c r="J54" s="41">
        <v>0</v>
      </c>
      <c r="K54" s="19">
        <v>0</v>
      </c>
      <c r="L54" s="41">
        <v>0</v>
      </c>
      <c r="M54" s="41">
        <v>0</v>
      </c>
      <c r="N54" s="41">
        <v>0</v>
      </c>
      <c r="O54" s="41">
        <v>0</v>
      </c>
      <c r="P54" s="41">
        <v>0</v>
      </c>
      <c r="Q54" s="41">
        <v>0</v>
      </c>
      <c r="R54" s="19">
        <v>0</v>
      </c>
      <c r="S54">
        <v>0</v>
      </c>
      <c r="T54" s="41">
        <v>0</v>
      </c>
      <c r="U54">
        <v>23879.75</v>
      </c>
    </row>
    <row r="55" spans="2:21" x14ac:dyDescent="0.25">
      <c r="B55" s="4">
        <v>44889</v>
      </c>
      <c r="C55">
        <v>23879.75</v>
      </c>
      <c r="D55" s="41">
        <v>0</v>
      </c>
      <c r="E55" s="41">
        <v>0</v>
      </c>
      <c r="F55" s="41">
        <v>0</v>
      </c>
      <c r="G55" s="41">
        <v>0</v>
      </c>
      <c r="H55" s="41">
        <v>0</v>
      </c>
      <c r="I55" s="41">
        <v>0</v>
      </c>
      <c r="J55" s="41">
        <v>0</v>
      </c>
      <c r="K55" s="19">
        <v>0</v>
      </c>
      <c r="L55" s="41">
        <v>0</v>
      </c>
      <c r="M55" s="41">
        <v>0</v>
      </c>
      <c r="N55" s="41">
        <v>0</v>
      </c>
      <c r="O55" s="41">
        <v>0</v>
      </c>
      <c r="P55" s="41">
        <v>0</v>
      </c>
      <c r="Q55" s="41">
        <v>0</v>
      </c>
      <c r="R55" s="19">
        <v>0</v>
      </c>
      <c r="S55">
        <v>0</v>
      </c>
      <c r="T55" s="41">
        <v>0</v>
      </c>
      <c r="U55">
        <v>23879.75</v>
      </c>
    </row>
    <row r="56" spans="2:21" x14ac:dyDescent="0.25">
      <c r="B56" s="4">
        <v>44890</v>
      </c>
      <c r="C56">
        <v>23879.75</v>
      </c>
      <c r="D56" s="41">
        <v>0</v>
      </c>
      <c r="E56" s="41">
        <v>0</v>
      </c>
      <c r="F56" s="41">
        <v>0</v>
      </c>
      <c r="G56" s="41">
        <v>0</v>
      </c>
      <c r="H56" s="41">
        <v>0</v>
      </c>
      <c r="I56" s="41">
        <v>0</v>
      </c>
      <c r="J56" s="41">
        <v>0</v>
      </c>
      <c r="K56" s="19">
        <v>0</v>
      </c>
      <c r="L56" s="41">
        <v>0</v>
      </c>
      <c r="M56" s="41">
        <v>0</v>
      </c>
      <c r="N56" s="41">
        <v>0</v>
      </c>
      <c r="O56" s="41">
        <v>0</v>
      </c>
      <c r="P56" s="41">
        <v>0</v>
      </c>
      <c r="Q56" s="41">
        <v>0</v>
      </c>
      <c r="R56" s="19">
        <v>0</v>
      </c>
      <c r="S56">
        <v>0</v>
      </c>
      <c r="T56" s="41">
        <v>0</v>
      </c>
      <c r="U56">
        <v>23879.75</v>
      </c>
    </row>
    <row r="57" spans="2:21" x14ac:dyDescent="0.25">
      <c r="B57" s="4">
        <v>44893</v>
      </c>
      <c r="C57">
        <v>23879.75</v>
      </c>
      <c r="D57" s="41">
        <v>0</v>
      </c>
      <c r="E57" s="41">
        <v>0</v>
      </c>
      <c r="F57" s="41">
        <v>0</v>
      </c>
      <c r="G57" s="41">
        <v>0</v>
      </c>
      <c r="H57" s="41">
        <v>0</v>
      </c>
      <c r="I57" s="41">
        <v>0</v>
      </c>
      <c r="J57" s="41">
        <v>0</v>
      </c>
      <c r="K57" s="19">
        <v>0</v>
      </c>
      <c r="L57" s="41">
        <v>0</v>
      </c>
      <c r="M57" s="41">
        <v>0</v>
      </c>
      <c r="N57" s="41">
        <v>0</v>
      </c>
      <c r="O57" s="41">
        <v>0</v>
      </c>
      <c r="P57" s="41">
        <v>0</v>
      </c>
      <c r="Q57" s="41">
        <v>0</v>
      </c>
      <c r="R57" s="19">
        <v>0</v>
      </c>
      <c r="S57">
        <v>0</v>
      </c>
      <c r="T57" s="41">
        <v>0</v>
      </c>
      <c r="U57">
        <v>23879.75</v>
      </c>
    </row>
    <row r="58" spans="2:21" x14ac:dyDescent="0.25">
      <c r="B58" s="4">
        <v>44894</v>
      </c>
      <c r="C58">
        <v>23879.75</v>
      </c>
      <c r="D58" s="41">
        <v>0</v>
      </c>
      <c r="E58" s="41">
        <v>0</v>
      </c>
      <c r="F58" s="41">
        <v>0</v>
      </c>
      <c r="G58" s="41">
        <v>0</v>
      </c>
      <c r="H58" s="41">
        <v>0</v>
      </c>
      <c r="I58" s="41">
        <v>0</v>
      </c>
      <c r="J58" s="41">
        <v>0</v>
      </c>
      <c r="K58" s="19">
        <v>0</v>
      </c>
      <c r="L58" s="41">
        <v>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19">
        <v>0</v>
      </c>
      <c r="S58">
        <v>0</v>
      </c>
      <c r="T58" s="41">
        <v>0</v>
      </c>
      <c r="U58">
        <v>23879.75</v>
      </c>
    </row>
    <row r="59" spans="2:21" x14ac:dyDescent="0.25">
      <c r="B59" s="4">
        <v>44895</v>
      </c>
      <c r="C59">
        <v>23879.75</v>
      </c>
      <c r="D59" s="41">
        <v>0</v>
      </c>
      <c r="E59" s="41">
        <v>0</v>
      </c>
      <c r="F59" s="41">
        <v>0</v>
      </c>
      <c r="G59" s="41">
        <v>0</v>
      </c>
      <c r="H59" s="41">
        <v>0</v>
      </c>
      <c r="I59" s="41">
        <v>0</v>
      </c>
      <c r="J59" s="41">
        <v>0</v>
      </c>
      <c r="K59" s="19">
        <v>0</v>
      </c>
      <c r="L59" s="41">
        <v>0</v>
      </c>
      <c r="M59" s="41">
        <v>0</v>
      </c>
      <c r="N59" s="41">
        <v>0</v>
      </c>
      <c r="O59" s="41">
        <v>0</v>
      </c>
      <c r="P59" s="41">
        <v>0</v>
      </c>
      <c r="Q59" s="41">
        <v>0</v>
      </c>
      <c r="R59" s="19">
        <v>0</v>
      </c>
      <c r="S59">
        <v>0</v>
      </c>
      <c r="T59" s="41">
        <v>0</v>
      </c>
      <c r="U59">
        <v>23879.75</v>
      </c>
    </row>
    <row r="60" spans="2:21" x14ac:dyDescent="0.25">
      <c r="B60" s="4">
        <v>44896</v>
      </c>
      <c r="C60">
        <v>23879.75</v>
      </c>
      <c r="D60" s="41">
        <v>0</v>
      </c>
      <c r="E60" s="41">
        <v>0</v>
      </c>
      <c r="F60" s="41">
        <v>0</v>
      </c>
      <c r="G60" s="41">
        <v>0</v>
      </c>
      <c r="H60" s="41">
        <v>0</v>
      </c>
      <c r="I60" s="41">
        <v>0</v>
      </c>
      <c r="J60" s="41">
        <v>0</v>
      </c>
      <c r="K60" s="19">
        <v>0</v>
      </c>
      <c r="L60" s="41">
        <v>0</v>
      </c>
      <c r="M60" s="41">
        <v>0</v>
      </c>
      <c r="N60" s="41">
        <v>0</v>
      </c>
      <c r="O60" s="41">
        <v>0</v>
      </c>
      <c r="P60" s="41">
        <v>0</v>
      </c>
      <c r="Q60" s="41">
        <v>0</v>
      </c>
      <c r="R60" s="19">
        <v>0</v>
      </c>
      <c r="S60">
        <v>0</v>
      </c>
      <c r="T60" s="41">
        <v>0</v>
      </c>
      <c r="U60">
        <v>23879.75</v>
      </c>
    </row>
    <row r="61" spans="2:21" x14ac:dyDescent="0.25">
      <c r="B61" s="4">
        <v>44897</v>
      </c>
      <c r="C61">
        <v>23879.75</v>
      </c>
      <c r="D61" s="41">
        <v>0</v>
      </c>
      <c r="E61" s="41">
        <v>0</v>
      </c>
      <c r="F61" s="41">
        <v>0</v>
      </c>
      <c r="G61" s="41">
        <v>0</v>
      </c>
      <c r="H61" s="41">
        <v>0</v>
      </c>
      <c r="I61" s="41">
        <v>0</v>
      </c>
      <c r="J61" s="41">
        <v>0</v>
      </c>
      <c r="K61" s="19">
        <v>-1000000</v>
      </c>
      <c r="L61" s="41">
        <v>0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19">
        <v>1000000</v>
      </c>
      <c r="S61">
        <v>0</v>
      </c>
      <c r="T61" s="41">
        <v>0</v>
      </c>
      <c r="U61" s="19">
        <v>23879.75</v>
      </c>
    </row>
    <row r="62" spans="2:21" x14ac:dyDescent="0.25">
      <c r="B62" s="4">
        <v>44900</v>
      </c>
      <c r="C62">
        <v>23879.75</v>
      </c>
      <c r="D62" s="41">
        <v>0</v>
      </c>
      <c r="E62" s="41">
        <v>0</v>
      </c>
      <c r="F62" s="41">
        <v>0</v>
      </c>
      <c r="G62" s="41">
        <v>0</v>
      </c>
      <c r="H62" s="41">
        <v>0</v>
      </c>
      <c r="I62" s="41">
        <v>0</v>
      </c>
      <c r="J62" s="41">
        <v>0</v>
      </c>
      <c r="K62" s="19">
        <v>0</v>
      </c>
      <c r="L62" s="41">
        <v>0</v>
      </c>
      <c r="M62" s="41">
        <v>0</v>
      </c>
      <c r="N62" s="41">
        <v>0</v>
      </c>
      <c r="O62" s="41">
        <v>0</v>
      </c>
      <c r="P62" s="41">
        <v>0</v>
      </c>
      <c r="Q62" s="41">
        <v>0</v>
      </c>
      <c r="R62" s="19">
        <v>0</v>
      </c>
      <c r="S62">
        <v>0</v>
      </c>
      <c r="T62" s="41">
        <v>0</v>
      </c>
      <c r="U62" s="19">
        <v>23879.75</v>
      </c>
    </row>
    <row r="63" spans="2:21" x14ac:dyDescent="0.25">
      <c r="B63" s="4">
        <v>44901</v>
      </c>
      <c r="C63">
        <v>23879.75</v>
      </c>
      <c r="D63" s="41">
        <v>0</v>
      </c>
      <c r="E63" s="41">
        <v>0</v>
      </c>
      <c r="F63" s="41">
        <v>0</v>
      </c>
      <c r="G63" s="41">
        <v>0</v>
      </c>
      <c r="H63" s="41">
        <v>0</v>
      </c>
      <c r="I63" s="41">
        <v>0</v>
      </c>
      <c r="J63" s="41">
        <v>0</v>
      </c>
      <c r="K63" s="19">
        <v>0</v>
      </c>
      <c r="L63" s="41">
        <v>0</v>
      </c>
      <c r="M63" s="41">
        <v>0</v>
      </c>
      <c r="N63" s="41">
        <v>0</v>
      </c>
      <c r="O63" s="41">
        <v>0</v>
      </c>
      <c r="P63" s="41">
        <v>0</v>
      </c>
      <c r="Q63" s="41">
        <v>0</v>
      </c>
      <c r="R63" s="19">
        <v>0</v>
      </c>
      <c r="S63">
        <v>0</v>
      </c>
      <c r="T63" s="41">
        <v>0</v>
      </c>
      <c r="U63" s="19">
        <v>23879.75</v>
      </c>
    </row>
    <row r="64" spans="2:21" x14ac:dyDescent="0.25">
      <c r="B64" s="4">
        <v>44902</v>
      </c>
      <c r="C64">
        <v>23879.75</v>
      </c>
      <c r="D64" s="42">
        <v>-13588.16</v>
      </c>
      <c r="E64" s="41">
        <v>0</v>
      </c>
      <c r="F64" s="41">
        <v>0</v>
      </c>
      <c r="G64" s="41">
        <v>0</v>
      </c>
      <c r="H64" s="41">
        <v>0</v>
      </c>
      <c r="I64" s="41">
        <v>0</v>
      </c>
      <c r="J64" s="41">
        <v>0</v>
      </c>
      <c r="K64" s="19">
        <v>0</v>
      </c>
      <c r="L64" s="41">
        <v>0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19">
        <v>0</v>
      </c>
      <c r="S64" s="41">
        <v>14000</v>
      </c>
      <c r="T64" s="41">
        <v>0</v>
      </c>
      <c r="U64" s="19">
        <v>24291.59</v>
      </c>
    </row>
    <row r="65" spans="2:21" x14ac:dyDescent="0.25">
      <c r="B65" s="4">
        <v>44903</v>
      </c>
      <c r="C65">
        <v>24291.59</v>
      </c>
      <c r="D65" s="42">
        <v>0</v>
      </c>
      <c r="E65" s="41">
        <v>0</v>
      </c>
      <c r="F65" s="41">
        <v>0</v>
      </c>
      <c r="G65" s="41">
        <v>0</v>
      </c>
      <c r="H65" s="41">
        <v>0</v>
      </c>
      <c r="I65" s="41">
        <v>0</v>
      </c>
      <c r="J65" s="41">
        <v>0</v>
      </c>
      <c r="K65" s="19">
        <v>0</v>
      </c>
      <c r="L65" s="41">
        <v>0</v>
      </c>
      <c r="M65" s="41">
        <v>0</v>
      </c>
      <c r="N65" s="41">
        <v>0</v>
      </c>
      <c r="O65" s="41">
        <v>0</v>
      </c>
      <c r="P65" s="41">
        <v>0</v>
      </c>
      <c r="Q65" s="41">
        <v>0</v>
      </c>
      <c r="R65" s="19">
        <v>0</v>
      </c>
      <c r="S65">
        <v>0</v>
      </c>
      <c r="T65" s="41">
        <v>0</v>
      </c>
      <c r="U65" s="19">
        <v>24291.59</v>
      </c>
    </row>
    <row r="66" spans="2:21" x14ac:dyDescent="0.25">
      <c r="B66" s="4">
        <v>44904</v>
      </c>
      <c r="C66">
        <v>24291.59</v>
      </c>
      <c r="D66" s="42">
        <v>0</v>
      </c>
      <c r="E66" s="41">
        <v>0</v>
      </c>
      <c r="F66" s="41">
        <v>0</v>
      </c>
      <c r="G66" s="41">
        <v>0</v>
      </c>
      <c r="H66" s="41">
        <v>0</v>
      </c>
      <c r="I66" s="41">
        <v>0</v>
      </c>
      <c r="J66" s="41">
        <v>0</v>
      </c>
      <c r="K66" s="19">
        <v>-1000000</v>
      </c>
      <c r="L66" s="41">
        <v>0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19">
        <v>1000000</v>
      </c>
      <c r="S66">
        <v>0</v>
      </c>
      <c r="T66" s="41">
        <v>0</v>
      </c>
      <c r="U66" s="19">
        <v>24291.589999999967</v>
      </c>
    </row>
    <row r="67" spans="2:21" x14ac:dyDescent="0.25">
      <c r="B67" s="4">
        <v>44907</v>
      </c>
      <c r="C67">
        <v>24291.589999999967</v>
      </c>
      <c r="D67" s="42">
        <v>0</v>
      </c>
      <c r="E67" s="41">
        <v>0</v>
      </c>
      <c r="F67" s="41">
        <v>0</v>
      </c>
      <c r="G67" s="41">
        <v>0</v>
      </c>
      <c r="H67" s="41">
        <v>0</v>
      </c>
      <c r="I67" s="41">
        <v>0</v>
      </c>
      <c r="J67" s="41">
        <v>0</v>
      </c>
      <c r="K67" s="19">
        <v>-100000</v>
      </c>
      <c r="L67" s="41">
        <v>0</v>
      </c>
      <c r="M67" s="41">
        <v>0</v>
      </c>
      <c r="N67" s="41">
        <v>0</v>
      </c>
      <c r="O67" s="41">
        <v>0</v>
      </c>
      <c r="P67" s="41">
        <v>0</v>
      </c>
      <c r="Q67" s="41">
        <v>0</v>
      </c>
      <c r="R67" s="19">
        <v>100000</v>
      </c>
      <c r="S67">
        <v>0</v>
      </c>
      <c r="T67" s="41">
        <v>0</v>
      </c>
      <c r="U67" s="19">
        <v>24291.589999999967</v>
      </c>
    </row>
    <row r="68" spans="2:21" x14ac:dyDescent="0.25">
      <c r="B68" s="4">
        <v>44908</v>
      </c>
      <c r="C68">
        <v>24291.589999999967</v>
      </c>
      <c r="D68" s="42">
        <v>0</v>
      </c>
      <c r="E68" s="41">
        <v>0</v>
      </c>
      <c r="F68" s="41">
        <v>0</v>
      </c>
      <c r="G68" s="41">
        <v>0</v>
      </c>
      <c r="H68" s="41">
        <v>0</v>
      </c>
      <c r="I68" s="41">
        <v>0</v>
      </c>
      <c r="J68" s="41">
        <v>0</v>
      </c>
      <c r="K68" s="19">
        <v>0</v>
      </c>
      <c r="L68" s="41">
        <v>0</v>
      </c>
      <c r="M68" s="41">
        <v>0</v>
      </c>
      <c r="N68" s="41">
        <v>0</v>
      </c>
      <c r="O68" s="41">
        <v>0</v>
      </c>
      <c r="P68" s="41">
        <v>0</v>
      </c>
      <c r="Q68" s="41">
        <v>-265.2</v>
      </c>
      <c r="R68" s="19">
        <v>0</v>
      </c>
      <c r="S68">
        <v>0</v>
      </c>
      <c r="T68" s="41">
        <v>0</v>
      </c>
      <c r="U68" s="19">
        <v>24026.389999999967</v>
      </c>
    </row>
    <row r="69" spans="2:21" x14ac:dyDescent="0.25">
      <c r="B69" s="4">
        <v>44909</v>
      </c>
      <c r="C69">
        <v>24026.389999999967</v>
      </c>
      <c r="D69" s="42">
        <v>0</v>
      </c>
      <c r="E69" s="41">
        <v>0</v>
      </c>
      <c r="F69" s="41">
        <v>0</v>
      </c>
      <c r="G69" s="41">
        <v>0</v>
      </c>
      <c r="H69" s="41">
        <v>0</v>
      </c>
      <c r="I69" s="41">
        <v>0</v>
      </c>
      <c r="J69" s="41">
        <v>0</v>
      </c>
      <c r="K69" s="19">
        <v>0</v>
      </c>
      <c r="L69" s="41">
        <v>0</v>
      </c>
      <c r="M69" s="41">
        <v>0</v>
      </c>
      <c r="N69" s="41">
        <v>0</v>
      </c>
      <c r="O69" s="41">
        <v>0</v>
      </c>
      <c r="P69" s="41">
        <v>0</v>
      </c>
      <c r="Q69" s="41">
        <v>0</v>
      </c>
      <c r="R69" s="19">
        <v>0</v>
      </c>
      <c r="S69">
        <v>0</v>
      </c>
      <c r="T69" s="41">
        <v>0</v>
      </c>
      <c r="U69" s="19">
        <v>24026.389999999967</v>
      </c>
    </row>
    <row r="70" spans="2:21" x14ac:dyDescent="0.25">
      <c r="B70" s="4">
        <v>44910</v>
      </c>
      <c r="C70">
        <v>24026.389999999967</v>
      </c>
      <c r="D70" s="42">
        <v>0</v>
      </c>
      <c r="E70" s="41">
        <v>0</v>
      </c>
      <c r="F70" s="41">
        <v>0</v>
      </c>
      <c r="G70" s="41">
        <v>0</v>
      </c>
      <c r="H70" s="41">
        <v>0</v>
      </c>
      <c r="I70" s="41">
        <v>0</v>
      </c>
      <c r="J70" s="41">
        <v>0</v>
      </c>
      <c r="K70" s="19">
        <v>0</v>
      </c>
      <c r="L70" s="41">
        <v>0</v>
      </c>
      <c r="M70" s="41">
        <v>0</v>
      </c>
      <c r="N70" s="41">
        <v>0</v>
      </c>
      <c r="O70" s="41">
        <v>0</v>
      </c>
      <c r="P70" s="41">
        <v>0</v>
      </c>
      <c r="Q70" s="41">
        <v>0</v>
      </c>
      <c r="R70" s="19">
        <v>0</v>
      </c>
      <c r="S70">
        <v>0</v>
      </c>
      <c r="T70" s="41">
        <v>0</v>
      </c>
      <c r="U70" s="19">
        <v>24026.389999999967</v>
      </c>
    </row>
    <row r="71" spans="2:21" x14ac:dyDescent="0.25">
      <c r="B71" s="4">
        <v>44911</v>
      </c>
      <c r="C71">
        <v>24026.389999999967</v>
      </c>
      <c r="D71" s="42">
        <v>0</v>
      </c>
      <c r="E71" s="41">
        <v>0</v>
      </c>
      <c r="F71" s="41">
        <v>0</v>
      </c>
      <c r="G71" s="41">
        <v>0</v>
      </c>
      <c r="H71" s="41">
        <v>0</v>
      </c>
      <c r="I71" s="41">
        <v>0</v>
      </c>
      <c r="J71" s="41">
        <v>0</v>
      </c>
      <c r="K71" s="19">
        <v>0</v>
      </c>
      <c r="L71" s="41">
        <v>0</v>
      </c>
      <c r="M71" s="41">
        <v>0</v>
      </c>
      <c r="N71" s="41">
        <v>0</v>
      </c>
      <c r="O71" s="41">
        <v>0</v>
      </c>
      <c r="P71" s="41">
        <v>0</v>
      </c>
      <c r="Q71" s="41">
        <v>0</v>
      </c>
      <c r="R71" s="19">
        <v>0</v>
      </c>
      <c r="S71">
        <v>0</v>
      </c>
      <c r="T71" s="41">
        <v>0</v>
      </c>
      <c r="U71" s="19">
        <v>24026.389999999967</v>
      </c>
    </row>
    <row r="72" spans="2:21" x14ac:dyDescent="0.25">
      <c r="B72" s="4">
        <v>44914</v>
      </c>
      <c r="C72">
        <v>24026.389999999967</v>
      </c>
      <c r="D72" s="42">
        <v>0</v>
      </c>
      <c r="E72" s="41">
        <v>0</v>
      </c>
      <c r="F72" s="41">
        <v>0</v>
      </c>
      <c r="G72" s="41">
        <v>0</v>
      </c>
      <c r="H72" s="41">
        <v>0</v>
      </c>
      <c r="I72" s="41">
        <v>0</v>
      </c>
      <c r="J72" s="41">
        <v>0</v>
      </c>
      <c r="K72" s="19">
        <v>-1000000</v>
      </c>
      <c r="L72" s="41">
        <v>0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  <c r="R72" s="19">
        <v>1000000</v>
      </c>
      <c r="S72">
        <v>0</v>
      </c>
      <c r="T72" s="41">
        <v>0</v>
      </c>
      <c r="U72" s="19">
        <v>24026.390000000014</v>
      </c>
    </row>
    <row r="73" spans="2:21" x14ac:dyDescent="0.25">
      <c r="B73" s="4">
        <v>44915</v>
      </c>
      <c r="C73">
        <v>24026.390000000014</v>
      </c>
      <c r="D73" s="42">
        <v>0</v>
      </c>
      <c r="E73" s="41">
        <v>0</v>
      </c>
      <c r="F73" s="41">
        <v>0</v>
      </c>
      <c r="G73" s="41">
        <v>0</v>
      </c>
      <c r="H73" s="41">
        <v>0</v>
      </c>
      <c r="I73" s="41">
        <v>0</v>
      </c>
      <c r="J73" s="41">
        <v>0</v>
      </c>
      <c r="K73" s="19">
        <v>0</v>
      </c>
      <c r="L73" s="41">
        <v>0</v>
      </c>
      <c r="M73" s="41">
        <v>0</v>
      </c>
      <c r="N73" s="41">
        <v>0</v>
      </c>
      <c r="O73" s="41">
        <v>0</v>
      </c>
      <c r="P73" s="41">
        <v>0</v>
      </c>
      <c r="Q73" s="41">
        <v>0</v>
      </c>
      <c r="R73" s="19">
        <v>0</v>
      </c>
      <c r="S73">
        <v>0</v>
      </c>
      <c r="T73" s="41">
        <v>0</v>
      </c>
      <c r="U73" s="19">
        <v>24026.390000000014</v>
      </c>
    </row>
    <row r="74" spans="2:21" x14ac:dyDescent="0.25">
      <c r="B74" s="4">
        <v>44916</v>
      </c>
      <c r="C74">
        <v>24026.390000000014</v>
      </c>
      <c r="D74" s="42">
        <v>0</v>
      </c>
      <c r="E74" s="41">
        <v>0</v>
      </c>
      <c r="F74" s="41">
        <v>0</v>
      </c>
      <c r="G74" s="41">
        <v>0</v>
      </c>
      <c r="H74" s="41">
        <v>0</v>
      </c>
      <c r="I74" s="41">
        <v>0</v>
      </c>
      <c r="J74" s="41">
        <v>0</v>
      </c>
      <c r="K74" s="19">
        <v>0</v>
      </c>
      <c r="L74" s="41">
        <v>0</v>
      </c>
      <c r="M74" s="41">
        <v>0</v>
      </c>
      <c r="N74" s="41">
        <v>0</v>
      </c>
      <c r="O74" s="41">
        <v>0</v>
      </c>
      <c r="P74" s="41">
        <v>0</v>
      </c>
      <c r="Q74" s="41">
        <v>0</v>
      </c>
      <c r="R74" s="19">
        <v>0</v>
      </c>
      <c r="S74">
        <v>0</v>
      </c>
      <c r="T74" s="41">
        <v>0</v>
      </c>
      <c r="U74" s="19">
        <v>24026.390000000014</v>
      </c>
    </row>
    <row r="75" spans="2:21" x14ac:dyDescent="0.25">
      <c r="B75" s="4">
        <v>44917</v>
      </c>
      <c r="C75">
        <v>24026.390000000014</v>
      </c>
      <c r="D75" s="42">
        <v>0</v>
      </c>
      <c r="E75" s="41">
        <v>0</v>
      </c>
      <c r="F75" s="41">
        <v>0</v>
      </c>
      <c r="G75" s="41">
        <v>0</v>
      </c>
      <c r="H75" s="41">
        <v>0</v>
      </c>
      <c r="I75" s="41">
        <v>0</v>
      </c>
      <c r="J75" s="41">
        <v>0</v>
      </c>
      <c r="K75" s="19">
        <v>0</v>
      </c>
      <c r="L75" s="41">
        <v>0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19">
        <v>0</v>
      </c>
      <c r="S75">
        <v>0</v>
      </c>
      <c r="T75" s="41">
        <v>0</v>
      </c>
      <c r="U75" s="19">
        <v>24026.390000000014</v>
      </c>
    </row>
    <row r="76" spans="2:21" x14ac:dyDescent="0.25">
      <c r="B76" s="4">
        <v>44918</v>
      </c>
      <c r="C76">
        <v>24026.390000000014</v>
      </c>
      <c r="D76" s="42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19">
        <v>-1000000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19">
        <v>1000000</v>
      </c>
      <c r="S76">
        <v>0</v>
      </c>
      <c r="T76" s="41">
        <v>0</v>
      </c>
      <c r="U76" s="19">
        <v>24026.390000000014</v>
      </c>
    </row>
    <row r="77" spans="2:21" x14ac:dyDescent="0.25">
      <c r="B77" s="4">
        <v>44921</v>
      </c>
      <c r="C77">
        <v>24026.390000000014</v>
      </c>
      <c r="D77" s="42">
        <v>0</v>
      </c>
      <c r="E77" s="41">
        <v>0</v>
      </c>
      <c r="F77" s="41">
        <v>0</v>
      </c>
      <c r="G77" s="41">
        <v>0</v>
      </c>
      <c r="H77" s="41">
        <v>0</v>
      </c>
      <c r="I77" s="41">
        <v>0</v>
      </c>
      <c r="J77" s="41">
        <v>0</v>
      </c>
      <c r="K77" s="19">
        <v>0</v>
      </c>
      <c r="L77" s="41">
        <v>0</v>
      </c>
      <c r="M77" s="41">
        <v>0</v>
      </c>
      <c r="N77" s="41">
        <v>0</v>
      </c>
      <c r="O77" s="41">
        <v>0</v>
      </c>
      <c r="P77" s="41">
        <v>0</v>
      </c>
      <c r="Q77" s="41">
        <v>0</v>
      </c>
      <c r="R77" s="19">
        <v>0</v>
      </c>
      <c r="S77">
        <v>0</v>
      </c>
      <c r="T77" s="41">
        <v>0</v>
      </c>
      <c r="U77" s="19">
        <v>24026.390000000014</v>
      </c>
    </row>
    <row r="78" spans="2:21" x14ac:dyDescent="0.25">
      <c r="B78" s="4">
        <v>44922</v>
      </c>
      <c r="C78">
        <v>24026.390000000014</v>
      </c>
      <c r="D78" s="42">
        <v>0</v>
      </c>
      <c r="E78" s="41">
        <v>0</v>
      </c>
      <c r="F78" s="41">
        <v>0</v>
      </c>
      <c r="G78" s="41">
        <v>0</v>
      </c>
      <c r="H78" s="41">
        <v>0</v>
      </c>
      <c r="I78" s="41">
        <v>0</v>
      </c>
      <c r="J78" s="41">
        <v>0</v>
      </c>
      <c r="K78" s="19">
        <v>0</v>
      </c>
      <c r="L78" s="41">
        <v>0</v>
      </c>
      <c r="M78" s="41">
        <v>0</v>
      </c>
      <c r="N78" s="41">
        <v>0</v>
      </c>
      <c r="O78" s="41">
        <v>0</v>
      </c>
      <c r="P78" s="41">
        <v>0</v>
      </c>
      <c r="Q78" s="41">
        <v>0</v>
      </c>
      <c r="R78" s="19">
        <v>0</v>
      </c>
      <c r="S78">
        <v>0</v>
      </c>
      <c r="T78" s="41">
        <v>0</v>
      </c>
      <c r="U78" s="19">
        <v>24026.390000000014</v>
      </c>
    </row>
    <row r="79" spans="2:21" x14ac:dyDescent="0.25">
      <c r="B79" s="4">
        <v>44923</v>
      </c>
      <c r="C79">
        <v>24026.390000000014</v>
      </c>
      <c r="D79" s="42">
        <v>0</v>
      </c>
      <c r="E79" s="41">
        <v>0</v>
      </c>
      <c r="F79" s="41">
        <v>0</v>
      </c>
      <c r="G79" s="41">
        <v>0</v>
      </c>
      <c r="H79" s="41">
        <v>0</v>
      </c>
      <c r="I79" s="41">
        <v>0</v>
      </c>
      <c r="J79" s="41">
        <v>0</v>
      </c>
      <c r="K79" s="19">
        <v>0</v>
      </c>
      <c r="L79" s="41">
        <v>0</v>
      </c>
      <c r="M79" s="41">
        <v>0</v>
      </c>
      <c r="N79" s="41">
        <v>0</v>
      </c>
      <c r="O79" s="41">
        <v>0</v>
      </c>
      <c r="P79" s="41">
        <v>0</v>
      </c>
      <c r="Q79" s="41">
        <v>0</v>
      </c>
      <c r="R79" s="19">
        <v>0</v>
      </c>
      <c r="S79">
        <v>0</v>
      </c>
      <c r="T79" s="41">
        <v>0</v>
      </c>
      <c r="U79" s="19">
        <v>24026.390000000014</v>
      </c>
    </row>
    <row r="80" spans="2:21" x14ac:dyDescent="0.25">
      <c r="B80" s="4">
        <v>44924</v>
      </c>
      <c r="C80">
        <v>24026.390000000014</v>
      </c>
      <c r="D80" s="42">
        <v>0</v>
      </c>
      <c r="E80" s="41">
        <v>0</v>
      </c>
      <c r="F80" s="41">
        <v>0</v>
      </c>
      <c r="G80" s="41">
        <v>0</v>
      </c>
      <c r="H80" s="41">
        <v>0</v>
      </c>
      <c r="I80" s="41">
        <v>0</v>
      </c>
      <c r="J80" s="41">
        <v>0</v>
      </c>
      <c r="K80" s="19">
        <v>0</v>
      </c>
      <c r="L80" s="41">
        <v>0</v>
      </c>
      <c r="M80" s="41">
        <v>0</v>
      </c>
      <c r="N80" s="41">
        <v>0</v>
      </c>
      <c r="O80" s="41">
        <v>0</v>
      </c>
      <c r="P80" s="41">
        <v>0</v>
      </c>
      <c r="Q80" s="41">
        <v>0</v>
      </c>
      <c r="R80" s="19">
        <v>0</v>
      </c>
      <c r="S80">
        <v>0</v>
      </c>
      <c r="T80" s="41">
        <v>0</v>
      </c>
      <c r="U80" s="19">
        <v>24026.390000000014</v>
      </c>
    </row>
    <row r="81" spans="2:21" x14ac:dyDescent="0.25">
      <c r="B81" s="4">
        <v>44925</v>
      </c>
      <c r="C81">
        <v>24026.390000000014</v>
      </c>
      <c r="D81" s="42">
        <v>0</v>
      </c>
      <c r="E81" s="41">
        <v>0</v>
      </c>
      <c r="F81" s="41">
        <v>0</v>
      </c>
      <c r="G81" s="41">
        <v>0</v>
      </c>
      <c r="H81" s="41">
        <v>0</v>
      </c>
      <c r="I81" s="41">
        <v>0</v>
      </c>
      <c r="J81" s="41">
        <v>0</v>
      </c>
      <c r="K81" s="19">
        <v>0</v>
      </c>
      <c r="L81" s="41">
        <v>0</v>
      </c>
      <c r="M81" s="41">
        <v>0</v>
      </c>
      <c r="N81" s="41">
        <v>0</v>
      </c>
      <c r="O81" s="41">
        <v>0</v>
      </c>
      <c r="P81" s="41">
        <v>0</v>
      </c>
      <c r="Q81" s="41">
        <v>0</v>
      </c>
      <c r="R81" s="19">
        <v>0</v>
      </c>
      <c r="S81">
        <v>0</v>
      </c>
      <c r="T81" s="41">
        <v>0</v>
      </c>
      <c r="U81" s="19">
        <v>24026.390000000014</v>
      </c>
    </row>
    <row r="82" spans="2:21" x14ac:dyDescent="0.25">
      <c r="B82" s="4">
        <v>44928</v>
      </c>
      <c r="C82">
        <v>24026.390000000014</v>
      </c>
      <c r="D82" s="42">
        <v>0</v>
      </c>
      <c r="E82" s="41">
        <v>0</v>
      </c>
      <c r="F82" s="41">
        <v>0</v>
      </c>
      <c r="G82" s="41">
        <v>0</v>
      </c>
      <c r="H82" s="41">
        <v>0</v>
      </c>
      <c r="I82" s="41">
        <v>0</v>
      </c>
      <c r="J82" s="41">
        <v>0</v>
      </c>
      <c r="K82" s="19">
        <v>0</v>
      </c>
      <c r="L82" s="41">
        <v>0</v>
      </c>
      <c r="M82" s="41">
        <v>0</v>
      </c>
      <c r="N82" s="41">
        <v>0</v>
      </c>
      <c r="O82" s="41">
        <v>0</v>
      </c>
      <c r="P82" s="41">
        <v>0</v>
      </c>
      <c r="Q82" s="41">
        <v>0</v>
      </c>
      <c r="R82" s="19">
        <v>0</v>
      </c>
      <c r="S82">
        <v>0</v>
      </c>
      <c r="T82" s="41">
        <v>0</v>
      </c>
      <c r="U82" s="19">
        <v>24026.390000000014</v>
      </c>
    </row>
    <row r="83" spans="2:21" x14ac:dyDescent="0.25">
      <c r="B83" s="4">
        <v>44929</v>
      </c>
      <c r="C83">
        <v>24026.390000000014</v>
      </c>
      <c r="D83" s="42">
        <v>0</v>
      </c>
      <c r="E83" s="41">
        <v>0</v>
      </c>
      <c r="F83" s="41">
        <v>0</v>
      </c>
      <c r="G83" s="41">
        <v>0</v>
      </c>
      <c r="H83" s="41">
        <v>0</v>
      </c>
      <c r="I83" s="41">
        <v>0</v>
      </c>
      <c r="J83" s="41">
        <v>0</v>
      </c>
      <c r="K83" s="19">
        <v>0</v>
      </c>
      <c r="L83" s="41">
        <v>0</v>
      </c>
      <c r="M83" s="41">
        <v>0</v>
      </c>
      <c r="N83" s="41">
        <v>0</v>
      </c>
      <c r="O83" s="41">
        <v>0</v>
      </c>
      <c r="P83" s="41">
        <v>0</v>
      </c>
      <c r="Q83" s="41">
        <v>0</v>
      </c>
      <c r="R83" s="19">
        <v>0</v>
      </c>
      <c r="S83">
        <v>0</v>
      </c>
      <c r="T83" s="41">
        <v>0</v>
      </c>
      <c r="U83" s="19">
        <v>24026.390000000014</v>
      </c>
    </row>
    <row r="84" spans="2:21" x14ac:dyDescent="0.25">
      <c r="B84" s="4">
        <v>44930</v>
      </c>
      <c r="C84">
        <v>24026.390000000014</v>
      </c>
      <c r="D84" s="42">
        <v>0</v>
      </c>
      <c r="E84" s="41">
        <v>0</v>
      </c>
      <c r="F84" s="41">
        <v>0</v>
      </c>
      <c r="G84" s="41">
        <v>0</v>
      </c>
      <c r="H84" s="41">
        <v>0</v>
      </c>
      <c r="I84" s="41">
        <v>0</v>
      </c>
      <c r="J84" s="41">
        <v>0</v>
      </c>
      <c r="K84" s="19">
        <v>0</v>
      </c>
      <c r="L84" s="41">
        <v>0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19">
        <v>0</v>
      </c>
      <c r="S84">
        <v>0</v>
      </c>
      <c r="T84" s="41">
        <v>0</v>
      </c>
      <c r="U84" s="19">
        <v>24026.390000000014</v>
      </c>
    </row>
    <row r="85" spans="2:21" x14ac:dyDescent="0.25">
      <c r="B85" s="4">
        <v>44931</v>
      </c>
      <c r="C85">
        <v>24026.390000000014</v>
      </c>
      <c r="D85" s="42">
        <v>0</v>
      </c>
      <c r="E85" s="41">
        <v>0</v>
      </c>
      <c r="F85" s="41">
        <v>0</v>
      </c>
      <c r="G85" s="41">
        <v>0</v>
      </c>
      <c r="H85" s="41">
        <v>0</v>
      </c>
      <c r="I85" s="41">
        <v>0</v>
      </c>
      <c r="J85" s="41">
        <v>0</v>
      </c>
      <c r="K85" s="19">
        <v>0</v>
      </c>
      <c r="L85" s="41">
        <v>0</v>
      </c>
      <c r="M85" s="41">
        <v>0</v>
      </c>
      <c r="N85" s="41">
        <v>0</v>
      </c>
      <c r="O85" s="41">
        <v>0</v>
      </c>
      <c r="P85" s="41">
        <v>0</v>
      </c>
      <c r="Q85" s="41">
        <v>0</v>
      </c>
      <c r="R85" s="19">
        <v>0</v>
      </c>
      <c r="S85" s="45">
        <v>20000</v>
      </c>
      <c r="T85" s="41">
        <v>0</v>
      </c>
      <c r="U85" s="19">
        <v>44026.390000000014</v>
      </c>
    </row>
    <row r="86" spans="2:21" x14ac:dyDescent="0.25">
      <c r="B86" s="4">
        <v>44932</v>
      </c>
      <c r="C86">
        <v>44026.390000000014</v>
      </c>
      <c r="D86" s="42">
        <v>-18060.643118654501</v>
      </c>
      <c r="E86" s="41">
        <v>0</v>
      </c>
      <c r="F86" s="41">
        <v>0</v>
      </c>
      <c r="G86" s="41">
        <v>0</v>
      </c>
      <c r="H86" s="41">
        <v>0</v>
      </c>
      <c r="I86" s="41">
        <v>0</v>
      </c>
      <c r="J86" s="41">
        <v>0</v>
      </c>
      <c r="K86" s="19">
        <v>0</v>
      </c>
      <c r="L86" s="41">
        <v>0</v>
      </c>
      <c r="M86" s="41">
        <v>0</v>
      </c>
      <c r="N86" s="41">
        <v>0</v>
      </c>
      <c r="O86" s="41">
        <v>0</v>
      </c>
      <c r="P86" s="41">
        <v>0</v>
      </c>
      <c r="Q86" s="41">
        <v>0</v>
      </c>
      <c r="R86" s="19">
        <v>0</v>
      </c>
      <c r="S86">
        <v>0</v>
      </c>
      <c r="T86" s="41">
        <v>0</v>
      </c>
      <c r="U86" s="19">
        <v>25965.746881345513</v>
      </c>
    </row>
    <row r="87" spans="2:21" x14ac:dyDescent="0.25">
      <c r="B87" s="4">
        <v>44935</v>
      </c>
      <c r="C87">
        <v>25965.746881345513</v>
      </c>
      <c r="D87" s="42">
        <v>0</v>
      </c>
      <c r="E87" s="41">
        <v>0</v>
      </c>
      <c r="F87" s="41">
        <v>0</v>
      </c>
      <c r="G87" s="41">
        <v>0</v>
      </c>
      <c r="H87" s="41">
        <v>0</v>
      </c>
      <c r="I87" s="41">
        <v>0</v>
      </c>
      <c r="J87" s="41">
        <v>0</v>
      </c>
      <c r="K87" s="19">
        <v>0</v>
      </c>
      <c r="L87" s="41">
        <v>0</v>
      </c>
      <c r="M87" s="41">
        <v>0</v>
      </c>
      <c r="N87" s="41">
        <v>0</v>
      </c>
      <c r="O87" s="41">
        <v>0</v>
      </c>
      <c r="P87" s="41">
        <v>0</v>
      </c>
      <c r="Q87" s="41">
        <v>0</v>
      </c>
      <c r="R87" s="19">
        <v>0</v>
      </c>
      <c r="S87">
        <v>0</v>
      </c>
      <c r="T87" s="41">
        <v>0</v>
      </c>
      <c r="U87" s="19">
        <v>25965.746881345513</v>
      </c>
    </row>
    <row r="88" spans="2:21" x14ac:dyDescent="0.25">
      <c r="B88" s="4">
        <v>44936</v>
      </c>
      <c r="C88">
        <v>25965.746881345513</v>
      </c>
      <c r="D88" s="42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19">
        <v>-300000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19">
        <v>300000</v>
      </c>
      <c r="S88">
        <v>0</v>
      </c>
      <c r="T88" s="41">
        <v>0</v>
      </c>
      <c r="U88" s="19">
        <v>25965.74688134552</v>
      </c>
    </row>
    <row r="89" spans="2:21" x14ac:dyDescent="0.25">
      <c r="B89" s="4">
        <v>44937</v>
      </c>
      <c r="C89">
        <v>25965.74688134552</v>
      </c>
      <c r="D89" s="42">
        <v>0</v>
      </c>
      <c r="E89" s="41">
        <v>0</v>
      </c>
      <c r="F89" s="41">
        <v>0</v>
      </c>
      <c r="G89" s="41">
        <v>0</v>
      </c>
      <c r="H89" s="41">
        <v>0</v>
      </c>
      <c r="I89" s="41">
        <v>0</v>
      </c>
      <c r="J89" s="41">
        <v>0</v>
      </c>
      <c r="K89" s="19">
        <v>0</v>
      </c>
      <c r="L89" s="41">
        <v>0</v>
      </c>
      <c r="M89" s="41">
        <v>0</v>
      </c>
      <c r="N89" s="41">
        <v>0</v>
      </c>
      <c r="O89" s="41">
        <v>0</v>
      </c>
      <c r="P89" s="41">
        <v>0</v>
      </c>
      <c r="Q89" s="41">
        <v>0</v>
      </c>
      <c r="R89" s="19">
        <v>0</v>
      </c>
      <c r="S89">
        <v>0</v>
      </c>
      <c r="T89" s="41">
        <v>0</v>
      </c>
      <c r="U89" s="19">
        <v>25965.74688134552</v>
      </c>
    </row>
    <row r="90" spans="2:21" x14ac:dyDescent="0.25">
      <c r="B90" s="4">
        <v>44938</v>
      </c>
      <c r="C90">
        <v>25965.74688134552</v>
      </c>
      <c r="D90" s="42">
        <v>0</v>
      </c>
      <c r="E90" s="41">
        <v>0</v>
      </c>
      <c r="F90" s="41">
        <v>0</v>
      </c>
      <c r="G90" s="41">
        <v>0</v>
      </c>
      <c r="H90" s="41">
        <v>0</v>
      </c>
      <c r="I90" s="41">
        <v>0</v>
      </c>
      <c r="J90" s="41">
        <v>0</v>
      </c>
      <c r="K90" s="19">
        <v>0</v>
      </c>
      <c r="L90" s="41">
        <v>0</v>
      </c>
      <c r="M90" s="41">
        <v>0</v>
      </c>
      <c r="N90" s="41">
        <v>0</v>
      </c>
      <c r="O90" s="41">
        <v>0</v>
      </c>
      <c r="P90" s="41">
        <v>0</v>
      </c>
      <c r="Q90" s="41">
        <v>0</v>
      </c>
      <c r="R90" s="19">
        <v>0</v>
      </c>
      <c r="S90">
        <v>0</v>
      </c>
      <c r="T90" s="41">
        <v>0</v>
      </c>
      <c r="U90" s="19">
        <v>25965.74688134552</v>
      </c>
    </row>
    <row r="91" spans="2:21" x14ac:dyDescent="0.25">
      <c r="B91" s="4">
        <v>44939</v>
      </c>
      <c r="C91">
        <v>25965.74688134552</v>
      </c>
      <c r="D91" s="42">
        <v>0</v>
      </c>
      <c r="E91" s="41">
        <v>0</v>
      </c>
      <c r="F91" s="41">
        <v>0</v>
      </c>
      <c r="G91" s="41">
        <v>0</v>
      </c>
      <c r="H91" s="41">
        <v>0</v>
      </c>
      <c r="I91" s="41">
        <v>0</v>
      </c>
      <c r="J91" s="41">
        <v>0</v>
      </c>
      <c r="K91" s="19">
        <v>0</v>
      </c>
      <c r="L91" s="41">
        <v>0</v>
      </c>
      <c r="M91" s="41">
        <v>0</v>
      </c>
      <c r="N91" s="41">
        <v>0</v>
      </c>
      <c r="O91" s="41">
        <v>0</v>
      </c>
      <c r="P91" s="41">
        <v>0</v>
      </c>
      <c r="Q91" s="41">
        <v>0</v>
      </c>
      <c r="R91" s="19">
        <v>0</v>
      </c>
      <c r="S91">
        <v>0</v>
      </c>
      <c r="T91" s="41">
        <v>0</v>
      </c>
      <c r="U91" s="19">
        <v>25965.74688134552</v>
      </c>
    </row>
    <row r="92" spans="2:21" x14ac:dyDescent="0.25">
      <c r="B92" s="4">
        <v>44942</v>
      </c>
      <c r="C92">
        <v>25965.74688134552</v>
      </c>
      <c r="D92" s="42">
        <v>0</v>
      </c>
      <c r="E92" s="41">
        <v>0</v>
      </c>
      <c r="F92" s="41">
        <v>0</v>
      </c>
      <c r="G92" s="41">
        <v>0</v>
      </c>
      <c r="H92" s="41">
        <v>0</v>
      </c>
      <c r="I92" s="41">
        <v>0</v>
      </c>
      <c r="J92" s="41">
        <v>0</v>
      </c>
      <c r="K92" s="19">
        <v>0</v>
      </c>
      <c r="L92" s="41">
        <v>0</v>
      </c>
      <c r="M92" s="41">
        <v>0</v>
      </c>
      <c r="N92" s="41">
        <v>0</v>
      </c>
      <c r="O92" s="41">
        <v>0</v>
      </c>
      <c r="P92" s="41">
        <v>0</v>
      </c>
      <c r="Q92" s="41">
        <v>0</v>
      </c>
      <c r="R92" s="19">
        <v>0</v>
      </c>
      <c r="S92">
        <v>0</v>
      </c>
      <c r="T92" s="41">
        <v>0</v>
      </c>
      <c r="U92" s="19">
        <v>25965.74688134552</v>
      </c>
    </row>
    <row r="93" spans="2:21" x14ac:dyDescent="0.25">
      <c r="B93" s="4">
        <v>44943</v>
      </c>
      <c r="C93">
        <v>25965.74688134552</v>
      </c>
      <c r="D93" s="42">
        <v>0</v>
      </c>
      <c r="E93" s="41">
        <v>0</v>
      </c>
      <c r="F93" s="41">
        <v>0</v>
      </c>
      <c r="G93" s="41">
        <v>0</v>
      </c>
      <c r="H93" s="41">
        <v>0</v>
      </c>
      <c r="I93" s="41">
        <v>0</v>
      </c>
      <c r="J93" s="41">
        <v>0</v>
      </c>
      <c r="K93" s="19">
        <v>0</v>
      </c>
      <c r="L93" s="41">
        <v>0</v>
      </c>
      <c r="M93" s="41">
        <v>0</v>
      </c>
      <c r="N93" s="41">
        <v>0</v>
      </c>
      <c r="O93" s="41">
        <v>0</v>
      </c>
      <c r="P93" s="41">
        <v>0</v>
      </c>
      <c r="Q93" s="41">
        <v>0</v>
      </c>
      <c r="R93" s="19">
        <v>0</v>
      </c>
      <c r="S93">
        <v>0</v>
      </c>
      <c r="T93" s="41">
        <v>0</v>
      </c>
      <c r="U93" s="19">
        <v>25965.74688134552</v>
      </c>
    </row>
    <row r="94" spans="2:21" x14ac:dyDescent="0.25">
      <c r="B94" s="4">
        <v>44944</v>
      </c>
      <c r="C94">
        <v>25965.74688134552</v>
      </c>
      <c r="D94" s="42">
        <v>0</v>
      </c>
      <c r="E94" s="41">
        <v>0</v>
      </c>
      <c r="F94" s="41">
        <v>0</v>
      </c>
      <c r="G94" s="41">
        <v>0</v>
      </c>
      <c r="H94" s="41">
        <v>0</v>
      </c>
      <c r="I94" s="41">
        <v>0</v>
      </c>
      <c r="J94" s="41">
        <v>0</v>
      </c>
      <c r="K94" s="19">
        <v>0</v>
      </c>
      <c r="L94" s="41">
        <v>0</v>
      </c>
      <c r="M94" s="41">
        <v>0</v>
      </c>
      <c r="N94" s="41">
        <v>0</v>
      </c>
      <c r="O94" s="41">
        <v>0</v>
      </c>
      <c r="P94" s="41">
        <v>0</v>
      </c>
      <c r="Q94" s="41">
        <v>0</v>
      </c>
      <c r="R94" s="19">
        <v>0</v>
      </c>
      <c r="S94">
        <v>0</v>
      </c>
      <c r="T94" s="41">
        <v>0</v>
      </c>
      <c r="U94" s="19">
        <v>25965.74688134552</v>
      </c>
    </row>
    <row r="95" spans="2:21" x14ac:dyDescent="0.25">
      <c r="B95" s="4">
        <v>44945</v>
      </c>
      <c r="C95">
        <v>25965.74688134552</v>
      </c>
      <c r="D95" s="42">
        <v>0</v>
      </c>
      <c r="E95" s="41">
        <v>0</v>
      </c>
      <c r="F95" s="41">
        <v>0</v>
      </c>
      <c r="G95" s="41">
        <v>0</v>
      </c>
      <c r="H95" s="41">
        <v>0</v>
      </c>
      <c r="I95" s="41">
        <v>0</v>
      </c>
      <c r="J95" s="41">
        <v>0</v>
      </c>
      <c r="K95" s="19">
        <v>0</v>
      </c>
      <c r="L95" s="41">
        <v>0</v>
      </c>
      <c r="M95" s="41">
        <v>0</v>
      </c>
      <c r="N95" s="41">
        <v>0</v>
      </c>
      <c r="O95" s="41">
        <v>0</v>
      </c>
      <c r="P95" s="41">
        <v>0</v>
      </c>
      <c r="Q95" s="41">
        <v>0</v>
      </c>
      <c r="R95" s="19">
        <v>0</v>
      </c>
      <c r="S95">
        <v>0</v>
      </c>
      <c r="T95" s="41">
        <v>0</v>
      </c>
      <c r="U95" s="19">
        <v>25965.74688134552</v>
      </c>
    </row>
    <row r="96" spans="2:21" x14ac:dyDescent="0.25">
      <c r="B96" s="4">
        <v>44946</v>
      </c>
      <c r="C96">
        <v>25965.74688134552</v>
      </c>
      <c r="D96" s="42">
        <v>0</v>
      </c>
      <c r="E96" s="41">
        <v>0</v>
      </c>
      <c r="F96" s="41">
        <v>0</v>
      </c>
      <c r="G96" s="41">
        <v>0</v>
      </c>
      <c r="H96" s="41">
        <v>0</v>
      </c>
      <c r="I96" s="41">
        <v>0</v>
      </c>
      <c r="J96" s="41">
        <v>0</v>
      </c>
      <c r="K96" s="19">
        <v>0</v>
      </c>
      <c r="L96" s="41">
        <v>0</v>
      </c>
      <c r="M96" s="41">
        <v>0</v>
      </c>
      <c r="N96" s="41">
        <v>0</v>
      </c>
      <c r="O96" s="41">
        <v>0</v>
      </c>
      <c r="P96" s="41">
        <v>0</v>
      </c>
      <c r="Q96" s="41">
        <v>0</v>
      </c>
      <c r="R96" s="19">
        <v>0</v>
      </c>
      <c r="S96">
        <v>0</v>
      </c>
      <c r="T96" s="41">
        <v>0</v>
      </c>
      <c r="U96" s="19">
        <v>25965.74688134552</v>
      </c>
    </row>
    <row r="97" spans="2:21" x14ac:dyDescent="0.25">
      <c r="B97" s="4">
        <v>44949</v>
      </c>
      <c r="C97">
        <v>25965.74688134552</v>
      </c>
      <c r="D97" s="42">
        <v>0</v>
      </c>
      <c r="E97" s="41">
        <v>0</v>
      </c>
      <c r="F97" s="41">
        <v>0</v>
      </c>
      <c r="G97" s="41">
        <v>0</v>
      </c>
      <c r="H97" s="41">
        <v>0</v>
      </c>
      <c r="I97" s="41">
        <v>0</v>
      </c>
      <c r="J97" s="41">
        <v>0</v>
      </c>
      <c r="K97" s="19">
        <v>0</v>
      </c>
      <c r="L97" s="41">
        <v>0</v>
      </c>
      <c r="M97" s="41">
        <v>0</v>
      </c>
      <c r="N97" s="41">
        <v>0</v>
      </c>
      <c r="O97" s="41">
        <v>0</v>
      </c>
      <c r="P97" s="41">
        <v>0</v>
      </c>
      <c r="Q97" s="41">
        <v>0</v>
      </c>
      <c r="R97" s="19">
        <v>0</v>
      </c>
      <c r="S97">
        <v>0</v>
      </c>
      <c r="T97" s="41">
        <v>0</v>
      </c>
      <c r="U97" s="19">
        <v>25965.74688134552</v>
      </c>
    </row>
    <row r="98" spans="2:21" x14ac:dyDescent="0.25">
      <c r="B98" s="4">
        <v>44950</v>
      </c>
      <c r="C98">
        <v>25965.74688134552</v>
      </c>
      <c r="D98" s="42">
        <v>0</v>
      </c>
      <c r="E98" s="41">
        <v>0</v>
      </c>
      <c r="F98" s="41">
        <v>0</v>
      </c>
      <c r="G98" s="41">
        <v>0</v>
      </c>
      <c r="H98" s="41">
        <v>0</v>
      </c>
      <c r="I98" s="41">
        <v>0</v>
      </c>
      <c r="J98" s="41">
        <v>0</v>
      </c>
      <c r="K98" s="19">
        <v>0</v>
      </c>
      <c r="L98" s="41">
        <v>0</v>
      </c>
      <c r="M98" s="41">
        <v>0</v>
      </c>
      <c r="N98" s="41">
        <v>0</v>
      </c>
      <c r="O98" s="41">
        <v>0</v>
      </c>
      <c r="P98" s="41">
        <v>0</v>
      </c>
      <c r="Q98" s="41">
        <v>0</v>
      </c>
      <c r="R98" s="19">
        <v>0</v>
      </c>
      <c r="S98">
        <v>0</v>
      </c>
      <c r="T98" s="41">
        <v>0</v>
      </c>
      <c r="U98" s="19">
        <v>25965.74688134552</v>
      </c>
    </row>
    <row r="99" spans="2:21" x14ac:dyDescent="0.25">
      <c r="B99" s="4">
        <v>44951</v>
      </c>
      <c r="C99">
        <v>25965.74688134552</v>
      </c>
      <c r="D99" s="42">
        <v>0</v>
      </c>
      <c r="E99" s="41">
        <v>0</v>
      </c>
      <c r="F99" s="41">
        <v>0</v>
      </c>
      <c r="G99" s="41">
        <v>0</v>
      </c>
      <c r="H99" s="41">
        <v>0</v>
      </c>
      <c r="I99" s="41">
        <v>0</v>
      </c>
      <c r="J99" s="41">
        <v>0</v>
      </c>
      <c r="K99" s="19">
        <v>0</v>
      </c>
      <c r="L99" s="41">
        <v>0</v>
      </c>
      <c r="M99" s="41">
        <v>0</v>
      </c>
      <c r="N99" s="41">
        <v>0</v>
      </c>
      <c r="O99" s="41">
        <v>0</v>
      </c>
      <c r="P99" s="41">
        <v>0</v>
      </c>
      <c r="Q99" s="41">
        <v>0</v>
      </c>
      <c r="R99" s="19">
        <v>0</v>
      </c>
      <c r="S99">
        <v>0</v>
      </c>
      <c r="T99" s="41">
        <v>0</v>
      </c>
      <c r="U99" s="19">
        <v>25965.74688134552</v>
      </c>
    </row>
    <row r="100" spans="2:21" x14ac:dyDescent="0.25">
      <c r="B100" s="4">
        <v>44952</v>
      </c>
      <c r="C100">
        <v>25965.74688134552</v>
      </c>
      <c r="D100" s="42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19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19">
        <v>0</v>
      </c>
      <c r="S100">
        <v>0</v>
      </c>
      <c r="T100" s="41">
        <v>0</v>
      </c>
      <c r="U100" s="19">
        <v>25965.74688134552</v>
      </c>
    </row>
    <row r="101" spans="2:21" x14ac:dyDescent="0.25">
      <c r="B101" s="4">
        <v>44953</v>
      </c>
      <c r="C101">
        <v>25965.74688134552</v>
      </c>
      <c r="D101" s="42">
        <v>0</v>
      </c>
      <c r="E101" s="41">
        <v>0</v>
      </c>
      <c r="F101" s="41">
        <v>0</v>
      </c>
      <c r="G101" s="41">
        <v>0</v>
      </c>
      <c r="H101" s="41">
        <v>0</v>
      </c>
      <c r="I101" s="41">
        <v>0</v>
      </c>
      <c r="J101" s="41">
        <v>0</v>
      </c>
      <c r="K101" s="19">
        <v>0</v>
      </c>
      <c r="L101" s="41">
        <v>0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19">
        <v>0</v>
      </c>
      <c r="S101">
        <v>0</v>
      </c>
      <c r="T101" s="41">
        <v>0</v>
      </c>
      <c r="U101" s="19">
        <v>25965.74688134552</v>
      </c>
    </row>
    <row r="102" spans="2:21" x14ac:dyDescent="0.25">
      <c r="B102" s="4">
        <v>44956</v>
      </c>
      <c r="C102">
        <v>25965.74688134552</v>
      </c>
      <c r="D102" s="42">
        <v>0</v>
      </c>
      <c r="E102" s="41">
        <v>0</v>
      </c>
      <c r="F102" s="41">
        <v>0</v>
      </c>
      <c r="G102" s="41">
        <v>0</v>
      </c>
      <c r="H102" s="41">
        <v>0</v>
      </c>
      <c r="I102" s="41">
        <v>0</v>
      </c>
      <c r="J102" s="41">
        <v>0</v>
      </c>
      <c r="K102" s="19">
        <v>0</v>
      </c>
      <c r="L102" s="41">
        <v>0</v>
      </c>
      <c r="M102" s="41">
        <v>0</v>
      </c>
      <c r="N102" s="41">
        <v>0</v>
      </c>
      <c r="O102" s="41">
        <v>0</v>
      </c>
      <c r="P102" s="41">
        <v>0</v>
      </c>
      <c r="Q102" s="41">
        <v>0</v>
      </c>
      <c r="R102" s="19">
        <v>0</v>
      </c>
      <c r="S102">
        <v>0</v>
      </c>
      <c r="T102" s="41">
        <v>0</v>
      </c>
      <c r="U102" s="19">
        <v>25965.74688134552</v>
      </c>
    </row>
    <row r="103" spans="2:21" x14ac:dyDescent="0.25">
      <c r="B103" s="4">
        <v>44957</v>
      </c>
      <c r="C103">
        <v>25965.74688134552</v>
      </c>
      <c r="D103" s="42">
        <v>0</v>
      </c>
      <c r="E103" s="41">
        <v>0</v>
      </c>
      <c r="F103" s="41">
        <v>0</v>
      </c>
      <c r="G103" s="41">
        <v>0</v>
      </c>
      <c r="H103" s="41">
        <v>0</v>
      </c>
      <c r="I103" s="41">
        <v>0</v>
      </c>
      <c r="J103" s="41">
        <v>0</v>
      </c>
      <c r="K103" s="19">
        <v>0</v>
      </c>
      <c r="L103" s="41">
        <v>0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19">
        <v>0</v>
      </c>
      <c r="S103">
        <v>0</v>
      </c>
      <c r="T103" s="41">
        <v>0</v>
      </c>
      <c r="U103" s="19">
        <v>25965.74688134552</v>
      </c>
    </row>
    <row r="104" spans="2:21" x14ac:dyDescent="0.25">
      <c r="B104" s="4">
        <v>44958</v>
      </c>
      <c r="C104">
        <v>25965.74688134552</v>
      </c>
      <c r="D104" s="42">
        <v>0</v>
      </c>
      <c r="E104" s="41">
        <v>0</v>
      </c>
      <c r="F104" s="41">
        <v>0</v>
      </c>
      <c r="G104" s="41">
        <v>0</v>
      </c>
      <c r="H104" s="41">
        <v>0</v>
      </c>
      <c r="I104" s="41">
        <v>0</v>
      </c>
      <c r="J104" s="41">
        <v>0</v>
      </c>
      <c r="K104" s="19">
        <v>0</v>
      </c>
      <c r="L104" s="41">
        <v>0</v>
      </c>
      <c r="M104" s="41">
        <v>0</v>
      </c>
      <c r="N104" s="41">
        <v>0</v>
      </c>
      <c r="O104" s="41">
        <v>0</v>
      </c>
      <c r="P104" s="41">
        <v>0</v>
      </c>
      <c r="Q104" s="41">
        <v>0</v>
      </c>
      <c r="R104" s="19">
        <v>0</v>
      </c>
      <c r="S104">
        <v>0</v>
      </c>
      <c r="T104" s="41">
        <v>0</v>
      </c>
      <c r="U104" s="19">
        <v>25965.74688134552</v>
      </c>
    </row>
    <row r="105" spans="2:21" x14ac:dyDescent="0.25">
      <c r="B105" s="4">
        <v>44959</v>
      </c>
      <c r="C105">
        <v>25965.74688134552</v>
      </c>
      <c r="D105" s="42">
        <v>0</v>
      </c>
      <c r="E105" s="41">
        <v>0</v>
      </c>
      <c r="F105" s="41">
        <v>0</v>
      </c>
      <c r="G105" s="41">
        <v>0</v>
      </c>
      <c r="H105" s="41">
        <v>0</v>
      </c>
      <c r="I105" s="41">
        <v>0</v>
      </c>
      <c r="J105" s="41">
        <v>0</v>
      </c>
      <c r="K105" s="19">
        <v>0</v>
      </c>
      <c r="L105" s="41">
        <v>0</v>
      </c>
      <c r="M105" s="41">
        <v>0</v>
      </c>
      <c r="N105" s="41">
        <v>0</v>
      </c>
      <c r="O105" s="41">
        <v>0</v>
      </c>
      <c r="P105" s="41">
        <v>0</v>
      </c>
      <c r="Q105" s="41">
        <v>0</v>
      </c>
      <c r="R105" s="19">
        <v>0</v>
      </c>
      <c r="S105">
        <v>0</v>
      </c>
      <c r="T105" s="41">
        <v>0</v>
      </c>
      <c r="U105" s="19">
        <v>25965.74688134552</v>
      </c>
    </row>
    <row r="106" spans="2:21" x14ac:dyDescent="0.25">
      <c r="B106" s="4">
        <v>44960</v>
      </c>
      <c r="C106">
        <v>25965.74688134552</v>
      </c>
      <c r="D106" s="42">
        <v>0</v>
      </c>
      <c r="E106" s="41">
        <v>0</v>
      </c>
      <c r="F106" s="41">
        <v>0</v>
      </c>
      <c r="G106" s="41">
        <v>0</v>
      </c>
      <c r="H106" s="41">
        <v>0</v>
      </c>
      <c r="I106" s="41">
        <v>0</v>
      </c>
      <c r="J106" s="41">
        <v>0</v>
      </c>
      <c r="K106" s="19">
        <v>0</v>
      </c>
      <c r="L106" s="41">
        <v>0</v>
      </c>
      <c r="M106" s="41">
        <v>0</v>
      </c>
      <c r="N106" s="41">
        <v>0</v>
      </c>
      <c r="O106" s="41">
        <v>0</v>
      </c>
      <c r="P106" s="41">
        <v>0</v>
      </c>
      <c r="Q106" s="41">
        <v>0</v>
      </c>
      <c r="R106" s="19">
        <v>0</v>
      </c>
      <c r="S106">
        <v>0</v>
      </c>
      <c r="T106" s="41">
        <v>0</v>
      </c>
      <c r="U106" s="19">
        <v>25965.74688134552</v>
      </c>
    </row>
    <row r="107" spans="2:21" x14ac:dyDescent="0.25">
      <c r="B107" s="4">
        <v>44963</v>
      </c>
      <c r="C107" s="19">
        <v>25965.74688134552</v>
      </c>
      <c r="D107" s="42">
        <v>0</v>
      </c>
      <c r="E107" s="42">
        <v>0</v>
      </c>
      <c r="F107" s="42">
        <v>0</v>
      </c>
      <c r="G107" s="42">
        <v>0</v>
      </c>
      <c r="H107" s="42">
        <v>0</v>
      </c>
      <c r="I107" s="42">
        <v>0</v>
      </c>
      <c r="J107" s="42">
        <v>0</v>
      </c>
      <c r="K107" s="19">
        <v>0</v>
      </c>
      <c r="L107" s="42">
        <v>0</v>
      </c>
      <c r="M107" s="42">
        <v>0</v>
      </c>
      <c r="N107" s="42">
        <v>0</v>
      </c>
      <c r="O107" s="42">
        <v>0</v>
      </c>
      <c r="P107" s="41">
        <v>0</v>
      </c>
      <c r="Q107" s="42">
        <v>0</v>
      </c>
      <c r="R107" s="19">
        <v>0</v>
      </c>
      <c r="S107" s="42">
        <v>23000</v>
      </c>
      <c r="T107" s="42">
        <v>0</v>
      </c>
      <c r="U107" s="19">
        <v>48965.74688134552</v>
      </c>
    </row>
    <row r="108" spans="2:21" x14ac:dyDescent="0.25">
      <c r="B108" s="4">
        <v>44964</v>
      </c>
      <c r="C108" s="19">
        <v>48965.74688134552</v>
      </c>
      <c r="D108" s="42">
        <v>-21979.25</v>
      </c>
      <c r="E108" s="42">
        <v>0</v>
      </c>
      <c r="F108" s="42">
        <v>0</v>
      </c>
      <c r="G108" s="42">
        <v>0</v>
      </c>
      <c r="H108" s="42">
        <v>0</v>
      </c>
      <c r="I108" s="42">
        <v>0</v>
      </c>
      <c r="J108" s="42">
        <v>0</v>
      </c>
      <c r="K108" s="19">
        <v>0</v>
      </c>
      <c r="L108" s="42">
        <v>0</v>
      </c>
      <c r="M108" s="42">
        <v>0</v>
      </c>
      <c r="N108" s="42">
        <v>0</v>
      </c>
      <c r="O108" s="42">
        <v>0</v>
      </c>
      <c r="P108" s="41">
        <v>0</v>
      </c>
      <c r="Q108" s="42">
        <v>0</v>
      </c>
      <c r="R108" s="19">
        <v>0</v>
      </c>
      <c r="S108">
        <v>0</v>
      </c>
      <c r="T108" s="42">
        <v>0</v>
      </c>
      <c r="U108" s="19">
        <v>26986.49688134552</v>
      </c>
    </row>
    <row r="109" spans="2:21" x14ac:dyDescent="0.25">
      <c r="B109" s="4">
        <v>44965</v>
      </c>
      <c r="C109" s="19">
        <v>26986.49688134552</v>
      </c>
      <c r="D109" s="42">
        <v>0</v>
      </c>
      <c r="E109" s="42">
        <v>0</v>
      </c>
      <c r="F109" s="42">
        <v>0</v>
      </c>
      <c r="G109" s="42">
        <v>0</v>
      </c>
      <c r="H109" s="42">
        <v>0</v>
      </c>
      <c r="I109" s="42">
        <v>0</v>
      </c>
      <c r="J109" s="42">
        <v>0</v>
      </c>
      <c r="K109" s="19">
        <v>0</v>
      </c>
      <c r="L109" s="42">
        <v>0</v>
      </c>
      <c r="M109" s="42">
        <v>0</v>
      </c>
      <c r="N109" s="42">
        <v>0</v>
      </c>
      <c r="O109" s="42">
        <v>0</v>
      </c>
      <c r="P109" s="41">
        <v>0</v>
      </c>
      <c r="Q109" s="42">
        <v>0</v>
      </c>
      <c r="R109" s="19">
        <v>0</v>
      </c>
      <c r="S109">
        <v>0</v>
      </c>
      <c r="T109" s="42">
        <v>0</v>
      </c>
      <c r="U109" s="19">
        <v>26986.49688134552</v>
      </c>
    </row>
    <row r="110" spans="2:21" x14ac:dyDescent="0.25">
      <c r="B110" s="4">
        <v>44966</v>
      </c>
      <c r="C110" s="19">
        <v>26986.49688134552</v>
      </c>
      <c r="D110" s="42">
        <v>0</v>
      </c>
      <c r="E110" s="42">
        <v>0</v>
      </c>
      <c r="F110" s="42">
        <v>0</v>
      </c>
      <c r="G110" s="42">
        <v>0</v>
      </c>
      <c r="H110" s="42">
        <v>0</v>
      </c>
      <c r="I110" s="42">
        <v>0</v>
      </c>
      <c r="J110" s="42">
        <v>0</v>
      </c>
      <c r="K110" s="19">
        <v>0</v>
      </c>
      <c r="L110" s="42">
        <v>0</v>
      </c>
      <c r="M110" s="42">
        <v>0</v>
      </c>
      <c r="N110" s="42">
        <v>0</v>
      </c>
      <c r="O110" s="42">
        <v>0</v>
      </c>
      <c r="P110" s="41">
        <v>0</v>
      </c>
      <c r="Q110" s="42">
        <v>0</v>
      </c>
      <c r="R110" s="19">
        <v>0</v>
      </c>
      <c r="S110">
        <v>0</v>
      </c>
      <c r="T110" s="42">
        <v>0</v>
      </c>
      <c r="U110" s="19">
        <v>26986.49688134552</v>
      </c>
    </row>
    <row r="111" spans="2:21" x14ac:dyDescent="0.25">
      <c r="B111" s="4">
        <v>44967</v>
      </c>
      <c r="C111" s="19">
        <v>26986.49688134552</v>
      </c>
      <c r="D111" s="42">
        <v>0</v>
      </c>
      <c r="E111" s="42">
        <v>0</v>
      </c>
      <c r="F111" s="42">
        <v>0</v>
      </c>
      <c r="G111" s="42">
        <v>0</v>
      </c>
      <c r="H111" s="42">
        <v>0</v>
      </c>
      <c r="I111" s="42">
        <v>0</v>
      </c>
      <c r="J111" s="42">
        <v>0</v>
      </c>
      <c r="K111" s="19">
        <v>0</v>
      </c>
      <c r="L111" s="42">
        <v>0</v>
      </c>
      <c r="M111" s="42">
        <v>0</v>
      </c>
      <c r="N111" s="42">
        <v>0</v>
      </c>
      <c r="O111" s="42">
        <v>0</v>
      </c>
      <c r="P111" s="41">
        <v>0</v>
      </c>
      <c r="Q111" s="42">
        <v>0</v>
      </c>
      <c r="R111" s="19">
        <v>0</v>
      </c>
      <c r="S111">
        <v>0</v>
      </c>
      <c r="T111" s="42">
        <v>0</v>
      </c>
      <c r="U111" s="19">
        <v>26986.49688134552</v>
      </c>
    </row>
    <row r="112" spans="2:21" x14ac:dyDescent="0.25">
      <c r="B112" s="4">
        <v>44970</v>
      </c>
      <c r="C112" s="19">
        <v>26986.49688134552</v>
      </c>
      <c r="D112" s="42">
        <v>0</v>
      </c>
      <c r="E112" s="42">
        <v>0</v>
      </c>
      <c r="F112" s="42">
        <v>0</v>
      </c>
      <c r="G112" s="42">
        <v>0</v>
      </c>
      <c r="H112" s="42">
        <v>0</v>
      </c>
      <c r="I112" s="42">
        <v>0</v>
      </c>
      <c r="J112" s="42">
        <v>0</v>
      </c>
      <c r="K112" s="19">
        <v>0</v>
      </c>
      <c r="L112" s="42">
        <v>0</v>
      </c>
      <c r="M112" s="42">
        <v>0</v>
      </c>
      <c r="N112" s="42">
        <v>0</v>
      </c>
      <c r="O112" s="42">
        <v>0</v>
      </c>
      <c r="P112" s="41">
        <v>0</v>
      </c>
      <c r="Q112" s="42">
        <v>0</v>
      </c>
      <c r="R112" s="19">
        <v>0</v>
      </c>
      <c r="S112">
        <v>0</v>
      </c>
      <c r="T112" s="42">
        <v>0</v>
      </c>
      <c r="U112" s="19">
        <v>26986.49688134552</v>
      </c>
    </row>
    <row r="113" spans="2:21" x14ac:dyDescent="0.25">
      <c r="B113" s="4">
        <v>44971</v>
      </c>
      <c r="C113" s="19">
        <v>26986.49688134552</v>
      </c>
      <c r="D113" s="42">
        <v>0</v>
      </c>
      <c r="E113" s="42">
        <v>0</v>
      </c>
      <c r="F113" s="42">
        <v>0</v>
      </c>
      <c r="G113" s="42">
        <v>0</v>
      </c>
      <c r="H113" s="42">
        <v>0</v>
      </c>
      <c r="I113" s="42">
        <v>0</v>
      </c>
      <c r="J113" s="42">
        <v>0</v>
      </c>
      <c r="K113" s="19">
        <v>0</v>
      </c>
      <c r="L113" s="42">
        <v>0</v>
      </c>
      <c r="M113" s="42">
        <v>0</v>
      </c>
      <c r="N113" s="42">
        <v>0</v>
      </c>
      <c r="O113" s="42">
        <v>0</v>
      </c>
      <c r="P113" s="41">
        <v>0</v>
      </c>
      <c r="Q113" s="42">
        <v>0</v>
      </c>
      <c r="R113" s="19">
        <v>0</v>
      </c>
      <c r="S113">
        <v>0</v>
      </c>
      <c r="T113" s="42">
        <v>0</v>
      </c>
      <c r="U113" s="19">
        <v>26986.49688134552</v>
      </c>
    </row>
    <row r="114" spans="2:21" x14ac:dyDescent="0.25">
      <c r="B114" s="4">
        <v>44972</v>
      </c>
      <c r="C114" s="19">
        <v>26986.49688134552</v>
      </c>
      <c r="D114" s="42">
        <v>0</v>
      </c>
      <c r="E114" s="42">
        <v>0</v>
      </c>
      <c r="F114" s="42">
        <v>0</v>
      </c>
      <c r="G114" s="42">
        <v>0</v>
      </c>
      <c r="H114" s="42">
        <v>0</v>
      </c>
      <c r="I114" s="42">
        <v>0</v>
      </c>
      <c r="J114" s="42">
        <v>0</v>
      </c>
      <c r="K114" s="19">
        <v>0</v>
      </c>
      <c r="L114" s="42">
        <v>0</v>
      </c>
      <c r="M114" s="42">
        <v>0</v>
      </c>
      <c r="N114" s="42">
        <v>0</v>
      </c>
      <c r="O114" s="42">
        <v>0</v>
      </c>
      <c r="P114" s="41">
        <v>0</v>
      </c>
      <c r="Q114" s="42">
        <v>0</v>
      </c>
      <c r="R114" s="19">
        <v>0</v>
      </c>
      <c r="S114">
        <v>0</v>
      </c>
      <c r="T114" s="42">
        <v>0</v>
      </c>
      <c r="U114" s="19">
        <v>26986.49688134552</v>
      </c>
    </row>
    <row r="115" spans="2:21" x14ac:dyDescent="0.25">
      <c r="B115" s="4">
        <v>44973</v>
      </c>
      <c r="C115" s="19">
        <v>26986.49688134552</v>
      </c>
      <c r="D115" s="42">
        <v>0</v>
      </c>
      <c r="E115" s="42">
        <v>0</v>
      </c>
      <c r="F115" s="42">
        <v>0</v>
      </c>
      <c r="G115" s="42">
        <v>0</v>
      </c>
      <c r="H115" s="42">
        <v>0</v>
      </c>
      <c r="I115" s="42">
        <v>0</v>
      </c>
      <c r="J115" s="42">
        <v>0</v>
      </c>
      <c r="K115" s="19">
        <v>0</v>
      </c>
      <c r="L115" s="42">
        <v>0</v>
      </c>
      <c r="M115" s="42">
        <v>0</v>
      </c>
      <c r="N115" s="42">
        <v>0</v>
      </c>
      <c r="O115" s="42">
        <v>0</v>
      </c>
      <c r="P115" s="41">
        <v>0</v>
      </c>
      <c r="Q115" s="42">
        <v>-196</v>
      </c>
      <c r="R115" s="19">
        <v>0</v>
      </c>
      <c r="S115">
        <v>0</v>
      </c>
      <c r="T115" s="42">
        <v>0</v>
      </c>
      <c r="U115" s="19">
        <v>26790.49688134552</v>
      </c>
    </row>
    <row r="116" spans="2:21" x14ac:dyDescent="0.25">
      <c r="B116" s="4">
        <v>44974</v>
      </c>
      <c r="C116" s="19">
        <v>26790.49688134552</v>
      </c>
      <c r="D116" s="42">
        <v>0</v>
      </c>
      <c r="E116" s="42">
        <v>0</v>
      </c>
      <c r="F116" s="42">
        <v>0</v>
      </c>
      <c r="G116" s="42">
        <v>0</v>
      </c>
      <c r="H116" s="42">
        <v>0</v>
      </c>
      <c r="I116" s="42">
        <v>0</v>
      </c>
      <c r="J116" s="42">
        <v>0</v>
      </c>
      <c r="K116" s="19">
        <v>0</v>
      </c>
      <c r="L116" s="42">
        <v>0</v>
      </c>
      <c r="M116" s="42">
        <v>0</v>
      </c>
      <c r="N116" s="42">
        <v>0</v>
      </c>
      <c r="O116" s="42">
        <v>0</v>
      </c>
      <c r="P116" s="41">
        <v>0</v>
      </c>
      <c r="Q116" s="42">
        <v>0</v>
      </c>
      <c r="R116" s="19">
        <v>0</v>
      </c>
      <c r="S116">
        <v>0</v>
      </c>
      <c r="T116" s="42">
        <v>0</v>
      </c>
      <c r="U116" s="19">
        <v>26790.49688134552</v>
      </c>
    </row>
    <row r="117" spans="2:21" x14ac:dyDescent="0.25">
      <c r="B117" s="4">
        <v>44979</v>
      </c>
      <c r="C117" s="19">
        <v>26790.49688134552</v>
      </c>
      <c r="D117" s="42">
        <v>0</v>
      </c>
      <c r="E117" s="42">
        <v>0</v>
      </c>
      <c r="F117" s="42">
        <v>0</v>
      </c>
      <c r="G117" s="42">
        <v>0</v>
      </c>
      <c r="H117" s="42">
        <v>0</v>
      </c>
      <c r="I117" s="42">
        <v>0</v>
      </c>
      <c r="J117" s="42">
        <v>0</v>
      </c>
      <c r="K117" s="19">
        <v>0</v>
      </c>
      <c r="L117" s="42">
        <v>0</v>
      </c>
      <c r="M117" s="42">
        <v>0</v>
      </c>
      <c r="N117" s="42">
        <v>0</v>
      </c>
      <c r="O117" s="42">
        <v>0</v>
      </c>
      <c r="P117" s="41">
        <v>0</v>
      </c>
      <c r="Q117" s="42">
        <v>0</v>
      </c>
      <c r="R117" s="19">
        <v>0</v>
      </c>
      <c r="S117">
        <v>0</v>
      </c>
      <c r="T117" s="42">
        <v>0</v>
      </c>
      <c r="U117" s="19">
        <v>26790.49688134552</v>
      </c>
    </row>
    <row r="118" spans="2:21" x14ac:dyDescent="0.25">
      <c r="B118" s="4">
        <v>44980</v>
      </c>
      <c r="C118" s="19">
        <v>26790.49688134552</v>
      </c>
      <c r="D118" s="42">
        <v>0</v>
      </c>
      <c r="E118" s="42">
        <v>0</v>
      </c>
      <c r="F118" s="42">
        <v>0</v>
      </c>
      <c r="G118" s="42">
        <v>0</v>
      </c>
      <c r="H118" s="42">
        <v>0</v>
      </c>
      <c r="I118" s="42">
        <v>0</v>
      </c>
      <c r="J118" s="42">
        <v>0</v>
      </c>
      <c r="K118" s="19">
        <v>0</v>
      </c>
      <c r="L118" s="42">
        <v>0</v>
      </c>
      <c r="M118" s="42">
        <v>0</v>
      </c>
      <c r="N118" s="42">
        <v>0</v>
      </c>
      <c r="O118" s="42">
        <v>0</v>
      </c>
      <c r="P118" s="41">
        <v>0</v>
      </c>
      <c r="Q118" s="42">
        <v>0</v>
      </c>
      <c r="R118" s="19">
        <v>0</v>
      </c>
      <c r="S118">
        <v>0</v>
      </c>
      <c r="T118" s="42">
        <v>0</v>
      </c>
      <c r="U118" s="19">
        <v>26790.49688134552</v>
      </c>
    </row>
    <row r="119" spans="2:21" x14ac:dyDescent="0.25">
      <c r="B119" s="4">
        <v>44981</v>
      </c>
      <c r="C119" s="19">
        <v>26790.49688134552</v>
      </c>
      <c r="D119" s="42">
        <v>0</v>
      </c>
      <c r="E119" s="42">
        <v>0</v>
      </c>
      <c r="F119" s="42">
        <v>0</v>
      </c>
      <c r="G119" s="42">
        <v>0</v>
      </c>
      <c r="H119" s="42">
        <v>0</v>
      </c>
      <c r="I119" s="42">
        <v>0</v>
      </c>
      <c r="J119" s="42">
        <v>0</v>
      </c>
      <c r="K119" s="19">
        <v>0</v>
      </c>
      <c r="L119" s="42">
        <v>0</v>
      </c>
      <c r="M119" s="42">
        <v>0</v>
      </c>
      <c r="N119" s="42">
        <v>0</v>
      </c>
      <c r="O119" s="42">
        <v>0</v>
      </c>
      <c r="P119" s="41">
        <v>0</v>
      </c>
      <c r="Q119" s="42">
        <v>0</v>
      </c>
      <c r="R119" s="19">
        <v>0</v>
      </c>
      <c r="S119">
        <v>0</v>
      </c>
      <c r="T119" s="42">
        <v>0</v>
      </c>
      <c r="U119" s="19">
        <v>26790.49688134552</v>
      </c>
    </row>
    <row r="120" spans="2:21" x14ac:dyDescent="0.25">
      <c r="B120" s="4">
        <v>44984</v>
      </c>
      <c r="C120" s="19">
        <v>26790.49688134552</v>
      </c>
      <c r="D120" s="42">
        <v>0</v>
      </c>
      <c r="E120" s="42">
        <v>0</v>
      </c>
      <c r="F120" s="42">
        <v>0</v>
      </c>
      <c r="G120" s="42">
        <v>0</v>
      </c>
      <c r="H120" s="42">
        <v>0</v>
      </c>
      <c r="I120" s="42">
        <v>0</v>
      </c>
      <c r="J120" s="42">
        <v>0</v>
      </c>
      <c r="K120" s="19">
        <v>0</v>
      </c>
      <c r="L120" s="42">
        <v>0</v>
      </c>
      <c r="M120" s="42">
        <v>0</v>
      </c>
      <c r="N120" s="42">
        <v>0</v>
      </c>
      <c r="O120" s="42">
        <v>0</v>
      </c>
      <c r="P120" s="41">
        <v>0</v>
      </c>
      <c r="Q120" s="42">
        <v>0</v>
      </c>
      <c r="R120" s="19">
        <v>0</v>
      </c>
      <c r="S120">
        <v>0</v>
      </c>
      <c r="T120" s="42">
        <v>0</v>
      </c>
      <c r="U120" s="19">
        <v>26790.49688134552</v>
      </c>
    </row>
    <row r="121" spans="2:21" x14ac:dyDescent="0.25">
      <c r="B121" s="4">
        <v>44985</v>
      </c>
      <c r="C121" s="19">
        <v>26790.49688134552</v>
      </c>
      <c r="D121" s="42">
        <v>0</v>
      </c>
      <c r="E121" s="42">
        <v>0</v>
      </c>
      <c r="F121" s="42">
        <v>0</v>
      </c>
      <c r="G121" s="42">
        <v>0</v>
      </c>
      <c r="H121" s="42">
        <v>0</v>
      </c>
      <c r="I121" s="42">
        <v>0</v>
      </c>
      <c r="J121" s="42">
        <v>0</v>
      </c>
      <c r="K121" s="19">
        <v>0</v>
      </c>
      <c r="L121" s="42">
        <v>0</v>
      </c>
      <c r="M121" s="42">
        <v>0</v>
      </c>
      <c r="N121" s="42">
        <v>0</v>
      </c>
      <c r="O121" s="42">
        <v>0</v>
      </c>
      <c r="P121" s="41">
        <v>0</v>
      </c>
      <c r="Q121" s="42">
        <v>0</v>
      </c>
      <c r="R121" s="19">
        <v>0</v>
      </c>
      <c r="S121">
        <v>0</v>
      </c>
      <c r="T121" s="42">
        <v>0</v>
      </c>
      <c r="U121" s="19">
        <v>26790.49688134552</v>
      </c>
    </row>
    <row r="122" spans="2:21" x14ac:dyDescent="0.25">
      <c r="B122" s="4">
        <v>44986</v>
      </c>
      <c r="C122" s="19">
        <v>26790.49688134552</v>
      </c>
      <c r="D122" s="42">
        <v>0</v>
      </c>
      <c r="E122" s="42">
        <v>0</v>
      </c>
      <c r="F122" s="42">
        <v>0</v>
      </c>
      <c r="G122" s="42">
        <v>0</v>
      </c>
      <c r="H122" s="42">
        <v>0</v>
      </c>
      <c r="I122" s="42">
        <v>0</v>
      </c>
      <c r="J122" s="42">
        <v>0</v>
      </c>
      <c r="K122" s="19">
        <v>0</v>
      </c>
      <c r="L122" s="42">
        <v>0</v>
      </c>
      <c r="M122" s="42">
        <v>0</v>
      </c>
      <c r="N122" s="42">
        <v>0</v>
      </c>
      <c r="O122" s="42">
        <v>0</v>
      </c>
      <c r="P122" s="41">
        <v>0</v>
      </c>
      <c r="Q122" s="42">
        <v>0</v>
      </c>
      <c r="R122" s="19">
        <v>0</v>
      </c>
      <c r="S122">
        <v>0</v>
      </c>
      <c r="T122" s="42">
        <v>0</v>
      </c>
      <c r="U122" s="19">
        <v>26790.49688134552</v>
      </c>
    </row>
    <row r="123" spans="2:21" x14ac:dyDescent="0.25">
      <c r="B123" s="4">
        <v>44987</v>
      </c>
      <c r="C123" s="19">
        <v>26790.49688134552</v>
      </c>
      <c r="D123" s="42">
        <v>0</v>
      </c>
      <c r="E123" s="42">
        <v>0</v>
      </c>
      <c r="F123" s="42">
        <v>0</v>
      </c>
      <c r="G123" s="42">
        <v>0</v>
      </c>
      <c r="H123" s="42">
        <v>0</v>
      </c>
      <c r="I123" s="42">
        <v>0</v>
      </c>
      <c r="J123" s="42">
        <v>0</v>
      </c>
      <c r="K123" s="19">
        <v>0</v>
      </c>
      <c r="L123" s="42">
        <v>0</v>
      </c>
      <c r="M123" s="42">
        <v>0</v>
      </c>
      <c r="N123" s="42">
        <v>0</v>
      </c>
      <c r="O123" s="42">
        <v>0</v>
      </c>
      <c r="P123" s="41">
        <v>0</v>
      </c>
      <c r="Q123" s="42">
        <v>0</v>
      </c>
      <c r="R123" s="19">
        <v>0</v>
      </c>
      <c r="S123">
        <v>0</v>
      </c>
      <c r="T123" s="42">
        <v>0</v>
      </c>
      <c r="U123" s="19">
        <v>26790.49688134552</v>
      </c>
    </row>
    <row r="124" spans="2:21" x14ac:dyDescent="0.25">
      <c r="B124" s="4">
        <v>44988</v>
      </c>
      <c r="C124" s="19">
        <v>26790.49688134552</v>
      </c>
      <c r="D124" s="42">
        <v>0</v>
      </c>
      <c r="E124" s="42">
        <v>0</v>
      </c>
      <c r="F124" s="42">
        <v>0</v>
      </c>
      <c r="G124" s="42">
        <v>0</v>
      </c>
      <c r="H124" s="42">
        <v>0</v>
      </c>
      <c r="I124" s="42">
        <v>0</v>
      </c>
      <c r="J124" s="42">
        <v>0</v>
      </c>
      <c r="K124" s="19">
        <v>0</v>
      </c>
      <c r="L124" s="42">
        <v>0</v>
      </c>
      <c r="M124" s="42">
        <v>0</v>
      </c>
      <c r="N124" s="42">
        <v>0</v>
      </c>
      <c r="O124" s="42">
        <v>0</v>
      </c>
      <c r="P124" s="41">
        <v>0</v>
      </c>
      <c r="Q124" s="42">
        <v>0</v>
      </c>
      <c r="R124" s="19">
        <v>0</v>
      </c>
      <c r="S124">
        <v>0</v>
      </c>
      <c r="T124" s="42">
        <v>0</v>
      </c>
      <c r="U124" s="19">
        <v>26790.49688134552</v>
      </c>
    </row>
    <row r="125" spans="2:21" x14ac:dyDescent="0.25">
      <c r="B125" s="4">
        <v>44991</v>
      </c>
      <c r="C125" s="19">
        <v>26790.49688134552</v>
      </c>
      <c r="D125" s="42">
        <v>0</v>
      </c>
      <c r="E125" s="42">
        <v>0</v>
      </c>
      <c r="F125" s="42">
        <v>0</v>
      </c>
      <c r="G125" s="42">
        <v>0</v>
      </c>
      <c r="H125" s="42">
        <v>0</v>
      </c>
      <c r="I125" s="42">
        <v>0</v>
      </c>
      <c r="J125" s="42">
        <v>0</v>
      </c>
      <c r="K125" s="19">
        <v>-200000</v>
      </c>
      <c r="L125" s="42">
        <v>0</v>
      </c>
      <c r="M125" s="42">
        <v>0</v>
      </c>
      <c r="N125" s="42">
        <v>0</v>
      </c>
      <c r="O125" s="42">
        <v>0</v>
      </c>
      <c r="P125" s="41">
        <v>0</v>
      </c>
      <c r="Q125" s="42">
        <v>0</v>
      </c>
      <c r="R125" s="19">
        <v>200000</v>
      </c>
      <c r="S125" s="42">
        <v>20000</v>
      </c>
      <c r="T125" s="42">
        <v>0</v>
      </c>
      <c r="U125" s="19">
        <v>46790.49688134552</v>
      </c>
    </row>
    <row r="126" spans="2:21" x14ac:dyDescent="0.25">
      <c r="B126" s="4">
        <v>44992</v>
      </c>
      <c r="C126" s="19">
        <v>46790.49688134552</v>
      </c>
      <c r="D126" s="42">
        <v>-18101.440648742231</v>
      </c>
      <c r="E126" s="42">
        <v>0</v>
      </c>
      <c r="F126" s="42">
        <v>0</v>
      </c>
      <c r="G126" s="42">
        <v>0</v>
      </c>
      <c r="H126" s="42">
        <v>0</v>
      </c>
      <c r="I126" s="42">
        <v>0</v>
      </c>
      <c r="J126" s="42">
        <v>0</v>
      </c>
      <c r="K126" s="19">
        <v>0</v>
      </c>
      <c r="L126" s="42">
        <v>0</v>
      </c>
      <c r="M126" s="42">
        <v>0</v>
      </c>
      <c r="N126" s="42">
        <v>0</v>
      </c>
      <c r="O126" s="42">
        <v>0</v>
      </c>
      <c r="P126" s="41">
        <v>0</v>
      </c>
      <c r="Q126" s="42">
        <v>0</v>
      </c>
      <c r="R126" s="19">
        <v>0</v>
      </c>
      <c r="S126">
        <v>0</v>
      </c>
      <c r="T126" s="42">
        <v>0</v>
      </c>
      <c r="U126" s="19">
        <v>28689.056232603289</v>
      </c>
    </row>
    <row r="127" spans="2:21" x14ac:dyDescent="0.25">
      <c r="B127" s="4">
        <v>44993</v>
      </c>
      <c r="C127" s="19">
        <v>28689.056232603289</v>
      </c>
      <c r="D127" s="42">
        <v>0</v>
      </c>
      <c r="E127" s="42">
        <v>0</v>
      </c>
      <c r="F127" s="42">
        <v>0</v>
      </c>
      <c r="G127" s="42">
        <v>0</v>
      </c>
      <c r="H127" s="42">
        <v>0</v>
      </c>
      <c r="I127" s="42">
        <v>0</v>
      </c>
      <c r="J127" s="42">
        <v>0</v>
      </c>
      <c r="K127" s="19">
        <v>0</v>
      </c>
      <c r="L127" s="42">
        <v>0</v>
      </c>
      <c r="M127" s="42">
        <v>0</v>
      </c>
      <c r="N127" s="42">
        <v>0</v>
      </c>
      <c r="O127" s="42">
        <v>0</v>
      </c>
      <c r="P127" s="41">
        <v>0</v>
      </c>
      <c r="Q127" s="42">
        <v>0</v>
      </c>
      <c r="R127" s="19">
        <v>0</v>
      </c>
      <c r="S127">
        <v>0</v>
      </c>
      <c r="T127" s="42">
        <v>0</v>
      </c>
      <c r="U127" s="19">
        <v>28689.056232603289</v>
      </c>
    </row>
    <row r="128" spans="2:21" x14ac:dyDescent="0.25">
      <c r="B128" s="4">
        <v>44994</v>
      </c>
      <c r="C128" s="19">
        <v>28689.056232603289</v>
      </c>
      <c r="D128" s="42">
        <v>0</v>
      </c>
      <c r="E128" s="42">
        <v>0</v>
      </c>
      <c r="F128" s="42">
        <v>0</v>
      </c>
      <c r="G128" s="42">
        <v>0</v>
      </c>
      <c r="H128" s="42">
        <v>0</v>
      </c>
      <c r="I128" s="42">
        <v>0</v>
      </c>
      <c r="J128" s="42">
        <v>0</v>
      </c>
      <c r="K128" s="19">
        <v>0</v>
      </c>
      <c r="L128" s="42">
        <v>0</v>
      </c>
      <c r="M128" s="42">
        <v>0</v>
      </c>
      <c r="N128" s="42">
        <v>0</v>
      </c>
      <c r="O128" s="42">
        <v>0</v>
      </c>
      <c r="P128" s="41">
        <v>0</v>
      </c>
      <c r="Q128" s="42">
        <v>0</v>
      </c>
      <c r="R128" s="19">
        <v>0</v>
      </c>
      <c r="S128">
        <v>0</v>
      </c>
      <c r="T128" s="42">
        <v>0</v>
      </c>
      <c r="U128" s="19">
        <v>28689.056232603289</v>
      </c>
    </row>
    <row r="129" spans="2:21" x14ac:dyDescent="0.25">
      <c r="B129" s="4">
        <v>44995</v>
      </c>
      <c r="C129" s="19">
        <v>28689.056232603289</v>
      </c>
      <c r="D129" s="42">
        <v>0</v>
      </c>
      <c r="E129" s="42">
        <v>0</v>
      </c>
      <c r="F129" s="42">
        <v>0</v>
      </c>
      <c r="G129" s="42">
        <v>0</v>
      </c>
      <c r="H129" s="42">
        <v>0</v>
      </c>
      <c r="I129" s="42">
        <v>0</v>
      </c>
      <c r="J129" s="42">
        <v>0</v>
      </c>
      <c r="K129" s="19">
        <v>0</v>
      </c>
      <c r="L129" s="42">
        <v>0</v>
      </c>
      <c r="M129" s="42">
        <v>0</v>
      </c>
      <c r="N129" s="42">
        <v>0</v>
      </c>
      <c r="O129" s="42">
        <v>0</v>
      </c>
      <c r="P129" s="41">
        <v>0</v>
      </c>
      <c r="Q129" s="42">
        <v>0</v>
      </c>
      <c r="R129" s="19">
        <v>0</v>
      </c>
      <c r="S129">
        <v>0</v>
      </c>
      <c r="T129" s="42">
        <v>0</v>
      </c>
      <c r="U129" s="19">
        <v>28689.056232603289</v>
      </c>
    </row>
    <row r="130" spans="2:21" x14ac:dyDescent="0.25">
      <c r="B130" s="4">
        <v>44998</v>
      </c>
      <c r="C130" s="19">
        <v>28689.056232603289</v>
      </c>
      <c r="D130" s="42">
        <v>0</v>
      </c>
      <c r="E130" s="42">
        <v>0</v>
      </c>
      <c r="F130" s="42">
        <v>0</v>
      </c>
      <c r="G130" s="42">
        <v>0</v>
      </c>
      <c r="H130" s="42">
        <v>0</v>
      </c>
      <c r="I130" s="42">
        <v>0</v>
      </c>
      <c r="J130" s="42">
        <v>0</v>
      </c>
      <c r="K130" s="19">
        <v>0</v>
      </c>
      <c r="L130" s="42">
        <v>0</v>
      </c>
      <c r="M130" s="42">
        <v>0</v>
      </c>
      <c r="N130" s="42">
        <v>0</v>
      </c>
      <c r="O130" s="42">
        <v>0</v>
      </c>
      <c r="P130" s="41">
        <v>0</v>
      </c>
      <c r="Q130" s="42">
        <v>0</v>
      </c>
      <c r="R130" s="19">
        <v>0</v>
      </c>
      <c r="S130">
        <v>0</v>
      </c>
      <c r="T130" s="42">
        <v>0</v>
      </c>
      <c r="U130" s="19">
        <v>28689.056232603289</v>
      </c>
    </row>
    <row r="131" spans="2:21" x14ac:dyDescent="0.25">
      <c r="B131" s="4">
        <v>44999</v>
      </c>
      <c r="C131" s="19">
        <v>28689.056232603289</v>
      </c>
      <c r="D131" s="42">
        <v>0</v>
      </c>
      <c r="E131" s="42">
        <v>0</v>
      </c>
      <c r="F131" s="42">
        <v>0</v>
      </c>
      <c r="G131" s="42">
        <v>0</v>
      </c>
      <c r="H131" s="42">
        <v>0</v>
      </c>
      <c r="I131" s="42">
        <v>0</v>
      </c>
      <c r="J131" s="42">
        <v>0</v>
      </c>
      <c r="K131" s="19">
        <v>0</v>
      </c>
      <c r="L131" s="42">
        <v>0</v>
      </c>
      <c r="M131" s="42">
        <v>0</v>
      </c>
      <c r="N131" s="42">
        <v>0</v>
      </c>
      <c r="O131" s="42">
        <v>0</v>
      </c>
      <c r="P131" s="41">
        <v>0</v>
      </c>
      <c r="Q131" s="42">
        <v>0</v>
      </c>
      <c r="R131" s="19">
        <v>0</v>
      </c>
      <c r="S131">
        <v>0</v>
      </c>
      <c r="T131" s="42">
        <v>0</v>
      </c>
      <c r="U131" s="19">
        <v>28689.056232603289</v>
      </c>
    </row>
    <row r="132" spans="2:21" x14ac:dyDescent="0.25">
      <c r="B132" s="4">
        <v>45000</v>
      </c>
      <c r="C132" s="19">
        <v>28689.056232603289</v>
      </c>
      <c r="D132" s="42">
        <v>0</v>
      </c>
      <c r="E132" s="42">
        <v>0</v>
      </c>
      <c r="F132" s="42">
        <v>0</v>
      </c>
      <c r="G132" s="42">
        <v>0</v>
      </c>
      <c r="H132" s="42">
        <v>0</v>
      </c>
      <c r="I132" s="42">
        <v>0</v>
      </c>
      <c r="J132" s="42">
        <v>0</v>
      </c>
      <c r="K132" s="19">
        <v>0</v>
      </c>
      <c r="L132" s="42">
        <v>0</v>
      </c>
      <c r="M132" s="42">
        <v>0</v>
      </c>
      <c r="N132" s="42">
        <v>0</v>
      </c>
      <c r="O132" s="42">
        <v>0</v>
      </c>
      <c r="P132" s="41">
        <v>0</v>
      </c>
      <c r="Q132" s="42">
        <v>0</v>
      </c>
      <c r="R132" s="19">
        <v>0</v>
      </c>
      <c r="S132">
        <v>0</v>
      </c>
      <c r="T132" s="42">
        <v>0</v>
      </c>
      <c r="U132" s="19">
        <v>28689.056232603289</v>
      </c>
    </row>
    <row r="133" spans="2:21" x14ac:dyDescent="0.25">
      <c r="B133" s="4">
        <v>45001</v>
      </c>
      <c r="C133" s="19">
        <v>28689.056232603289</v>
      </c>
      <c r="D133" s="42">
        <v>0</v>
      </c>
      <c r="E133" s="42">
        <v>0</v>
      </c>
      <c r="F133" s="42">
        <v>0</v>
      </c>
      <c r="G133" s="42">
        <v>0</v>
      </c>
      <c r="H133" s="42">
        <v>0</v>
      </c>
      <c r="I133" s="42">
        <v>0</v>
      </c>
      <c r="J133" s="42">
        <v>0</v>
      </c>
      <c r="K133" s="19">
        <v>0</v>
      </c>
      <c r="L133" s="42">
        <v>0</v>
      </c>
      <c r="M133" s="42">
        <v>0</v>
      </c>
      <c r="N133" s="42">
        <v>0</v>
      </c>
      <c r="O133" s="42">
        <v>0</v>
      </c>
      <c r="P133" s="41">
        <v>0</v>
      </c>
      <c r="Q133" s="42">
        <v>0</v>
      </c>
      <c r="R133" s="19">
        <v>0</v>
      </c>
      <c r="S133">
        <v>0</v>
      </c>
      <c r="T133" s="42">
        <v>0</v>
      </c>
      <c r="U133" s="19">
        <v>28689.056232603289</v>
      </c>
    </row>
    <row r="134" spans="2:21" x14ac:dyDescent="0.25">
      <c r="B134" s="4">
        <v>45002</v>
      </c>
      <c r="C134" s="19">
        <v>28689.056232603289</v>
      </c>
      <c r="D134" s="42">
        <v>0</v>
      </c>
      <c r="E134" s="42">
        <v>0</v>
      </c>
      <c r="F134" s="42">
        <v>0</v>
      </c>
      <c r="G134" s="42">
        <v>0</v>
      </c>
      <c r="H134" s="42">
        <v>0</v>
      </c>
      <c r="I134" s="42">
        <v>0</v>
      </c>
      <c r="J134" s="42">
        <v>0</v>
      </c>
      <c r="K134" s="19">
        <v>0</v>
      </c>
      <c r="L134" s="42">
        <v>0</v>
      </c>
      <c r="M134" s="42">
        <v>0</v>
      </c>
      <c r="N134" s="42">
        <v>0</v>
      </c>
      <c r="O134" s="42">
        <v>0</v>
      </c>
      <c r="P134" s="41">
        <v>0</v>
      </c>
      <c r="Q134" s="42">
        <v>0</v>
      </c>
      <c r="R134" s="19">
        <v>0</v>
      </c>
      <c r="S134">
        <v>0</v>
      </c>
      <c r="T134" s="42">
        <v>0</v>
      </c>
      <c r="U134" s="19">
        <v>28689.056232603289</v>
      </c>
    </row>
    <row r="135" spans="2:21" x14ac:dyDescent="0.25">
      <c r="B135" s="4">
        <v>45005</v>
      </c>
      <c r="C135" s="19">
        <v>28689.056232603289</v>
      </c>
      <c r="D135" s="42">
        <v>0</v>
      </c>
      <c r="E135" s="42">
        <v>0</v>
      </c>
      <c r="F135" s="42">
        <v>0</v>
      </c>
      <c r="G135" s="42">
        <v>0</v>
      </c>
      <c r="H135" s="42">
        <v>0</v>
      </c>
      <c r="I135" s="42">
        <v>0</v>
      </c>
      <c r="J135" s="42">
        <v>0</v>
      </c>
      <c r="K135" s="19">
        <v>0</v>
      </c>
      <c r="L135" s="42">
        <v>0</v>
      </c>
      <c r="M135" s="42">
        <v>0</v>
      </c>
      <c r="N135" s="42">
        <v>0</v>
      </c>
      <c r="O135" s="42">
        <v>0</v>
      </c>
      <c r="P135" s="41">
        <v>0</v>
      </c>
      <c r="Q135" s="42">
        <v>0</v>
      </c>
      <c r="R135" s="19">
        <v>0</v>
      </c>
      <c r="S135">
        <v>0</v>
      </c>
      <c r="T135" s="42">
        <v>0</v>
      </c>
      <c r="U135" s="19">
        <v>28689.056232603289</v>
      </c>
    </row>
    <row r="136" spans="2:21" x14ac:dyDescent="0.25">
      <c r="B136" s="4">
        <v>45006</v>
      </c>
      <c r="C136" s="19">
        <v>28689.056232603289</v>
      </c>
      <c r="D136" s="42">
        <v>0</v>
      </c>
      <c r="E136" s="42">
        <v>0</v>
      </c>
      <c r="F136" s="42">
        <v>0</v>
      </c>
      <c r="G136" s="42">
        <v>0</v>
      </c>
      <c r="H136" s="42">
        <v>0</v>
      </c>
      <c r="I136" s="42">
        <v>0</v>
      </c>
      <c r="J136" s="42">
        <v>0</v>
      </c>
      <c r="K136" s="19">
        <v>0</v>
      </c>
      <c r="L136" s="42">
        <v>0</v>
      </c>
      <c r="M136" s="42">
        <v>0</v>
      </c>
      <c r="N136" s="42">
        <v>0</v>
      </c>
      <c r="O136" s="42">
        <v>0</v>
      </c>
      <c r="P136" s="41">
        <v>0</v>
      </c>
      <c r="Q136" s="42">
        <v>0</v>
      </c>
      <c r="R136" s="19">
        <v>0</v>
      </c>
      <c r="S136">
        <v>0</v>
      </c>
      <c r="T136" s="42">
        <v>0</v>
      </c>
      <c r="U136" s="19">
        <v>28689.056232603289</v>
      </c>
    </row>
    <row r="137" spans="2:21" x14ac:dyDescent="0.25">
      <c r="B137" s="4">
        <v>45007</v>
      </c>
      <c r="C137" s="19">
        <v>28689.056232603289</v>
      </c>
      <c r="D137" s="42">
        <v>0</v>
      </c>
      <c r="E137" s="42">
        <v>0</v>
      </c>
      <c r="F137" s="42">
        <v>0</v>
      </c>
      <c r="G137" s="42">
        <v>0</v>
      </c>
      <c r="H137" s="42">
        <v>0</v>
      </c>
      <c r="I137" s="42">
        <v>0</v>
      </c>
      <c r="J137" s="42">
        <v>0</v>
      </c>
      <c r="K137" s="19">
        <v>0</v>
      </c>
      <c r="L137" s="42">
        <v>0</v>
      </c>
      <c r="M137" s="42">
        <v>0</v>
      </c>
      <c r="N137" s="42">
        <v>0</v>
      </c>
      <c r="O137" s="42">
        <v>0</v>
      </c>
      <c r="P137" s="41">
        <v>0</v>
      </c>
      <c r="Q137" s="42">
        <v>0</v>
      </c>
      <c r="R137" s="19">
        <v>0</v>
      </c>
      <c r="S137">
        <v>0</v>
      </c>
      <c r="T137" s="42">
        <v>0</v>
      </c>
      <c r="U137" s="19">
        <v>28689.056232603289</v>
      </c>
    </row>
    <row r="138" spans="2:21" x14ac:dyDescent="0.25">
      <c r="B138" s="4">
        <v>45008</v>
      </c>
      <c r="C138" s="19">
        <v>28689.056232603289</v>
      </c>
      <c r="D138" s="42">
        <v>0</v>
      </c>
      <c r="E138" s="42">
        <v>0</v>
      </c>
      <c r="F138" s="42">
        <v>0</v>
      </c>
      <c r="G138" s="42">
        <v>0</v>
      </c>
      <c r="H138" s="42">
        <v>0</v>
      </c>
      <c r="I138" s="42">
        <v>0</v>
      </c>
      <c r="J138" s="42">
        <v>0</v>
      </c>
      <c r="K138" s="19">
        <v>0</v>
      </c>
      <c r="L138" s="42">
        <v>0</v>
      </c>
      <c r="M138" s="42">
        <v>0</v>
      </c>
      <c r="N138" s="42">
        <v>0</v>
      </c>
      <c r="O138" s="42">
        <v>0</v>
      </c>
      <c r="P138" s="41">
        <v>0</v>
      </c>
      <c r="Q138" s="42">
        <v>0</v>
      </c>
      <c r="R138" s="19">
        <v>0</v>
      </c>
      <c r="S138">
        <v>0</v>
      </c>
      <c r="T138" s="42">
        <v>0</v>
      </c>
      <c r="U138" s="19">
        <v>28689.056232603289</v>
      </c>
    </row>
    <row r="139" spans="2:21" x14ac:dyDescent="0.25">
      <c r="B139" s="4">
        <v>45009</v>
      </c>
      <c r="C139" s="19">
        <v>28689.056232603289</v>
      </c>
      <c r="D139" s="42">
        <v>0</v>
      </c>
      <c r="E139" s="42">
        <v>0</v>
      </c>
      <c r="F139" s="42">
        <v>0</v>
      </c>
      <c r="G139" s="42">
        <v>0</v>
      </c>
      <c r="H139" s="42">
        <v>0</v>
      </c>
      <c r="I139" s="42">
        <v>0</v>
      </c>
      <c r="J139" s="42">
        <v>0</v>
      </c>
      <c r="K139" s="19">
        <v>0</v>
      </c>
      <c r="L139" s="42">
        <v>0</v>
      </c>
      <c r="M139" s="42">
        <v>0</v>
      </c>
      <c r="N139" s="42">
        <v>0</v>
      </c>
      <c r="O139" s="42">
        <v>0</v>
      </c>
      <c r="P139" s="41">
        <v>0</v>
      </c>
      <c r="Q139" s="42">
        <v>0</v>
      </c>
      <c r="R139" s="19">
        <v>0</v>
      </c>
      <c r="S139">
        <v>0</v>
      </c>
      <c r="T139" s="42">
        <v>0</v>
      </c>
      <c r="U139" s="19">
        <v>28689.056232603289</v>
      </c>
    </row>
    <row r="140" spans="2:21" x14ac:dyDescent="0.25">
      <c r="B140" s="4">
        <v>45012</v>
      </c>
      <c r="C140" s="19">
        <v>28689.056232603289</v>
      </c>
      <c r="D140" s="42">
        <v>0</v>
      </c>
      <c r="E140" s="42">
        <v>0</v>
      </c>
      <c r="F140" s="42">
        <v>0</v>
      </c>
      <c r="G140" s="42">
        <v>0</v>
      </c>
      <c r="H140" s="42">
        <v>0</v>
      </c>
      <c r="I140" s="42">
        <v>0</v>
      </c>
      <c r="J140" s="42">
        <v>0</v>
      </c>
      <c r="K140" s="19">
        <v>0</v>
      </c>
      <c r="L140" s="42">
        <v>0</v>
      </c>
      <c r="M140" s="42">
        <v>0</v>
      </c>
      <c r="N140" s="42">
        <v>0</v>
      </c>
      <c r="O140" s="42">
        <v>0</v>
      </c>
      <c r="P140" s="41">
        <v>0</v>
      </c>
      <c r="Q140" s="42">
        <v>0</v>
      </c>
      <c r="R140" s="19">
        <v>0</v>
      </c>
      <c r="S140">
        <v>0</v>
      </c>
      <c r="T140" s="42">
        <v>0</v>
      </c>
      <c r="U140" s="19">
        <v>28689.056232603289</v>
      </c>
    </row>
    <row r="141" spans="2:21" x14ac:dyDescent="0.25">
      <c r="B141" s="4">
        <v>45013</v>
      </c>
      <c r="C141" s="19">
        <v>28689.056232603289</v>
      </c>
      <c r="D141" s="42">
        <v>0</v>
      </c>
      <c r="E141" s="42">
        <v>0</v>
      </c>
      <c r="F141" s="42">
        <v>0</v>
      </c>
      <c r="G141" s="42">
        <v>0</v>
      </c>
      <c r="H141" s="42">
        <v>0</v>
      </c>
      <c r="I141" s="42">
        <v>0</v>
      </c>
      <c r="J141" s="42">
        <v>0</v>
      </c>
      <c r="K141" s="19">
        <v>0</v>
      </c>
      <c r="L141" s="42">
        <v>0</v>
      </c>
      <c r="M141" s="42">
        <v>0</v>
      </c>
      <c r="N141" s="42">
        <v>0</v>
      </c>
      <c r="O141" s="42">
        <v>0</v>
      </c>
      <c r="P141" s="41">
        <v>0</v>
      </c>
      <c r="Q141" s="42">
        <v>0</v>
      </c>
      <c r="R141" s="19">
        <v>0</v>
      </c>
      <c r="S141">
        <v>0</v>
      </c>
      <c r="T141" s="42">
        <v>0</v>
      </c>
      <c r="U141" s="19">
        <v>28689.056232603289</v>
      </c>
    </row>
    <row r="142" spans="2:21" x14ac:dyDescent="0.25">
      <c r="B142" s="4">
        <v>45014</v>
      </c>
      <c r="C142" s="19">
        <v>28689.056232603289</v>
      </c>
      <c r="D142" s="42">
        <v>0</v>
      </c>
      <c r="E142" s="42">
        <v>0</v>
      </c>
      <c r="F142" s="42">
        <v>0</v>
      </c>
      <c r="G142" s="42">
        <v>0</v>
      </c>
      <c r="H142" s="42">
        <v>0</v>
      </c>
      <c r="I142" s="42">
        <v>0</v>
      </c>
      <c r="J142" s="42">
        <v>0</v>
      </c>
      <c r="K142" s="19">
        <v>0</v>
      </c>
      <c r="L142" s="42">
        <v>0</v>
      </c>
      <c r="M142" s="42">
        <v>0</v>
      </c>
      <c r="N142" s="42">
        <v>0</v>
      </c>
      <c r="O142" s="42">
        <v>0</v>
      </c>
      <c r="P142" s="41">
        <v>0</v>
      </c>
      <c r="Q142" s="42">
        <v>0</v>
      </c>
      <c r="R142" s="19">
        <v>0</v>
      </c>
      <c r="S142">
        <v>0</v>
      </c>
      <c r="T142" s="42">
        <v>0</v>
      </c>
      <c r="U142" s="19">
        <v>28689.056232603289</v>
      </c>
    </row>
    <row r="143" spans="2:21" x14ac:dyDescent="0.25">
      <c r="B143" s="4">
        <v>45015</v>
      </c>
      <c r="C143" s="19">
        <v>28689.056232603289</v>
      </c>
      <c r="D143" s="42">
        <v>0</v>
      </c>
      <c r="E143" s="42">
        <v>0</v>
      </c>
      <c r="F143" s="42">
        <v>0</v>
      </c>
      <c r="G143" s="42">
        <v>0</v>
      </c>
      <c r="H143" s="42">
        <v>0</v>
      </c>
      <c r="I143" s="42">
        <v>0</v>
      </c>
      <c r="J143" s="42">
        <v>0</v>
      </c>
      <c r="K143" s="19">
        <v>0</v>
      </c>
      <c r="L143" s="42">
        <v>0</v>
      </c>
      <c r="M143" s="42">
        <v>0</v>
      </c>
      <c r="N143" s="42">
        <v>0</v>
      </c>
      <c r="O143" s="42">
        <v>0</v>
      </c>
      <c r="P143" s="41">
        <v>0</v>
      </c>
      <c r="Q143" s="42">
        <v>0</v>
      </c>
      <c r="R143" s="19">
        <v>0</v>
      </c>
      <c r="S143">
        <v>0</v>
      </c>
      <c r="T143" s="42">
        <v>0</v>
      </c>
      <c r="U143" s="19">
        <v>28689.056232603289</v>
      </c>
    </row>
    <row r="144" spans="2:21" x14ac:dyDescent="0.25">
      <c r="B144" s="4">
        <v>45016</v>
      </c>
      <c r="C144" s="19">
        <v>28689.056232603289</v>
      </c>
      <c r="D144" s="42">
        <v>0</v>
      </c>
      <c r="E144" s="42">
        <v>0</v>
      </c>
      <c r="F144" s="42">
        <v>0</v>
      </c>
      <c r="G144" s="42">
        <v>0</v>
      </c>
      <c r="H144" s="42">
        <v>0</v>
      </c>
      <c r="I144" s="42">
        <v>0</v>
      </c>
      <c r="J144" s="42">
        <v>0</v>
      </c>
      <c r="K144" s="19">
        <v>0</v>
      </c>
      <c r="L144" s="42">
        <v>0</v>
      </c>
      <c r="M144" s="42">
        <v>0</v>
      </c>
      <c r="N144" s="42">
        <v>0</v>
      </c>
      <c r="O144" s="42">
        <v>0</v>
      </c>
      <c r="P144" s="41">
        <v>0</v>
      </c>
      <c r="Q144" s="42">
        <v>0</v>
      </c>
      <c r="R144" s="19">
        <v>0</v>
      </c>
      <c r="S144">
        <v>0</v>
      </c>
      <c r="T144" s="42">
        <v>0</v>
      </c>
      <c r="U144" s="19">
        <v>28689.056232603289</v>
      </c>
    </row>
    <row r="145" spans="2:22" x14ac:dyDescent="0.25">
      <c r="B145" s="4">
        <v>45019</v>
      </c>
      <c r="C145" s="19">
        <v>28689.056232603289</v>
      </c>
      <c r="D145" s="42">
        <v>0</v>
      </c>
      <c r="E145" s="42">
        <v>0</v>
      </c>
      <c r="F145" s="42">
        <v>0</v>
      </c>
      <c r="G145" s="42">
        <v>0</v>
      </c>
      <c r="H145" s="42">
        <v>0</v>
      </c>
      <c r="I145" s="42">
        <v>0</v>
      </c>
      <c r="J145" s="42">
        <v>0</v>
      </c>
      <c r="K145" s="19">
        <v>0</v>
      </c>
      <c r="L145" s="42">
        <v>0</v>
      </c>
      <c r="M145" s="42">
        <v>0</v>
      </c>
      <c r="N145" s="42">
        <v>0</v>
      </c>
      <c r="O145" s="42">
        <v>0</v>
      </c>
      <c r="P145" s="41">
        <v>0</v>
      </c>
      <c r="Q145" s="42">
        <v>0</v>
      </c>
      <c r="R145" s="19">
        <v>0</v>
      </c>
      <c r="S145">
        <v>0</v>
      </c>
      <c r="T145" s="42">
        <v>0</v>
      </c>
      <c r="U145" s="19">
        <v>28689.056232603289</v>
      </c>
    </row>
    <row r="146" spans="2:22" x14ac:dyDescent="0.25">
      <c r="B146" s="4">
        <v>45020</v>
      </c>
      <c r="C146" s="19">
        <v>28689.056232603289</v>
      </c>
      <c r="D146" s="42">
        <v>0</v>
      </c>
      <c r="E146" s="42">
        <v>0</v>
      </c>
      <c r="F146" s="42">
        <v>0</v>
      </c>
      <c r="G146" s="42">
        <v>0</v>
      </c>
      <c r="H146" s="42">
        <v>0</v>
      </c>
      <c r="I146" s="42">
        <v>0</v>
      </c>
      <c r="J146" s="42">
        <v>0</v>
      </c>
      <c r="K146" s="19">
        <v>0</v>
      </c>
      <c r="L146" s="42">
        <v>0</v>
      </c>
      <c r="M146" s="42">
        <v>0</v>
      </c>
      <c r="N146" s="42">
        <v>0</v>
      </c>
      <c r="O146" s="42">
        <v>0</v>
      </c>
      <c r="P146" s="41">
        <v>0</v>
      </c>
      <c r="Q146" s="42">
        <v>0</v>
      </c>
      <c r="R146" s="19">
        <v>0</v>
      </c>
      <c r="S146">
        <v>0</v>
      </c>
      <c r="T146" s="42">
        <v>0</v>
      </c>
      <c r="U146" s="19">
        <v>28689.056232603289</v>
      </c>
    </row>
    <row r="147" spans="2:22" x14ac:dyDescent="0.25">
      <c r="B147" s="4">
        <v>45021</v>
      </c>
      <c r="C147" s="19">
        <v>28689.056232603289</v>
      </c>
      <c r="D147" s="42">
        <v>0</v>
      </c>
      <c r="E147" s="42">
        <v>0</v>
      </c>
      <c r="F147" s="42">
        <v>0</v>
      </c>
      <c r="G147" s="42">
        <v>0</v>
      </c>
      <c r="H147" s="42">
        <v>0</v>
      </c>
      <c r="I147" s="42">
        <v>0</v>
      </c>
      <c r="J147" s="42">
        <v>0</v>
      </c>
      <c r="K147" s="19">
        <v>0</v>
      </c>
      <c r="L147" s="42">
        <v>0</v>
      </c>
      <c r="M147" s="42">
        <v>0</v>
      </c>
      <c r="N147" s="42">
        <v>0</v>
      </c>
      <c r="O147" s="42">
        <v>0</v>
      </c>
      <c r="P147" s="41">
        <v>0</v>
      </c>
      <c r="Q147" s="42">
        <v>0</v>
      </c>
      <c r="R147" s="19">
        <v>0</v>
      </c>
      <c r="S147">
        <v>0</v>
      </c>
      <c r="T147" s="42">
        <v>0</v>
      </c>
      <c r="U147" s="19">
        <v>28689.056232603289</v>
      </c>
    </row>
    <row r="148" spans="2:22" x14ac:dyDescent="0.25">
      <c r="B148" s="4">
        <v>45022</v>
      </c>
      <c r="C148" s="19">
        <v>28689.056232603289</v>
      </c>
      <c r="D148" s="42">
        <v>0</v>
      </c>
      <c r="E148" s="42">
        <v>0</v>
      </c>
      <c r="F148" s="42">
        <v>0</v>
      </c>
      <c r="G148" s="42">
        <v>0</v>
      </c>
      <c r="H148" s="42">
        <v>0</v>
      </c>
      <c r="I148" s="42">
        <v>0</v>
      </c>
      <c r="J148" s="42">
        <v>0</v>
      </c>
      <c r="K148" s="19">
        <v>0</v>
      </c>
      <c r="L148" s="42">
        <v>0</v>
      </c>
      <c r="M148" s="42">
        <v>0</v>
      </c>
      <c r="N148" s="42">
        <v>0</v>
      </c>
      <c r="O148" s="42">
        <v>0</v>
      </c>
      <c r="P148" s="41">
        <v>0</v>
      </c>
      <c r="Q148" s="42">
        <v>0</v>
      </c>
      <c r="R148" s="19">
        <v>0</v>
      </c>
      <c r="S148" s="42">
        <v>24000</v>
      </c>
      <c r="T148" s="42">
        <v>0</v>
      </c>
      <c r="U148" s="19">
        <v>52689.056232603289</v>
      </c>
    </row>
    <row r="149" spans="2:22" x14ac:dyDescent="0.25">
      <c r="B149" s="4">
        <v>45026</v>
      </c>
      <c r="C149" s="19">
        <v>52689.056232603289</v>
      </c>
      <c r="D149" s="42">
        <v>-22018.65</v>
      </c>
      <c r="E149" s="42">
        <v>0</v>
      </c>
      <c r="F149" s="42">
        <v>0</v>
      </c>
      <c r="G149" s="42">
        <v>0</v>
      </c>
      <c r="H149" s="42">
        <v>0</v>
      </c>
      <c r="I149" s="42">
        <v>0</v>
      </c>
      <c r="J149" s="42">
        <v>0</v>
      </c>
      <c r="K149" s="19">
        <v>0</v>
      </c>
      <c r="L149" s="42">
        <v>0</v>
      </c>
      <c r="M149" s="42">
        <v>0</v>
      </c>
      <c r="N149" s="42">
        <v>0</v>
      </c>
      <c r="O149" s="42">
        <v>0</v>
      </c>
      <c r="P149" s="41">
        <v>0</v>
      </c>
      <c r="Q149" s="42">
        <v>0</v>
      </c>
      <c r="R149" s="19">
        <v>0</v>
      </c>
      <c r="S149">
        <v>0</v>
      </c>
      <c r="T149" s="42">
        <v>0</v>
      </c>
      <c r="U149" s="19">
        <v>30670.406232603287</v>
      </c>
      <c r="V149" s="47" t="s">
        <v>153</v>
      </c>
    </row>
    <row r="150" spans="2:22" x14ac:dyDescent="0.25">
      <c r="B150" s="4">
        <v>45027</v>
      </c>
      <c r="C150" s="19">
        <v>30670.406232603287</v>
      </c>
      <c r="D150" s="42">
        <v>0</v>
      </c>
      <c r="E150" s="42">
        <v>0</v>
      </c>
      <c r="F150" s="42">
        <v>0</v>
      </c>
      <c r="G150" s="42">
        <v>0</v>
      </c>
      <c r="H150" s="42">
        <v>0</v>
      </c>
      <c r="I150" s="42">
        <v>0</v>
      </c>
      <c r="J150" s="42">
        <v>0</v>
      </c>
      <c r="K150" s="19">
        <v>0</v>
      </c>
      <c r="L150" s="42">
        <v>0</v>
      </c>
      <c r="M150" s="42">
        <v>0</v>
      </c>
      <c r="N150" s="42">
        <v>0</v>
      </c>
      <c r="O150" s="42">
        <v>0</v>
      </c>
      <c r="P150" s="41">
        <v>0</v>
      </c>
      <c r="Q150" s="42">
        <v>0</v>
      </c>
      <c r="R150" s="19">
        <v>0</v>
      </c>
      <c r="S150">
        <v>0</v>
      </c>
      <c r="T150" s="42">
        <v>0</v>
      </c>
      <c r="U150" s="19">
        <v>30670.406232603287</v>
      </c>
    </row>
    <row r="151" spans="2:22" x14ac:dyDescent="0.25">
      <c r="B151" s="4">
        <v>45028</v>
      </c>
      <c r="C151" s="19">
        <v>30670.406232603287</v>
      </c>
      <c r="D151" s="42">
        <v>0</v>
      </c>
      <c r="E151" s="42">
        <v>0</v>
      </c>
      <c r="F151" s="42">
        <v>0</v>
      </c>
      <c r="G151" s="42">
        <v>0</v>
      </c>
      <c r="H151" s="42">
        <v>0</v>
      </c>
      <c r="I151" s="42">
        <v>0</v>
      </c>
      <c r="J151" s="42">
        <v>0</v>
      </c>
      <c r="K151" s="19">
        <v>0</v>
      </c>
      <c r="L151" s="42">
        <v>0</v>
      </c>
      <c r="M151" s="42">
        <v>0</v>
      </c>
      <c r="N151" s="42">
        <v>0</v>
      </c>
      <c r="O151" s="42">
        <v>0</v>
      </c>
      <c r="P151" s="41">
        <v>0</v>
      </c>
      <c r="Q151" s="42">
        <v>-196</v>
      </c>
      <c r="R151" s="19">
        <v>0</v>
      </c>
      <c r="S151">
        <v>0</v>
      </c>
      <c r="T151" s="42">
        <v>0</v>
      </c>
      <c r="U151" s="19">
        <v>30474.406232603287</v>
      </c>
    </row>
    <row r="152" spans="2:22" x14ac:dyDescent="0.25">
      <c r="B152" s="4">
        <v>45029</v>
      </c>
      <c r="C152" s="19">
        <v>30474.406232603287</v>
      </c>
      <c r="D152" s="42">
        <v>0</v>
      </c>
      <c r="E152" s="42">
        <v>0</v>
      </c>
      <c r="F152" s="42">
        <v>0</v>
      </c>
      <c r="G152" s="42">
        <v>0</v>
      </c>
      <c r="H152" s="42">
        <v>0</v>
      </c>
      <c r="I152" s="42">
        <v>0</v>
      </c>
      <c r="J152" s="42">
        <v>0</v>
      </c>
      <c r="K152" s="19">
        <v>0</v>
      </c>
      <c r="L152" s="42">
        <v>0</v>
      </c>
      <c r="M152" s="42">
        <v>0</v>
      </c>
      <c r="N152" s="42">
        <v>0</v>
      </c>
      <c r="O152" s="42">
        <v>0</v>
      </c>
      <c r="P152" s="41">
        <v>0</v>
      </c>
      <c r="Q152" s="42">
        <v>0</v>
      </c>
      <c r="R152" s="19">
        <v>0</v>
      </c>
      <c r="S152">
        <v>0</v>
      </c>
      <c r="T152" s="42">
        <v>0</v>
      </c>
      <c r="U152" s="19">
        <v>30474.406232603287</v>
      </c>
    </row>
    <row r="153" spans="2:22" x14ac:dyDescent="0.25">
      <c r="B153" s="4">
        <v>45030</v>
      </c>
      <c r="C153" s="19">
        <v>30474.406232603287</v>
      </c>
      <c r="D153" s="42">
        <v>0</v>
      </c>
      <c r="E153" s="42">
        <v>0</v>
      </c>
      <c r="F153" s="42">
        <v>0</v>
      </c>
      <c r="G153" s="42">
        <v>0</v>
      </c>
      <c r="H153" s="42">
        <v>0</v>
      </c>
      <c r="I153" s="42">
        <v>0</v>
      </c>
      <c r="J153" s="42">
        <v>0</v>
      </c>
      <c r="K153" s="19">
        <v>0</v>
      </c>
      <c r="L153" s="42">
        <v>0</v>
      </c>
      <c r="M153" s="42">
        <v>0</v>
      </c>
      <c r="N153" s="42">
        <v>0</v>
      </c>
      <c r="O153" s="42">
        <v>0</v>
      </c>
      <c r="P153" s="41">
        <v>0</v>
      </c>
      <c r="Q153" s="42">
        <v>0</v>
      </c>
      <c r="R153" s="19">
        <v>0</v>
      </c>
      <c r="S153">
        <v>0</v>
      </c>
      <c r="T153" s="42">
        <v>0</v>
      </c>
      <c r="U153" s="19">
        <v>30474.406232603287</v>
      </c>
    </row>
    <row r="154" spans="2:22" x14ac:dyDescent="0.25">
      <c r="B154" s="4">
        <v>45033</v>
      </c>
      <c r="C154" s="19">
        <v>30474.406232603287</v>
      </c>
      <c r="D154" s="42">
        <v>0</v>
      </c>
      <c r="E154" s="42">
        <v>0</v>
      </c>
      <c r="F154" s="42">
        <v>0</v>
      </c>
      <c r="G154" s="42">
        <v>0</v>
      </c>
      <c r="H154" s="42">
        <v>0</v>
      </c>
      <c r="I154" s="42">
        <v>0</v>
      </c>
      <c r="J154" s="42">
        <v>0</v>
      </c>
      <c r="K154" s="19">
        <v>0</v>
      </c>
      <c r="L154" s="42">
        <v>0</v>
      </c>
      <c r="M154" s="42">
        <v>0</v>
      </c>
      <c r="N154" s="42">
        <v>0</v>
      </c>
      <c r="O154" s="42">
        <v>0</v>
      </c>
      <c r="P154" s="41">
        <v>0</v>
      </c>
      <c r="Q154" s="42">
        <v>-587.17999999999995</v>
      </c>
      <c r="R154" s="19">
        <v>0</v>
      </c>
      <c r="S154">
        <v>0</v>
      </c>
      <c r="T154" s="42">
        <v>0</v>
      </c>
      <c r="U154" s="19">
        <v>29887.226232603287</v>
      </c>
    </row>
    <row r="155" spans="2:22" x14ac:dyDescent="0.25">
      <c r="B155" s="4">
        <v>45034</v>
      </c>
      <c r="C155" s="19">
        <v>29887.226232603287</v>
      </c>
      <c r="D155" s="42">
        <v>0</v>
      </c>
      <c r="E155" s="42">
        <v>0</v>
      </c>
      <c r="F155" s="42">
        <v>0</v>
      </c>
      <c r="G155" s="42">
        <v>0</v>
      </c>
      <c r="H155" s="42">
        <v>0</v>
      </c>
      <c r="I155" s="42">
        <v>0</v>
      </c>
      <c r="J155" s="42">
        <v>0</v>
      </c>
      <c r="K155" s="19">
        <v>0</v>
      </c>
      <c r="L155" s="42">
        <v>0</v>
      </c>
      <c r="M155" s="42">
        <v>0</v>
      </c>
      <c r="N155" s="42">
        <v>0</v>
      </c>
      <c r="O155" s="42">
        <v>0</v>
      </c>
      <c r="P155" s="41">
        <v>0</v>
      </c>
      <c r="Q155" s="42">
        <v>0</v>
      </c>
      <c r="R155" s="19">
        <v>0</v>
      </c>
      <c r="S155">
        <v>0</v>
      </c>
      <c r="T155" s="42">
        <v>0</v>
      </c>
      <c r="U155" s="19">
        <v>29887.226232603287</v>
      </c>
    </row>
    <row r="156" spans="2:22" x14ac:dyDescent="0.25">
      <c r="B156" s="4">
        <v>45035</v>
      </c>
      <c r="C156" s="19">
        <v>29887.226232603287</v>
      </c>
      <c r="D156" s="42">
        <v>0</v>
      </c>
      <c r="E156" s="42">
        <v>0</v>
      </c>
      <c r="F156" s="42">
        <v>0</v>
      </c>
      <c r="G156" s="42">
        <v>0</v>
      </c>
      <c r="H156" s="42">
        <v>0</v>
      </c>
      <c r="I156" s="42">
        <v>0</v>
      </c>
      <c r="J156" s="42">
        <v>0</v>
      </c>
      <c r="K156" s="19">
        <v>0</v>
      </c>
      <c r="L156" s="42">
        <v>0</v>
      </c>
      <c r="M156" s="42">
        <v>0</v>
      </c>
      <c r="N156" s="42">
        <v>0</v>
      </c>
      <c r="O156" s="42">
        <v>0</v>
      </c>
      <c r="P156" s="41">
        <v>0</v>
      </c>
      <c r="Q156" s="42">
        <v>0</v>
      </c>
      <c r="R156" s="19">
        <v>0</v>
      </c>
      <c r="S156">
        <v>0</v>
      </c>
      <c r="T156" s="42">
        <v>0</v>
      </c>
      <c r="U156" s="19">
        <v>29887.226232603287</v>
      </c>
    </row>
    <row r="157" spans="2:22" x14ac:dyDescent="0.25">
      <c r="B157" s="4">
        <v>45036</v>
      </c>
      <c r="C157" s="19">
        <v>29887.226232603287</v>
      </c>
      <c r="D157" s="42">
        <v>0</v>
      </c>
      <c r="E157" s="42">
        <v>0</v>
      </c>
      <c r="F157" s="42">
        <v>0</v>
      </c>
      <c r="G157" s="42">
        <v>0</v>
      </c>
      <c r="H157" s="42">
        <v>0</v>
      </c>
      <c r="I157" s="42">
        <v>0</v>
      </c>
      <c r="J157" s="42">
        <v>0</v>
      </c>
      <c r="K157" s="19">
        <v>0</v>
      </c>
      <c r="L157" s="42">
        <v>0</v>
      </c>
      <c r="M157" s="42">
        <v>0</v>
      </c>
      <c r="N157" s="42">
        <v>0</v>
      </c>
      <c r="O157" s="42">
        <v>0</v>
      </c>
      <c r="P157" s="41">
        <v>0</v>
      </c>
      <c r="Q157" s="42">
        <v>0</v>
      </c>
      <c r="R157" s="19">
        <v>0</v>
      </c>
      <c r="S157">
        <v>0</v>
      </c>
      <c r="T157" s="42">
        <v>0</v>
      </c>
      <c r="U157" s="19">
        <v>29887.226232603287</v>
      </c>
    </row>
    <row r="158" spans="2:22" x14ac:dyDescent="0.25">
      <c r="B158" s="4">
        <v>45040</v>
      </c>
      <c r="C158" s="19">
        <v>29887.226232603287</v>
      </c>
      <c r="D158" s="42">
        <v>0</v>
      </c>
      <c r="E158" s="42">
        <v>0</v>
      </c>
      <c r="F158" s="42">
        <v>0</v>
      </c>
      <c r="G158" s="42">
        <v>0</v>
      </c>
      <c r="H158" s="42">
        <v>0</v>
      </c>
      <c r="I158" s="42">
        <v>0</v>
      </c>
      <c r="J158" s="42">
        <v>0</v>
      </c>
      <c r="K158" s="19">
        <v>0</v>
      </c>
      <c r="L158" s="42">
        <v>0</v>
      </c>
      <c r="M158" s="42">
        <v>0</v>
      </c>
      <c r="N158" s="42">
        <v>0</v>
      </c>
      <c r="O158" s="42">
        <v>0</v>
      </c>
      <c r="P158" s="41">
        <v>0</v>
      </c>
      <c r="Q158" s="42">
        <v>0</v>
      </c>
      <c r="R158" s="19">
        <v>0</v>
      </c>
      <c r="S158">
        <v>0</v>
      </c>
      <c r="T158" s="42">
        <v>0</v>
      </c>
      <c r="U158" s="19">
        <v>29887.226232603287</v>
      </c>
    </row>
    <row r="159" spans="2:22" x14ac:dyDescent="0.25">
      <c r="B159" s="4">
        <v>45041</v>
      </c>
      <c r="C159" s="19">
        <v>29887.226232603287</v>
      </c>
      <c r="D159" s="42">
        <v>0</v>
      </c>
      <c r="E159" s="42">
        <v>0</v>
      </c>
      <c r="F159" s="42">
        <v>0</v>
      </c>
      <c r="G159" s="42">
        <v>0</v>
      </c>
      <c r="H159" s="42">
        <v>0</v>
      </c>
      <c r="I159" s="42">
        <v>0</v>
      </c>
      <c r="J159" s="42">
        <v>0</v>
      </c>
      <c r="K159" s="19">
        <v>0</v>
      </c>
      <c r="L159" s="42">
        <v>0</v>
      </c>
      <c r="M159" s="42">
        <v>0</v>
      </c>
      <c r="N159" s="42">
        <v>0</v>
      </c>
      <c r="O159" s="42">
        <v>0</v>
      </c>
      <c r="P159" s="41">
        <v>0</v>
      </c>
      <c r="Q159" s="42">
        <v>0</v>
      </c>
      <c r="R159" s="19">
        <v>0</v>
      </c>
      <c r="S159">
        <v>0</v>
      </c>
      <c r="T159" s="42">
        <v>0</v>
      </c>
      <c r="U159" s="19">
        <v>29887.226232603287</v>
      </c>
    </row>
    <row r="160" spans="2:22" x14ac:dyDescent="0.25">
      <c r="B160" s="4">
        <v>45042</v>
      </c>
      <c r="C160" s="19">
        <v>29887.226232603287</v>
      </c>
      <c r="D160" s="42">
        <v>0</v>
      </c>
      <c r="E160" s="42">
        <v>0</v>
      </c>
      <c r="F160" s="42">
        <v>0</v>
      </c>
      <c r="G160" s="42">
        <v>0</v>
      </c>
      <c r="H160" s="42">
        <v>0</v>
      </c>
      <c r="I160" s="42">
        <v>0</v>
      </c>
      <c r="J160" s="42">
        <v>0</v>
      </c>
      <c r="K160" s="19">
        <v>0</v>
      </c>
      <c r="L160" s="42">
        <v>0</v>
      </c>
      <c r="M160" s="42">
        <v>0</v>
      </c>
      <c r="N160" s="42">
        <v>0</v>
      </c>
      <c r="O160" s="42">
        <v>0</v>
      </c>
      <c r="P160" s="41">
        <v>0</v>
      </c>
      <c r="Q160" s="42">
        <v>0</v>
      </c>
      <c r="R160" s="19">
        <v>0</v>
      </c>
      <c r="S160">
        <v>0</v>
      </c>
      <c r="T160" s="42">
        <v>0</v>
      </c>
      <c r="U160" s="19">
        <v>29887.226232603287</v>
      </c>
    </row>
    <row r="161" spans="2:21" x14ac:dyDescent="0.25">
      <c r="B161" s="4">
        <v>45043</v>
      </c>
      <c r="C161" s="19">
        <v>29887.226232603287</v>
      </c>
      <c r="D161" s="42">
        <v>0</v>
      </c>
      <c r="E161" s="42">
        <v>0</v>
      </c>
      <c r="F161" s="42">
        <v>0</v>
      </c>
      <c r="G161" s="42">
        <v>0</v>
      </c>
      <c r="H161" s="42">
        <v>0</v>
      </c>
      <c r="I161" s="42">
        <v>0</v>
      </c>
      <c r="J161" s="42">
        <v>0</v>
      </c>
      <c r="K161" s="19">
        <v>0</v>
      </c>
      <c r="L161" s="42">
        <v>0</v>
      </c>
      <c r="M161" s="42">
        <v>0</v>
      </c>
      <c r="N161" s="42">
        <v>0</v>
      </c>
      <c r="O161" s="42">
        <v>0</v>
      </c>
      <c r="P161" s="41">
        <v>0</v>
      </c>
      <c r="Q161" s="42">
        <v>0</v>
      </c>
      <c r="R161" s="19">
        <v>0</v>
      </c>
      <c r="S161">
        <v>0</v>
      </c>
      <c r="T161" s="42">
        <v>0</v>
      </c>
      <c r="U161" s="19">
        <v>29887.226232603287</v>
      </c>
    </row>
    <row r="162" spans="2:21" x14ac:dyDescent="0.25">
      <c r="B162" s="4">
        <v>45044</v>
      </c>
      <c r="C162" s="19">
        <v>29887.226232603287</v>
      </c>
      <c r="D162" s="42">
        <v>0</v>
      </c>
      <c r="E162" s="42">
        <v>0</v>
      </c>
      <c r="F162" s="42">
        <v>0</v>
      </c>
      <c r="G162" s="42">
        <v>0</v>
      </c>
      <c r="H162" s="42">
        <v>0</v>
      </c>
      <c r="I162" s="42">
        <v>0</v>
      </c>
      <c r="J162" s="42">
        <v>0</v>
      </c>
      <c r="K162" s="19">
        <v>0</v>
      </c>
      <c r="L162" s="42">
        <v>0</v>
      </c>
      <c r="M162" s="42">
        <v>0</v>
      </c>
      <c r="N162" s="42">
        <v>0</v>
      </c>
      <c r="O162" s="42">
        <v>0</v>
      </c>
      <c r="P162" s="41">
        <v>0</v>
      </c>
      <c r="Q162" s="42">
        <v>0</v>
      </c>
      <c r="R162" s="19">
        <v>0</v>
      </c>
      <c r="S162">
        <v>0</v>
      </c>
      <c r="T162" s="42">
        <v>0</v>
      </c>
      <c r="U162" s="19">
        <v>29887.226232603287</v>
      </c>
    </row>
    <row r="163" spans="2:21" x14ac:dyDescent="0.25">
      <c r="B163" s="4">
        <v>45048</v>
      </c>
      <c r="C163" s="19">
        <v>29887.226232603287</v>
      </c>
      <c r="D163" s="42">
        <v>0</v>
      </c>
      <c r="E163" s="42">
        <v>0</v>
      </c>
      <c r="F163" s="42">
        <v>0</v>
      </c>
      <c r="G163" s="42">
        <v>0</v>
      </c>
      <c r="H163" s="42">
        <v>0</v>
      </c>
      <c r="I163" s="42">
        <v>0</v>
      </c>
      <c r="J163" s="42">
        <v>0</v>
      </c>
      <c r="K163" s="19">
        <v>0</v>
      </c>
      <c r="L163" s="42">
        <v>0</v>
      </c>
      <c r="M163" s="42">
        <v>0</v>
      </c>
      <c r="N163" s="42">
        <v>0</v>
      </c>
      <c r="O163" s="42">
        <v>0</v>
      </c>
      <c r="P163" s="41">
        <v>0</v>
      </c>
      <c r="Q163" s="42">
        <v>0</v>
      </c>
      <c r="R163" s="19">
        <v>0</v>
      </c>
      <c r="S163">
        <v>0</v>
      </c>
      <c r="T163" s="42">
        <v>0</v>
      </c>
      <c r="U163" s="19">
        <v>29887.226232603287</v>
      </c>
    </row>
    <row r="164" spans="2:21" x14ac:dyDescent="0.25">
      <c r="B164" s="4">
        <v>45049</v>
      </c>
      <c r="C164" s="19">
        <v>29887.226232603287</v>
      </c>
      <c r="D164" s="42">
        <v>0</v>
      </c>
      <c r="E164" s="42">
        <v>0</v>
      </c>
      <c r="F164" s="42">
        <v>0</v>
      </c>
      <c r="G164" s="42">
        <v>0</v>
      </c>
      <c r="H164" s="42">
        <v>0</v>
      </c>
      <c r="I164" s="42">
        <v>0</v>
      </c>
      <c r="J164" s="42">
        <v>0</v>
      </c>
      <c r="K164" s="19">
        <v>0</v>
      </c>
      <c r="L164" s="42">
        <v>0</v>
      </c>
      <c r="M164" s="42">
        <v>0</v>
      </c>
      <c r="N164" s="42">
        <v>0</v>
      </c>
      <c r="O164" s="42">
        <v>0</v>
      </c>
      <c r="P164" s="41">
        <v>0</v>
      </c>
      <c r="Q164" s="42">
        <v>0</v>
      </c>
      <c r="R164" s="19">
        <v>0</v>
      </c>
      <c r="S164">
        <v>0</v>
      </c>
      <c r="T164" s="42">
        <v>0</v>
      </c>
      <c r="U164" s="19">
        <v>29887.226232603287</v>
      </c>
    </row>
    <row r="165" spans="2:21" x14ac:dyDescent="0.25">
      <c r="B165" s="4">
        <v>45050</v>
      </c>
      <c r="C165" s="19">
        <v>29887.226232603287</v>
      </c>
      <c r="D165" s="42">
        <v>0</v>
      </c>
      <c r="E165" s="42">
        <v>0</v>
      </c>
      <c r="F165" s="42">
        <v>0</v>
      </c>
      <c r="G165" s="42">
        <v>0</v>
      </c>
      <c r="H165" s="42">
        <v>0</v>
      </c>
      <c r="I165" s="42">
        <v>0</v>
      </c>
      <c r="J165" s="42">
        <v>0</v>
      </c>
      <c r="K165" s="19">
        <v>0</v>
      </c>
      <c r="L165" s="42">
        <v>0</v>
      </c>
      <c r="M165" s="42">
        <v>0</v>
      </c>
      <c r="N165" s="42">
        <v>0</v>
      </c>
      <c r="O165" s="42">
        <v>0</v>
      </c>
      <c r="P165" s="41">
        <v>0</v>
      </c>
      <c r="Q165" s="42">
        <v>0</v>
      </c>
      <c r="R165" s="19">
        <v>0</v>
      </c>
      <c r="S165">
        <v>0</v>
      </c>
      <c r="T165" s="42">
        <v>0</v>
      </c>
      <c r="U165" s="19">
        <v>29887.226232603287</v>
      </c>
    </row>
    <row r="166" spans="2:21" x14ac:dyDescent="0.25">
      <c r="B166" s="4">
        <v>45051</v>
      </c>
      <c r="C166" s="19">
        <v>29887.226232603287</v>
      </c>
      <c r="D166" s="42">
        <v>0</v>
      </c>
      <c r="E166" s="42">
        <v>0</v>
      </c>
      <c r="F166" s="42">
        <v>0</v>
      </c>
      <c r="G166" s="42">
        <v>0</v>
      </c>
      <c r="H166" s="42">
        <v>0</v>
      </c>
      <c r="I166" s="42">
        <v>0</v>
      </c>
      <c r="J166" s="42">
        <v>0</v>
      </c>
      <c r="K166" s="19">
        <v>0</v>
      </c>
      <c r="L166" s="42">
        <v>0</v>
      </c>
      <c r="M166" s="42">
        <v>0</v>
      </c>
      <c r="N166" s="42">
        <v>0</v>
      </c>
      <c r="O166" s="42">
        <v>0</v>
      </c>
      <c r="P166" s="41">
        <v>0</v>
      </c>
      <c r="Q166" s="42">
        <v>0</v>
      </c>
      <c r="R166" s="19">
        <v>0</v>
      </c>
      <c r="S166" s="42">
        <v>18000</v>
      </c>
      <c r="T166" s="42">
        <v>0</v>
      </c>
      <c r="U166" s="19">
        <v>47887.226232603287</v>
      </c>
    </row>
    <row r="167" spans="2:21" x14ac:dyDescent="0.25">
      <c r="B167" s="4">
        <v>45054</v>
      </c>
      <c r="C167" s="19">
        <v>47887.226232603287</v>
      </c>
      <c r="D167" s="42">
        <v>-16934.87</v>
      </c>
      <c r="E167" s="42">
        <v>0</v>
      </c>
      <c r="F167" s="42">
        <v>0</v>
      </c>
      <c r="G167" s="42">
        <v>0</v>
      </c>
      <c r="H167" s="42">
        <v>0</v>
      </c>
      <c r="I167" s="42">
        <v>0</v>
      </c>
      <c r="J167" s="42">
        <v>0</v>
      </c>
      <c r="K167" s="19">
        <v>0</v>
      </c>
      <c r="L167" s="42">
        <v>0</v>
      </c>
      <c r="M167" s="42">
        <v>0</v>
      </c>
      <c r="N167" s="42">
        <v>0</v>
      </c>
      <c r="O167" s="42">
        <v>0</v>
      </c>
      <c r="P167" s="41">
        <v>0</v>
      </c>
      <c r="Q167" s="42">
        <v>0</v>
      </c>
      <c r="R167" s="19">
        <v>0</v>
      </c>
      <c r="S167">
        <v>0</v>
      </c>
      <c r="T167" s="42">
        <v>0</v>
      </c>
      <c r="U167" s="19">
        <v>30952.356232603288</v>
      </c>
    </row>
    <row r="168" spans="2:21" x14ac:dyDescent="0.25">
      <c r="B168" s="4">
        <v>45055</v>
      </c>
      <c r="C168" s="19">
        <v>30952.356232603288</v>
      </c>
      <c r="D168" s="42">
        <v>0</v>
      </c>
      <c r="E168" s="42">
        <v>0</v>
      </c>
      <c r="F168" s="42">
        <v>0</v>
      </c>
      <c r="G168" s="42">
        <v>0</v>
      </c>
      <c r="H168" s="42">
        <v>0</v>
      </c>
      <c r="I168" s="42">
        <v>0</v>
      </c>
      <c r="J168" s="42">
        <v>0</v>
      </c>
      <c r="K168" s="19">
        <v>0</v>
      </c>
      <c r="L168" s="42">
        <v>0</v>
      </c>
      <c r="M168" s="42">
        <v>0</v>
      </c>
      <c r="N168" s="42">
        <v>-7115.15</v>
      </c>
      <c r="O168" s="42">
        <v>0</v>
      </c>
      <c r="P168" s="41">
        <v>0</v>
      </c>
      <c r="Q168" s="42">
        <v>0</v>
      </c>
      <c r="R168" s="19">
        <v>0</v>
      </c>
      <c r="S168">
        <v>0</v>
      </c>
      <c r="T168" s="42">
        <v>0</v>
      </c>
      <c r="U168" s="19">
        <v>23837.20623260329</v>
      </c>
    </row>
    <row r="169" spans="2:21" x14ac:dyDescent="0.25">
      <c r="B169" s="4">
        <v>45056</v>
      </c>
      <c r="C169" s="19">
        <v>23837.20623260329</v>
      </c>
      <c r="D169" s="42">
        <v>0</v>
      </c>
      <c r="E169" s="42">
        <v>0</v>
      </c>
      <c r="F169" s="42">
        <v>0</v>
      </c>
      <c r="G169" s="42">
        <v>0</v>
      </c>
      <c r="H169" s="42">
        <v>0</v>
      </c>
      <c r="I169" s="42">
        <v>0</v>
      </c>
      <c r="J169" s="42">
        <v>0</v>
      </c>
      <c r="K169" s="19">
        <v>0</v>
      </c>
      <c r="L169" s="42">
        <v>0</v>
      </c>
      <c r="M169" s="42">
        <v>0</v>
      </c>
      <c r="N169" s="42">
        <v>0</v>
      </c>
      <c r="O169" s="42">
        <v>0</v>
      </c>
      <c r="P169" s="41">
        <v>0</v>
      </c>
      <c r="Q169" s="42">
        <v>0</v>
      </c>
      <c r="R169" s="19">
        <v>0</v>
      </c>
      <c r="S169">
        <v>0</v>
      </c>
      <c r="T169" s="42">
        <v>0</v>
      </c>
      <c r="U169" s="19">
        <v>23837.20623260329</v>
      </c>
    </row>
    <row r="170" spans="2:21" x14ac:dyDescent="0.25">
      <c r="B170" s="4">
        <v>45057</v>
      </c>
      <c r="C170" s="19">
        <v>23837.20623260329</v>
      </c>
      <c r="D170" s="42">
        <v>0</v>
      </c>
      <c r="E170" s="42">
        <v>0</v>
      </c>
      <c r="F170" s="42">
        <v>0</v>
      </c>
      <c r="G170" s="42">
        <v>0</v>
      </c>
      <c r="H170" s="42">
        <v>0</v>
      </c>
      <c r="I170" s="42">
        <v>0</v>
      </c>
      <c r="J170" s="42">
        <v>0</v>
      </c>
      <c r="K170" s="19">
        <v>0</v>
      </c>
      <c r="L170" s="42">
        <v>0</v>
      </c>
      <c r="M170" s="42">
        <v>0</v>
      </c>
      <c r="N170" s="42">
        <v>0</v>
      </c>
      <c r="O170" s="42">
        <v>0</v>
      </c>
      <c r="P170" s="41">
        <v>0</v>
      </c>
      <c r="Q170" s="42">
        <v>0</v>
      </c>
      <c r="R170" s="19">
        <v>0</v>
      </c>
      <c r="S170">
        <v>0</v>
      </c>
      <c r="T170" s="42">
        <v>0</v>
      </c>
      <c r="U170" s="19">
        <v>23837.20623260329</v>
      </c>
    </row>
    <row r="171" spans="2:21" x14ac:dyDescent="0.25">
      <c r="B171" s="4">
        <v>45058</v>
      </c>
      <c r="C171" s="19">
        <v>23837.20623260329</v>
      </c>
      <c r="D171" s="42">
        <v>0</v>
      </c>
      <c r="E171" s="42">
        <v>0</v>
      </c>
      <c r="F171" s="42">
        <v>0</v>
      </c>
      <c r="G171" s="42">
        <v>0</v>
      </c>
      <c r="H171" s="42">
        <v>0</v>
      </c>
      <c r="I171" s="42">
        <v>0</v>
      </c>
      <c r="J171" s="42">
        <v>0</v>
      </c>
      <c r="K171" s="19">
        <v>0</v>
      </c>
      <c r="L171" s="42">
        <v>0</v>
      </c>
      <c r="M171" s="42">
        <v>0</v>
      </c>
      <c r="N171" s="42">
        <v>0</v>
      </c>
      <c r="O171" s="42">
        <v>0</v>
      </c>
      <c r="P171" s="41">
        <v>0</v>
      </c>
      <c r="Q171" s="42">
        <v>0</v>
      </c>
      <c r="R171" s="19">
        <v>0</v>
      </c>
      <c r="S171">
        <v>0</v>
      </c>
      <c r="T171" s="42">
        <v>0</v>
      </c>
      <c r="U171" s="19">
        <v>23837.20623260329</v>
      </c>
    </row>
    <row r="172" spans="2:21" x14ac:dyDescent="0.25">
      <c r="B172" s="4">
        <v>45061</v>
      </c>
      <c r="C172" s="19">
        <v>23837.20623260329</v>
      </c>
      <c r="D172" s="42">
        <v>0</v>
      </c>
      <c r="E172" s="42">
        <v>0</v>
      </c>
      <c r="F172" s="42">
        <v>0</v>
      </c>
      <c r="G172" s="42">
        <v>0</v>
      </c>
      <c r="H172" s="42">
        <v>0</v>
      </c>
      <c r="I172" s="42">
        <v>0</v>
      </c>
      <c r="J172" s="42">
        <v>0</v>
      </c>
      <c r="K172" s="19">
        <v>0</v>
      </c>
      <c r="L172" s="42">
        <v>0</v>
      </c>
      <c r="M172" s="42">
        <v>0</v>
      </c>
      <c r="N172" s="42">
        <v>0</v>
      </c>
      <c r="O172" s="42">
        <v>0</v>
      </c>
      <c r="P172" s="41">
        <v>0</v>
      </c>
      <c r="Q172" s="42">
        <v>-587.17999999999995</v>
      </c>
      <c r="R172" s="19">
        <v>0</v>
      </c>
      <c r="S172">
        <v>0</v>
      </c>
      <c r="T172" s="42">
        <v>0</v>
      </c>
      <c r="U172" s="19">
        <v>23250.02623260329</v>
      </c>
    </row>
    <row r="173" spans="2:21" x14ac:dyDescent="0.25">
      <c r="B173" s="4">
        <v>45062</v>
      </c>
      <c r="C173" s="19">
        <v>23250.02623260329</v>
      </c>
      <c r="D173" s="42">
        <v>0</v>
      </c>
      <c r="E173" s="42">
        <v>0</v>
      </c>
      <c r="F173" s="42">
        <v>0</v>
      </c>
      <c r="G173" s="42">
        <v>0</v>
      </c>
      <c r="H173" s="42">
        <v>0</v>
      </c>
      <c r="I173" s="42">
        <v>0</v>
      </c>
      <c r="J173" s="42">
        <v>0</v>
      </c>
      <c r="K173" s="19">
        <v>0</v>
      </c>
      <c r="L173" s="42">
        <v>0</v>
      </c>
      <c r="M173" s="42">
        <v>0</v>
      </c>
      <c r="N173" s="42">
        <v>0</v>
      </c>
      <c r="O173" s="42">
        <v>0</v>
      </c>
      <c r="P173" s="41">
        <v>0</v>
      </c>
      <c r="Q173" s="42">
        <v>0</v>
      </c>
      <c r="R173" s="19">
        <v>0</v>
      </c>
      <c r="S173">
        <v>0</v>
      </c>
      <c r="T173" s="42">
        <v>0</v>
      </c>
      <c r="U173" s="19">
        <v>23250.02623260329</v>
      </c>
    </row>
    <row r="174" spans="2:21" x14ac:dyDescent="0.25">
      <c r="B174" s="4">
        <v>45063</v>
      </c>
      <c r="C174" s="19">
        <v>23250.02623260329</v>
      </c>
      <c r="D174" s="42">
        <v>0</v>
      </c>
      <c r="E174" s="42">
        <v>0</v>
      </c>
      <c r="F174" s="42">
        <v>0</v>
      </c>
      <c r="G174" s="42">
        <v>0</v>
      </c>
      <c r="H174" s="42">
        <v>0</v>
      </c>
      <c r="I174" s="42">
        <v>0</v>
      </c>
      <c r="J174" s="42">
        <v>0</v>
      </c>
      <c r="K174" s="19">
        <v>0</v>
      </c>
      <c r="L174" s="42">
        <v>0</v>
      </c>
      <c r="M174" s="42">
        <v>0</v>
      </c>
      <c r="N174" s="42">
        <v>0</v>
      </c>
      <c r="O174" s="42">
        <v>0</v>
      </c>
      <c r="P174" s="41">
        <v>0</v>
      </c>
      <c r="Q174" s="42">
        <v>0</v>
      </c>
      <c r="R174" s="19">
        <v>0</v>
      </c>
      <c r="S174">
        <v>0</v>
      </c>
      <c r="T174" s="42">
        <v>0</v>
      </c>
      <c r="U174" s="19">
        <v>23250.02623260329</v>
      </c>
    </row>
    <row r="175" spans="2:21" x14ac:dyDescent="0.25">
      <c r="B175" s="4">
        <v>45064</v>
      </c>
      <c r="C175" s="19">
        <v>23250.02623260329</v>
      </c>
      <c r="D175" s="42">
        <v>0</v>
      </c>
      <c r="E175" s="42">
        <v>0</v>
      </c>
      <c r="F175" s="42">
        <v>0</v>
      </c>
      <c r="G175" s="42">
        <v>0</v>
      </c>
      <c r="H175" s="42">
        <v>0</v>
      </c>
      <c r="I175" s="42">
        <v>0</v>
      </c>
      <c r="J175" s="42">
        <v>0</v>
      </c>
      <c r="K175" s="19">
        <v>0</v>
      </c>
      <c r="L175" s="42">
        <v>0</v>
      </c>
      <c r="M175" s="42">
        <v>0</v>
      </c>
      <c r="N175" s="42">
        <v>0</v>
      </c>
      <c r="O175" s="42">
        <v>0</v>
      </c>
      <c r="P175" s="41">
        <v>0</v>
      </c>
      <c r="Q175" s="42">
        <v>0</v>
      </c>
      <c r="R175" s="19">
        <v>0</v>
      </c>
      <c r="S175">
        <v>0</v>
      </c>
      <c r="T175" s="42">
        <v>0</v>
      </c>
      <c r="U175" s="19">
        <v>23250.02623260329</v>
      </c>
    </row>
    <row r="176" spans="2:21" x14ac:dyDescent="0.25">
      <c r="B176" s="4">
        <v>45065</v>
      </c>
      <c r="C176" s="19">
        <v>23250.02623260329</v>
      </c>
      <c r="D176" s="42">
        <v>0</v>
      </c>
      <c r="E176" s="42">
        <v>0</v>
      </c>
      <c r="F176" s="42">
        <v>0</v>
      </c>
      <c r="G176" s="42">
        <v>0</v>
      </c>
      <c r="H176" s="42">
        <v>0</v>
      </c>
      <c r="I176" s="42">
        <v>0</v>
      </c>
      <c r="J176" s="42">
        <v>0</v>
      </c>
      <c r="K176" s="19">
        <v>0</v>
      </c>
      <c r="L176" s="42">
        <v>0</v>
      </c>
      <c r="M176" s="42">
        <v>0</v>
      </c>
      <c r="N176" s="42">
        <v>0</v>
      </c>
      <c r="O176" s="42">
        <v>0</v>
      </c>
      <c r="P176" s="41">
        <v>0</v>
      </c>
      <c r="Q176" s="42">
        <v>0</v>
      </c>
      <c r="R176" s="19">
        <v>0</v>
      </c>
      <c r="S176">
        <v>0</v>
      </c>
      <c r="T176" s="42">
        <v>0</v>
      </c>
      <c r="U176" s="19">
        <v>23250.02623260329</v>
      </c>
    </row>
    <row r="177" spans="2:21" x14ac:dyDescent="0.25">
      <c r="B177" s="4">
        <v>45068</v>
      </c>
      <c r="C177" s="19">
        <v>23250.02623260329</v>
      </c>
      <c r="D177" s="42">
        <v>0</v>
      </c>
      <c r="E177" s="42">
        <v>0</v>
      </c>
      <c r="F177" s="42">
        <v>0</v>
      </c>
      <c r="G177" s="42">
        <v>0</v>
      </c>
      <c r="H177" s="42">
        <v>0</v>
      </c>
      <c r="I177" s="42">
        <v>0</v>
      </c>
      <c r="J177" s="42">
        <v>0</v>
      </c>
      <c r="K177" s="19">
        <v>0</v>
      </c>
      <c r="L177" s="42">
        <v>0</v>
      </c>
      <c r="M177" s="42">
        <v>0</v>
      </c>
      <c r="N177" s="42">
        <v>0</v>
      </c>
      <c r="O177" s="42">
        <v>0</v>
      </c>
      <c r="P177" s="41">
        <v>0</v>
      </c>
      <c r="Q177" s="42">
        <v>0</v>
      </c>
      <c r="R177" s="19">
        <v>0</v>
      </c>
      <c r="S177">
        <v>0</v>
      </c>
      <c r="T177" s="42">
        <v>0</v>
      </c>
      <c r="U177" s="19">
        <v>23250.02623260329</v>
      </c>
    </row>
    <row r="178" spans="2:21" x14ac:dyDescent="0.25">
      <c r="B178" s="4">
        <v>45069</v>
      </c>
      <c r="C178" s="19">
        <v>23250.02623260329</v>
      </c>
      <c r="D178" s="42">
        <v>0</v>
      </c>
      <c r="E178" s="42">
        <v>0</v>
      </c>
      <c r="F178" s="42">
        <v>0</v>
      </c>
      <c r="G178" s="42">
        <v>0</v>
      </c>
      <c r="H178" s="42">
        <v>0</v>
      </c>
      <c r="I178" s="42">
        <v>0</v>
      </c>
      <c r="J178" s="42">
        <v>0</v>
      </c>
      <c r="K178" s="19">
        <v>0</v>
      </c>
      <c r="L178" s="42">
        <v>0</v>
      </c>
      <c r="M178" s="42">
        <v>0</v>
      </c>
      <c r="N178" s="42">
        <v>0</v>
      </c>
      <c r="O178" s="42">
        <v>0</v>
      </c>
      <c r="P178" s="41">
        <v>0</v>
      </c>
      <c r="Q178" s="42">
        <v>0</v>
      </c>
      <c r="R178" s="19">
        <v>0</v>
      </c>
      <c r="S178">
        <v>0</v>
      </c>
      <c r="T178" s="42">
        <v>0</v>
      </c>
      <c r="U178" s="19">
        <v>23250.02623260329</v>
      </c>
    </row>
    <row r="179" spans="2:21" x14ac:dyDescent="0.25">
      <c r="B179" s="4">
        <v>45070</v>
      </c>
      <c r="C179" s="19">
        <v>23250.02623260329</v>
      </c>
      <c r="D179" s="42">
        <v>0</v>
      </c>
      <c r="E179" s="42">
        <v>0</v>
      </c>
      <c r="F179" s="42">
        <v>0</v>
      </c>
      <c r="G179" s="42">
        <v>0</v>
      </c>
      <c r="H179" s="42">
        <v>0</v>
      </c>
      <c r="I179" s="42">
        <v>0</v>
      </c>
      <c r="J179" s="42">
        <v>0</v>
      </c>
      <c r="K179" s="19">
        <v>0</v>
      </c>
      <c r="L179" s="42">
        <v>0</v>
      </c>
      <c r="M179" s="42">
        <v>0</v>
      </c>
      <c r="N179" s="42">
        <v>0</v>
      </c>
      <c r="O179" s="42">
        <v>0</v>
      </c>
      <c r="P179" s="41">
        <v>0</v>
      </c>
      <c r="Q179" s="42">
        <v>0</v>
      </c>
      <c r="R179" s="19">
        <v>0</v>
      </c>
      <c r="S179">
        <v>0</v>
      </c>
      <c r="T179" s="42">
        <v>0</v>
      </c>
      <c r="U179" s="19">
        <v>23250.02623260329</v>
      </c>
    </row>
    <row r="180" spans="2:21" x14ac:dyDescent="0.25">
      <c r="B180" s="4">
        <v>45071</v>
      </c>
      <c r="C180" s="19">
        <v>23250.02623260329</v>
      </c>
      <c r="D180" s="42">
        <v>0</v>
      </c>
      <c r="E180" s="42">
        <v>0</v>
      </c>
      <c r="F180" s="42">
        <v>0</v>
      </c>
      <c r="G180" s="42">
        <v>0</v>
      </c>
      <c r="H180" s="42">
        <v>0</v>
      </c>
      <c r="I180" s="42">
        <v>0</v>
      </c>
      <c r="J180" s="42">
        <v>0</v>
      </c>
      <c r="K180" s="19">
        <v>0</v>
      </c>
      <c r="L180" s="42">
        <v>0</v>
      </c>
      <c r="M180" s="42">
        <v>0</v>
      </c>
      <c r="N180" s="42">
        <v>0</v>
      </c>
      <c r="O180" s="42">
        <v>0</v>
      </c>
      <c r="P180" s="41">
        <v>0</v>
      </c>
      <c r="Q180" s="42">
        <v>0</v>
      </c>
      <c r="R180" s="19">
        <v>0</v>
      </c>
      <c r="S180">
        <v>0</v>
      </c>
      <c r="T180" s="42">
        <v>0</v>
      </c>
      <c r="U180" s="19">
        <v>23250.02623260329</v>
      </c>
    </row>
    <row r="181" spans="2:21" x14ac:dyDescent="0.25">
      <c r="B181" s="4">
        <v>45072</v>
      </c>
      <c r="C181" s="19">
        <v>23250.02623260329</v>
      </c>
      <c r="D181" s="42">
        <v>0</v>
      </c>
      <c r="E181" s="42">
        <v>0</v>
      </c>
      <c r="F181" s="42">
        <v>0</v>
      </c>
      <c r="G181" s="42">
        <v>0</v>
      </c>
      <c r="H181" s="42">
        <v>0</v>
      </c>
      <c r="I181" s="42">
        <v>0</v>
      </c>
      <c r="J181" s="42">
        <v>0</v>
      </c>
      <c r="K181" s="19">
        <v>0</v>
      </c>
      <c r="L181" s="42">
        <v>0</v>
      </c>
      <c r="M181" s="42">
        <v>0</v>
      </c>
      <c r="N181" s="42">
        <v>0</v>
      </c>
      <c r="O181" s="42">
        <v>0</v>
      </c>
      <c r="P181" s="41">
        <v>0</v>
      </c>
      <c r="Q181" s="42">
        <v>0</v>
      </c>
      <c r="R181" s="19">
        <v>0</v>
      </c>
      <c r="S181">
        <v>0</v>
      </c>
      <c r="T181" s="42">
        <v>0</v>
      </c>
      <c r="U181" s="19">
        <v>23250.02623260329</v>
      </c>
    </row>
    <row r="182" spans="2:21" x14ac:dyDescent="0.25">
      <c r="B182" s="4">
        <v>45075</v>
      </c>
      <c r="C182" s="19">
        <v>23250.02623260329</v>
      </c>
      <c r="D182" s="42">
        <v>0</v>
      </c>
      <c r="E182" s="42">
        <v>0</v>
      </c>
      <c r="F182" s="42">
        <v>0</v>
      </c>
      <c r="G182" s="42">
        <v>0</v>
      </c>
      <c r="H182" s="42">
        <v>0</v>
      </c>
      <c r="I182" s="42">
        <v>0</v>
      </c>
      <c r="J182" s="42">
        <v>0</v>
      </c>
      <c r="K182" s="19">
        <v>0</v>
      </c>
      <c r="L182" s="42">
        <v>0</v>
      </c>
      <c r="M182" s="42">
        <v>0</v>
      </c>
      <c r="N182" s="42">
        <v>0</v>
      </c>
      <c r="O182" s="42">
        <v>0</v>
      </c>
      <c r="P182" s="41">
        <v>0</v>
      </c>
      <c r="Q182" s="42">
        <v>0</v>
      </c>
      <c r="R182" s="19">
        <v>0</v>
      </c>
      <c r="S182">
        <v>0</v>
      </c>
      <c r="T182" s="42">
        <v>0</v>
      </c>
      <c r="U182" s="19">
        <v>23250.02623260329</v>
      </c>
    </row>
    <row r="183" spans="2:21" x14ac:dyDescent="0.25">
      <c r="B183" s="4">
        <v>45076</v>
      </c>
      <c r="C183" s="19">
        <v>23250.02623260329</v>
      </c>
      <c r="D183" s="42">
        <v>0</v>
      </c>
      <c r="E183" s="42">
        <v>0</v>
      </c>
      <c r="F183" s="42">
        <v>0</v>
      </c>
      <c r="G183" s="42">
        <v>0</v>
      </c>
      <c r="H183" s="42">
        <v>0</v>
      </c>
      <c r="I183" s="42">
        <v>0</v>
      </c>
      <c r="J183" s="42">
        <v>0</v>
      </c>
      <c r="K183" s="19">
        <v>0</v>
      </c>
      <c r="L183" s="42">
        <v>0</v>
      </c>
      <c r="M183" s="42">
        <v>0</v>
      </c>
      <c r="N183" s="42">
        <v>0</v>
      </c>
      <c r="O183" s="42">
        <v>0</v>
      </c>
      <c r="P183" s="41">
        <v>0</v>
      </c>
      <c r="Q183" s="42">
        <v>0</v>
      </c>
      <c r="R183" s="19">
        <v>0</v>
      </c>
      <c r="S183">
        <v>0</v>
      </c>
      <c r="T183" s="42">
        <v>0</v>
      </c>
      <c r="U183" s="19">
        <v>23250.02623260329</v>
      </c>
    </row>
    <row r="184" spans="2:21" x14ac:dyDescent="0.25">
      <c r="B184" s="4">
        <v>45077</v>
      </c>
      <c r="C184" s="19">
        <v>23250.02623260329</v>
      </c>
      <c r="D184" s="42">
        <v>0</v>
      </c>
      <c r="E184" s="42">
        <v>0</v>
      </c>
      <c r="F184" s="42">
        <v>0</v>
      </c>
      <c r="G184" s="42">
        <v>0</v>
      </c>
      <c r="H184" s="42">
        <v>0</v>
      </c>
      <c r="I184" s="42">
        <v>0</v>
      </c>
      <c r="J184" s="42">
        <v>0</v>
      </c>
      <c r="K184" s="19">
        <v>0</v>
      </c>
      <c r="L184" s="42">
        <v>0</v>
      </c>
      <c r="M184" s="42">
        <v>0</v>
      </c>
      <c r="N184" s="42">
        <v>0</v>
      </c>
      <c r="O184" s="42">
        <v>0</v>
      </c>
      <c r="P184" s="41">
        <v>0</v>
      </c>
      <c r="Q184" s="42">
        <v>0</v>
      </c>
      <c r="R184" s="19">
        <v>0</v>
      </c>
      <c r="S184">
        <v>0</v>
      </c>
      <c r="T184" s="42">
        <v>0</v>
      </c>
      <c r="U184" s="19">
        <v>23250.02623260329</v>
      </c>
    </row>
    <row r="185" spans="2:21" x14ac:dyDescent="0.25">
      <c r="B185" s="4">
        <v>45078</v>
      </c>
      <c r="C185" s="19">
        <v>23250.02623260329</v>
      </c>
      <c r="D185" s="42">
        <v>0</v>
      </c>
      <c r="E185" s="42">
        <v>0</v>
      </c>
      <c r="F185" s="42">
        <v>0</v>
      </c>
      <c r="G185" s="42">
        <v>0</v>
      </c>
      <c r="H185" s="42">
        <v>0</v>
      </c>
      <c r="I185" s="42">
        <v>0</v>
      </c>
      <c r="J185" s="42">
        <v>0</v>
      </c>
      <c r="K185" s="19">
        <v>0</v>
      </c>
      <c r="L185" s="42">
        <v>0</v>
      </c>
      <c r="M185" s="42">
        <v>0</v>
      </c>
      <c r="N185" s="42">
        <v>0</v>
      </c>
      <c r="O185" s="42">
        <v>0</v>
      </c>
      <c r="P185" s="41">
        <v>0</v>
      </c>
      <c r="Q185" s="42">
        <v>0</v>
      </c>
      <c r="R185" s="19">
        <v>0</v>
      </c>
      <c r="S185">
        <v>0</v>
      </c>
      <c r="T185" s="42">
        <v>0</v>
      </c>
      <c r="U185" s="19">
        <v>23250.02623260329</v>
      </c>
    </row>
    <row r="186" spans="2:21" x14ac:dyDescent="0.25">
      <c r="B186" s="4">
        <v>45079</v>
      </c>
      <c r="C186" s="19">
        <v>23250.02623260329</v>
      </c>
      <c r="D186" s="42">
        <v>0</v>
      </c>
      <c r="E186" s="42">
        <v>0</v>
      </c>
      <c r="F186" s="42">
        <v>0</v>
      </c>
      <c r="G186" s="42">
        <v>0</v>
      </c>
      <c r="H186" s="42">
        <v>0</v>
      </c>
      <c r="I186" s="42">
        <v>0</v>
      </c>
      <c r="J186" s="42">
        <v>0</v>
      </c>
      <c r="K186" s="19">
        <v>0</v>
      </c>
      <c r="L186" s="42">
        <v>0</v>
      </c>
      <c r="M186" s="42">
        <v>0</v>
      </c>
      <c r="N186" s="42">
        <v>0</v>
      </c>
      <c r="O186" s="42">
        <v>0</v>
      </c>
      <c r="P186" s="41">
        <v>0</v>
      </c>
      <c r="Q186" s="42">
        <v>0</v>
      </c>
      <c r="R186" s="19">
        <v>0</v>
      </c>
      <c r="S186">
        <v>0</v>
      </c>
      <c r="T186" s="42">
        <v>0</v>
      </c>
      <c r="U186" s="19">
        <v>23250.02623260329</v>
      </c>
    </row>
    <row r="187" spans="2:21" x14ac:dyDescent="0.25">
      <c r="B187" s="4">
        <v>45082</v>
      </c>
      <c r="C187" s="19">
        <v>23250.02623260329</v>
      </c>
      <c r="D187" s="42">
        <v>0</v>
      </c>
      <c r="E187" s="42">
        <v>0</v>
      </c>
      <c r="F187" s="42">
        <v>0</v>
      </c>
      <c r="G187" s="42">
        <v>0</v>
      </c>
      <c r="H187" s="42">
        <v>0</v>
      </c>
      <c r="I187" s="42">
        <v>0</v>
      </c>
      <c r="J187" s="42">
        <v>0</v>
      </c>
      <c r="K187" s="19">
        <v>0</v>
      </c>
      <c r="L187" s="42">
        <v>0</v>
      </c>
      <c r="M187" s="42">
        <v>0</v>
      </c>
      <c r="N187" s="42">
        <v>0</v>
      </c>
      <c r="O187" s="42">
        <v>0</v>
      </c>
      <c r="P187" s="41">
        <v>0</v>
      </c>
      <c r="Q187" s="42">
        <v>0</v>
      </c>
      <c r="R187" s="19">
        <v>0</v>
      </c>
      <c r="T187" s="42">
        <v>0</v>
      </c>
      <c r="U187" s="19">
        <v>23250.02623260329</v>
      </c>
    </row>
    <row r="188" spans="2:21" x14ac:dyDescent="0.25">
      <c r="B188" s="4">
        <v>45083</v>
      </c>
      <c r="C188" s="19">
        <v>23250.02623260329</v>
      </c>
      <c r="D188" s="42">
        <v>0</v>
      </c>
      <c r="E188" s="42">
        <v>0</v>
      </c>
      <c r="F188" s="42">
        <v>0</v>
      </c>
      <c r="G188" s="42">
        <v>0</v>
      </c>
      <c r="H188" s="42">
        <v>0</v>
      </c>
      <c r="I188" s="42">
        <v>0</v>
      </c>
      <c r="J188" s="42">
        <v>0</v>
      </c>
      <c r="K188" s="19">
        <v>0</v>
      </c>
      <c r="L188" s="42">
        <v>0</v>
      </c>
      <c r="M188" s="42">
        <v>0</v>
      </c>
      <c r="N188" s="42">
        <v>0</v>
      </c>
      <c r="O188" s="42">
        <v>0</v>
      </c>
      <c r="P188" s="41">
        <v>0</v>
      </c>
      <c r="Q188" s="42">
        <v>0</v>
      </c>
      <c r="R188" s="19">
        <v>0</v>
      </c>
      <c r="S188" s="42">
        <v>23000</v>
      </c>
      <c r="T188" s="42">
        <v>0</v>
      </c>
      <c r="U188" s="19">
        <v>46250.02623260329</v>
      </c>
    </row>
    <row r="189" spans="2:21" x14ac:dyDescent="0.25">
      <c r="B189" s="4">
        <v>45084</v>
      </c>
      <c r="C189" s="19">
        <v>46250.02623260329</v>
      </c>
      <c r="D189" s="42">
        <v>-21886.19</v>
      </c>
      <c r="E189" s="42">
        <v>0</v>
      </c>
      <c r="F189" s="42">
        <v>0</v>
      </c>
      <c r="G189" s="42">
        <v>0</v>
      </c>
      <c r="H189" s="42">
        <v>0</v>
      </c>
      <c r="I189" s="42">
        <v>0</v>
      </c>
      <c r="J189" s="42">
        <v>0</v>
      </c>
      <c r="K189" s="19">
        <v>0</v>
      </c>
      <c r="L189" s="42">
        <v>0</v>
      </c>
      <c r="M189" s="42">
        <v>0</v>
      </c>
      <c r="N189" s="42">
        <v>0</v>
      </c>
      <c r="O189" s="42">
        <v>0</v>
      </c>
      <c r="P189" s="41">
        <v>0</v>
      </c>
      <c r="Q189" s="42">
        <v>-196</v>
      </c>
      <c r="R189" s="19">
        <v>0</v>
      </c>
      <c r="S189">
        <v>0</v>
      </c>
      <c r="T189" s="42">
        <v>0</v>
      </c>
      <c r="U189" s="19">
        <v>24167.836232603291</v>
      </c>
    </row>
    <row r="190" spans="2:21" x14ac:dyDescent="0.25">
      <c r="B190" s="4">
        <v>45086</v>
      </c>
      <c r="C190" s="19">
        <v>24167.836232603291</v>
      </c>
      <c r="D190" s="42">
        <v>0</v>
      </c>
      <c r="E190" s="42">
        <v>0</v>
      </c>
      <c r="F190" s="42">
        <v>0</v>
      </c>
      <c r="G190" s="42">
        <v>0</v>
      </c>
      <c r="H190" s="42">
        <v>0</v>
      </c>
      <c r="I190" s="42">
        <v>0</v>
      </c>
      <c r="J190" s="42">
        <v>0</v>
      </c>
      <c r="K190" s="19">
        <v>0</v>
      </c>
      <c r="L190" s="42">
        <v>0</v>
      </c>
      <c r="M190" s="42">
        <v>0</v>
      </c>
      <c r="N190" s="42">
        <v>0</v>
      </c>
      <c r="O190" s="42">
        <v>0</v>
      </c>
      <c r="P190" s="41">
        <v>0</v>
      </c>
      <c r="Q190" s="42">
        <v>0</v>
      </c>
      <c r="R190" s="19">
        <v>0</v>
      </c>
      <c r="S190">
        <v>0</v>
      </c>
      <c r="T190" s="42">
        <v>0</v>
      </c>
      <c r="U190" s="19">
        <v>24167.836232603291</v>
      </c>
    </row>
    <row r="191" spans="2:21" x14ac:dyDescent="0.25">
      <c r="B191" s="4">
        <v>45089</v>
      </c>
      <c r="C191" s="19">
        <v>24167.836232603291</v>
      </c>
      <c r="D191" s="42">
        <v>0</v>
      </c>
      <c r="E191" s="42">
        <v>0</v>
      </c>
      <c r="F191" s="42">
        <v>0</v>
      </c>
      <c r="G191" s="42">
        <v>0</v>
      </c>
      <c r="H191" s="42">
        <v>0</v>
      </c>
      <c r="I191" s="42">
        <v>0</v>
      </c>
      <c r="J191" s="42">
        <v>0</v>
      </c>
      <c r="K191" s="19">
        <v>0</v>
      </c>
      <c r="L191" s="42">
        <v>0</v>
      </c>
      <c r="M191" s="42">
        <v>0</v>
      </c>
      <c r="N191" s="42">
        <v>0</v>
      </c>
      <c r="O191" s="42">
        <v>0</v>
      </c>
      <c r="P191" s="41">
        <v>0</v>
      </c>
      <c r="Q191" s="42">
        <v>0</v>
      </c>
      <c r="R191" s="19">
        <v>0</v>
      </c>
      <c r="S191">
        <v>0</v>
      </c>
      <c r="T191" s="42">
        <v>0</v>
      </c>
      <c r="U191" s="19">
        <v>24167.836232603291</v>
      </c>
    </row>
    <row r="192" spans="2:21" x14ac:dyDescent="0.25">
      <c r="B192" s="4">
        <v>45090</v>
      </c>
      <c r="C192" s="19">
        <v>24167.836232603291</v>
      </c>
      <c r="D192" s="42">
        <v>0</v>
      </c>
      <c r="E192" s="42">
        <v>0</v>
      </c>
      <c r="F192" s="42">
        <v>0</v>
      </c>
      <c r="G192" s="42">
        <v>0</v>
      </c>
      <c r="H192" s="42">
        <v>0</v>
      </c>
      <c r="I192" s="42">
        <v>0</v>
      </c>
      <c r="J192" s="42">
        <v>0</v>
      </c>
      <c r="K192" s="19">
        <v>0</v>
      </c>
      <c r="L192" s="42">
        <v>0</v>
      </c>
      <c r="M192" s="42">
        <v>0</v>
      </c>
      <c r="N192" s="42">
        <v>0</v>
      </c>
      <c r="O192" s="42">
        <v>0</v>
      </c>
      <c r="P192" s="41">
        <v>0</v>
      </c>
      <c r="Q192" s="42">
        <v>0</v>
      </c>
      <c r="R192" s="19">
        <v>0</v>
      </c>
      <c r="S192">
        <v>0</v>
      </c>
      <c r="T192" s="42">
        <v>0</v>
      </c>
      <c r="U192" s="19">
        <v>24167.836232603291</v>
      </c>
    </row>
    <row r="193" spans="2:21" x14ac:dyDescent="0.25">
      <c r="B193" s="4">
        <v>45091</v>
      </c>
      <c r="C193" s="19">
        <v>24167.836232603291</v>
      </c>
      <c r="D193" s="42">
        <v>0</v>
      </c>
      <c r="E193" s="42">
        <v>0</v>
      </c>
      <c r="F193" s="42">
        <v>0</v>
      </c>
      <c r="G193" s="42">
        <v>0</v>
      </c>
      <c r="H193" s="42">
        <v>0</v>
      </c>
      <c r="I193" s="42">
        <v>0</v>
      </c>
      <c r="J193" s="42">
        <v>0</v>
      </c>
      <c r="K193" s="19">
        <v>0</v>
      </c>
      <c r="L193" s="42">
        <v>0</v>
      </c>
      <c r="M193" s="42">
        <v>0</v>
      </c>
      <c r="N193" s="42">
        <v>0</v>
      </c>
      <c r="O193" s="42">
        <v>0</v>
      </c>
      <c r="P193" s="41">
        <v>0</v>
      </c>
      <c r="Q193" s="42">
        <v>0</v>
      </c>
      <c r="R193" s="19">
        <v>0</v>
      </c>
      <c r="S193">
        <v>0</v>
      </c>
      <c r="T193" s="42">
        <v>0</v>
      </c>
      <c r="U193" s="19">
        <v>24167.836232603291</v>
      </c>
    </row>
    <row r="194" spans="2:21" x14ac:dyDescent="0.25">
      <c r="B194" s="4">
        <v>45092</v>
      </c>
      <c r="C194" s="19">
        <v>24167.836232603291</v>
      </c>
      <c r="D194" s="42">
        <v>0</v>
      </c>
      <c r="E194" s="42">
        <v>0</v>
      </c>
      <c r="F194" s="42">
        <v>0</v>
      </c>
      <c r="G194" s="42">
        <v>0</v>
      </c>
      <c r="H194" s="42">
        <v>0</v>
      </c>
      <c r="I194" s="42">
        <v>0</v>
      </c>
      <c r="J194" s="42">
        <v>0</v>
      </c>
      <c r="K194" s="19">
        <v>0</v>
      </c>
      <c r="L194" s="42">
        <v>0</v>
      </c>
      <c r="M194" s="42">
        <v>0</v>
      </c>
      <c r="N194" s="42">
        <v>0</v>
      </c>
      <c r="O194" s="42">
        <v>0</v>
      </c>
      <c r="P194" s="41">
        <v>0</v>
      </c>
      <c r="Q194" s="42">
        <v>-587.17999999999995</v>
      </c>
      <c r="R194" s="19">
        <v>0</v>
      </c>
      <c r="S194">
        <v>0</v>
      </c>
      <c r="T194" s="42">
        <v>0</v>
      </c>
      <c r="U194" s="19">
        <v>23580.656232603291</v>
      </c>
    </row>
    <row r="195" spans="2:21" x14ac:dyDescent="0.25">
      <c r="B195" s="4">
        <v>45093</v>
      </c>
      <c r="C195" s="19">
        <v>23580.656232603291</v>
      </c>
      <c r="D195" s="42">
        <v>0</v>
      </c>
      <c r="E195" s="42">
        <v>0</v>
      </c>
      <c r="F195" s="42">
        <v>0</v>
      </c>
      <c r="G195" s="42">
        <v>0</v>
      </c>
      <c r="H195" s="42">
        <v>0</v>
      </c>
      <c r="I195" s="42">
        <v>0</v>
      </c>
      <c r="J195" s="42">
        <v>0</v>
      </c>
      <c r="K195" s="19">
        <v>0</v>
      </c>
      <c r="L195" s="42">
        <v>0</v>
      </c>
      <c r="M195" s="42">
        <v>0</v>
      </c>
      <c r="N195" s="42">
        <v>0</v>
      </c>
      <c r="O195" s="42">
        <v>0</v>
      </c>
      <c r="P195" s="41">
        <v>0</v>
      </c>
      <c r="Q195" s="42">
        <v>0</v>
      </c>
      <c r="R195" s="19">
        <v>0</v>
      </c>
      <c r="S195">
        <v>0</v>
      </c>
      <c r="T195" s="42">
        <v>0</v>
      </c>
      <c r="U195" s="19">
        <v>23580.656232603291</v>
      </c>
    </row>
    <row r="196" spans="2:21" x14ac:dyDescent="0.25">
      <c r="B196" s="4">
        <v>45096</v>
      </c>
      <c r="C196" s="19">
        <v>23580.656232603291</v>
      </c>
      <c r="D196" s="42">
        <v>0</v>
      </c>
      <c r="E196" s="42">
        <v>0</v>
      </c>
      <c r="F196" s="42">
        <v>0</v>
      </c>
      <c r="G196" s="42">
        <v>0</v>
      </c>
      <c r="H196" s="42">
        <v>0</v>
      </c>
      <c r="I196" s="42">
        <v>0</v>
      </c>
      <c r="J196" s="42">
        <v>0</v>
      </c>
      <c r="K196" s="19">
        <v>0</v>
      </c>
      <c r="L196" s="42">
        <v>0</v>
      </c>
      <c r="M196" s="42">
        <v>0</v>
      </c>
      <c r="N196" s="42">
        <v>0</v>
      </c>
      <c r="O196" s="42">
        <v>0</v>
      </c>
      <c r="P196" s="41">
        <v>0</v>
      </c>
      <c r="Q196" s="42">
        <v>0</v>
      </c>
      <c r="R196" s="19">
        <v>0</v>
      </c>
      <c r="S196">
        <v>0</v>
      </c>
      <c r="T196" s="42">
        <v>0</v>
      </c>
      <c r="U196" s="19">
        <v>23580.656232603291</v>
      </c>
    </row>
    <row r="197" spans="2:21" x14ac:dyDescent="0.25">
      <c r="B197" s="4">
        <v>45097</v>
      </c>
      <c r="C197" s="19">
        <v>23580.656232603291</v>
      </c>
      <c r="D197" s="42">
        <v>0</v>
      </c>
      <c r="E197" s="42">
        <v>0</v>
      </c>
      <c r="F197" s="42">
        <v>0</v>
      </c>
      <c r="G197" s="42">
        <v>0</v>
      </c>
      <c r="H197" s="42">
        <v>0</v>
      </c>
      <c r="I197" s="42">
        <v>0</v>
      </c>
      <c r="J197" s="42">
        <v>0</v>
      </c>
      <c r="K197" s="19">
        <v>0</v>
      </c>
      <c r="L197" s="42">
        <v>0</v>
      </c>
      <c r="M197" s="42">
        <v>0</v>
      </c>
      <c r="N197" s="42">
        <v>0</v>
      </c>
      <c r="O197" s="42">
        <v>0</v>
      </c>
      <c r="P197" s="41">
        <v>0</v>
      </c>
      <c r="Q197" s="42">
        <v>0</v>
      </c>
      <c r="R197" s="19">
        <v>0</v>
      </c>
      <c r="S197">
        <v>0</v>
      </c>
      <c r="T197" s="42">
        <v>0</v>
      </c>
      <c r="U197" s="19">
        <v>23580.656232603291</v>
      </c>
    </row>
    <row r="198" spans="2:21" x14ac:dyDescent="0.25">
      <c r="B198" s="4">
        <v>45098</v>
      </c>
      <c r="C198" s="19">
        <v>23580.656232603291</v>
      </c>
      <c r="D198" s="42">
        <v>0</v>
      </c>
      <c r="E198" s="42">
        <v>0</v>
      </c>
      <c r="F198" s="42">
        <v>0</v>
      </c>
      <c r="G198" s="42">
        <v>0</v>
      </c>
      <c r="H198" s="42">
        <v>0</v>
      </c>
      <c r="I198" s="42">
        <v>0</v>
      </c>
      <c r="J198" s="42">
        <v>0</v>
      </c>
      <c r="K198" s="19">
        <v>0</v>
      </c>
      <c r="L198" s="42">
        <v>0</v>
      </c>
      <c r="M198" s="42">
        <v>0</v>
      </c>
      <c r="N198" s="42">
        <v>0</v>
      </c>
      <c r="O198" s="42">
        <v>0</v>
      </c>
      <c r="P198" s="41">
        <v>0</v>
      </c>
      <c r="Q198" s="42">
        <v>0</v>
      </c>
      <c r="R198" s="19">
        <v>0</v>
      </c>
      <c r="S198">
        <v>0</v>
      </c>
      <c r="T198" s="42">
        <v>0</v>
      </c>
      <c r="U198" s="19">
        <v>23580.656232603291</v>
      </c>
    </row>
    <row r="199" spans="2:21" x14ac:dyDescent="0.25">
      <c r="B199" s="4">
        <v>45099</v>
      </c>
      <c r="C199" s="19">
        <v>23580.656232603291</v>
      </c>
      <c r="D199" s="42">
        <v>0</v>
      </c>
      <c r="E199" s="42">
        <v>0</v>
      </c>
      <c r="F199" s="42">
        <v>0</v>
      </c>
      <c r="G199" s="42">
        <v>0</v>
      </c>
      <c r="H199" s="42">
        <v>0</v>
      </c>
      <c r="I199" s="42">
        <v>0</v>
      </c>
      <c r="J199" s="42">
        <v>0</v>
      </c>
      <c r="K199" s="19">
        <v>0</v>
      </c>
      <c r="L199" s="42">
        <v>0</v>
      </c>
      <c r="M199" s="42">
        <v>0</v>
      </c>
      <c r="N199" s="42">
        <v>0</v>
      </c>
      <c r="O199" s="42">
        <v>0</v>
      </c>
      <c r="P199" s="41">
        <v>0</v>
      </c>
      <c r="Q199" s="42">
        <v>0</v>
      </c>
      <c r="R199" s="19">
        <v>0</v>
      </c>
      <c r="S199">
        <v>0</v>
      </c>
      <c r="T199" s="42">
        <v>0</v>
      </c>
      <c r="U199" s="19">
        <v>23580.656232603291</v>
      </c>
    </row>
    <row r="200" spans="2:21" x14ac:dyDescent="0.25">
      <c r="B200" s="4">
        <v>45100</v>
      </c>
      <c r="C200" s="19">
        <v>23580.656232603291</v>
      </c>
      <c r="D200" s="42">
        <v>0</v>
      </c>
      <c r="E200" s="42">
        <v>0</v>
      </c>
      <c r="F200" s="42">
        <v>0</v>
      </c>
      <c r="G200" s="42">
        <v>0</v>
      </c>
      <c r="H200" s="42">
        <v>0</v>
      </c>
      <c r="I200" s="42">
        <v>0</v>
      </c>
      <c r="J200" s="42">
        <v>0</v>
      </c>
      <c r="K200" s="19">
        <v>0</v>
      </c>
      <c r="L200" s="42">
        <v>0</v>
      </c>
      <c r="M200" s="42">
        <v>0</v>
      </c>
      <c r="N200" s="42">
        <v>0</v>
      </c>
      <c r="O200" s="42">
        <v>0</v>
      </c>
      <c r="P200" s="41">
        <v>0</v>
      </c>
      <c r="Q200" s="42">
        <v>0</v>
      </c>
      <c r="R200" s="19">
        <v>0</v>
      </c>
      <c r="S200">
        <v>0</v>
      </c>
      <c r="T200" s="42">
        <v>0</v>
      </c>
      <c r="U200" s="19">
        <v>23580.656232603291</v>
      </c>
    </row>
    <row r="201" spans="2:21" x14ac:dyDescent="0.25">
      <c r="B201" s="4">
        <v>45103</v>
      </c>
      <c r="C201" s="19">
        <v>23580.656232603291</v>
      </c>
      <c r="D201" s="42">
        <v>0</v>
      </c>
      <c r="E201" s="42">
        <v>0</v>
      </c>
      <c r="F201" s="42">
        <v>0</v>
      </c>
      <c r="G201" s="42">
        <v>0</v>
      </c>
      <c r="H201" s="42">
        <v>0</v>
      </c>
      <c r="I201" s="42">
        <v>0</v>
      </c>
      <c r="J201" s="42">
        <v>0</v>
      </c>
      <c r="K201" s="19">
        <v>0</v>
      </c>
      <c r="L201" s="42">
        <v>0</v>
      </c>
      <c r="M201" s="42">
        <v>0</v>
      </c>
      <c r="N201" s="42">
        <v>0</v>
      </c>
      <c r="O201" s="42">
        <v>0</v>
      </c>
      <c r="P201" s="41">
        <v>0</v>
      </c>
      <c r="Q201" s="42">
        <v>0</v>
      </c>
      <c r="R201" s="19">
        <v>0</v>
      </c>
      <c r="S201">
        <v>0</v>
      </c>
      <c r="T201" s="42">
        <v>0</v>
      </c>
      <c r="U201" s="19">
        <v>23580.656232603291</v>
      </c>
    </row>
    <row r="202" spans="2:21" x14ac:dyDescent="0.25">
      <c r="B202" s="4">
        <v>45104</v>
      </c>
      <c r="C202" s="19">
        <v>23580.656232603291</v>
      </c>
      <c r="D202" s="42">
        <v>0</v>
      </c>
      <c r="E202" s="42">
        <v>0</v>
      </c>
      <c r="F202" s="42">
        <v>0</v>
      </c>
      <c r="G202" s="42">
        <v>0</v>
      </c>
      <c r="H202" s="42">
        <v>0</v>
      </c>
      <c r="I202" s="42">
        <v>0</v>
      </c>
      <c r="J202" s="42">
        <v>0</v>
      </c>
      <c r="K202" s="19">
        <v>0</v>
      </c>
      <c r="L202" s="42">
        <v>0</v>
      </c>
      <c r="M202" s="42">
        <v>0</v>
      </c>
      <c r="N202" s="42">
        <v>0</v>
      </c>
      <c r="O202" s="42">
        <v>0</v>
      </c>
      <c r="P202" s="41">
        <v>0</v>
      </c>
      <c r="Q202" s="42">
        <v>0</v>
      </c>
      <c r="R202" s="19">
        <v>0</v>
      </c>
      <c r="S202">
        <v>0</v>
      </c>
      <c r="T202" s="42">
        <v>0</v>
      </c>
      <c r="U202" s="19">
        <v>23580.656232603291</v>
      </c>
    </row>
    <row r="203" spans="2:21" x14ac:dyDescent="0.25">
      <c r="B203" s="4">
        <v>45105</v>
      </c>
      <c r="C203" s="19">
        <v>23580.656232603291</v>
      </c>
      <c r="D203" s="42">
        <v>0</v>
      </c>
      <c r="E203" s="42">
        <v>0</v>
      </c>
      <c r="F203" s="42">
        <v>0</v>
      </c>
      <c r="G203" s="42">
        <v>0</v>
      </c>
      <c r="H203" s="42">
        <v>0</v>
      </c>
      <c r="I203" s="42">
        <v>0</v>
      </c>
      <c r="J203" s="42">
        <v>0</v>
      </c>
      <c r="K203" s="19">
        <v>0</v>
      </c>
      <c r="L203" s="42">
        <v>0</v>
      </c>
      <c r="M203" s="42">
        <v>0</v>
      </c>
      <c r="N203" s="42">
        <v>0</v>
      </c>
      <c r="O203" s="42">
        <v>0</v>
      </c>
      <c r="P203" s="41">
        <v>0</v>
      </c>
      <c r="Q203" s="42">
        <v>0</v>
      </c>
      <c r="R203" s="19">
        <v>0</v>
      </c>
      <c r="S203">
        <v>0</v>
      </c>
      <c r="T203" s="42">
        <v>0</v>
      </c>
      <c r="U203" s="19">
        <v>23580.656232603291</v>
      </c>
    </row>
    <row r="204" spans="2:21" x14ac:dyDescent="0.25">
      <c r="B204" s="4">
        <v>45106</v>
      </c>
      <c r="C204" s="19">
        <v>23580.656232603291</v>
      </c>
      <c r="D204" s="42">
        <v>0</v>
      </c>
      <c r="E204" s="42">
        <v>0</v>
      </c>
      <c r="F204" s="42">
        <v>0</v>
      </c>
      <c r="G204" s="42">
        <v>0</v>
      </c>
      <c r="H204" s="42">
        <v>0</v>
      </c>
      <c r="I204" s="42">
        <v>0</v>
      </c>
      <c r="J204" s="42">
        <v>0</v>
      </c>
      <c r="K204" s="19">
        <v>0</v>
      </c>
      <c r="L204" s="42">
        <v>0</v>
      </c>
      <c r="M204" s="42">
        <v>0</v>
      </c>
      <c r="N204" s="42">
        <v>0</v>
      </c>
      <c r="O204" s="42">
        <v>0</v>
      </c>
      <c r="P204" s="41">
        <v>0</v>
      </c>
      <c r="Q204" s="42">
        <v>0</v>
      </c>
      <c r="R204" s="19">
        <v>0</v>
      </c>
      <c r="S204">
        <v>0</v>
      </c>
      <c r="T204" s="42">
        <v>0</v>
      </c>
      <c r="U204" s="19">
        <v>23580.656232603291</v>
      </c>
    </row>
    <row r="205" spans="2:21" x14ac:dyDescent="0.25">
      <c r="B205" s="4">
        <v>45107</v>
      </c>
      <c r="C205" s="19">
        <v>23580.656232603291</v>
      </c>
      <c r="D205" s="42">
        <v>0</v>
      </c>
      <c r="E205" s="42">
        <v>0</v>
      </c>
      <c r="F205" s="42">
        <v>0</v>
      </c>
      <c r="G205" s="42">
        <v>0</v>
      </c>
      <c r="H205" s="42">
        <v>0</v>
      </c>
      <c r="I205" s="42">
        <v>0</v>
      </c>
      <c r="J205" s="42">
        <v>0</v>
      </c>
      <c r="K205" s="19">
        <v>0</v>
      </c>
      <c r="L205" s="42">
        <v>0</v>
      </c>
      <c r="M205" s="42">
        <v>0</v>
      </c>
      <c r="N205" s="42">
        <v>0</v>
      </c>
      <c r="O205" s="42">
        <v>0</v>
      </c>
      <c r="P205" s="41">
        <v>0</v>
      </c>
      <c r="Q205" s="42">
        <v>0</v>
      </c>
      <c r="R205" s="19">
        <v>0</v>
      </c>
      <c r="S205">
        <v>0</v>
      </c>
      <c r="T205" s="42">
        <v>0</v>
      </c>
      <c r="U205" s="19">
        <v>23580.656232603291</v>
      </c>
    </row>
    <row r="206" spans="2:21" x14ac:dyDescent="0.25">
      <c r="B206" s="4">
        <v>45110</v>
      </c>
      <c r="C206" s="19">
        <v>23580.656232603291</v>
      </c>
      <c r="D206" s="42">
        <v>0</v>
      </c>
      <c r="E206" s="42">
        <v>0</v>
      </c>
      <c r="F206" s="42">
        <v>0</v>
      </c>
      <c r="G206" s="42">
        <v>0</v>
      </c>
      <c r="H206" s="42">
        <v>0</v>
      </c>
      <c r="I206" s="42">
        <v>0</v>
      </c>
      <c r="J206" s="42">
        <v>0</v>
      </c>
      <c r="K206" s="19">
        <v>0</v>
      </c>
      <c r="L206" s="42">
        <v>0</v>
      </c>
      <c r="M206" s="42">
        <v>0</v>
      </c>
      <c r="N206" s="42">
        <v>0</v>
      </c>
      <c r="O206" s="42">
        <v>0</v>
      </c>
      <c r="P206" s="41">
        <v>0</v>
      </c>
      <c r="Q206" s="42">
        <v>0</v>
      </c>
      <c r="R206" s="19">
        <v>0</v>
      </c>
      <c r="S206">
        <v>0</v>
      </c>
      <c r="T206" s="42">
        <v>0</v>
      </c>
      <c r="U206" s="19">
        <v>23580.656232603291</v>
      </c>
    </row>
    <row r="207" spans="2:21" x14ac:dyDescent="0.25">
      <c r="B207" s="4">
        <v>45111</v>
      </c>
      <c r="C207" s="19">
        <v>23580.656232603291</v>
      </c>
      <c r="D207" s="42">
        <v>0</v>
      </c>
      <c r="E207" s="42">
        <v>0</v>
      </c>
      <c r="F207" s="42">
        <v>0</v>
      </c>
      <c r="G207" s="42">
        <v>0</v>
      </c>
      <c r="H207" s="42">
        <v>0</v>
      </c>
      <c r="I207" s="42">
        <v>0</v>
      </c>
      <c r="J207" s="42">
        <v>0</v>
      </c>
      <c r="K207" s="19">
        <v>0</v>
      </c>
      <c r="L207" s="42">
        <v>0</v>
      </c>
      <c r="M207" s="42">
        <v>0</v>
      </c>
      <c r="N207" s="42">
        <v>0</v>
      </c>
      <c r="O207" s="42">
        <v>0</v>
      </c>
      <c r="P207" s="41">
        <v>0</v>
      </c>
      <c r="Q207" s="42">
        <v>0</v>
      </c>
      <c r="R207" s="19">
        <v>0</v>
      </c>
      <c r="S207">
        <v>0</v>
      </c>
      <c r="T207" s="42">
        <v>0</v>
      </c>
      <c r="U207" s="19">
        <v>23580.656232603291</v>
      </c>
    </row>
    <row r="208" spans="2:21" x14ac:dyDescent="0.25">
      <c r="B208" s="4">
        <v>45112</v>
      </c>
      <c r="C208" s="19">
        <v>23580.656232603291</v>
      </c>
      <c r="D208" s="42">
        <v>0</v>
      </c>
      <c r="E208" s="42">
        <v>0</v>
      </c>
      <c r="F208" s="42">
        <v>0</v>
      </c>
      <c r="G208" s="42">
        <v>0</v>
      </c>
      <c r="H208" s="42">
        <v>0</v>
      </c>
      <c r="I208" s="42">
        <v>0</v>
      </c>
      <c r="J208" s="42">
        <v>0</v>
      </c>
      <c r="K208" s="19">
        <v>0</v>
      </c>
      <c r="L208" s="42">
        <v>0</v>
      </c>
      <c r="M208" s="42">
        <v>0</v>
      </c>
      <c r="N208" s="42">
        <v>0</v>
      </c>
      <c r="O208" s="42">
        <v>0</v>
      </c>
      <c r="P208" s="41">
        <v>0</v>
      </c>
      <c r="Q208" s="42">
        <v>0</v>
      </c>
      <c r="R208" s="19">
        <v>0</v>
      </c>
      <c r="S208">
        <v>0</v>
      </c>
      <c r="T208" s="42">
        <v>0</v>
      </c>
      <c r="U208" s="19">
        <v>23580.656232603291</v>
      </c>
    </row>
    <row r="209" spans="2:21" x14ac:dyDescent="0.25">
      <c r="B209" s="4">
        <v>45113</v>
      </c>
      <c r="C209" s="19">
        <v>23580.656232603291</v>
      </c>
      <c r="D209" s="42">
        <v>0</v>
      </c>
      <c r="E209" s="42">
        <v>0</v>
      </c>
      <c r="F209" s="42">
        <v>0</v>
      </c>
      <c r="G209" s="42">
        <v>0</v>
      </c>
      <c r="H209" s="42">
        <v>0</v>
      </c>
      <c r="I209" s="42">
        <v>0</v>
      </c>
      <c r="J209" s="42">
        <v>0</v>
      </c>
      <c r="K209" s="19">
        <v>0</v>
      </c>
      <c r="L209" s="42">
        <v>0</v>
      </c>
      <c r="M209" s="42">
        <v>0</v>
      </c>
      <c r="N209" s="42">
        <v>0</v>
      </c>
      <c r="O209" s="42">
        <v>0</v>
      </c>
      <c r="P209" s="41">
        <v>0</v>
      </c>
      <c r="Q209" s="42">
        <v>0</v>
      </c>
      <c r="R209" s="19">
        <v>0</v>
      </c>
      <c r="S209" s="42">
        <v>24500</v>
      </c>
      <c r="T209" s="42">
        <v>0</v>
      </c>
      <c r="U209" s="19">
        <v>48080.656232603287</v>
      </c>
    </row>
    <row r="210" spans="2:21" x14ac:dyDescent="0.25">
      <c r="B210" s="4">
        <v>45114</v>
      </c>
      <c r="C210" s="19">
        <v>48080.656232603287</v>
      </c>
      <c r="D210" s="42">
        <v>-23073.96</v>
      </c>
      <c r="E210" s="42">
        <v>0</v>
      </c>
      <c r="F210" s="42">
        <v>0</v>
      </c>
      <c r="G210" s="42">
        <v>0</v>
      </c>
      <c r="H210" s="42">
        <v>0</v>
      </c>
      <c r="I210" s="42">
        <v>0</v>
      </c>
      <c r="J210" s="42">
        <v>0</v>
      </c>
      <c r="K210" s="19">
        <v>0</v>
      </c>
      <c r="L210" s="42">
        <v>0</v>
      </c>
      <c r="M210" s="42">
        <v>0</v>
      </c>
      <c r="N210" s="42">
        <v>0</v>
      </c>
      <c r="O210" s="42">
        <v>0</v>
      </c>
      <c r="P210" s="41">
        <v>0</v>
      </c>
      <c r="Q210" s="42">
        <v>0</v>
      </c>
      <c r="R210" s="19">
        <v>0</v>
      </c>
      <c r="S210">
        <v>0</v>
      </c>
      <c r="T210" s="42">
        <v>0</v>
      </c>
      <c r="U210" s="19">
        <v>25006.696232603288</v>
      </c>
    </row>
    <row r="211" spans="2:21" x14ac:dyDescent="0.25">
      <c r="B211" s="4">
        <v>45117</v>
      </c>
      <c r="C211" s="19">
        <v>25006.696232603288</v>
      </c>
      <c r="D211" s="42">
        <v>0</v>
      </c>
      <c r="E211" s="42">
        <v>0</v>
      </c>
      <c r="F211" s="42">
        <v>0</v>
      </c>
      <c r="G211" s="42">
        <v>0</v>
      </c>
      <c r="H211" s="42">
        <v>0</v>
      </c>
      <c r="I211" s="42">
        <v>0</v>
      </c>
      <c r="J211" s="42">
        <v>0</v>
      </c>
      <c r="K211" s="19">
        <v>0</v>
      </c>
      <c r="L211" s="42">
        <v>0</v>
      </c>
      <c r="M211" s="42">
        <v>0</v>
      </c>
      <c r="N211" s="42">
        <v>0</v>
      </c>
      <c r="O211" s="42">
        <v>0</v>
      </c>
      <c r="P211" s="41">
        <v>0</v>
      </c>
      <c r="Q211" s="42">
        <v>0</v>
      </c>
      <c r="R211" s="19">
        <v>0</v>
      </c>
      <c r="S211">
        <v>0</v>
      </c>
      <c r="T211" s="42">
        <v>0</v>
      </c>
      <c r="U211" s="19">
        <v>25006.696232603288</v>
      </c>
    </row>
    <row r="212" spans="2:21" x14ac:dyDescent="0.25">
      <c r="B212" s="4">
        <v>45118</v>
      </c>
      <c r="C212" s="19">
        <v>25006.696232603288</v>
      </c>
      <c r="D212" s="42">
        <v>0</v>
      </c>
      <c r="E212" s="42">
        <v>0</v>
      </c>
      <c r="F212" s="42">
        <v>0</v>
      </c>
      <c r="G212" s="42">
        <v>0</v>
      </c>
      <c r="H212" s="42">
        <v>0</v>
      </c>
      <c r="I212" s="42">
        <v>0</v>
      </c>
      <c r="J212" s="42">
        <v>0</v>
      </c>
      <c r="K212" s="19">
        <v>0</v>
      </c>
      <c r="L212" s="42">
        <v>0</v>
      </c>
      <c r="M212" s="42">
        <v>0</v>
      </c>
      <c r="N212" s="42">
        <v>0</v>
      </c>
      <c r="O212" s="42">
        <v>0</v>
      </c>
      <c r="P212" s="41">
        <v>0</v>
      </c>
      <c r="Q212" s="42">
        <v>0</v>
      </c>
      <c r="R212" s="19">
        <v>0</v>
      </c>
      <c r="S212">
        <v>0</v>
      </c>
      <c r="T212" s="42">
        <v>0</v>
      </c>
      <c r="U212" s="19">
        <v>25006.696232603288</v>
      </c>
    </row>
    <row r="213" spans="2:21" x14ac:dyDescent="0.25">
      <c r="B213" s="4">
        <v>45119</v>
      </c>
      <c r="C213" s="19">
        <v>25006.696232603288</v>
      </c>
      <c r="D213" s="42">
        <v>0</v>
      </c>
      <c r="E213" s="42">
        <v>0</v>
      </c>
      <c r="F213" s="42">
        <v>0</v>
      </c>
      <c r="G213" s="42">
        <v>0</v>
      </c>
      <c r="H213" s="42">
        <v>0</v>
      </c>
      <c r="I213" s="42">
        <v>0</v>
      </c>
      <c r="J213" s="42">
        <v>0</v>
      </c>
      <c r="K213" s="19">
        <v>-100000</v>
      </c>
      <c r="L213" s="42">
        <v>0</v>
      </c>
      <c r="M213" s="42">
        <v>0</v>
      </c>
      <c r="N213" s="42">
        <v>0</v>
      </c>
      <c r="O213" s="42">
        <v>0</v>
      </c>
      <c r="P213" s="41">
        <v>0</v>
      </c>
      <c r="Q213" s="42">
        <v>0</v>
      </c>
      <c r="R213" s="19">
        <v>100000</v>
      </c>
      <c r="S213">
        <v>0</v>
      </c>
      <c r="T213" s="42">
        <v>0</v>
      </c>
      <c r="U213" s="19">
        <v>25006.696232603281</v>
      </c>
    </row>
    <row r="214" spans="2:21" x14ac:dyDescent="0.25">
      <c r="B214" s="4">
        <v>45120</v>
      </c>
      <c r="C214" s="19">
        <v>25006.696232603281</v>
      </c>
      <c r="D214" s="42">
        <v>0</v>
      </c>
      <c r="E214" s="42">
        <v>0</v>
      </c>
      <c r="F214" s="42">
        <v>0</v>
      </c>
      <c r="G214" s="42">
        <v>0</v>
      </c>
      <c r="H214" s="42">
        <v>0</v>
      </c>
      <c r="I214" s="42">
        <v>0</v>
      </c>
      <c r="J214" s="42">
        <v>0</v>
      </c>
      <c r="K214" s="19">
        <v>0</v>
      </c>
      <c r="L214" s="42">
        <v>0</v>
      </c>
      <c r="M214" s="42">
        <v>0</v>
      </c>
      <c r="N214" s="42">
        <v>0</v>
      </c>
      <c r="O214" s="42">
        <v>0</v>
      </c>
      <c r="P214" s="41">
        <v>0</v>
      </c>
      <c r="Q214" s="42">
        <v>0</v>
      </c>
      <c r="R214" s="19">
        <v>0</v>
      </c>
      <c r="S214">
        <v>0</v>
      </c>
      <c r="T214" s="42">
        <v>0</v>
      </c>
      <c r="U214" s="19">
        <v>25006.696232603281</v>
      </c>
    </row>
    <row r="215" spans="2:21" x14ac:dyDescent="0.25">
      <c r="B215" s="4">
        <v>45121</v>
      </c>
      <c r="C215" s="19">
        <v>25006.696232603281</v>
      </c>
      <c r="D215" s="42">
        <v>0</v>
      </c>
      <c r="E215" s="42">
        <v>0</v>
      </c>
      <c r="F215" s="42">
        <v>0</v>
      </c>
      <c r="G215" s="42">
        <v>0</v>
      </c>
      <c r="H215" s="42">
        <v>0</v>
      </c>
      <c r="I215" s="42">
        <v>0</v>
      </c>
      <c r="J215" s="42">
        <v>0</v>
      </c>
      <c r="K215" s="19">
        <v>0</v>
      </c>
      <c r="L215" s="42">
        <v>0</v>
      </c>
      <c r="M215" s="42">
        <v>0</v>
      </c>
      <c r="N215" s="42">
        <v>0</v>
      </c>
      <c r="O215" s="42">
        <v>0</v>
      </c>
      <c r="P215" s="41">
        <v>0</v>
      </c>
      <c r="Q215" s="42">
        <v>-587.17999999999995</v>
      </c>
      <c r="R215" s="19">
        <v>0</v>
      </c>
      <c r="S215">
        <v>0</v>
      </c>
      <c r="T215" s="42">
        <v>0</v>
      </c>
      <c r="U215" s="19">
        <v>24419.516232603281</v>
      </c>
    </row>
    <row r="216" spans="2:21" x14ac:dyDescent="0.25">
      <c r="B216" s="4">
        <v>45124</v>
      </c>
      <c r="C216" s="19">
        <v>24419.516232603281</v>
      </c>
      <c r="D216" s="42">
        <v>0</v>
      </c>
      <c r="E216" s="42">
        <v>0</v>
      </c>
      <c r="F216" s="42">
        <v>0</v>
      </c>
      <c r="G216" s="42">
        <v>0</v>
      </c>
      <c r="H216" s="42">
        <v>0</v>
      </c>
      <c r="I216" s="42">
        <v>0</v>
      </c>
      <c r="J216" s="42">
        <v>0</v>
      </c>
      <c r="K216" s="19">
        <v>0</v>
      </c>
      <c r="L216" s="42">
        <v>0</v>
      </c>
      <c r="M216" s="42">
        <v>0</v>
      </c>
      <c r="N216" s="42">
        <v>0</v>
      </c>
      <c r="O216" s="42">
        <v>0</v>
      </c>
      <c r="P216" s="41">
        <v>0</v>
      </c>
      <c r="Q216" s="42">
        <v>0</v>
      </c>
      <c r="R216" s="19">
        <v>0</v>
      </c>
      <c r="S216">
        <v>0</v>
      </c>
      <c r="T216" s="42">
        <v>0</v>
      </c>
      <c r="U216" s="19">
        <v>24419.516232603281</v>
      </c>
    </row>
    <row r="217" spans="2:21" x14ac:dyDescent="0.25">
      <c r="B217" s="4">
        <v>45125</v>
      </c>
      <c r="C217" s="19">
        <v>24419.516232603281</v>
      </c>
      <c r="D217" s="42">
        <v>0</v>
      </c>
      <c r="E217" s="42">
        <v>0</v>
      </c>
      <c r="F217" s="42">
        <v>0</v>
      </c>
      <c r="G217" s="42">
        <v>0</v>
      </c>
      <c r="H217" s="42">
        <v>0</v>
      </c>
      <c r="I217" s="42">
        <v>0</v>
      </c>
      <c r="J217" s="42">
        <v>0</v>
      </c>
      <c r="K217" s="19">
        <v>0</v>
      </c>
      <c r="L217" s="42">
        <v>0</v>
      </c>
      <c r="M217" s="42">
        <v>0</v>
      </c>
      <c r="N217" s="42">
        <v>0</v>
      </c>
      <c r="O217" s="42">
        <v>0</v>
      </c>
      <c r="P217" s="41">
        <v>0</v>
      </c>
      <c r="Q217" s="42">
        <v>0</v>
      </c>
      <c r="R217" s="19">
        <v>0</v>
      </c>
      <c r="S217">
        <v>0</v>
      </c>
      <c r="T217" s="42">
        <v>0</v>
      </c>
      <c r="U217" s="19">
        <v>24419.516232603281</v>
      </c>
    </row>
    <row r="218" spans="2:21" x14ac:dyDescent="0.25">
      <c r="B218" s="4">
        <v>45126</v>
      </c>
      <c r="C218" s="19">
        <v>24419.516232603281</v>
      </c>
      <c r="D218" s="42">
        <v>0</v>
      </c>
      <c r="E218" s="42">
        <v>0</v>
      </c>
      <c r="F218" s="42">
        <v>0</v>
      </c>
      <c r="G218" s="42">
        <v>0</v>
      </c>
      <c r="H218" s="42">
        <v>0</v>
      </c>
      <c r="I218" s="42">
        <v>0</v>
      </c>
      <c r="J218" s="42">
        <v>0</v>
      </c>
      <c r="K218" s="19">
        <v>0</v>
      </c>
      <c r="L218" s="42">
        <v>0</v>
      </c>
      <c r="M218" s="42">
        <v>0</v>
      </c>
      <c r="N218" s="42">
        <v>0</v>
      </c>
      <c r="O218" s="42">
        <v>0</v>
      </c>
      <c r="P218" s="41">
        <v>0</v>
      </c>
      <c r="Q218" s="42">
        <v>0</v>
      </c>
      <c r="R218" s="19">
        <v>0</v>
      </c>
      <c r="S218">
        <v>0</v>
      </c>
      <c r="T218" s="42">
        <v>0</v>
      </c>
      <c r="U218" s="19">
        <v>24419.516232603281</v>
      </c>
    </row>
    <row r="219" spans="2:21" x14ac:dyDescent="0.25">
      <c r="B219" s="4">
        <v>45127</v>
      </c>
      <c r="C219" s="19">
        <v>24419.516232603281</v>
      </c>
      <c r="D219" s="42">
        <v>0</v>
      </c>
      <c r="E219" s="42">
        <v>0</v>
      </c>
      <c r="F219" s="42">
        <v>0</v>
      </c>
      <c r="G219" s="42">
        <v>0</v>
      </c>
      <c r="H219" s="42">
        <v>0</v>
      </c>
      <c r="I219" s="42">
        <v>0</v>
      </c>
      <c r="J219" s="42">
        <v>0</v>
      </c>
      <c r="K219" s="19">
        <v>0</v>
      </c>
      <c r="L219" s="42">
        <v>0</v>
      </c>
      <c r="M219" s="42">
        <v>0</v>
      </c>
      <c r="N219" s="42">
        <v>0</v>
      </c>
      <c r="O219" s="42">
        <v>0</v>
      </c>
      <c r="P219" s="41">
        <v>0</v>
      </c>
      <c r="Q219" s="42">
        <v>0</v>
      </c>
      <c r="R219" s="19">
        <v>0</v>
      </c>
      <c r="S219">
        <v>0</v>
      </c>
      <c r="T219" s="42">
        <v>0</v>
      </c>
      <c r="U219" s="19">
        <v>24419.516232603281</v>
      </c>
    </row>
    <row r="220" spans="2:21" x14ac:dyDescent="0.25">
      <c r="B220" s="4">
        <v>45128</v>
      </c>
      <c r="C220" s="19">
        <v>24419.516232603281</v>
      </c>
      <c r="D220" s="42">
        <v>0</v>
      </c>
      <c r="E220" s="42">
        <v>0</v>
      </c>
      <c r="F220" s="42">
        <v>0</v>
      </c>
      <c r="G220" s="42">
        <v>0</v>
      </c>
      <c r="H220" s="42">
        <v>0</v>
      </c>
      <c r="I220" s="42">
        <v>0</v>
      </c>
      <c r="J220" s="42">
        <v>0</v>
      </c>
      <c r="K220" s="19">
        <v>0</v>
      </c>
      <c r="L220" s="42">
        <v>0</v>
      </c>
      <c r="M220" s="42">
        <v>0</v>
      </c>
      <c r="N220" s="42">
        <v>0</v>
      </c>
      <c r="O220" s="42">
        <v>0</v>
      </c>
      <c r="P220" s="41">
        <v>0</v>
      </c>
      <c r="Q220" s="42">
        <v>0</v>
      </c>
      <c r="R220" s="19">
        <v>0</v>
      </c>
      <c r="S220">
        <v>0</v>
      </c>
      <c r="T220" s="42">
        <v>0</v>
      </c>
      <c r="U220" s="19">
        <v>24419.516232603281</v>
      </c>
    </row>
    <row r="221" spans="2:21" x14ac:dyDescent="0.25">
      <c r="B221" s="4">
        <v>45131</v>
      </c>
      <c r="C221" s="19">
        <v>24419.516232603281</v>
      </c>
      <c r="D221" s="42">
        <v>0</v>
      </c>
      <c r="E221" s="42">
        <v>0</v>
      </c>
      <c r="F221" s="42">
        <v>0</v>
      </c>
      <c r="G221" s="42">
        <v>0</v>
      </c>
      <c r="H221" s="42">
        <v>0</v>
      </c>
      <c r="I221" s="42">
        <v>0</v>
      </c>
      <c r="J221" s="42">
        <v>0</v>
      </c>
      <c r="K221" s="19">
        <v>0</v>
      </c>
      <c r="L221" s="42">
        <v>0</v>
      </c>
      <c r="M221" s="42">
        <v>0</v>
      </c>
      <c r="N221" s="42">
        <v>0</v>
      </c>
      <c r="O221" s="42">
        <v>0</v>
      </c>
      <c r="P221" s="41">
        <v>0</v>
      </c>
      <c r="Q221" s="42">
        <v>0</v>
      </c>
      <c r="R221" s="19">
        <v>0</v>
      </c>
      <c r="S221">
        <v>0</v>
      </c>
      <c r="T221" s="42">
        <v>0</v>
      </c>
      <c r="U221" s="19">
        <v>24419.516232603281</v>
      </c>
    </row>
    <row r="222" spans="2:21" x14ac:dyDescent="0.25">
      <c r="B222" s="4">
        <v>45132</v>
      </c>
      <c r="C222" s="19">
        <v>24419.516232603281</v>
      </c>
      <c r="D222" s="42">
        <v>0</v>
      </c>
      <c r="E222" s="42">
        <v>0</v>
      </c>
      <c r="F222" s="42">
        <v>0</v>
      </c>
      <c r="G222" s="42">
        <v>0</v>
      </c>
      <c r="H222" s="42">
        <v>0</v>
      </c>
      <c r="I222" s="42">
        <v>0</v>
      </c>
      <c r="J222" s="42">
        <v>0</v>
      </c>
      <c r="K222" s="19">
        <v>0</v>
      </c>
      <c r="L222" s="42">
        <v>0</v>
      </c>
      <c r="M222" s="42">
        <v>0</v>
      </c>
      <c r="N222" s="42">
        <v>0</v>
      </c>
      <c r="O222" s="42">
        <v>0</v>
      </c>
      <c r="P222" s="41">
        <v>0</v>
      </c>
      <c r="Q222" s="42">
        <v>0</v>
      </c>
      <c r="R222" s="19">
        <v>0</v>
      </c>
      <c r="S222">
        <v>0</v>
      </c>
      <c r="T222" s="42">
        <v>0</v>
      </c>
      <c r="U222" s="19">
        <v>24419.516232603281</v>
      </c>
    </row>
    <row r="223" spans="2:21" x14ac:dyDescent="0.25">
      <c r="B223" s="4">
        <v>45133</v>
      </c>
      <c r="C223" s="19">
        <v>24419.516232603281</v>
      </c>
      <c r="D223" s="42">
        <v>0</v>
      </c>
      <c r="E223" s="42">
        <v>0</v>
      </c>
      <c r="F223" s="42">
        <v>0</v>
      </c>
      <c r="G223" s="42">
        <v>0</v>
      </c>
      <c r="H223" s="42">
        <v>0</v>
      </c>
      <c r="I223" s="42">
        <v>0</v>
      </c>
      <c r="J223" s="42">
        <v>0</v>
      </c>
      <c r="K223" s="19">
        <v>0</v>
      </c>
      <c r="L223" s="42">
        <v>0</v>
      </c>
      <c r="M223" s="42">
        <v>0</v>
      </c>
      <c r="N223" s="42">
        <v>0</v>
      </c>
      <c r="O223" s="42">
        <v>0</v>
      </c>
      <c r="P223" s="41">
        <v>0</v>
      </c>
      <c r="Q223" s="42">
        <v>0</v>
      </c>
      <c r="R223" s="19">
        <v>0</v>
      </c>
      <c r="S223">
        <v>0</v>
      </c>
      <c r="T223" s="42">
        <v>0</v>
      </c>
      <c r="U223" s="19">
        <v>24419.516232603281</v>
      </c>
    </row>
    <row r="224" spans="2:21" x14ac:dyDescent="0.25">
      <c r="B224" s="4">
        <v>45134</v>
      </c>
      <c r="C224" s="19">
        <v>24419.516232603281</v>
      </c>
      <c r="D224" s="42">
        <v>0</v>
      </c>
      <c r="E224" s="42">
        <v>0</v>
      </c>
      <c r="F224" s="42">
        <v>0</v>
      </c>
      <c r="G224" s="42">
        <v>0</v>
      </c>
      <c r="H224" s="42">
        <v>0</v>
      </c>
      <c r="I224" s="42">
        <v>0</v>
      </c>
      <c r="J224" s="42">
        <v>0</v>
      </c>
      <c r="K224" s="19">
        <v>0</v>
      </c>
      <c r="L224" s="42">
        <v>0</v>
      </c>
      <c r="M224" s="42">
        <v>0</v>
      </c>
      <c r="N224" s="42">
        <v>0</v>
      </c>
      <c r="O224" s="42">
        <v>0</v>
      </c>
      <c r="P224" s="41">
        <v>0</v>
      </c>
      <c r="Q224" s="42">
        <v>0</v>
      </c>
      <c r="R224" s="19">
        <v>0</v>
      </c>
      <c r="S224">
        <v>0</v>
      </c>
      <c r="T224" s="42">
        <v>0</v>
      </c>
      <c r="U224" s="19">
        <v>24419.516232603281</v>
      </c>
    </row>
    <row r="225" spans="2:21" x14ac:dyDescent="0.25">
      <c r="B225" s="4">
        <v>45135</v>
      </c>
      <c r="C225" s="19">
        <v>24419.516232603281</v>
      </c>
      <c r="D225" s="42">
        <v>0</v>
      </c>
      <c r="E225" s="42">
        <v>0</v>
      </c>
      <c r="F225" s="42">
        <v>0</v>
      </c>
      <c r="G225" s="42">
        <v>0</v>
      </c>
      <c r="H225" s="42">
        <v>0</v>
      </c>
      <c r="I225" s="42">
        <v>0</v>
      </c>
      <c r="J225" s="42">
        <v>0</v>
      </c>
      <c r="K225" s="19">
        <v>0</v>
      </c>
      <c r="L225" s="42">
        <v>0</v>
      </c>
      <c r="M225" s="42">
        <v>0</v>
      </c>
      <c r="N225" s="42">
        <v>0</v>
      </c>
      <c r="O225" s="42">
        <v>0</v>
      </c>
      <c r="P225" s="41">
        <v>0</v>
      </c>
      <c r="Q225" s="42">
        <v>0</v>
      </c>
      <c r="R225" s="19">
        <v>0</v>
      </c>
      <c r="S225">
        <v>0</v>
      </c>
      <c r="T225" s="42">
        <v>0</v>
      </c>
      <c r="U225" s="19">
        <v>24419.516232603281</v>
      </c>
    </row>
    <row r="226" spans="2:21" x14ac:dyDescent="0.25">
      <c r="B226" s="4">
        <v>45138</v>
      </c>
      <c r="C226" s="19">
        <v>24419.516232603281</v>
      </c>
      <c r="D226" s="42">
        <v>0</v>
      </c>
      <c r="E226" s="42">
        <v>0</v>
      </c>
      <c r="F226" s="42">
        <v>0</v>
      </c>
      <c r="G226" s="42">
        <v>0</v>
      </c>
      <c r="H226" s="42">
        <v>0</v>
      </c>
      <c r="I226" s="42">
        <v>0</v>
      </c>
      <c r="J226" s="42">
        <v>0</v>
      </c>
      <c r="K226" s="19">
        <v>0</v>
      </c>
      <c r="L226" s="42">
        <v>0</v>
      </c>
      <c r="M226" s="42">
        <v>0</v>
      </c>
      <c r="N226" s="42">
        <v>0</v>
      </c>
      <c r="O226" s="42">
        <v>0</v>
      </c>
      <c r="P226" s="41">
        <v>0</v>
      </c>
      <c r="Q226" s="42">
        <v>0</v>
      </c>
      <c r="R226" s="19">
        <v>0</v>
      </c>
      <c r="S226">
        <v>0</v>
      </c>
      <c r="T226" s="42">
        <v>0</v>
      </c>
      <c r="U226" s="19">
        <v>24419.516232603281</v>
      </c>
    </row>
    <row r="227" spans="2:21" x14ac:dyDescent="0.25">
      <c r="B227" s="4">
        <v>45139</v>
      </c>
      <c r="C227" s="19">
        <v>24419.516232603281</v>
      </c>
      <c r="D227" s="42">
        <v>0</v>
      </c>
      <c r="E227" s="42">
        <v>0</v>
      </c>
      <c r="F227" s="42">
        <v>0</v>
      </c>
      <c r="G227" s="42">
        <v>0</v>
      </c>
      <c r="H227" s="42">
        <v>0</v>
      </c>
      <c r="I227" s="42">
        <v>0</v>
      </c>
      <c r="J227" s="42">
        <v>0</v>
      </c>
      <c r="K227" s="19">
        <v>0</v>
      </c>
      <c r="L227" s="42">
        <v>0</v>
      </c>
      <c r="M227" s="42">
        <v>0</v>
      </c>
      <c r="N227" s="42">
        <v>0</v>
      </c>
      <c r="O227" s="42">
        <v>0</v>
      </c>
      <c r="P227" s="41">
        <v>0</v>
      </c>
      <c r="Q227" s="42">
        <v>0</v>
      </c>
      <c r="R227" s="19">
        <v>0</v>
      </c>
      <c r="S227">
        <v>0</v>
      </c>
      <c r="T227" s="42">
        <v>0</v>
      </c>
      <c r="U227" s="19">
        <v>24419.516232603281</v>
      </c>
    </row>
    <row r="228" spans="2:21" x14ac:dyDescent="0.25">
      <c r="B228" s="4">
        <v>45140</v>
      </c>
      <c r="C228" s="19">
        <v>24419.516232603281</v>
      </c>
      <c r="D228" s="42">
        <v>0</v>
      </c>
      <c r="E228" s="42">
        <v>0</v>
      </c>
      <c r="F228" s="42">
        <v>0</v>
      </c>
      <c r="G228" s="42">
        <v>0</v>
      </c>
      <c r="H228" s="42">
        <v>0</v>
      </c>
      <c r="I228" s="42">
        <v>0</v>
      </c>
      <c r="J228" s="42">
        <v>0</v>
      </c>
      <c r="K228" s="19">
        <v>0</v>
      </c>
      <c r="L228" s="42">
        <v>0</v>
      </c>
      <c r="M228" s="42">
        <v>0</v>
      </c>
      <c r="N228" s="42">
        <v>0</v>
      </c>
      <c r="O228" s="42">
        <v>0</v>
      </c>
      <c r="P228" s="41">
        <v>0</v>
      </c>
      <c r="Q228" s="42">
        <v>0</v>
      </c>
      <c r="R228" s="19">
        <v>0</v>
      </c>
      <c r="S228">
        <v>0</v>
      </c>
      <c r="T228" s="42">
        <v>0</v>
      </c>
      <c r="U228" s="19">
        <v>24419.516232603281</v>
      </c>
    </row>
    <row r="229" spans="2:21" x14ac:dyDescent="0.25">
      <c r="B229" s="4">
        <v>45141</v>
      </c>
      <c r="C229" s="19">
        <v>24419.516232603281</v>
      </c>
      <c r="D229" s="42">
        <v>0</v>
      </c>
      <c r="E229" s="42">
        <v>0</v>
      </c>
      <c r="F229" s="42">
        <v>0</v>
      </c>
      <c r="G229" s="42">
        <v>0</v>
      </c>
      <c r="H229" s="42">
        <v>0</v>
      </c>
      <c r="I229" s="42">
        <v>0</v>
      </c>
      <c r="J229" s="42">
        <v>0</v>
      </c>
      <c r="K229" s="19">
        <v>0</v>
      </c>
      <c r="L229" s="42">
        <v>0</v>
      </c>
      <c r="M229" s="42">
        <v>0</v>
      </c>
      <c r="N229" s="42">
        <v>0</v>
      </c>
      <c r="O229" s="42">
        <v>0</v>
      </c>
      <c r="P229" s="41">
        <v>0</v>
      </c>
      <c r="Q229" s="42">
        <v>0</v>
      </c>
      <c r="R229" s="19">
        <v>0</v>
      </c>
      <c r="S229">
        <v>0</v>
      </c>
      <c r="T229" s="42">
        <v>0</v>
      </c>
      <c r="U229" s="19">
        <v>24419.516232603281</v>
      </c>
    </row>
    <row r="230" spans="2:21" x14ac:dyDescent="0.25">
      <c r="B230" s="4">
        <v>45142</v>
      </c>
      <c r="C230" s="19">
        <v>24419.516232603281</v>
      </c>
      <c r="D230" s="42">
        <v>0</v>
      </c>
      <c r="E230" s="42">
        <v>0</v>
      </c>
      <c r="F230" s="42">
        <v>0</v>
      </c>
      <c r="G230" s="42">
        <v>0</v>
      </c>
      <c r="H230" s="42">
        <v>0</v>
      </c>
      <c r="I230" s="42">
        <v>0</v>
      </c>
      <c r="J230" s="42">
        <v>0</v>
      </c>
      <c r="K230" s="19">
        <v>0</v>
      </c>
      <c r="L230" s="42">
        <v>0</v>
      </c>
      <c r="M230" s="42">
        <v>0</v>
      </c>
      <c r="N230" s="42">
        <v>0</v>
      </c>
      <c r="O230" s="42">
        <v>0</v>
      </c>
      <c r="P230" s="41">
        <v>0</v>
      </c>
      <c r="Q230" s="42">
        <v>0</v>
      </c>
      <c r="R230" s="19">
        <v>0</v>
      </c>
      <c r="S230" s="42">
        <v>25000</v>
      </c>
      <c r="T230" s="42">
        <v>0</v>
      </c>
      <c r="U230" s="19">
        <v>49419.516232603281</v>
      </c>
    </row>
    <row r="231" spans="2:21" x14ac:dyDescent="0.25">
      <c r="B231" s="4">
        <v>45145</v>
      </c>
      <c r="C231" s="19">
        <v>49419.516232603281</v>
      </c>
      <c r="D231" s="42">
        <v>-23525.599999999999</v>
      </c>
      <c r="E231" s="42">
        <v>0</v>
      </c>
      <c r="F231" s="42">
        <v>0</v>
      </c>
      <c r="G231" s="42">
        <v>0</v>
      </c>
      <c r="H231" s="42">
        <v>0</v>
      </c>
      <c r="I231" s="42">
        <v>0</v>
      </c>
      <c r="J231" s="42">
        <v>0</v>
      </c>
      <c r="K231" s="19">
        <v>0</v>
      </c>
      <c r="L231" s="42">
        <v>0</v>
      </c>
      <c r="M231" s="42">
        <v>0</v>
      </c>
      <c r="N231" s="42">
        <v>0</v>
      </c>
      <c r="O231" s="42">
        <v>0</v>
      </c>
      <c r="P231" s="41">
        <v>0</v>
      </c>
      <c r="Q231" s="42">
        <v>-1683.37</v>
      </c>
      <c r="R231" s="19">
        <v>0</v>
      </c>
      <c r="S231">
        <v>0</v>
      </c>
      <c r="T231" s="42">
        <v>0</v>
      </c>
      <c r="U231" s="19">
        <v>24210.546232603283</v>
      </c>
    </row>
    <row r="232" spans="2:21" x14ac:dyDescent="0.25">
      <c r="B232" s="4">
        <v>45146</v>
      </c>
      <c r="C232" s="19">
        <v>24210.546232603283</v>
      </c>
      <c r="D232" s="42">
        <v>0</v>
      </c>
      <c r="E232" s="42">
        <v>0</v>
      </c>
      <c r="F232" s="42">
        <v>0</v>
      </c>
      <c r="G232" s="42">
        <v>0</v>
      </c>
      <c r="H232" s="42">
        <v>0</v>
      </c>
      <c r="I232" s="42">
        <v>0</v>
      </c>
      <c r="J232" s="42">
        <v>0</v>
      </c>
      <c r="K232" s="19">
        <v>0</v>
      </c>
      <c r="L232" s="42">
        <v>0</v>
      </c>
      <c r="M232" s="42">
        <v>0</v>
      </c>
      <c r="N232" s="42">
        <v>0</v>
      </c>
      <c r="O232" s="42">
        <v>0</v>
      </c>
      <c r="P232" s="41">
        <v>0</v>
      </c>
      <c r="Q232" s="42">
        <v>1683.37</v>
      </c>
      <c r="R232" s="19">
        <v>0</v>
      </c>
      <c r="S232">
        <v>0</v>
      </c>
      <c r="T232" s="42">
        <v>0</v>
      </c>
      <c r="U232" s="19">
        <v>25893.916232603282</v>
      </c>
    </row>
    <row r="233" spans="2:21" x14ac:dyDescent="0.25">
      <c r="B233" s="4">
        <v>45147</v>
      </c>
      <c r="C233" s="19">
        <v>25893.916232603282</v>
      </c>
      <c r="D233" s="42">
        <v>0</v>
      </c>
      <c r="E233" s="42">
        <v>0</v>
      </c>
      <c r="F233" s="42">
        <v>0</v>
      </c>
      <c r="G233" s="42">
        <v>0</v>
      </c>
      <c r="H233" s="42">
        <v>0</v>
      </c>
      <c r="I233" s="42">
        <v>0</v>
      </c>
      <c r="J233" s="42">
        <v>0</v>
      </c>
      <c r="K233" s="19">
        <v>0</v>
      </c>
      <c r="L233" s="42">
        <v>0</v>
      </c>
      <c r="M233" s="42">
        <v>0</v>
      </c>
      <c r="N233" s="42">
        <v>0</v>
      </c>
      <c r="O233" s="42">
        <v>0</v>
      </c>
      <c r="P233" s="41">
        <v>0</v>
      </c>
      <c r="Q233" s="42">
        <v>0</v>
      </c>
      <c r="R233" s="19">
        <v>0</v>
      </c>
      <c r="S233">
        <v>0</v>
      </c>
      <c r="T233" s="42">
        <v>0</v>
      </c>
      <c r="U233" s="19">
        <v>25893.916232603282</v>
      </c>
    </row>
    <row r="234" spans="2:21" x14ac:dyDescent="0.25">
      <c r="B234" s="4">
        <v>45148</v>
      </c>
      <c r="C234" s="19">
        <v>25893.916232603282</v>
      </c>
      <c r="D234" s="42">
        <v>0</v>
      </c>
      <c r="E234" s="42">
        <v>0</v>
      </c>
      <c r="F234" s="42">
        <v>0</v>
      </c>
      <c r="G234" s="42">
        <v>0</v>
      </c>
      <c r="H234" s="42">
        <v>0</v>
      </c>
      <c r="I234" s="42">
        <v>0</v>
      </c>
      <c r="J234" s="42">
        <v>0</v>
      </c>
      <c r="K234" s="19">
        <v>0</v>
      </c>
      <c r="L234" s="42">
        <v>0</v>
      </c>
      <c r="M234" s="42">
        <v>0</v>
      </c>
      <c r="N234" s="42">
        <v>0</v>
      </c>
      <c r="O234" s="42">
        <v>0</v>
      </c>
      <c r="P234" s="41">
        <v>0</v>
      </c>
      <c r="Q234" s="42">
        <v>0</v>
      </c>
      <c r="R234" s="19">
        <v>0</v>
      </c>
      <c r="S234">
        <v>0</v>
      </c>
      <c r="T234" s="42">
        <v>0</v>
      </c>
      <c r="U234" s="19">
        <v>25893.916232603282</v>
      </c>
    </row>
    <row r="235" spans="2:21" x14ac:dyDescent="0.25">
      <c r="B235" s="4">
        <v>45149</v>
      </c>
      <c r="C235" s="19">
        <v>25893.916232603282</v>
      </c>
      <c r="D235" s="42">
        <v>0</v>
      </c>
      <c r="E235" s="42">
        <v>0</v>
      </c>
      <c r="F235" s="42">
        <v>0</v>
      </c>
      <c r="G235" s="42">
        <v>0</v>
      </c>
      <c r="H235" s="42">
        <v>0</v>
      </c>
      <c r="I235" s="42">
        <v>0</v>
      </c>
      <c r="J235" s="42">
        <v>0</v>
      </c>
      <c r="K235" s="19">
        <v>-100000</v>
      </c>
      <c r="L235" s="42">
        <v>0</v>
      </c>
      <c r="M235" s="42">
        <v>0</v>
      </c>
      <c r="N235" s="42">
        <v>0</v>
      </c>
      <c r="O235" s="42">
        <v>0</v>
      </c>
      <c r="P235" s="41">
        <v>0</v>
      </c>
      <c r="Q235" s="42">
        <v>-196</v>
      </c>
      <c r="R235" s="19">
        <v>100000</v>
      </c>
      <c r="S235">
        <v>0</v>
      </c>
      <c r="T235" s="42">
        <v>0</v>
      </c>
      <c r="U235" s="19">
        <v>25697.916232603282</v>
      </c>
    </row>
    <row r="236" spans="2:21" x14ac:dyDescent="0.25">
      <c r="B236" s="4">
        <v>45152</v>
      </c>
      <c r="C236" s="19">
        <v>25697.916232603282</v>
      </c>
      <c r="D236" s="42">
        <v>0</v>
      </c>
      <c r="E236" s="42">
        <v>0</v>
      </c>
      <c r="F236" s="42">
        <v>0</v>
      </c>
      <c r="G236" s="42">
        <v>0</v>
      </c>
      <c r="H236" s="42">
        <v>0</v>
      </c>
      <c r="I236" s="42">
        <v>0</v>
      </c>
      <c r="J236" s="42">
        <v>0</v>
      </c>
      <c r="K236" s="19">
        <v>0</v>
      </c>
      <c r="L236" s="42">
        <v>0</v>
      </c>
      <c r="M236" s="42">
        <v>0</v>
      </c>
      <c r="N236" s="42">
        <v>0</v>
      </c>
      <c r="O236" s="42">
        <v>0</v>
      </c>
      <c r="P236" s="41">
        <v>0</v>
      </c>
      <c r="Q236" s="42">
        <v>-587.17999999999995</v>
      </c>
      <c r="R236" s="19">
        <v>0</v>
      </c>
      <c r="S236">
        <v>0</v>
      </c>
      <c r="T236" s="42">
        <v>0</v>
      </c>
      <c r="U236" s="19">
        <v>25110.736232603282</v>
      </c>
    </row>
    <row r="237" spans="2:21" x14ac:dyDescent="0.25">
      <c r="B237" s="4">
        <v>45153</v>
      </c>
      <c r="C237" s="19">
        <v>25110.736232603282</v>
      </c>
      <c r="D237" s="42">
        <v>0</v>
      </c>
      <c r="E237" s="42">
        <v>0</v>
      </c>
      <c r="F237" s="42">
        <v>0</v>
      </c>
      <c r="G237" s="42">
        <v>0</v>
      </c>
      <c r="H237" s="42">
        <v>0</v>
      </c>
      <c r="I237" s="42">
        <v>0</v>
      </c>
      <c r="J237" s="42">
        <v>0</v>
      </c>
      <c r="K237" s="19">
        <v>0</v>
      </c>
      <c r="L237" s="42">
        <v>0</v>
      </c>
      <c r="M237" s="42">
        <v>0</v>
      </c>
      <c r="N237" s="42">
        <v>0</v>
      </c>
      <c r="O237" s="42">
        <v>0</v>
      </c>
      <c r="P237" s="41">
        <v>0</v>
      </c>
      <c r="Q237" s="42">
        <v>0</v>
      </c>
      <c r="R237" s="19">
        <v>0</v>
      </c>
      <c r="S237">
        <v>0</v>
      </c>
      <c r="T237" s="42">
        <v>0</v>
      </c>
      <c r="U237" s="19">
        <v>25110.736232603282</v>
      </c>
    </row>
    <row r="238" spans="2:21" x14ac:dyDescent="0.25">
      <c r="B238" s="4">
        <v>45154</v>
      </c>
      <c r="C238" s="19">
        <v>25110.736232603282</v>
      </c>
      <c r="D238" s="42">
        <v>0</v>
      </c>
      <c r="E238" s="42">
        <v>0</v>
      </c>
      <c r="F238" s="42">
        <v>0</v>
      </c>
      <c r="G238" s="42">
        <v>0</v>
      </c>
      <c r="H238" s="42">
        <v>0</v>
      </c>
      <c r="I238" s="42">
        <v>0</v>
      </c>
      <c r="J238" s="42">
        <v>0</v>
      </c>
      <c r="K238" s="19">
        <v>0</v>
      </c>
      <c r="L238" s="42">
        <v>0</v>
      </c>
      <c r="M238" s="42">
        <v>0</v>
      </c>
      <c r="N238" s="42">
        <v>0</v>
      </c>
      <c r="O238" s="42">
        <v>0</v>
      </c>
      <c r="P238" s="41">
        <v>0</v>
      </c>
      <c r="Q238" s="42">
        <v>0</v>
      </c>
      <c r="R238" s="19">
        <v>0</v>
      </c>
      <c r="S238">
        <v>0</v>
      </c>
      <c r="T238" s="42">
        <v>0</v>
      </c>
      <c r="U238" s="19">
        <v>25110.736232603282</v>
      </c>
    </row>
    <row r="239" spans="2:21" x14ac:dyDescent="0.25">
      <c r="B239" s="4">
        <v>45155</v>
      </c>
      <c r="C239" s="19">
        <v>25110.736232603282</v>
      </c>
      <c r="D239" s="42">
        <v>0</v>
      </c>
      <c r="E239" s="42">
        <v>0</v>
      </c>
      <c r="F239" s="42">
        <v>0</v>
      </c>
      <c r="G239" s="42">
        <v>0</v>
      </c>
      <c r="H239" s="42">
        <v>0</v>
      </c>
      <c r="I239" s="42">
        <v>0</v>
      </c>
      <c r="J239" s="42">
        <v>0</v>
      </c>
      <c r="K239" s="19">
        <v>0</v>
      </c>
      <c r="L239" s="42">
        <v>0</v>
      </c>
      <c r="M239" s="42">
        <v>0</v>
      </c>
      <c r="N239" s="42">
        <v>0</v>
      </c>
      <c r="O239" s="42">
        <v>0</v>
      </c>
      <c r="P239" s="41">
        <v>0</v>
      </c>
      <c r="Q239" s="42">
        <v>0</v>
      </c>
      <c r="R239" s="19">
        <v>0</v>
      </c>
      <c r="S239">
        <v>0</v>
      </c>
      <c r="T239" s="42">
        <v>0</v>
      </c>
      <c r="U239" s="19">
        <v>25110.736232603282</v>
      </c>
    </row>
    <row r="240" spans="2:21" x14ac:dyDescent="0.25">
      <c r="B240" s="4">
        <v>45156</v>
      </c>
      <c r="C240" s="19">
        <v>25110.736232603282</v>
      </c>
      <c r="D240" s="42">
        <v>0</v>
      </c>
      <c r="E240" s="42">
        <v>0</v>
      </c>
      <c r="F240" s="42">
        <v>0</v>
      </c>
      <c r="G240" s="42">
        <v>0</v>
      </c>
      <c r="H240" s="42">
        <v>0</v>
      </c>
      <c r="I240" s="42">
        <v>0</v>
      </c>
      <c r="J240" s="42">
        <v>0</v>
      </c>
      <c r="K240" s="19">
        <v>0</v>
      </c>
      <c r="L240" s="42">
        <v>0</v>
      </c>
      <c r="M240" s="42">
        <v>0</v>
      </c>
      <c r="N240" s="42">
        <v>0</v>
      </c>
      <c r="O240" s="42">
        <v>0</v>
      </c>
      <c r="P240" s="41">
        <v>0</v>
      </c>
      <c r="Q240" s="42">
        <v>0</v>
      </c>
      <c r="R240" s="19">
        <v>0</v>
      </c>
      <c r="S240">
        <v>0</v>
      </c>
      <c r="T240" s="42">
        <v>0</v>
      </c>
      <c r="U240" s="19">
        <v>25110.736232603282</v>
      </c>
    </row>
    <row r="241" spans="2:21" x14ac:dyDescent="0.25">
      <c r="B241" s="4">
        <v>45159</v>
      </c>
      <c r="C241" s="19">
        <v>25110.736232603282</v>
      </c>
      <c r="D241" s="42">
        <v>0</v>
      </c>
      <c r="E241" s="42">
        <v>0</v>
      </c>
      <c r="F241" s="42">
        <v>0</v>
      </c>
      <c r="G241" s="42">
        <v>0</v>
      </c>
      <c r="H241" s="42">
        <v>0</v>
      </c>
      <c r="I241" s="42">
        <v>0</v>
      </c>
      <c r="J241" s="42">
        <v>0</v>
      </c>
      <c r="K241" s="19">
        <v>0</v>
      </c>
      <c r="L241" s="42">
        <v>0</v>
      </c>
      <c r="M241" s="42">
        <v>0</v>
      </c>
      <c r="N241" s="42">
        <v>0</v>
      </c>
      <c r="O241" s="42">
        <v>0</v>
      </c>
      <c r="P241" s="41">
        <v>0</v>
      </c>
      <c r="Q241" s="42">
        <v>0</v>
      </c>
      <c r="R241" s="19">
        <v>0</v>
      </c>
      <c r="S241">
        <v>0</v>
      </c>
      <c r="T241" s="42">
        <v>0</v>
      </c>
      <c r="U241" s="19">
        <v>25110.736232603282</v>
      </c>
    </row>
    <row r="242" spans="2:21" x14ac:dyDescent="0.25">
      <c r="B242" s="4">
        <v>45160</v>
      </c>
      <c r="C242" s="19">
        <v>25110.736232603282</v>
      </c>
      <c r="D242" s="42">
        <v>0</v>
      </c>
      <c r="E242" s="42">
        <v>0</v>
      </c>
      <c r="F242" s="42">
        <v>0</v>
      </c>
      <c r="G242" s="42">
        <v>0</v>
      </c>
      <c r="H242" s="42">
        <v>0</v>
      </c>
      <c r="I242" s="42">
        <v>0</v>
      </c>
      <c r="J242" s="42">
        <v>0</v>
      </c>
      <c r="K242" s="19">
        <v>0</v>
      </c>
      <c r="L242" s="42">
        <v>0</v>
      </c>
      <c r="M242" s="42">
        <v>0</v>
      </c>
      <c r="N242" s="42">
        <v>0</v>
      </c>
      <c r="O242" s="42">
        <v>0</v>
      </c>
      <c r="P242" s="41">
        <v>0</v>
      </c>
      <c r="Q242" s="42">
        <v>0</v>
      </c>
      <c r="R242" s="19">
        <v>0</v>
      </c>
      <c r="S242">
        <v>0</v>
      </c>
      <c r="T242" s="42">
        <v>0</v>
      </c>
      <c r="U242" s="19">
        <v>25110.736232603282</v>
      </c>
    </row>
    <row r="243" spans="2:21" x14ac:dyDescent="0.25">
      <c r="B243" s="4">
        <v>45161</v>
      </c>
      <c r="C243" s="19">
        <v>25110.736232603282</v>
      </c>
      <c r="D243" s="42">
        <v>0</v>
      </c>
      <c r="E243" s="42">
        <v>0</v>
      </c>
      <c r="F243" s="42">
        <v>0</v>
      </c>
      <c r="G243" s="42">
        <v>0</v>
      </c>
      <c r="H243" s="42">
        <v>0</v>
      </c>
      <c r="I243" s="42">
        <v>0</v>
      </c>
      <c r="J243" s="42">
        <v>0</v>
      </c>
      <c r="K243" s="19">
        <v>0</v>
      </c>
      <c r="L243" s="42">
        <v>0</v>
      </c>
      <c r="M243" s="42">
        <v>0</v>
      </c>
      <c r="N243" s="42">
        <v>0</v>
      </c>
      <c r="O243" s="42">
        <v>0</v>
      </c>
      <c r="P243" s="41">
        <v>0</v>
      </c>
      <c r="Q243" s="42">
        <v>0</v>
      </c>
      <c r="R243" s="19">
        <v>0</v>
      </c>
      <c r="S243">
        <v>0</v>
      </c>
      <c r="T243" s="42">
        <v>0</v>
      </c>
      <c r="U243" s="19">
        <v>25110.736232603282</v>
      </c>
    </row>
    <row r="244" spans="2:21" x14ac:dyDescent="0.25">
      <c r="B244" s="4">
        <v>45162</v>
      </c>
      <c r="C244" s="19">
        <v>25110.736232603282</v>
      </c>
      <c r="D244" s="42">
        <v>0</v>
      </c>
      <c r="E244" s="42">
        <v>0</v>
      </c>
      <c r="F244" s="42">
        <v>0</v>
      </c>
      <c r="G244" s="42">
        <v>0</v>
      </c>
      <c r="H244" s="42">
        <v>0</v>
      </c>
      <c r="I244" s="42">
        <v>0</v>
      </c>
      <c r="J244" s="42">
        <v>0</v>
      </c>
      <c r="K244" s="19">
        <v>0</v>
      </c>
      <c r="L244" s="42">
        <v>0</v>
      </c>
      <c r="M244" s="42">
        <v>0</v>
      </c>
      <c r="N244" s="42">
        <v>0</v>
      </c>
      <c r="O244" s="42">
        <v>0</v>
      </c>
      <c r="P244" s="41">
        <v>0</v>
      </c>
      <c r="Q244" s="42">
        <v>0</v>
      </c>
      <c r="R244" s="19">
        <v>0</v>
      </c>
      <c r="S244">
        <v>0</v>
      </c>
      <c r="T244" s="42">
        <v>0</v>
      </c>
      <c r="U244" s="19">
        <v>25110.736232603282</v>
      </c>
    </row>
    <row r="245" spans="2:21" x14ac:dyDescent="0.25">
      <c r="B245" s="4">
        <v>45163</v>
      </c>
      <c r="C245" s="19">
        <v>25110.736232603282</v>
      </c>
      <c r="D245" s="42">
        <v>0</v>
      </c>
      <c r="E245" s="42">
        <v>0</v>
      </c>
      <c r="F245" s="42">
        <v>0</v>
      </c>
      <c r="G245" s="42">
        <v>0</v>
      </c>
      <c r="H245" s="42">
        <v>0</v>
      </c>
      <c r="I245" s="42">
        <v>0</v>
      </c>
      <c r="J245" s="42">
        <v>0</v>
      </c>
      <c r="K245" s="19">
        <v>0</v>
      </c>
      <c r="L245" s="42">
        <v>0</v>
      </c>
      <c r="M245" s="42">
        <v>0</v>
      </c>
      <c r="N245" s="42">
        <v>0</v>
      </c>
      <c r="O245" s="42">
        <v>0</v>
      </c>
      <c r="P245" s="41">
        <v>0</v>
      </c>
      <c r="Q245" s="42">
        <v>0</v>
      </c>
      <c r="R245" s="19">
        <v>0</v>
      </c>
      <c r="S245">
        <v>0</v>
      </c>
      <c r="T245" s="42">
        <v>0</v>
      </c>
      <c r="U245" s="19">
        <v>25110.736232603282</v>
      </c>
    </row>
    <row r="246" spans="2:21" x14ac:dyDescent="0.25">
      <c r="B246" s="4">
        <v>45166</v>
      </c>
      <c r="C246" s="19">
        <v>25110.736232603282</v>
      </c>
      <c r="D246" s="42">
        <v>0</v>
      </c>
      <c r="E246" s="42">
        <v>0</v>
      </c>
      <c r="F246" s="42">
        <v>0</v>
      </c>
      <c r="G246" s="42">
        <v>0</v>
      </c>
      <c r="H246" s="42">
        <v>0</v>
      </c>
      <c r="I246" s="42">
        <v>0</v>
      </c>
      <c r="J246" s="42">
        <v>0</v>
      </c>
      <c r="K246" s="19">
        <v>0</v>
      </c>
      <c r="L246" s="42">
        <v>0</v>
      </c>
      <c r="M246" s="42">
        <v>0</v>
      </c>
      <c r="N246" s="42">
        <v>0</v>
      </c>
      <c r="O246" s="42">
        <v>0</v>
      </c>
      <c r="P246" s="41">
        <v>0</v>
      </c>
      <c r="Q246" s="42">
        <v>0</v>
      </c>
      <c r="R246" s="19">
        <v>0</v>
      </c>
      <c r="S246">
        <v>0</v>
      </c>
      <c r="T246" s="42">
        <v>0</v>
      </c>
      <c r="U246" s="19">
        <v>25110.736232603282</v>
      </c>
    </row>
    <row r="247" spans="2:21" x14ac:dyDescent="0.25">
      <c r="B247" s="4">
        <v>45167</v>
      </c>
      <c r="C247" s="19">
        <v>25110.736232603282</v>
      </c>
      <c r="D247" s="42">
        <v>0</v>
      </c>
      <c r="E247" s="42">
        <v>0</v>
      </c>
      <c r="F247" s="42">
        <v>0</v>
      </c>
      <c r="G247" s="42">
        <v>0</v>
      </c>
      <c r="H247" s="42">
        <v>0</v>
      </c>
      <c r="I247" s="42">
        <v>0</v>
      </c>
      <c r="J247" s="42">
        <v>0</v>
      </c>
      <c r="K247" s="19">
        <v>0</v>
      </c>
      <c r="L247" s="42">
        <v>0</v>
      </c>
      <c r="M247" s="42">
        <v>0</v>
      </c>
      <c r="N247" s="42">
        <v>0</v>
      </c>
      <c r="O247" s="42">
        <v>0</v>
      </c>
      <c r="P247" s="41">
        <v>0</v>
      </c>
      <c r="Q247" s="42">
        <v>0</v>
      </c>
      <c r="R247" s="19">
        <v>0</v>
      </c>
      <c r="S247">
        <v>0</v>
      </c>
      <c r="T247" s="42">
        <v>0</v>
      </c>
      <c r="U247" s="19">
        <v>25110.736232603282</v>
      </c>
    </row>
    <row r="248" spans="2:21" x14ac:dyDescent="0.25">
      <c r="B248" s="4">
        <v>45168</v>
      </c>
      <c r="C248" s="19">
        <v>25110.736232603282</v>
      </c>
      <c r="D248" s="42">
        <v>0</v>
      </c>
      <c r="E248" s="42">
        <v>0</v>
      </c>
      <c r="F248" s="42">
        <v>0</v>
      </c>
      <c r="G248" s="42">
        <v>0</v>
      </c>
      <c r="H248" s="42">
        <v>0</v>
      </c>
      <c r="I248" s="42">
        <v>0</v>
      </c>
      <c r="J248" s="42">
        <v>0</v>
      </c>
      <c r="K248" s="19">
        <v>0</v>
      </c>
      <c r="L248" s="42">
        <v>0</v>
      </c>
      <c r="M248" s="42">
        <v>0</v>
      </c>
      <c r="N248" s="42">
        <v>0</v>
      </c>
      <c r="O248" s="42">
        <v>0</v>
      </c>
      <c r="P248" s="41">
        <v>0</v>
      </c>
      <c r="Q248" s="42">
        <v>0</v>
      </c>
      <c r="R248" s="19">
        <v>0</v>
      </c>
      <c r="S248">
        <v>0</v>
      </c>
      <c r="T248" s="42">
        <v>0</v>
      </c>
      <c r="U248" s="19">
        <v>25110.736232603282</v>
      </c>
    </row>
    <row r="249" spans="2:21" x14ac:dyDescent="0.25">
      <c r="B249" s="4">
        <v>45169</v>
      </c>
      <c r="C249" s="19">
        <v>25110.736232603282</v>
      </c>
      <c r="D249" s="42">
        <v>0</v>
      </c>
      <c r="E249" s="42">
        <v>0</v>
      </c>
      <c r="F249" s="42">
        <v>0</v>
      </c>
      <c r="G249" s="42">
        <v>0</v>
      </c>
      <c r="H249" s="42">
        <v>0</v>
      </c>
      <c r="I249" s="42">
        <v>0</v>
      </c>
      <c r="J249" s="42">
        <v>0</v>
      </c>
      <c r="K249" s="19">
        <v>0</v>
      </c>
      <c r="L249" s="42">
        <v>0</v>
      </c>
      <c r="M249" s="42">
        <v>0</v>
      </c>
      <c r="N249" s="42">
        <v>0</v>
      </c>
      <c r="O249" s="42">
        <v>0</v>
      </c>
      <c r="P249" s="41">
        <v>0</v>
      </c>
      <c r="Q249" s="42">
        <v>0</v>
      </c>
      <c r="R249" s="19">
        <v>0</v>
      </c>
      <c r="S249">
        <v>0</v>
      </c>
      <c r="T249" s="42">
        <v>0</v>
      </c>
      <c r="U249" s="19">
        <v>25110.736232603282</v>
      </c>
    </row>
    <row r="250" spans="2:21" x14ac:dyDescent="0.25">
      <c r="B250" s="4">
        <v>45170</v>
      </c>
      <c r="C250" s="19">
        <v>25110.736232603282</v>
      </c>
      <c r="D250" s="42">
        <v>0</v>
      </c>
      <c r="E250" s="42">
        <v>0</v>
      </c>
      <c r="F250" s="42">
        <v>0</v>
      </c>
      <c r="G250" s="42">
        <v>0</v>
      </c>
      <c r="H250" s="42">
        <v>0</v>
      </c>
      <c r="I250" s="42">
        <v>0</v>
      </c>
      <c r="J250" s="42">
        <v>0</v>
      </c>
      <c r="K250" s="19">
        <v>0</v>
      </c>
      <c r="L250" s="42">
        <v>0</v>
      </c>
      <c r="M250" s="42">
        <v>0</v>
      </c>
      <c r="N250" s="42">
        <v>0</v>
      </c>
      <c r="O250" s="42">
        <v>0</v>
      </c>
      <c r="P250" s="41">
        <v>0</v>
      </c>
      <c r="Q250" s="42">
        <v>0</v>
      </c>
      <c r="R250" s="19">
        <v>0</v>
      </c>
      <c r="S250">
        <v>0</v>
      </c>
      <c r="T250" s="42">
        <v>0</v>
      </c>
      <c r="U250" s="19">
        <v>25110.736232603282</v>
      </c>
    </row>
    <row r="251" spans="2:21" x14ac:dyDescent="0.25">
      <c r="B251" s="4">
        <v>45173</v>
      </c>
      <c r="C251" s="19">
        <v>25110.736232603282</v>
      </c>
      <c r="D251" s="42">
        <v>0</v>
      </c>
      <c r="E251" s="42">
        <v>0</v>
      </c>
      <c r="F251" s="42">
        <v>0</v>
      </c>
      <c r="G251" s="42">
        <v>0</v>
      </c>
      <c r="H251" s="42">
        <v>0</v>
      </c>
      <c r="I251" s="42">
        <v>0</v>
      </c>
      <c r="J251" s="42">
        <v>0</v>
      </c>
      <c r="K251" s="19">
        <v>0</v>
      </c>
      <c r="L251" s="42">
        <v>0</v>
      </c>
      <c r="M251" s="42">
        <v>0</v>
      </c>
      <c r="N251" s="42">
        <v>0</v>
      </c>
      <c r="O251" s="42">
        <v>0</v>
      </c>
      <c r="P251" s="41">
        <v>0</v>
      </c>
      <c r="Q251" s="42">
        <v>0</v>
      </c>
      <c r="R251" s="19">
        <v>0</v>
      </c>
      <c r="S251">
        <v>0</v>
      </c>
      <c r="T251" s="42">
        <v>0</v>
      </c>
      <c r="U251" s="19">
        <v>25110.736232603282</v>
      </c>
    </row>
    <row r="252" spans="2:21" x14ac:dyDescent="0.25">
      <c r="B252" s="4">
        <v>45174</v>
      </c>
      <c r="C252" s="19">
        <v>25110.736232603282</v>
      </c>
      <c r="D252" s="42">
        <v>0</v>
      </c>
      <c r="E252" s="42">
        <v>0</v>
      </c>
      <c r="F252" s="42">
        <v>0</v>
      </c>
      <c r="G252" s="42">
        <v>0</v>
      </c>
      <c r="H252" s="42">
        <v>0</v>
      </c>
      <c r="I252" s="42">
        <v>0</v>
      </c>
      <c r="J252" s="42">
        <v>0</v>
      </c>
      <c r="K252" s="19">
        <v>0</v>
      </c>
      <c r="L252" s="42">
        <v>0</v>
      </c>
      <c r="M252" s="42">
        <v>0</v>
      </c>
      <c r="N252" s="42">
        <v>0</v>
      </c>
      <c r="O252" s="42">
        <v>0</v>
      </c>
      <c r="P252" s="41">
        <v>0</v>
      </c>
      <c r="Q252" s="42">
        <v>0</v>
      </c>
      <c r="R252" s="19">
        <v>0</v>
      </c>
      <c r="S252">
        <v>0</v>
      </c>
      <c r="T252" s="42">
        <v>0</v>
      </c>
      <c r="U252" s="19">
        <v>25110.736232603282</v>
      </c>
    </row>
    <row r="253" spans="2:21" x14ac:dyDescent="0.25">
      <c r="B253" s="4">
        <v>45175</v>
      </c>
      <c r="C253" s="19">
        <v>25110.736232603282</v>
      </c>
      <c r="D253" s="42">
        <v>0</v>
      </c>
      <c r="E253" s="42">
        <v>0</v>
      </c>
      <c r="F253" s="42">
        <v>0</v>
      </c>
      <c r="G253" s="42">
        <v>0</v>
      </c>
      <c r="H253" s="42">
        <v>0</v>
      </c>
      <c r="I253" s="42">
        <v>0</v>
      </c>
      <c r="J253" s="42">
        <v>0</v>
      </c>
      <c r="K253" s="19">
        <v>0</v>
      </c>
      <c r="L253" s="42">
        <v>0</v>
      </c>
      <c r="M253" s="42">
        <v>0</v>
      </c>
      <c r="N253" s="42">
        <v>0</v>
      </c>
      <c r="O253" s="42">
        <v>0</v>
      </c>
      <c r="P253" s="41">
        <v>0</v>
      </c>
      <c r="Q253" s="42">
        <v>0</v>
      </c>
      <c r="R253" s="19">
        <v>0</v>
      </c>
      <c r="S253" s="67">
        <v>28000</v>
      </c>
      <c r="T253" s="42">
        <v>0</v>
      </c>
      <c r="U253" s="19">
        <v>53110.736232603282</v>
      </c>
    </row>
    <row r="254" spans="2:21" x14ac:dyDescent="0.25">
      <c r="B254" s="4">
        <v>45177</v>
      </c>
      <c r="C254" s="19">
        <v>53110.736232603282</v>
      </c>
      <c r="D254" s="42">
        <v>-26092.6</v>
      </c>
      <c r="E254" s="42">
        <v>0</v>
      </c>
      <c r="F254" s="42">
        <v>0</v>
      </c>
      <c r="G254" s="42">
        <v>0</v>
      </c>
      <c r="H254" s="42">
        <v>0</v>
      </c>
      <c r="I254" s="42">
        <v>0</v>
      </c>
      <c r="J254" s="42">
        <v>0</v>
      </c>
      <c r="K254" s="19">
        <v>0</v>
      </c>
      <c r="L254" s="42">
        <v>0</v>
      </c>
      <c r="M254" s="42">
        <v>0</v>
      </c>
      <c r="N254" s="42">
        <v>0</v>
      </c>
      <c r="O254" s="42">
        <v>0</v>
      </c>
      <c r="P254" s="41">
        <v>0</v>
      </c>
      <c r="Q254" s="42">
        <v>0</v>
      </c>
      <c r="R254" s="19">
        <v>0</v>
      </c>
      <c r="S254">
        <v>0</v>
      </c>
      <c r="T254" s="42">
        <v>0</v>
      </c>
      <c r="U254" s="19">
        <v>27018.136232603283</v>
      </c>
    </row>
    <row r="255" spans="2:21" x14ac:dyDescent="0.25">
      <c r="B255" s="4">
        <v>45180</v>
      </c>
      <c r="C255" s="19">
        <v>27018.136232603283</v>
      </c>
      <c r="D255" s="42">
        <v>0</v>
      </c>
      <c r="E255" s="42">
        <v>0</v>
      </c>
      <c r="F255" s="42">
        <v>0</v>
      </c>
      <c r="G255" s="42">
        <v>0</v>
      </c>
      <c r="H255" s="42">
        <v>0</v>
      </c>
      <c r="I255" s="42">
        <v>0</v>
      </c>
      <c r="J255" s="42">
        <v>0</v>
      </c>
      <c r="K255" s="19">
        <v>0</v>
      </c>
      <c r="L255" s="42">
        <v>0</v>
      </c>
      <c r="M255" s="42">
        <v>0</v>
      </c>
      <c r="N255" s="42">
        <v>0</v>
      </c>
      <c r="O255" s="42">
        <v>0</v>
      </c>
      <c r="P255" s="41">
        <v>0</v>
      </c>
      <c r="Q255" s="42">
        <v>0</v>
      </c>
      <c r="R255" s="19">
        <v>0</v>
      </c>
      <c r="S255">
        <v>0</v>
      </c>
      <c r="T255" s="42">
        <v>0</v>
      </c>
      <c r="U255" s="19">
        <v>27018.136232603283</v>
      </c>
    </row>
    <row r="256" spans="2:21" x14ac:dyDescent="0.25">
      <c r="B256" s="4">
        <v>45181</v>
      </c>
      <c r="C256" s="19">
        <v>27018.136232603283</v>
      </c>
      <c r="D256" s="42">
        <v>0</v>
      </c>
      <c r="E256" s="42">
        <v>0</v>
      </c>
      <c r="F256" s="42">
        <v>0</v>
      </c>
      <c r="G256" s="42">
        <v>0</v>
      </c>
      <c r="H256" s="42">
        <v>0</v>
      </c>
      <c r="I256" s="42">
        <v>0</v>
      </c>
      <c r="J256" s="42">
        <v>0</v>
      </c>
      <c r="K256" s="19">
        <v>0</v>
      </c>
      <c r="L256" s="42">
        <v>0</v>
      </c>
      <c r="M256" s="42">
        <v>0</v>
      </c>
      <c r="N256" s="42">
        <v>0</v>
      </c>
      <c r="O256" s="42">
        <v>0</v>
      </c>
      <c r="P256" s="41">
        <v>0</v>
      </c>
      <c r="Q256" s="42">
        <v>0</v>
      </c>
      <c r="R256" s="19">
        <v>0</v>
      </c>
      <c r="S256">
        <v>0</v>
      </c>
      <c r="T256" s="42">
        <v>0</v>
      </c>
      <c r="U256" s="19">
        <v>27018.136232603283</v>
      </c>
    </row>
    <row r="257" spans="2:21" x14ac:dyDescent="0.25">
      <c r="B257" s="4">
        <v>45182</v>
      </c>
      <c r="C257" s="19">
        <v>27018.136232603283</v>
      </c>
      <c r="D257" s="42">
        <v>0</v>
      </c>
      <c r="E257" s="42">
        <v>0</v>
      </c>
      <c r="F257" s="42">
        <v>0</v>
      </c>
      <c r="G257" s="42">
        <v>0</v>
      </c>
      <c r="H257" s="42">
        <v>0</v>
      </c>
      <c r="I257" s="42">
        <v>0</v>
      </c>
      <c r="J257" s="42">
        <v>0</v>
      </c>
      <c r="K257" s="19">
        <v>0</v>
      </c>
      <c r="L257" s="42">
        <v>0</v>
      </c>
      <c r="M257" s="42">
        <v>0</v>
      </c>
      <c r="N257" s="42">
        <v>0</v>
      </c>
      <c r="O257" s="42">
        <v>0</v>
      </c>
      <c r="P257" s="41">
        <v>0</v>
      </c>
      <c r="Q257" s="42">
        <v>0</v>
      </c>
      <c r="R257" s="19">
        <v>0</v>
      </c>
      <c r="S257">
        <v>0</v>
      </c>
      <c r="T257" s="42">
        <v>0</v>
      </c>
      <c r="U257" s="19">
        <v>27018.136232603283</v>
      </c>
    </row>
    <row r="258" spans="2:21" x14ac:dyDescent="0.25">
      <c r="B258" s="4">
        <v>45183</v>
      </c>
      <c r="C258" s="19">
        <v>27018.136232603283</v>
      </c>
      <c r="D258" s="42">
        <v>0</v>
      </c>
      <c r="E258" s="42">
        <v>0</v>
      </c>
      <c r="F258" s="42">
        <v>0</v>
      </c>
      <c r="G258" s="42">
        <v>0</v>
      </c>
      <c r="H258" s="42">
        <v>0</v>
      </c>
      <c r="I258" s="42">
        <v>0</v>
      </c>
      <c r="J258" s="42">
        <v>0</v>
      </c>
      <c r="K258" s="19">
        <v>0</v>
      </c>
      <c r="L258" s="42">
        <v>0</v>
      </c>
      <c r="M258" s="42">
        <v>0</v>
      </c>
      <c r="N258" s="42">
        <v>0</v>
      </c>
      <c r="O258" s="42">
        <v>0</v>
      </c>
      <c r="P258" s="41">
        <v>0</v>
      </c>
      <c r="Q258" s="42">
        <v>0</v>
      </c>
      <c r="R258" s="19">
        <v>0</v>
      </c>
      <c r="S258">
        <v>0</v>
      </c>
      <c r="T258" s="42">
        <v>0</v>
      </c>
      <c r="U258" s="19">
        <v>27018.136232603283</v>
      </c>
    </row>
    <row r="259" spans="2:21" x14ac:dyDescent="0.25">
      <c r="B259" s="4">
        <v>45184</v>
      </c>
      <c r="C259" s="19">
        <v>27018.136232603283</v>
      </c>
      <c r="D259" s="42">
        <v>0</v>
      </c>
      <c r="E259" s="42">
        <v>0</v>
      </c>
      <c r="F259" s="42">
        <v>0</v>
      </c>
      <c r="G259" s="42">
        <v>0</v>
      </c>
      <c r="H259" s="42">
        <v>0</v>
      </c>
      <c r="I259" s="42">
        <v>0</v>
      </c>
      <c r="J259" s="42">
        <v>0</v>
      </c>
      <c r="K259" s="19">
        <v>0</v>
      </c>
      <c r="L259" s="42">
        <v>0</v>
      </c>
      <c r="M259" s="42">
        <v>0</v>
      </c>
      <c r="N259" s="42">
        <v>0</v>
      </c>
      <c r="O259" s="42">
        <v>0</v>
      </c>
      <c r="P259" s="41">
        <v>0</v>
      </c>
      <c r="Q259" s="42">
        <v>0</v>
      </c>
      <c r="R259" s="19">
        <v>0</v>
      </c>
      <c r="S259">
        <v>0</v>
      </c>
      <c r="T259" s="42">
        <v>0</v>
      </c>
      <c r="U259" s="19">
        <v>27018.136232603283</v>
      </c>
    </row>
    <row r="260" spans="2:21" x14ac:dyDescent="0.25">
      <c r="B260" s="4">
        <v>45187</v>
      </c>
      <c r="C260" s="19">
        <v>27018.136232603283</v>
      </c>
      <c r="D260" s="42">
        <v>0</v>
      </c>
      <c r="E260" s="42">
        <v>0</v>
      </c>
      <c r="F260" s="42">
        <v>0</v>
      </c>
      <c r="G260" s="42">
        <v>0</v>
      </c>
      <c r="H260" s="42">
        <v>0</v>
      </c>
      <c r="I260" s="42">
        <v>0</v>
      </c>
      <c r="J260" s="42">
        <v>0</v>
      </c>
      <c r="K260" s="19">
        <v>0</v>
      </c>
      <c r="L260" s="42">
        <v>0</v>
      </c>
      <c r="M260" s="42">
        <v>0</v>
      </c>
      <c r="N260" s="42">
        <v>0</v>
      </c>
      <c r="O260" s="42">
        <v>0</v>
      </c>
      <c r="P260" s="41">
        <v>0</v>
      </c>
      <c r="Q260" s="42">
        <v>0</v>
      </c>
      <c r="R260" s="19">
        <v>0</v>
      </c>
      <c r="S260">
        <v>0</v>
      </c>
      <c r="T260" s="42">
        <v>0</v>
      </c>
      <c r="U260" s="19">
        <v>27018.136232603283</v>
      </c>
    </row>
    <row r="261" spans="2:21" x14ac:dyDescent="0.25">
      <c r="B261" s="4">
        <v>45188</v>
      </c>
      <c r="C261" s="19">
        <v>27018.136232603283</v>
      </c>
      <c r="D261" s="42">
        <v>0</v>
      </c>
      <c r="E261" s="42">
        <v>0</v>
      </c>
      <c r="F261" s="42">
        <v>0</v>
      </c>
      <c r="G261" s="42">
        <v>0</v>
      </c>
      <c r="H261" s="42">
        <v>0</v>
      </c>
      <c r="I261" s="42">
        <v>0</v>
      </c>
      <c r="J261" s="42">
        <v>0</v>
      </c>
      <c r="K261" s="19">
        <v>0</v>
      </c>
      <c r="L261" s="42">
        <v>0</v>
      </c>
      <c r="M261" s="42">
        <v>0</v>
      </c>
      <c r="N261" s="42">
        <v>0</v>
      </c>
      <c r="O261" s="42">
        <v>0</v>
      </c>
      <c r="P261" s="41">
        <v>0</v>
      </c>
      <c r="Q261" s="42">
        <v>0</v>
      </c>
      <c r="R261" s="19">
        <v>0</v>
      </c>
      <c r="S261">
        <v>0</v>
      </c>
      <c r="T261" s="42">
        <v>0</v>
      </c>
      <c r="U261" s="19">
        <v>27018.136232603283</v>
      </c>
    </row>
    <row r="262" spans="2:21" x14ac:dyDescent="0.25">
      <c r="B262" s="4">
        <v>45189</v>
      </c>
      <c r="C262" s="19">
        <v>27018.136232603283</v>
      </c>
      <c r="D262" s="42">
        <v>0</v>
      </c>
      <c r="E262" s="42">
        <v>0</v>
      </c>
      <c r="F262" s="42">
        <v>0</v>
      </c>
      <c r="G262" s="42">
        <v>0</v>
      </c>
      <c r="H262" s="42">
        <v>0</v>
      </c>
      <c r="I262" s="42">
        <v>0</v>
      </c>
      <c r="J262" s="42">
        <v>0</v>
      </c>
      <c r="K262" s="19">
        <v>0</v>
      </c>
      <c r="L262" s="42">
        <v>0</v>
      </c>
      <c r="M262" s="42">
        <v>0</v>
      </c>
      <c r="N262" s="42">
        <v>0</v>
      </c>
      <c r="O262" s="42">
        <v>0</v>
      </c>
      <c r="P262" s="41">
        <v>0</v>
      </c>
      <c r="Q262" s="42">
        <v>-587.17999999999995</v>
      </c>
      <c r="R262" s="19">
        <v>0</v>
      </c>
      <c r="S262">
        <v>0</v>
      </c>
      <c r="T262" s="42">
        <v>0</v>
      </c>
      <c r="U262" s="19">
        <v>26430.956232603283</v>
      </c>
    </row>
    <row r="263" spans="2:21" x14ac:dyDescent="0.25">
      <c r="B263" s="4">
        <v>45190</v>
      </c>
      <c r="C263" s="19">
        <v>26430.956232603283</v>
      </c>
      <c r="D263" s="42">
        <v>0</v>
      </c>
      <c r="E263" s="42">
        <v>0</v>
      </c>
      <c r="F263" s="42">
        <v>0</v>
      </c>
      <c r="G263" s="42">
        <v>0</v>
      </c>
      <c r="H263" s="42">
        <v>0</v>
      </c>
      <c r="I263" s="42">
        <v>0</v>
      </c>
      <c r="J263" s="42">
        <v>0</v>
      </c>
      <c r="K263" s="19">
        <v>0</v>
      </c>
      <c r="L263" s="42">
        <v>0</v>
      </c>
      <c r="M263" s="42">
        <v>0</v>
      </c>
      <c r="N263" s="42">
        <v>0</v>
      </c>
      <c r="O263" s="42">
        <v>0</v>
      </c>
      <c r="P263" s="41">
        <v>0</v>
      </c>
      <c r="Q263" s="42">
        <v>0</v>
      </c>
      <c r="R263" s="19">
        <v>0</v>
      </c>
      <c r="S263">
        <v>0</v>
      </c>
      <c r="T263" s="42">
        <v>0</v>
      </c>
      <c r="U263" s="19">
        <v>26430.956232603283</v>
      </c>
    </row>
    <row r="264" spans="2:21" x14ac:dyDescent="0.25">
      <c r="B264" s="4">
        <v>45191</v>
      </c>
      <c r="C264" s="19">
        <v>26430.956232603283</v>
      </c>
      <c r="D264" s="42">
        <v>0</v>
      </c>
      <c r="E264" s="42">
        <v>0</v>
      </c>
      <c r="F264" s="42">
        <v>0</v>
      </c>
      <c r="G264" s="42">
        <v>0</v>
      </c>
      <c r="H264" s="42">
        <v>0</v>
      </c>
      <c r="I264" s="42">
        <v>0</v>
      </c>
      <c r="J264" s="42">
        <v>0</v>
      </c>
      <c r="K264" s="19">
        <v>0</v>
      </c>
      <c r="L264" s="42">
        <v>0</v>
      </c>
      <c r="M264" s="42">
        <v>0</v>
      </c>
      <c r="N264" s="42">
        <v>0</v>
      </c>
      <c r="O264" s="42">
        <v>0</v>
      </c>
      <c r="P264" s="41">
        <v>0</v>
      </c>
      <c r="Q264" s="42">
        <v>0</v>
      </c>
      <c r="R264" s="19">
        <v>0</v>
      </c>
      <c r="S264">
        <v>0</v>
      </c>
      <c r="T264" s="42">
        <v>0</v>
      </c>
      <c r="U264" s="19">
        <v>26430.956232603283</v>
      </c>
    </row>
    <row r="265" spans="2:21" x14ac:dyDescent="0.25">
      <c r="B265" s="4">
        <v>45194</v>
      </c>
      <c r="C265" s="19">
        <v>26430.956232603283</v>
      </c>
      <c r="D265" s="42">
        <v>0</v>
      </c>
      <c r="E265" s="42">
        <v>0</v>
      </c>
      <c r="F265" s="42">
        <v>0</v>
      </c>
      <c r="G265" s="42">
        <v>0</v>
      </c>
      <c r="H265" s="42">
        <v>0</v>
      </c>
      <c r="I265" s="42">
        <v>0</v>
      </c>
      <c r="J265" s="42">
        <v>0</v>
      </c>
      <c r="K265" s="19">
        <v>0</v>
      </c>
      <c r="L265" s="42">
        <v>0</v>
      </c>
      <c r="M265" s="42">
        <v>0</v>
      </c>
      <c r="N265" s="42">
        <v>0</v>
      </c>
      <c r="O265" s="42">
        <v>0</v>
      </c>
      <c r="P265" s="41">
        <v>0</v>
      </c>
      <c r="Q265" s="42">
        <v>0</v>
      </c>
      <c r="R265" s="19">
        <v>0</v>
      </c>
      <c r="S265">
        <v>0</v>
      </c>
      <c r="T265" s="42">
        <v>0</v>
      </c>
      <c r="U265" s="19">
        <v>26430.956232603283</v>
      </c>
    </row>
    <row r="266" spans="2:21" x14ac:dyDescent="0.25">
      <c r="B266" s="4">
        <v>45195</v>
      </c>
      <c r="C266" s="19">
        <v>26430.956232603283</v>
      </c>
      <c r="D266" s="42">
        <v>0</v>
      </c>
      <c r="E266" s="42">
        <v>0</v>
      </c>
      <c r="F266" s="42">
        <v>0</v>
      </c>
      <c r="G266" s="42">
        <v>0</v>
      </c>
      <c r="H266" s="42">
        <v>0</v>
      </c>
      <c r="I266" s="42">
        <v>0</v>
      </c>
      <c r="J266" s="42">
        <v>0</v>
      </c>
      <c r="K266" s="19">
        <v>0</v>
      </c>
      <c r="L266" s="42">
        <v>0</v>
      </c>
      <c r="M266" s="42">
        <v>0</v>
      </c>
      <c r="N266" s="42">
        <v>0</v>
      </c>
      <c r="O266" s="42">
        <v>0</v>
      </c>
      <c r="P266" s="41">
        <v>0</v>
      </c>
      <c r="Q266" s="42">
        <v>0</v>
      </c>
      <c r="R266" s="19">
        <v>0</v>
      </c>
      <c r="S266">
        <v>0</v>
      </c>
      <c r="T266" s="42">
        <v>0</v>
      </c>
      <c r="U266" s="19">
        <v>26430.956232603283</v>
      </c>
    </row>
    <row r="267" spans="2:21" x14ac:dyDescent="0.25">
      <c r="B267" s="4">
        <v>45196</v>
      </c>
      <c r="C267" s="19">
        <v>26430.956232603283</v>
      </c>
      <c r="D267" s="42">
        <v>0</v>
      </c>
      <c r="E267" s="42">
        <v>0</v>
      </c>
      <c r="F267" s="42">
        <v>0</v>
      </c>
      <c r="G267" s="42">
        <v>0</v>
      </c>
      <c r="H267" s="42">
        <v>0</v>
      </c>
      <c r="I267" s="42">
        <v>0</v>
      </c>
      <c r="J267" s="42">
        <v>0</v>
      </c>
      <c r="K267" s="19">
        <v>0</v>
      </c>
      <c r="L267" s="42">
        <v>0</v>
      </c>
      <c r="M267" s="42">
        <v>0</v>
      </c>
      <c r="N267" s="42">
        <v>0</v>
      </c>
      <c r="O267" s="42">
        <v>0</v>
      </c>
      <c r="P267" s="41">
        <v>0</v>
      </c>
      <c r="Q267" s="42">
        <v>0</v>
      </c>
      <c r="R267" s="19">
        <v>0</v>
      </c>
      <c r="S267">
        <v>0</v>
      </c>
      <c r="T267" s="42">
        <v>0</v>
      </c>
      <c r="U267" s="19">
        <v>26430.956232603283</v>
      </c>
    </row>
    <row r="268" spans="2:21" x14ac:dyDescent="0.25">
      <c r="B268" s="4">
        <v>45197</v>
      </c>
      <c r="C268" s="19">
        <v>26430.956232603283</v>
      </c>
      <c r="D268" s="42">
        <v>0</v>
      </c>
      <c r="E268" s="42">
        <v>0</v>
      </c>
      <c r="F268" s="42">
        <v>0</v>
      </c>
      <c r="G268" s="42">
        <v>0</v>
      </c>
      <c r="H268" s="42">
        <v>0</v>
      </c>
      <c r="I268" s="42">
        <v>0</v>
      </c>
      <c r="J268" s="42">
        <v>0</v>
      </c>
      <c r="K268" s="19">
        <v>0</v>
      </c>
      <c r="L268" s="42">
        <v>0</v>
      </c>
      <c r="M268" s="42">
        <v>0</v>
      </c>
      <c r="N268" s="42">
        <v>0</v>
      </c>
      <c r="O268" s="42">
        <v>0</v>
      </c>
      <c r="P268" s="41">
        <v>0</v>
      </c>
      <c r="Q268" s="42">
        <v>0</v>
      </c>
      <c r="R268" s="19">
        <v>0</v>
      </c>
      <c r="S268">
        <v>0</v>
      </c>
      <c r="T268" s="42">
        <v>0</v>
      </c>
      <c r="U268" s="19">
        <v>26430.956232603283</v>
      </c>
    </row>
    <row r="269" spans="2:21" x14ac:dyDescent="0.25">
      <c r="B269" s="4">
        <v>45198</v>
      </c>
      <c r="C269" s="19">
        <v>26430.956232603283</v>
      </c>
      <c r="D269" s="42">
        <v>0</v>
      </c>
      <c r="E269" s="42">
        <v>0</v>
      </c>
      <c r="F269" s="42">
        <v>0</v>
      </c>
      <c r="G269" s="42">
        <v>0</v>
      </c>
      <c r="H269" s="42">
        <v>0</v>
      </c>
      <c r="I269" s="42">
        <v>0</v>
      </c>
      <c r="J269" s="42">
        <v>0</v>
      </c>
      <c r="K269" s="19">
        <v>0</v>
      </c>
      <c r="L269" s="42">
        <v>0</v>
      </c>
      <c r="M269" s="42">
        <v>0</v>
      </c>
      <c r="N269" s="42">
        <v>0</v>
      </c>
      <c r="O269" s="42">
        <v>0</v>
      </c>
      <c r="P269" s="41">
        <v>0</v>
      </c>
      <c r="Q269" s="42">
        <v>0</v>
      </c>
      <c r="R269" s="19">
        <v>0</v>
      </c>
      <c r="S269">
        <v>0</v>
      </c>
      <c r="T269" s="42">
        <v>0</v>
      </c>
      <c r="U269" s="19">
        <v>26430.956232603283</v>
      </c>
    </row>
    <row r="270" spans="2:21" x14ac:dyDescent="0.25">
      <c r="B270" s="4">
        <v>45201</v>
      </c>
      <c r="C270" s="19">
        <v>26430.956232603283</v>
      </c>
      <c r="D270" s="42">
        <v>0</v>
      </c>
      <c r="E270" s="42">
        <v>0</v>
      </c>
      <c r="F270" s="42">
        <v>0</v>
      </c>
      <c r="G270" s="42">
        <v>0</v>
      </c>
      <c r="H270" s="42">
        <v>0</v>
      </c>
      <c r="I270" s="42">
        <v>0</v>
      </c>
      <c r="J270" s="42">
        <v>0</v>
      </c>
      <c r="K270" s="19">
        <v>0</v>
      </c>
      <c r="L270" s="42">
        <v>0</v>
      </c>
      <c r="M270" s="42">
        <v>0</v>
      </c>
      <c r="N270" s="42">
        <v>0</v>
      </c>
      <c r="O270" s="42">
        <v>0</v>
      </c>
      <c r="P270" s="41">
        <v>0</v>
      </c>
      <c r="Q270" s="42">
        <v>0</v>
      </c>
      <c r="R270" s="19">
        <v>0</v>
      </c>
      <c r="S270">
        <v>0</v>
      </c>
      <c r="T270" s="42">
        <v>0</v>
      </c>
      <c r="U270" s="19">
        <v>26430.956232603283</v>
      </c>
    </row>
    <row r="271" spans="2:21" x14ac:dyDescent="0.25">
      <c r="B271" s="4">
        <v>45202</v>
      </c>
      <c r="C271" s="19">
        <v>26430.956232603283</v>
      </c>
      <c r="D271" s="42">
        <v>0</v>
      </c>
      <c r="E271" s="42">
        <v>0</v>
      </c>
      <c r="F271" s="42">
        <v>0</v>
      </c>
      <c r="G271" s="42">
        <v>0</v>
      </c>
      <c r="H271" s="42">
        <v>0</v>
      </c>
      <c r="I271" s="42">
        <v>0</v>
      </c>
      <c r="J271" s="42">
        <v>0</v>
      </c>
      <c r="K271" s="19">
        <v>0</v>
      </c>
      <c r="L271" s="42">
        <v>0</v>
      </c>
      <c r="M271" s="42">
        <v>0</v>
      </c>
      <c r="N271" s="42">
        <v>0</v>
      </c>
      <c r="O271" s="42">
        <v>0</v>
      </c>
      <c r="P271" s="41">
        <v>0</v>
      </c>
      <c r="Q271" s="42">
        <v>0</v>
      </c>
      <c r="R271" s="19">
        <v>0</v>
      </c>
      <c r="S271">
        <v>0</v>
      </c>
      <c r="T271" s="42">
        <v>0</v>
      </c>
      <c r="U271" s="19">
        <v>26430.956232603283</v>
      </c>
    </row>
    <row r="272" spans="2:21" x14ac:dyDescent="0.25">
      <c r="B272" s="4">
        <v>45203</v>
      </c>
      <c r="C272" s="19">
        <v>26430.956232603283</v>
      </c>
      <c r="D272" s="42">
        <v>0</v>
      </c>
      <c r="E272" s="42">
        <v>0</v>
      </c>
      <c r="F272" s="42">
        <v>0</v>
      </c>
      <c r="G272" s="42">
        <v>0</v>
      </c>
      <c r="H272" s="42">
        <v>0</v>
      </c>
      <c r="I272" s="42">
        <v>0</v>
      </c>
      <c r="J272" s="42">
        <v>0</v>
      </c>
      <c r="K272" s="19">
        <v>0</v>
      </c>
      <c r="L272" s="42">
        <v>0</v>
      </c>
      <c r="M272" s="42">
        <v>0</v>
      </c>
      <c r="N272" s="42">
        <v>0</v>
      </c>
      <c r="O272" s="42">
        <v>0</v>
      </c>
      <c r="P272" s="41">
        <v>0</v>
      </c>
      <c r="Q272" s="42">
        <v>0</v>
      </c>
      <c r="R272" s="19">
        <v>0</v>
      </c>
      <c r="S272">
        <v>0</v>
      </c>
      <c r="T272" s="42">
        <v>0</v>
      </c>
      <c r="U272" s="19">
        <v>26430.956232603283</v>
      </c>
    </row>
    <row r="273" spans="2:21" x14ac:dyDescent="0.25">
      <c r="B273" s="4">
        <v>45204</v>
      </c>
      <c r="C273" s="19">
        <v>26430.956232603283</v>
      </c>
      <c r="D273" s="42">
        <v>0</v>
      </c>
      <c r="E273" s="42">
        <v>0</v>
      </c>
      <c r="F273" s="42">
        <v>0</v>
      </c>
      <c r="G273" s="42">
        <v>0</v>
      </c>
      <c r="H273" s="42">
        <v>0</v>
      </c>
      <c r="I273" s="42">
        <v>0</v>
      </c>
      <c r="J273" s="42">
        <v>0</v>
      </c>
      <c r="K273" s="19">
        <v>0</v>
      </c>
      <c r="L273" s="42">
        <v>0</v>
      </c>
      <c r="M273" s="42">
        <v>0</v>
      </c>
      <c r="N273" s="42">
        <v>0</v>
      </c>
      <c r="O273" s="42">
        <v>0</v>
      </c>
      <c r="P273" s="41">
        <v>0</v>
      </c>
      <c r="Q273" s="42">
        <v>0</v>
      </c>
      <c r="R273" s="19">
        <v>0</v>
      </c>
      <c r="S273" s="67">
        <v>24000</v>
      </c>
      <c r="T273" s="42">
        <v>0</v>
      </c>
      <c r="U273" s="19">
        <v>50430.956232603283</v>
      </c>
    </row>
    <row r="274" spans="2:21" x14ac:dyDescent="0.25">
      <c r="B274" s="4">
        <v>45205</v>
      </c>
      <c r="C274" s="19">
        <v>50430.956232603283</v>
      </c>
      <c r="D274" s="42">
        <v>-22844.103362414498</v>
      </c>
      <c r="E274" s="42">
        <v>0</v>
      </c>
      <c r="F274" s="42">
        <v>0</v>
      </c>
      <c r="G274" s="42">
        <v>0</v>
      </c>
      <c r="H274" s="42">
        <v>0</v>
      </c>
      <c r="I274" s="42">
        <v>0</v>
      </c>
      <c r="J274" s="42">
        <v>0</v>
      </c>
      <c r="K274" s="19">
        <v>0</v>
      </c>
      <c r="L274" s="42">
        <v>0</v>
      </c>
      <c r="M274" s="42">
        <v>0</v>
      </c>
      <c r="N274" s="42">
        <v>0</v>
      </c>
      <c r="O274" s="42">
        <v>0</v>
      </c>
      <c r="P274" s="41">
        <v>0</v>
      </c>
      <c r="Q274" s="42">
        <v>0</v>
      </c>
      <c r="R274" s="19">
        <v>0</v>
      </c>
      <c r="S274">
        <v>0</v>
      </c>
      <c r="T274" s="42">
        <v>0</v>
      </c>
      <c r="U274" s="19">
        <v>27586.852870188784</v>
      </c>
    </row>
    <row r="275" spans="2:21" x14ac:dyDescent="0.25">
      <c r="B275" s="4">
        <v>45208</v>
      </c>
      <c r="C275" s="19">
        <v>27586.852870188784</v>
      </c>
      <c r="D275" s="42">
        <v>0</v>
      </c>
      <c r="E275" s="42">
        <v>0</v>
      </c>
      <c r="F275" s="42">
        <v>0</v>
      </c>
      <c r="G275" s="42">
        <v>0</v>
      </c>
      <c r="H275" s="42">
        <v>0</v>
      </c>
      <c r="I275" s="42">
        <v>0</v>
      </c>
      <c r="J275" s="42">
        <v>0</v>
      </c>
      <c r="K275" s="19">
        <v>0</v>
      </c>
      <c r="L275" s="42">
        <v>0</v>
      </c>
      <c r="M275" s="42">
        <v>0</v>
      </c>
      <c r="N275" s="42">
        <v>0</v>
      </c>
      <c r="O275" s="42">
        <v>0</v>
      </c>
      <c r="P275" s="41">
        <v>0</v>
      </c>
      <c r="Q275" s="42">
        <v>0</v>
      </c>
      <c r="R275" s="19">
        <v>0</v>
      </c>
      <c r="S275">
        <v>0</v>
      </c>
      <c r="T275" s="42">
        <v>0</v>
      </c>
      <c r="U275" s="19">
        <v>27586.852870188784</v>
      </c>
    </row>
    <row r="276" spans="2:21" x14ac:dyDescent="0.25">
      <c r="B276" s="4">
        <v>45209</v>
      </c>
      <c r="C276" s="19">
        <v>27586.852870188784</v>
      </c>
      <c r="D276" s="42">
        <v>0</v>
      </c>
      <c r="E276" s="42">
        <v>0</v>
      </c>
      <c r="F276" s="42">
        <v>0</v>
      </c>
      <c r="G276" s="42">
        <v>0</v>
      </c>
      <c r="H276" s="42">
        <v>0</v>
      </c>
      <c r="I276" s="42">
        <v>0</v>
      </c>
      <c r="J276" s="42">
        <v>0</v>
      </c>
      <c r="K276" s="19">
        <v>0</v>
      </c>
      <c r="L276" s="42">
        <v>0</v>
      </c>
      <c r="M276" s="42">
        <v>0</v>
      </c>
      <c r="N276" s="42">
        <v>0</v>
      </c>
      <c r="O276" s="42">
        <v>0</v>
      </c>
      <c r="P276" s="41">
        <v>0</v>
      </c>
      <c r="Q276" s="42">
        <v>0</v>
      </c>
      <c r="R276" s="19">
        <v>0</v>
      </c>
      <c r="S276">
        <v>0</v>
      </c>
      <c r="T276" s="42">
        <v>0</v>
      </c>
      <c r="U276" s="19">
        <v>27586.852870188784</v>
      </c>
    </row>
    <row r="277" spans="2:21" x14ac:dyDescent="0.25">
      <c r="B277" s="4">
        <v>45210</v>
      </c>
      <c r="C277" s="19">
        <v>27586.852870188784</v>
      </c>
      <c r="D277" s="42">
        <v>0</v>
      </c>
      <c r="E277" s="42">
        <v>0</v>
      </c>
      <c r="F277" s="42">
        <v>0</v>
      </c>
      <c r="G277" s="42">
        <v>0</v>
      </c>
      <c r="H277" s="42">
        <v>0</v>
      </c>
      <c r="I277" s="42">
        <v>0</v>
      </c>
      <c r="J277" s="42">
        <v>0</v>
      </c>
      <c r="K277" s="19">
        <v>0</v>
      </c>
      <c r="L277" s="42">
        <v>0</v>
      </c>
      <c r="M277" s="42">
        <v>0</v>
      </c>
      <c r="N277" s="42">
        <v>0</v>
      </c>
      <c r="O277" s="42">
        <v>0</v>
      </c>
      <c r="P277" s="41">
        <v>0</v>
      </c>
      <c r="Q277" s="42">
        <v>0</v>
      </c>
      <c r="R277" s="19">
        <v>0</v>
      </c>
      <c r="S277">
        <v>0</v>
      </c>
      <c r="T277" s="42">
        <v>0</v>
      </c>
      <c r="U277" s="19">
        <v>27586.852870188784</v>
      </c>
    </row>
    <row r="278" spans="2:21" x14ac:dyDescent="0.25">
      <c r="B278" s="4">
        <v>45212</v>
      </c>
      <c r="C278" s="19">
        <v>27586.852870188784</v>
      </c>
      <c r="D278" s="42">
        <v>0</v>
      </c>
      <c r="E278" s="42">
        <v>0</v>
      </c>
      <c r="F278" s="42">
        <v>0</v>
      </c>
      <c r="G278" s="42">
        <v>0</v>
      </c>
      <c r="H278" s="42">
        <v>0</v>
      </c>
      <c r="I278" s="42">
        <v>0</v>
      </c>
      <c r="J278" s="42">
        <v>0</v>
      </c>
      <c r="K278" s="19">
        <v>0</v>
      </c>
      <c r="L278" s="42">
        <v>0</v>
      </c>
      <c r="M278" s="42">
        <v>0</v>
      </c>
      <c r="N278" s="42">
        <v>0</v>
      </c>
      <c r="O278" s="42">
        <v>0</v>
      </c>
      <c r="P278" s="41">
        <v>0</v>
      </c>
      <c r="Q278" s="42">
        <v>0</v>
      </c>
      <c r="R278" s="19">
        <v>0</v>
      </c>
      <c r="S278">
        <v>0</v>
      </c>
      <c r="T278" s="42">
        <v>0</v>
      </c>
      <c r="U278" s="19">
        <v>27586.852870188784</v>
      </c>
    </row>
    <row r="279" spans="2:21" x14ac:dyDescent="0.25">
      <c r="B279" s="4">
        <v>45215</v>
      </c>
      <c r="C279" s="19">
        <v>27586.852870188784</v>
      </c>
      <c r="D279" s="42">
        <v>0</v>
      </c>
      <c r="E279" s="42">
        <v>0</v>
      </c>
      <c r="F279" s="42">
        <v>0</v>
      </c>
      <c r="G279" s="42">
        <v>0</v>
      </c>
      <c r="H279" s="42">
        <v>0</v>
      </c>
      <c r="I279" s="42">
        <v>0</v>
      </c>
      <c r="J279" s="42">
        <v>0</v>
      </c>
      <c r="K279" s="19">
        <v>0</v>
      </c>
      <c r="L279" s="42">
        <v>0</v>
      </c>
      <c r="M279" s="42">
        <v>0</v>
      </c>
      <c r="N279" s="42">
        <v>0</v>
      </c>
      <c r="O279" s="42">
        <v>0</v>
      </c>
      <c r="P279" s="41">
        <v>0</v>
      </c>
      <c r="Q279" s="42">
        <v>-587.17999999999995</v>
      </c>
      <c r="R279" s="19">
        <v>0</v>
      </c>
      <c r="S279">
        <v>0</v>
      </c>
      <c r="T279" s="42">
        <v>0</v>
      </c>
      <c r="U279" s="19">
        <v>26999.672870188784</v>
      </c>
    </row>
    <row r="280" spans="2:21" x14ac:dyDescent="0.25">
      <c r="B280" s="4">
        <v>45216</v>
      </c>
      <c r="C280" s="19">
        <v>26999.672870188784</v>
      </c>
      <c r="D280" s="42">
        <v>0</v>
      </c>
      <c r="E280" s="42">
        <v>0</v>
      </c>
      <c r="F280" s="42">
        <v>0</v>
      </c>
      <c r="G280" s="42">
        <v>0</v>
      </c>
      <c r="H280" s="42">
        <v>0</v>
      </c>
      <c r="I280" s="42">
        <v>0</v>
      </c>
      <c r="J280" s="42">
        <v>0</v>
      </c>
      <c r="K280" s="19">
        <v>0</v>
      </c>
      <c r="L280" s="42">
        <v>0</v>
      </c>
      <c r="M280" s="42">
        <v>0</v>
      </c>
      <c r="N280" s="42">
        <v>0</v>
      </c>
      <c r="O280" s="42">
        <v>0</v>
      </c>
      <c r="P280" s="41">
        <v>0</v>
      </c>
      <c r="Q280" s="42">
        <v>0</v>
      </c>
      <c r="R280" s="19">
        <v>0</v>
      </c>
      <c r="S280">
        <v>0</v>
      </c>
      <c r="T280" s="42">
        <v>0</v>
      </c>
      <c r="U280" s="19">
        <v>26999.672870188784</v>
      </c>
    </row>
    <row r="281" spans="2:21" x14ac:dyDescent="0.25">
      <c r="B281" s="4">
        <v>45217</v>
      </c>
      <c r="C281" s="19">
        <v>26999.672870188784</v>
      </c>
      <c r="D281" s="42">
        <v>0</v>
      </c>
      <c r="E281" s="42">
        <v>0</v>
      </c>
      <c r="F281" s="42">
        <v>0</v>
      </c>
      <c r="G281" s="42">
        <v>0</v>
      </c>
      <c r="H281" s="42">
        <v>0</v>
      </c>
      <c r="I281" s="42">
        <v>0</v>
      </c>
      <c r="J281" s="42">
        <v>0</v>
      </c>
      <c r="K281" s="19">
        <v>0</v>
      </c>
      <c r="L281" s="42">
        <v>0</v>
      </c>
      <c r="M281" s="42">
        <v>0</v>
      </c>
      <c r="N281" s="42">
        <v>0</v>
      </c>
      <c r="O281" s="42">
        <v>0</v>
      </c>
      <c r="P281" s="41">
        <v>0</v>
      </c>
      <c r="Q281" s="42">
        <v>-196</v>
      </c>
      <c r="R281" s="19">
        <v>0</v>
      </c>
      <c r="S281">
        <v>0</v>
      </c>
      <c r="T281" s="42">
        <v>0</v>
      </c>
      <c r="U281" s="19">
        <v>26803.672870188784</v>
      </c>
    </row>
    <row r="282" spans="2:21" x14ac:dyDescent="0.25">
      <c r="B282" s="4">
        <v>45218</v>
      </c>
      <c r="C282" s="19">
        <v>26803.672870188784</v>
      </c>
      <c r="D282" s="42">
        <v>0</v>
      </c>
      <c r="E282" s="42">
        <v>0</v>
      </c>
      <c r="F282" s="42">
        <v>0</v>
      </c>
      <c r="G282" s="42">
        <v>0</v>
      </c>
      <c r="H282" s="42">
        <v>0</v>
      </c>
      <c r="I282" s="42">
        <v>0</v>
      </c>
      <c r="J282" s="42">
        <v>0</v>
      </c>
      <c r="K282" s="19">
        <v>0</v>
      </c>
      <c r="L282" s="42">
        <v>0</v>
      </c>
      <c r="M282" s="42">
        <v>0</v>
      </c>
      <c r="N282" s="42">
        <v>0</v>
      </c>
      <c r="O282" s="42">
        <v>0</v>
      </c>
      <c r="P282" s="41">
        <v>0</v>
      </c>
      <c r="Q282" s="42">
        <v>0</v>
      </c>
      <c r="R282" s="19">
        <v>0</v>
      </c>
      <c r="S282">
        <v>0</v>
      </c>
      <c r="T282" s="42">
        <v>0</v>
      </c>
      <c r="U282" s="19">
        <v>26803.672870188784</v>
      </c>
    </row>
    <row r="283" spans="2:21" x14ac:dyDescent="0.25">
      <c r="B283" s="4">
        <v>45219</v>
      </c>
      <c r="C283" s="19">
        <v>26803.672870188784</v>
      </c>
      <c r="D283" s="42">
        <v>0</v>
      </c>
      <c r="E283" s="42">
        <v>0</v>
      </c>
      <c r="F283" s="42">
        <v>0</v>
      </c>
      <c r="G283" s="42">
        <v>0</v>
      </c>
      <c r="H283" s="42">
        <v>0</v>
      </c>
      <c r="I283" s="42">
        <v>0</v>
      </c>
      <c r="J283" s="42">
        <v>0</v>
      </c>
      <c r="K283" s="19">
        <v>0</v>
      </c>
      <c r="L283" s="42">
        <v>0</v>
      </c>
      <c r="M283" s="42">
        <v>0</v>
      </c>
      <c r="N283" s="42">
        <v>0</v>
      </c>
      <c r="O283" s="42">
        <v>0</v>
      </c>
      <c r="P283" s="41">
        <v>0</v>
      </c>
      <c r="Q283" s="42">
        <v>0</v>
      </c>
      <c r="R283" s="19">
        <v>0</v>
      </c>
      <c r="S283">
        <v>0</v>
      </c>
      <c r="T283" s="42">
        <v>0</v>
      </c>
      <c r="U283" s="19">
        <v>26803.672870188784</v>
      </c>
    </row>
    <row r="284" spans="2:21" x14ac:dyDescent="0.25">
      <c r="B284" s="4">
        <v>45222</v>
      </c>
      <c r="C284" s="19">
        <v>26803.672870188784</v>
      </c>
      <c r="D284" s="42">
        <v>0</v>
      </c>
      <c r="E284" s="42">
        <v>0</v>
      </c>
      <c r="F284" s="42">
        <v>0</v>
      </c>
      <c r="G284" s="42">
        <v>0</v>
      </c>
      <c r="H284" s="42">
        <v>0</v>
      </c>
      <c r="I284" s="42">
        <v>0</v>
      </c>
      <c r="J284" s="42">
        <v>0</v>
      </c>
      <c r="K284" s="19">
        <v>0</v>
      </c>
      <c r="L284" s="42">
        <v>0</v>
      </c>
      <c r="M284" s="42">
        <v>0</v>
      </c>
      <c r="N284" s="42">
        <v>0</v>
      </c>
      <c r="O284" s="42">
        <v>0</v>
      </c>
      <c r="P284" s="41">
        <v>0</v>
      </c>
      <c r="Q284" s="42">
        <v>0</v>
      </c>
      <c r="R284" s="19">
        <v>0</v>
      </c>
      <c r="S284">
        <v>0</v>
      </c>
      <c r="T284" s="42">
        <v>0</v>
      </c>
      <c r="U284" s="19">
        <v>26803.672870188784</v>
      </c>
    </row>
    <row r="285" spans="2:21" x14ac:dyDescent="0.25">
      <c r="B285" s="4">
        <v>45223</v>
      </c>
      <c r="C285" s="19">
        <v>26803.672870188784</v>
      </c>
      <c r="D285" s="42">
        <v>0</v>
      </c>
      <c r="E285" s="42">
        <v>0</v>
      </c>
      <c r="F285" s="42">
        <v>0</v>
      </c>
      <c r="G285" s="42">
        <v>0</v>
      </c>
      <c r="H285" s="42">
        <v>0</v>
      </c>
      <c r="I285" s="42">
        <v>0</v>
      </c>
      <c r="J285" s="42">
        <v>0</v>
      </c>
      <c r="K285" s="19">
        <v>0</v>
      </c>
      <c r="L285" s="42">
        <v>0</v>
      </c>
      <c r="M285" s="42">
        <v>0</v>
      </c>
      <c r="N285" s="42">
        <v>0</v>
      </c>
      <c r="O285" s="42">
        <v>0</v>
      </c>
      <c r="P285" s="41">
        <v>0</v>
      </c>
      <c r="Q285" s="42">
        <v>0</v>
      </c>
      <c r="R285" s="19">
        <v>0</v>
      </c>
      <c r="S285">
        <v>0</v>
      </c>
      <c r="T285" s="42">
        <v>0</v>
      </c>
      <c r="U285" s="19">
        <v>26803.672870188784</v>
      </c>
    </row>
    <row r="286" spans="2:21" x14ac:dyDescent="0.25">
      <c r="B286" s="4">
        <v>45224</v>
      </c>
      <c r="C286" s="19">
        <v>26803.672870188784</v>
      </c>
      <c r="D286" s="42">
        <v>0</v>
      </c>
      <c r="E286" s="42">
        <v>0</v>
      </c>
      <c r="F286" s="42">
        <v>0</v>
      </c>
      <c r="G286" s="42">
        <v>0</v>
      </c>
      <c r="H286" s="42">
        <v>0</v>
      </c>
      <c r="I286" s="42">
        <v>0</v>
      </c>
      <c r="J286" s="42">
        <v>0</v>
      </c>
      <c r="K286" s="19">
        <v>0</v>
      </c>
      <c r="L286" s="42">
        <v>0</v>
      </c>
      <c r="M286" s="42">
        <v>0</v>
      </c>
      <c r="N286" s="42">
        <v>0</v>
      </c>
      <c r="O286" s="42">
        <v>0</v>
      </c>
      <c r="P286" s="41">
        <v>0</v>
      </c>
      <c r="Q286" s="42">
        <v>0</v>
      </c>
      <c r="R286" s="19">
        <v>0</v>
      </c>
      <c r="S286">
        <v>0</v>
      </c>
      <c r="T286" s="42">
        <v>0</v>
      </c>
      <c r="U286" s="19">
        <v>26803.672870188784</v>
      </c>
    </row>
    <row r="287" spans="2:21" x14ac:dyDescent="0.25">
      <c r="B287" s="4">
        <v>45225</v>
      </c>
      <c r="C287" s="19">
        <v>26803.672870188784</v>
      </c>
      <c r="D287" s="42">
        <v>0</v>
      </c>
      <c r="E287" s="42">
        <v>0</v>
      </c>
      <c r="F287" s="42">
        <v>0</v>
      </c>
      <c r="G287" s="42">
        <v>0</v>
      </c>
      <c r="H287" s="42">
        <v>0</v>
      </c>
      <c r="I287" s="42">
        <v>0</v>
      </c>
      <c r="J287" s="42">
        <v>0</v>
      </c>
      <c r="K287" s="19">
        <v>0</v>
      </c>
      <c r="L287" s="42">
        <v>0</v>
      </c>
      <c r="M287" s="42">
        <v>0</v>
      </c>
      <c r="N287" s="42">
        <v>0</v>
      </c>
      <c r="O287" s="42">
        <v>0</v>
      </c>
      <c r="P287" s="41">
        <v>0</v>
      </c>
      <c r="Q287" s="42">
        <v>0</v>
      </c>
      <c r="R287" s="19">
        <v>0</v>
      </c>
      <c r="S287">
        <v>0</v>
      </c>
      <c r="T287" s="42">
        <v>0</v>
      </c>
      <c r="U287" s="19">
        <v>26803.672870188784</v>
      </c>
    </row>
    <row r="288" spans="2:21" x14ac:dyDescent="0.25">
      <c r="B288" s="4">
        <v>45226</v>
      </c>
      <c r="C288" s="19">
        <v>26803.672870188784</v>
      </c>
      <c r="D288" s="42">
        <v>0</v>
      </c>
      <c r="E288" s="42">
        <v>0</v>
      </c>
      <c r="F288" s="42">
        <v>0</v>
      </c>
      <c r="G288" s="42">
        <v>0</v>
      </c>
      <c r="H288" s="42">
        <v>0</v>
      </c>
      <c r="I288" s="42">
        <v>0</v>
      </c>
      <c r="J288" s="42">
        <v>0</v>
      </c>
      <c r="K288" s="19">
        <v>0</v>
      </c>
      <c r="L288" s="42">
        <v>0</v>
      </c>
      <c r="M288" s="42">
        <v>0</v>
      </c>
      <c r="N288" s="42">
        <v>0</v>
      </c>
      <c r="O288" s="42">
        <v>0</v>
      </c>
      <c r="P288" s="41">
        <v>0</v>
      </c>
      <c r="Q288" s="42">
        <v>0</v>
      </c>
      <c r="R288" s="19">
        <v>0</v>
      </c>
      <c r="S288">
        <v>0</v>
      </c>
      <c r="T288" s="42">
        <v>0</v>
      </c>
      <c r="U288" s="19">
        <v>26803.672870188784</v>
      </c>
    </row>
    <row r="289" spans="2:21" x14ac:dyDescent="0.25">
      <c r="B289" s="4">
        <v>45229</v>
      </c>
      <c r="C289" s="19">
        <v>26803.672870188784</v>
      </c>
      <c r="D289" s="42">
        <v>0</v>
      </c>
      <c r="E289" s="42">
        <v>0</v>
      </c>
      <c r="F289" s="42">
        <v>0</v>
      </c>
      <c r="G289" s="42">
        <v>0</v>
      </c>
      <c r="H289" s="42">
        <v>0</v>
      </c>
      <c r="I289" s="42">
        <v>0</v>
      </c>
      <c r="J289" s="42">
        <v>0</v>
      </c>
      <c r="K289" s="19">
        <v>0</v>
      </c>
      <c r="L289" s="42">
        <v>0</v>
      </c>
      <c r="M289" s="42">
        <v>0</v>
      </c>
      <c r="N289" s="42">
        <v>0</v>
      </c>
      <c r="O289" s="42">
        <v>0</v>
      </c>
      <c r="P289" s="41">
        <v>0</v>
      </c>
      <c r="Q289" s="42">
        <v>0</v>
      </c>
      <c r="R289" s="19">
        <v>0</v>
      </c>
      <c r="S289">
        <v>0</v>
      </c>
      <c r="T289" s="42">
        <v>0</v>
      </c>
      <c r="U289" s="19">
        <v>26803.672870188784</v>
      </c>
    </row>
    <row r="290" spans="2:21" x14ac:dyDescent="0.25">
      <c r="B290" s="4">
        <v>45230</v>
      </c>
      <c r="C290" s="19">
        <v>26803.672870188784</v>
      </c>
      <c r="D290" s="42">
        <v>0</v>
      </c>
      <c r="E290" s="42">
        <v>0</v>
      </c>
      <c r="F290" s="42">
        <v>0</v>
      </c>
      <c r="G290" s="42">
        <v>0</v>
      </c>
      <c r="H290" s="42">
        <v>0</v>
      </c>
      <c r="I290" s="42">
        <v>0</v>
      </c>
      <c r="J290" s="42">
        <v>0</v>
      </c>
      <c r="K290" s="19">
        <v>0</v>
      </c>
      <c r="L290" s="42">
        <v>0</v>
      </c>
      <c r="M290" s="42">
        <v>0</v>
      </c>
      <c r="N290" s="42">
        <v>0</v>
      </c>
      <c r="O290" s="42">
        <v>0</v>
      </c>
      <c r="P290" s="41">
        <v>0</v>
      </c>
      <c r="Q290" s="42">
        <v>0</v>
      </c>
      <c r="R290" s="19">
        <v>0</v>
      </c>
      <c r="S290">
        <v>0</v>
      </c>
      <c r="T290" s="42">
        <v>0</v>
      </c>
      <c r="U290" s="19">
        <v>26803.672870188784</v>
      </c>
    </row>
    <row r="291" spans="2:21" x14ac:dyDescent="0.25">
      <c r="B291" s="4">
        <v>45231</v>
      </c>
      <c r="C291" s="19">
        <v>26803.672870188784</v>
      </c>
      <c r="D291" s="42">
        <v>0</v>
      </c>
      <c r="E291" s="42">
        <v>0</v>
      </c>
      <c r="F291" s="42">
        <v>0</v>
      </c>
      <c r="G291" s="42">
        <v>0</v>
      </c>
      <c r="H291" s="42">
        <v>0</v>
      </c>
      <c r="I291" s="42">
        <v>0</v>
      </c>
      <c r="J291" s="42">
        <v>0</v>
      </c>
      <c r="K291" s="19">
        <v>0</v>
      </c>
      <c r="L291" s="42">
        <v>0</v>
      </c>
      <c r="M291" s="42">
        <v>0</v>
      </c>
      <c r="N291" s="42">
        <v>0</v>
      </c>
      <c r="O291" s="42">
        <v>0</v>
      </c>
      <c r="P291" s="41">
        <v>0</v>
      </c>
      <c r="Q291" s="42">
        <v>0</v>
      </c>
      <c r="R291" s="19">
        <v>0</v>
      </c>
      <c r="S291">
        <v>0</v>
      </c>
      <c r="T291" s="42">
        <v>0</v>
      </c>
      <c r="U291" s="19">
        <v>26803.672870188784</v>
      </c>
    </row>
    <row r="292" spans="2:21" x14ac:dyDescent="0.25">
      <c r="B292" s="4">
        <v>45233</v>
      </c>
      <c r="C292" s="19">
        <v>26803.672870188784</v>
      </c>
      <c r="D292" s="42">
        <v>0</v>
      </c>
      <c r="E292" s="42">
        <v>0</v>
      </c>
      <c r="F292" s="42">
        <v>0</v>
      </c>
      <c r="G292" s="42">
        <v>0</v>
      </c>
      <c r="H292" s="42">
        <v>0</v>
      </c>
      <c r="I292" s="42">
        <v>0</v>
      </c>
      <c r="J292" s="42">
        <v>0</v>
      </c>
      <c r="K292" s="19">
        <v>0</v>
      </c>
      <c r="L292" s="42">
        <v>0</v>
      </c>
      <c r="M292" s="42">
        <v>0</v>
      </c>
      <c r="N292" s="42">
        <v>0</v>
      </c>
      <c r="O292" s="42">
        <v>0</v>
      </c>
      <c r="P292" s="41">
        <v>0</v>
      </c>
      <c r="Q292" s="42">
        <v>0</v>
      </c>
      <c r="R292" s="19">
        <v>0</v>
      </c>
      <c r="S292">
        <v>0</v>
      </c>
      <c r="T292" s="42">
        <v>0</v>
      </c>
      <c r="U292" s="19">
        <v>26803.672870188784</v>
      </c>
    </row>
    <row r="293" spans="2:21" x14ac:dyDescent="0.25">
      <c r="B293" s="4">
        <v>45236</v>
      </c>
      <c r="C293" s="19">
        <v>26803.672870188784</v>
      </c>
      <c r="D293" s="42">
        <v>0</v>
      </c>
      <c r="E293" s="42">
        <v>0</v>
      </c>
      <c r="F293" s="42">
        <v>0</v>
      </c>
      <c r="G293" s="42">
        <v>0</v>
      </c>
      <c r="H293" s="42">
        <v>0</v>
      </c>
      <c r="I293" s="42">
        <v>0</v>
      </c>
      <c r="J293" s="42">
        <v>0</v>
      </c>
      <c r="K293" s="19">
        <v>0</v>
      </c>
      <c r="L293" s="42">
        <v>0</v>
      </c>
      <c r="M293" s="42">
        <v>0</v>
      </c>
      <c r="N293" s="42">
        <v>0</v>
      </c>
      <c r="O293" s="42">
        <v>0</v>
      </c>
      <c r="P293" s="41">
        <v>0</v>
      </c>
      <c r="Q293" s="42">
        <v>0</v>
      </c>
      <c r="R293" s="19">
        <v>0</v>
      </c>
      <c r="S293">
        <v>0</v>
      </c>
      <c r="T293" s="42">
        <v>0</v>
      </c>
      <c r="U293" s="19">
        <v>26803.672870188784</v>
      </c>
    </row>
    <row r="294" spans="2:21" x14ac:dyDescent="0.25">
      <c r="B294" s="4">
        <v>45237</v>
      </c>
      <c r="C294" s="19">
        <v>26803.672870188784</v>
      </c>
      <c r="D294" s="42">
        <v>0</v>
      </c>
      <c r="E294" s="42">
        <v>0</v>
      </c>
      <c r="F294" s="42">
        <v>0</v>
      </c>
      <c r="G294" s="42">
        <v>0</v>
      </c>
      <c r="H294" s="42">
        <v>0</v>
      </c>
      <c r="I294" s="42">
        <v>0</v>
      </c>
      <c r="J294" s="42">
        <v>0</v>
      </c>
      <c r="K294" s="19">
        <v>0</v>
      </c>
      <c r="L294" s="42">
        <v>0</v>
      </c>
      <c r="M294" s="42">
        <v>0</v>
      </c>
      <c r="N294" s="42">
        <v>0</v>
      </c>
      <c r="O294" s="42">
        <v>0</v>
      </c>
      <c r="P294" s="41">
        <v>0</v>
      </c>
      <c r="Q294" s="42">
        <v>0</v>
      </c>
      <c r="R294" s="19">
        <v>0</v>
      </c>
      <c r="S294" s="67">
        <v>25000</v>
      </c>
      <c r="T294" s="42">
        <v>0</v>
      </c>
      <c r="U294" s="19">
        <v>51803.672870188784</v>
      </c>
    </row>
    <row r="295" spans="2:21" x14ac:dyDescent="0.25">
      <c r="B295" s="4">
        <v>45238</v>
      </c>
      <c r="C295" s="19">
        <v>51803.672870188784</v>
      </c>
      <c r="D295" s="42">
        <v>-23447.410802610113</v>
      </c>
      <c r="E295" s="42">
        <v>0</v>
      </c>
      <c r="F295" s="42">
        <v>0</v>
      </c>
      <c r="G295" s="42">
        <v>0</v>
      </c>
      <c r="H295" s="42">
        <v>0</v>
      </c>
      <c r="I295" s="42">
        <v>0</v>
      </c>
      <c r="J295" s="42">
        <v>0</v>
      </c>
      <c r="K295" s="19">
        <v>0</v>
      </c>
      <c r="L295" s="42">
        <v>0</v>
      </c>
      <c r="M295" s="42">
        <v>0</v>
      </c>
      <c r="N295" s="42">
        <v>0</v>
      </c>
      <c r="O295" s="42">
        <v>0</v>
      </c>
      <c r="P295" s="41">
        <v>0</v>
      </c>
      <c r="Q295" s="42">
        <v>0</v>
      </c>
      <c r="R295" s="19">
        <v>0</v>
      </c>
      <c r="S295">
        <v>0</v>
      </c>
      <c r="T295" s="42">
        <v>0</v>
      </c>
      <c r="U295" s="19">
        <v>28356.262067578671</v>
      </c>
    </row>
    <row r="296" spans="2:21" x14ac:dyDescent="0.25">
      <c r="B296" s="4">
        <v>45239</v>
      </c>
      <c r="C296" s="19">
        <v>28356.262067578671</v>
      </c>
      <c r="D296" s="42">
        <v>0</v>
      </c>
      <c r="E296" s="42">
        <v>0</v>
      </c>
      <c r="F296" s="42">
        <v>0</v>
      </c>
      <c r="G296" s="42">
        <v>0</v>
      </c>
      <c r="H296" s="42">
        <v>0</v>
      </c>
      <c r="I296" s="42">
        <v>0</v>
      </c>
      <c r="J296" s="42">
        <v>0</v>
      </c>
      <c r="K296" s="19">
        <v>0</v>
      </c>
      <c r="L296" s="42">
        <v>0</v>
      </c>
      <c r="M296" s="42">
        <v>0</v>
      </c>
      <c r="N296" s="42">
        <v>0</v>
      </c>
      <c r="O296" s="42">
        <v>0</v>
      </c>
      <c r="P296" s="41">
        <v>0</v>
      </c>
      <c r="Q296" s="42">
        <v>0</v>
      </c>
      <c r="R296" s="19">
        <v>0</v>
      </c>
      <c r="S296">
        <v>0</v>
      </c>
      <c r="T296" s="42">
        <v>0</v>
      </c>
      <c r="U296" s="19">
        <v>28356.262067578671</v>
      </c>
    </row>
    <row r="297" spans="2:21" x14ac:dyDescent="0.25">
      <c r="B297" s="4">
        <v>45240</v>
      </c>
      <c r="C297" s="19">
        <v>28356.262067578671</v>
      </c>
      <c r="D297" s="42">
        <v>0</v>
      </c>
      <c r="E297" s="42">
        <v>0</v>
      </c>
      <c r="F297" s="42">
        <v>0</v>
      </c>
      <c r="G297" s="42">
        <v>0</v>
      </c>
      <c r="H297" s="42">
        <v>0</v>
      </c>
      <c r="I297" s="42">
        <v>0</v>
      </c>
      <c r="J297" s="42">
        <v>0</v>
      </c>
      <c r="K297" s="19">
        <v>0</v>
      </c>
      <c r="L297" s="42">
        <v>0</v>
      </c>
      <c r="M297" s="42">
        <v>0</v>
      </c>
      <c r="N297" s="42">
        <v>0</v>
      </c>
      <c r="O297" s="42">
        <v>0</v>
      </c>
      <c r="P297" s="41">
        <v>0</v>
      </c>
      <c r="Q297" s="42">
        <v>0</v>
      </c>
      <c r="R297" s="19">
        <v>0</v>
      </c>
      <c r="S297">
        <v>0</v>
      </c>
      <c r="T297" s="42">
        <v>0</v>
      </c>
      <c r="U297" s="19">
        <v>28356.262067578671</v>
      </c>
    </row>
    <row r="298" spans="2:21" x14ac:dyDescent="0.25">
      <c r="B298" s="4">
        <v>45243</v>
      </c>
      <c r="C298" s="19">
        <v>28356.262067578671</v>
      </c>
      <c r="D298" s="42">
        <v>0</v>
      </c>
      <c r="E298" s="42">
        <v>0</v>
      </c>
      <c r="F298" s="42">
        <v>0</v>
      </c>
      <c r="G298" s="42">
        <v>0</v>
      </c>
      <c r="H298" s="42">
        <v>0</v>
      </c>
      <c r="I298" s="42">
        <v>0</v>
      </c>
      <c r="J298" s="42">
        <v>0</v>
      </c>
      <c r="K298" s="19">
        <v>0</v>
      </c>
      <c r="L298" s="42">
        <v>0</v>
      </c>
      <c r="M298" s="42">
        <v>0</v>
      </c>
      <c r="N298" s="42">
        <v>0</v>
      </c>
      <c r="O298" s="42">
        <v>0</v>
      </c>
      <c r="P298" s="41">
        <v>0</v>
      </c>
      <c r="Q298" s="42">
        <v>0</v>
      </c>
      <c r="R298" s="19">
        <v>0</v>
      </c>
      <c r="S298">
        <v>0</v>
      </c>
      <c r="T298" s="42">
        <v>0</v>
      </c>
      <c r="U298" s="19">
        <v>28356.262067578671</v>
      </c>
    </row>
    <row r="299" spans="2:21" x14ac:dyDescent="0.25">
      <c r="B299" s="4">
        <v>45244</v>
      </c>
      <c r="C299" s="19">
        <v>28356.262067578671</v>
      </c>
      <c r="D299" s="42">
        <v>0</v>
      </c>
      <c r="E299" s="42">
        <v>0</v>
      </c>
      <c r="F299" s="42">
        <v>0</v>
      </c>
      <c r="G299" s="42">
        <v>0</v>
      </c>
      <c r="H299" s="42">
        <v>0</v>
      </c>
      <c r="I299" s="42">
        <v>0</v>
      </c>
      <c r="J299" s="42">
        <v>0</v>
      </c>
      <c r="K299" s="19">
        <v>0</v>
      </c>
      <c r="L299" s="42">
        <v>0</v>
      </c>
      <c r="M299" s="42">
        <v>0</v>
      </c>
      <c r="N299" s="42">
        <v>0</v>
      </c>
      <c r="O299" s="42">
        <v>0</v>
      </c>
      <c r="P299" s="41">
        <v>0</v>
      </c>
      <c r="Q299" s="42">
        <v>0</v>
      </c>
      <c r="R299" s="19">
        <v>0</v>
      </c>
      <c r="S299">
        <v>0</v>
      </c>
      <c r="T299" s="42">
        <v>0</v>
      </c>
      <c r="U299" s="19">
        <v>28356.262067578671</v>
      </c>
    </row>
    <row r="300" spans="2:21" x14ac:dyDescent="0.25">
      <c r="B300" s="4">
        <v>45246</v>
      </c>
      <c r="C300" s="19">
        <v>28356.262067578671</v>
      </c>
      <c r="D300" s="42">
        <v>0</v>
      </c>
      <c r="E300" s="42">
        <v>0</v>
      </c>
      <c r="F300" s="42">
        <v>0</v>
      </c>
      <c r="G300" s="42">
        <v>0</v>
      </c>
      <c r="H300" s="42">
        <v>0</v>
      </c>
      <c r="I300" s="42">
        <v>0</v>
      </c>
      <c r="J300" s="42">
        <v>0</v>
      </c>
      <c r="K300" s="19">
        <v>0</v>
      </c>
      <c r="L300" s="42">
        <v>0</v>
      </c>
      <c r="M300" s="42">
        <v>0</v>
      </c>
      <c r="N300" s="42">
        <v>0</v>
      </c>
      <c r="O300" s="42">
        <v>0</v>
      </c>
      <c r="P300" s="41">
        <v>0</v>
      </c>
      <c r="Q300" s="42">
        <v>-587.17999999999995</v>
      </c>
      <c r="R300" s="19">
        <v>0</v>
      </c>
      <c r="S300">
        <v>0</v>
      </c>
      <c r="T300" s="42">
        <v>0</v>
      </c>
      <c r="U300" s="19">
        <v>27769.082067578671</v>
      </c>
    </row>
    <row r="301" spans="2:21" x14ac:dyDescent="0.25">
      <c r="B301" s="4">
        <v>45247</v>
      </c>
      <c r="C301" s="19">
        <v>27769.082067578671</v>
      </c>
      <c r="D301" s="42">
        <v>0</v>
      </c>
      <c r="E301" s="42">
        <v>0</v>
      </c>
      <c r="F301" s="42">
        <v>0</v>
      </c>
      <c r="G301" s="42">
        <v>0</v>
      </c>
      <c r="H301" s="42">
        <v>0</v>
      </c>
      <c r="I301" s="42">
        <v>0</v>
      </c>
      <c r="J301" s="42">
        <v>0</v>
      </c>
      <c r="K301" s="19">
        <v>0</v>
      </c>
      <c r="L301" s="42">
        <v>0</v>
      </c>
      <c r="M301" s="42">
        <v>0</v>
      </c>
      <c r="N301" s="42">
        <v>0</v>
      </c>
      <c r="O301" s="42">
        <v>0</v>
      </c>
      <c r="P301" s="41">
        <v>0</v>
      </c>
      <c r="Q301" s="42">
        <v>0</v>
      </c>
      <c r="R301" s="19">
        <v>0</v>
      </c>
      <c r="S301">
        <v>0</v>
      </c>
      <c r="T301" s="42">
        <v>0</v>
      </c>
      <c r="U301" s="19">
        <v>27769.082067578671</v>
      </c>
    </row>
    <row r="302" spans="2:21" x14ac:dyDescent="0.25">
      <c r="B302" s="4">
        <v>45250</v>
      </c>
      <c r="C302" s="19">
        <v>27769.082067578671</v>
      </c>
      <c r="D302" s="42">
        <v>0</v>
      </c>
      <c r="E302" s="42">
        <v>0</v>
      </c>
      <c r="F302" s="42">
        <v>0</v>
      </c>
      <c r="G302" s="42">
        <v>0</v>
      </c>
      <c r="H302" s="42">
        <v>0</v>
      </c>
      <c r="I302" s="42">
        <v>0</v>
      </c>
      <c r="J302" s="42">
        <v>0</v>
      </c>
      <c r="K302" s="19">
        <v>0</v>
      </c>
      <c r="L302" s="42">
        <v>0</v>
      </c>
      <c r="M302" s="42">
        <v>0</v>
      </c>
      <c r="N302" s="42">
        <v>0</v>
      </c>
      <c r="O302" s="42">
        <v>0</v>
      </c>
      <c r="P302" s="41">
        <v>0</v>
      </c>
      <c r="Q302" s="42">
        <v>0</v>
      </c>
      <c r="R302" s="19">
        <v>0</v>
      </c>
      <c r="S302">
        <v>0</v>
      </c>
      <c r="T302" s="42">
        <v>0</v>
      </c>
      <c r="U302" s="19">
        <v>27769.082067578671</v>
      </c>
    </row>
    <row r="303" spans="2:21" x14ac:dyDescent="0.25">
      <c r="B303" s="4">
        <v>45251</v>
      </c>
      <c r="C303" s="19">
        <v>27769.082067578671</v>
      </c>
      <c r="D303" s="42">
        <v>0</v>
      </c>
      <c r="E303" s="42">
        <v>0</v>
      </c>
      <c r="F303" s="42">
        <v>0</v>
      </c>
      <c r="G303" s="42">
        <v>0</v>
      </c>
      <c r="H303" s="42">
        <v>0</v>
      </c>
      <c r="I303" s="42">
        <v>0</v>
      </c>
      <c r="J303" s="42">
        <v>0</v>
      </c>
      <c r="K303" s="19">
        <v>0</v>
      </c>
      <c r="L303" s="42">
        <v>0</v>
      </c>
      <c r="M303" s="42">
        <v>0</v>
      </c>
      <c r="N303" s="42">
        <v>0</v>
      </c>
      <c r="O303" s="42">
        <v>0</v>
      </c>
      <c r="P303" s="41">
        <v>0</v>
      </c>
      <c r="Q303" s="42">
        <v>0</v>
      </c>
      <c r="R303" s="19">
        <v>0</v>
      </c>
      <c r="S303">
        <v>0</v>
      </c>
      <c r="T303" s="42">
        <v>0</v>
      </c>
      <c r="U303" s="19">
        <v>27769.082067578671</v>
      </c>
    </row>
    <row r="304" spans="2:21" x14ac:dyDescent="0.25">
      <c r="B304" s="4">
        <v>45252</v>
      </c>
      <c r="C304" s="19">
        <v>27769.082067578671</v>
      </c>
      <c r="D304" s="42">
        <v>0</v>
      </c>
      <c r="E304" s="42">
        <v>0</v>
      </c>
      <c r="F304" s="42">
        <v>0</v>
      </c>
      <c r="G304" s="42">
        <v>0</v>
      </c>
      <c r="H304" s="42">
        <v>0</v>
      </c>
      <c r="I304" s="42">
        <v>0</v>
      </c>
      <c r="J304" s="42">
        <v>0</v>
      </c>
      <c r="K304" s="19">
        <v>0</v>
      </c>
      <c r="L304" s="42">
        <v>0</v>
      </c>
      <c r="M304" s="42">
        <v>0</v>
      </c>
      <c r="N304" s="42">
        <v>0</v>
      </c>
      <c r="O304" s="42">
        <v>0</v>
      </c>
      <c r="P304" s="41">
        <v>0</v>
      </c>
      <c r="Q304" s="42">
        <v>0</v>
      </c>
      <c r="R304" s="19">
        <v>0</v>
      </c>
      <c r="S304">
        <v>0</v>
      </c>
      <c r="T304" s="42">
        <v>0</v>
      </c>
      <c r="U304" s="19">
        <v>27769.082067578671</v>
      </c>
    </row>
    <row r="305" spans="2:21" x14ac:dyDescent="0.25">
      <c r="B305" s="4">
        <v>45253</v>
      </c>
      <c r="C305" s="19">
        <v>27769.082067578671</v>
      </c>
      <c r="D305" s="42">
        <v>0</v>
      </c>
      <c r="E305" s="42">
        <v>0</v>
      </c>
      <c r="F305" s="42">
        <v>0</v>
      </c>
      <c r="G305" s="42">
        <v>0</v>
      </c>
      <c r="H305" s="42">
        <v>0</v>
      </c>
      <c r="I305" s="42">
        <v>0</v>
      </c>
      <c r="J305" s="42">
        <v>0</v>
      </c>
      <c r="K305" s="19">
        <v>0</v>
      </c>
      <c r="L305" s="42">
        <v>0</v>
      </c>
      <c r="M305" s="42">
        <v>0</v>
      </c>
      <c r="N305" s="42">
        <v>0</v>
      </c>
      <c r="O305" s="42">
        <v>0</v>
      </c>
      <c r="P305" s="41">
        <v>0</v>
      </c>
      <c r="Q305" s="42">
        <v>0</v>
      </c>
      <c r="R305" s="19">
        <v>0</v>
      </c>
      <c r="S305">
        <v>0</v>
      </c>
      <c r="T305" s="42">
        <v>0</v>
      </c>
      <c r="U305" s="19">
        <v>27769.082067578671</v>
      </c>
    </row>
    <row r="306" spans="2:21" x14ac:dyDescent="0.25">
      <c r="B306" s="4">
        <v>45254</v>
      </c>
      <c r="C306" s="19">
        <v>27769.082067578671</v>
      </c>
      <c r="D306" s="42">
        <v>0</v>
      </c>
      <c r="E306" s="42">
        <v>0</v>
      </c>
      <c r="F306" s="42">
        <v>0</v>
      </c>
      <c r="G306" s="42">
        <v>0</v>
      </c>
      <c r="H306" s="42">
        <v>0</v>
      </c>
      <c r="I306" s="42">
        <v>0</v>
      </c>
      <c r="J306" s="42">
        <v>0</v>
      </c>
      <c r="K306" s="19">
        <v>0</v>
      </c>
      <c r="L306" s="42">
        <v>0</v>
      </c>
      <c r="M306" s="42">
        <v>0</v>
      </c>
      <c r="N306" s="42">
        <v>0</v>
      </c>
      <c r="O306" s="42">
        <v>0</v>
      </c>
      <c r="P306" s="41">
        <v>0</v>
      </c>
      <c r="Q306" s="42">
        <v>-500</v>
      </c>
      <c r="R306" s="19">
        <v>0</v>
      </c>
      <c r="S306">
        <v>0</v>
      </c>
      <c r="T306" s="42">
        <v>0</v>
      </c>
      <c r="U306" s="19">
        <v>27269.082067578671</v>
      </c>
    </row>
    <row r="307" spans="2:21" x14ac:dyDescent="0.25">
      <c r="B307" s="4">
        <v>45257</v>
      </c>
      <c r="C307" s="19">
        <v>27269.082067578671</v>
      </c>
      <c r="D307" s="42">
        <v>0</v>
      </c>
      <c r="E307" s="42">
        <v>0</v>
      </c>
      <c r="F307" s="42">
        <v>0</v>
      </c>
      <c r="G307" s="42">
        <v>0</v>
      </c>
      <c r="H307" s="42">
        <v>0</v>
      </c>
      <c r="I307" s="42">
        <v>0</v>
      </c>
      <c r="J307" s="42">
        <v>0</v>
      </c>
      <c r="K307" s="19">
        <v>0</v>
      </c>
      <c r="L307" s="42">
        <v>0</v>
      </c>
      <c r="M307" s="42">
        <v>0</v>
      </c>
      <c r="N307" s="42">
        <v>0</v>
      </c>
      <c r="O307" s="42">
        <v>0</v>
      </c>
      <c r="P307" s="41">
        <v>0</v>
      </c>
      <c r="Q307" s="42">
        <v>0</v>
      </c>
      <c r="R307" s="19">
        <v>0</v>
      </c>
      <c r="S307">
        <v>0</v>
      </c>
      <c r="T307" s="42">
        <v>0</v>
      </c>
      <c r="U307" s="19">
        <v>27269.082067578671</v>
      </c>
    </row>
    <row r="308" spans="2:21" x14ac:dyDescent="0.25">
      <c r="B308" s="4">
        <v>45258</v>
      </c>
      <c r="C308" s="19">
        <v>27269.082067578671</v>
      </c>
      <c r="D308" s="42">
        <v>0</v>
      </c>
      <c r="E308" s="42">
        <v>0</v>
      </c>
      <c r="F308" s="42">
        <v>0</v>
      </c>
      <c r="G308" s="42">
        <v>0</v>
      </c>
      <c r="H308" s="42">
        <v>0</v>
      </c>
      <c r="I308" s="42">
        <v>0</v>
      </c>
      <c r="J308" s="42">
        <v>0</v>
      </c>
      <c r="K308" s="19">
        <v>0</v>
      </c>
      <c r="L308" s="42">
        <v>0</v>
      </c>
      <c r="M308" s="42">
        <v>0</v>
      </c>
      <c r="N308" s="42">
        <v>0</v>
      </c>
      <c r="O308" s="42">
        <v>0</v>
      </c>
      <c r="P308" s="41">
        <v>0</v>
      </c>
      <c r="Q308" s="42">
        <v>0</v>
      </c>
      <c r="R308" s="19">
        <v>0</v>
      </c>
      <c r="S308">
        <v>0</v>
      </c>
      <c r="T308" s="42">
        <v>0</v>
      </c>
      <c r="U308" s="19">
        <v>27269.082067578671</v>
      </c>
    </row>
    <row r="309" spans="2:21" x14ac:dyDescent="0.25">
      <c r="B309" s="4">
        <v>45259</v>
      </c>
      <c r="C309" s="19">
        <v>27269.082067578671</v>
      </c>
      <c r="D309" s="42">
        <v>0</v>
      </c>
      <c r="E309" s="42">
        <v>0</v>
      </c>
      <c r="F309" s="42">
        <v>0</v>
      </c>
      <c r="G309" s="42">
        <v>0</v>
      </c>
      <c r="H309" s="42">
        <v>0</v>
      </c>
      <c r="I309" s="42">
        <v>0</v>
      </c>
      <c r="J309" s="42">
        <v>0</v>
      </c>
      <c r="K309" s="19">
        <v>0</v>
      </c>
      <c r="L309" s="42">
        <v>0</v>
      </c>
      <c r="M309" s="42">
        <v>0</v>
      </c>
      <c r="N309" s="42">
        <v>0</v>
      </c>
      <c r="O309" s="42">
        <v>0</v>
      </c>
      <c r="P309" s="41">
        <v>0</v>
      </c>
      <c r="Q309" s="42">
        <v>0</v>
      </c>
      <c r="R309" s="19">
        <v>0</v>
      </c>
      <c r="S309">
        <v>0</v>
      </c>
      <c r="T309" s="42">
        <v>0</v>
      </c>
      <c r="U309" s="19">
        <v>27269.082067578671</v>
      </c>
    </row>
    <row r="310" spans="2:21" x14ac:dyDescent="0.25">
      <c r="B310" s="4">
        <v>45260</v>
      </c>
      <c r="C310" s="19">
        <v>27269.082067578671</v>
      </c>
      <c r="D310" s="42">
        <v>0</v>
      </c>
      <c r="E310" s="42">
        <v>0</v>
      </c>
      <c r="F310" s="42">
        <v>0</v>
      </c>
      <c r="G310" s="42">
        <v>0</v>
      </c>
      <c r="H310" s="42">
        <v>0</v>
      </c>
      <c r="I310" s="42">
        <v>0</v>
      </c>
      <c r="J310" s="42">
        <v>0</v>
      </c>
      <c r="K310" s="19">
        <v>0</v>
      </c>
      <c r="L310" s="42">
        <v>0</v>
      </c>
      <c r="M310" s="42">
        <v>0</v>
      </c>
      <c r="N310" s="42">
        <v>0</v>
      </c>
      <c r="O310" s="42">
        <v>0</v>
      </c>
      <c r="P310" s="41">
        <v>0</v>
      </c>
      <c r="Q310" s="42">
        <v>0</v>
      </c>
      <c r="R310" s="19">
        <v>0</v>
      </c>
      <c r="S310">
        <v>0</v>
      </c>
      <c r="T310" s="42">
        <v>0</v>
      </c>
      <c r="U310" s="19">
        <v>27269.082067578671</v>
      </c>
    </row>
    <row r="311" spans="2:21" x14ac:dyDescent="0.25">
      <c r="B311" s="4">
        <v>45261</v>
      </c>
      <c r="C311" s="19">
        <v>27269.082067578671</v>
      </c>
      <c r="D311" s="42">
        <v>0</v>
      </c>
      <c r="E311" s="42">
        <v>0</v>
      </c>
      <c r="F311" s="42">
        <v>0</v>
      </c>
      <c r="G311" s="42">
        <v>0</v>
      </c>
      <c r="H311" s="42">
        <v>0</v>
      </c>
      <c r="I311" s="42">
        <v>0</v>
      </c>
      <c r="J311" s="42">
        <v>0</v>
      </c>
      <c r="K311" s="19">
        <v>0</v>
      </c>
      <c r="L311" s="42">
        <v>0</v>
      </c>
      <c r="M311" s="42">
        <v>0</v>
      </c>
      <c r="N311" s="42">
        <v>0</v>
      </c>
      <c r="O311" s="42">
        <v>0</v>
      </c>
      <c r="P311" s="41">
        <v>0</v>
      </c>
      <c r="Q311" s="42">
        <v>0</v>
      </c>
      <c r="R311" s="19">
        <v>0</v>
      </c>
      <c r="S311">
        <v>0</v>
      </c>
      <c r="T311" s="42">
        <v>0</v>
      </c>
      <c r="U311" s="19">
        <v>27269.082067578671</v>
      </c>
    </row>
    <row r="312" spans="2:21" x14ac:dyDescent="0.25">
      <c r="B312" s="4">
        <v>45264</v>
      </c>
      <c r="C312" s="19">
        <v>27269.082067578671</v>
      </c>
      <c r="D312" s="42">
        <v>0</v>
      </c>
      <c r="E312" s="42">
        <v>0</v>
      </c>
      <c r="F312" s="42">
        <v>0</v>
      </c>
      <c r="G312" s="42">
        <v>0</v>
      </c>
      <c r="H312" s="42">
        <v>0</v>
      </c>
      <c r="I312" s="42">
        <v>0</v>
      </c>
      <c r="J312" s="42">
        <v>0</v>
      </c>
      <c r="K312" s="19">
        <v>0</v>
      </c>
      <c r="L312" s="42">
        <v>0</v>
      </c>
      <c r="M312" s="42">
        <v>0</v>
      </c>
      <c r="N312" s="42">
        <v>0</v>
      </c>
      <c r="O312" s="42">
        <v>0</v>
      </c>
      <c r="P312" s="41">
        <v>0</v>
      </c>
      <c r="Q312" s="42">
        <v>0</v>
      </c>
      <c r="R312" s="19">
        <v>0</v>
      </c>
      <c r="S312">
        <v>0</v>
      </c>
      <c r="T312" s="42">
        <v>0</v>
      </c>
      <c r="U312" s="19">
        <v>27269.082067578671</v>
      </c>
    </row>
    <row r="313" spans="2:21" x14ac:dyDescent="0.25">
      <c r="B313" s="4">
        <v>45265</v>
      </c>
      <c r="C313" s="19">
        <v>27269.082067578671</v>
      </c>
      <c r="D313" s="42">
        <v>0</v>
      </c>
      <c r="E313" s="42">
        <v>0</v>
      </c>
      <c r="F313" s="42">
        <v>0</v>
      </c>
      <c r="G313" s="42">
        <v>0</v>
      </c>
      <c r="H313" s="42">
        <v>0</v>
      </c>
      <c r="I313" s="42">
        <v>0</v>
      </c>
      <c r="J313" s="42">
        <v>0</v>
      </c>
      <c r="K313" s="19">
        <v>0</v>
      </c>
      <c r="L313" s="42">
        <v>0</v>
      </c>
      <c r="M313" s="42">
        <v>0</v>
      </c>
      <c r="N313" s="42">
        <v>0</v>
      </c>
      <c r="O313" s="42">
        <v>0</v>
      </c>
      <c r="P313" s="41">
        <v>0</v>
      </c>
      <c r="Q313" s="42">
        <v>0</v>
      </c>
      <c r="R313" s="19">
        <v>0</v>
      </c>
      <c r="S313">
        <v>0</v>
      </c>
      <c r="T313" s="42">
        <v>0</v>
      </c>
      <c r="U313" s="19">
        <v>27269.082067578671</v>
      </c>
    </row>
    <row r="314" spans="2:21" x14ac:dyDescent="0.25">
      <c r="B314" s="4">
        <v>45266</v>
      </c>
      <c r="C314" s="19">
        <v>27269.082067578671</v>
      </c>
      <c r="D314" s="42">
        <v>0</v>
      </c>
      <c r="E314" s="42">
        <v>0</v>
      </c>
      <c r="F314" s="42">
        <v>0</v>
      </c>
      <c r="G314" s="42">
        <v>0</v>
      </c>
      <c r="H314" s="42">
        <v>0</v>
      </c>
      <c r="I314" s="42">
        <v>0</v>
      </c>
      <c r="J314" s="42">
        <v>0</v>
      </c>
      <c r="K314" s="19">
        <v>0</v>
      </c>
      <c r="L314" s="42">
        <v>0</v>
      </c>
      <c r="M314" s="42">
        <v>0</v>
      </c>
      <c r="N314" s="42">
        <v>0</v>
      </c>
      <c r="O314" s="42">
        <v>0</v>
      </c>
      <c r="P314" s="41">
        <v>0</v>
      </c>
      <c r="Q314" s="42">
        <v>0</v>
      </c>
      <c r="R314" s="19">
        <v>0</v>
      </c>
      <c r="S314" s="19">
        <v>24500</v>
      </c>
      <c r="T314" s="42">
        <v>0</v>
      </c>
      <c r="U314" s="19">
        <v>51769.082067578667</v>
      </c>
    </row>
    <row r="315" spans="2:21" x14ac:dyDescent="0.25">
      <c r="B315" s="4">
        <v>45267</v>
      </c>
      <c r="C315" s="19">
        <v>51769.082067578667</v>
      </c>
      <c r="D315" s="42">
        <v>-23821.210903333002</v>
      </c>
      <c r="E315" s="42">
        <v>0</v>
      </c>
      <c r="F315" s="42">
        <v>0</v>
      </c>
      <c r="G315" s="42">
        <v>0</v>
      </c>
      <c r="H315" s="42">
        <v>0</v>
      </c>
      <c r="I315" s="42">
        <v>0</v>
      </c>
      <c r="J315" s="42">
        <v>0</v>
      </c>
      <c r="K315" s="19">
        <v>0</v>
      </c>
      <c r="L315" s="42">
        <v>0</v>
      </c>
      <c r="M315" s="42">
        <v>0</v>
      </c>
      <c r="N315" s="42">
        <v>0</v>
      </c>
      <c r="O315" s="42">
        <v>0</v>
      </c>
      <c r="P315" s="41">
        <v>0</v>
      </c>
      <c r="Q315" s="42">
        <v>0</v>
      </c>
      <c r="R315" s="19">
        <v>0</v>
      </c>
      <c r="S315" s="19">
        <v>0</v>
      </c>
      <c r="T315" s="42">
        <v>0</v>
      </c>
      <c r="U315" s="19">
        <v>27947.871164245666</v>
      </c>
    </row>
    <row r="316" spans="2:21" x14ac:dyDescent="0.25">
      <c r="B316" s="4">
        <v>45268</v>
      </c>
      <c r="C316" s="19">
        <v>27947.871164245666</v>
      </c>
      <c r="D316" s="42">
        <v>0</v>
      </c>
      <c r="E316" s="42">
        <v>0</v>
      </c>
      <c r="F316" s="42">
        <v>0</v>
      </c>
      <c r="G316" s="42">
        <v>0</v>
      </c>
      <c r="H316" s="42">
        <v>0</v>
      </c>
      <c r="I316" s="42">
        <v>0</v>
      </c>
      <c r="J316" s="42">
        <v>0</v>
      </c>
      <c r="K316" s="19">
        <v>0</v>
      </c>
      <c r="L316" s="42">
        <v>0</v>
      </c>
      <c r="M316" s="42">
        <v>0</v>
      </c>
      <c r="N316" s="42">
        <v>0</v>
      </c>
      <c r="O316" s="42">
        <v>0</v>
      </c>
      <c r="P316" s="41">
        <v>0</v>
      </c>
      <c r="Q316" s="42">
        <v>0</v>
      </c>
      <c r="R316" s="19">
        <v>0</v>
      </c>
      <c r="S316" s="19">
        <v>0</v>
      </c>
      <c r="T316" s="42">
        <v>0</v>
      </c>
      <c r="U316" s="19">
        <v>27947.871164245666</v>
      </c>
    </row>
    <row r="317" spans="2:21" x14ac:dyDescent="0.25">
      <c r="B317" s="4">
        <v>45271</v>
      </c>
      <c r="C317" s="19">
        <v>27947.871164245666</v>
      </c>
      <c r="D317" s="42">
        <v>0</v>
      </c>
      <c r="E317" s="42">
        <v>0</v>
      </c>
      <c r="F317" s="42">
        <v>0</v>
      </c>
      <c r="G317" s="42">
        <v>0</v>
      </c>
      <c r="H317" s="42">
        <v>0</v>
      </c>
      <c r="I317" s="42">
        <v>0</v>
      </c>
      <c r="J317" s="42">
        <v>0</v>
      </c>
      <c r="K317" s="19">
        <v>0</v>
      </c>
      <c r="L317" s="42">
        <v>0</v>
      </c>
      <c r="M317" s="42">
        <v>0</v>
      </c>
      <c r="N317" s="42">
        <v>0</v>
      </c>
      <c r="O317" s="42">
        <v>0</v>
      </c>
      <c r="P317" s="41">
        <v>0</v>
      </c>
      <c r="Q317" s="42">
        <v>0</v>
      </c>
      <c r="R317" s="19">
        <v>0</v>
      </c>
      <c r="S317" s="19">
        <v>0</v>
      </c>
      <c r="T317" s="42">
        <v>0</v>
      </c>
      <c r="U317" s="19">
        <v>27947.871164245666</v>
      </c>
    </row>
    <row r="318" spans="2:21" x14ac:dyDescent="0.25">
      <c r="B318" s="4">
        <v>45272</v>
      </c>
      <c r="C318" s="19">
        <v>27947.871164245666</v>
      </c>
      <c r="D318" s="42">
        <v>0</v>
      </c>
      <c r="E318" s="42">
        <v>0</v>
      </c>
      <c r="F318" s="42">
        <v>0</v>
      </c>
      <c r="G318" s="42">
        <v>0</v>
      </c>
      <c r="H318" s="42">
        <v>0</v>
      </c>
      <c r="I318" s="42">
        <v>0</v>
      </c>
      <c r="J318" s="42">
        <v>0</v>
      </c>
      <c r="K318" s="19">
        <v>0</v>
      </c>
      <c r="L318" s="42">
        <v>0</v>
      </c>
      <c r="M318" s="42">
        <v>0</v>
      </c>
      <c r="N318" s="42">
        <v>0</v>
      </c>
      <c r="O318" s="42">
        <v>0</v>
      </c>
      <c r="P318" s="41">
        <v>0</v>
      </c>
      <c r="Q318" s="42">
        <v>0</v>
      </c>
      <c r="R318" s="19">
        <v>0</v>
      </c>
      <c r="S318" s="19">
        <v>0</v>
      </c>
      <c r="T318" s="42">
        <v>0</v>
      </c>
      <c r="U318" s="19">
        <v>27947.871164245666</v>
      </c>
    </row>
    <row r="319" spans="2:21" x14ac:dyDescent="0.25">
      <c r="B319" s="4">
        <v>45273</v>
      </c>
      <c r="C319" s="19">
        <v>27947.871164245666</v>
      </c>
      <c r="D319" s="42">
        <v>0</v>
      </c>
      <c r="E319" s="42">
        <v>0</v>
      </c>
      <c r="F319" s="42">
        <v>0</v>
      </c>
      <c r="G319" s="42">
        <v>0</v>
      </c>
      <c r="H319" s="42">
        <v>0</v>
      </c>
      <c r="I319" s="42">
        <v>0</v>
      </c>
      <c r="J319" s="42">
        <v>0</v>
      </c>
      <c r="K319" s="19">
        <v>0</v>
      </c>
      <c r="L319" s="42">
        <v>0</v>
      </c>
      <c r="M319" s="42">
        <v>0</v>
      </c>
      <c r="N319" s="42">
        <v>0</v>
      </c>
      <c r="O319" s="42">
        <v>0</v>
      </c>
      <c r="P319" s="41">
        <v>0</v>
      </c>
      <c r="Q319" s="42">
        <v>0</v>
      </c>
      <c r="R319" s="19">
        <v>0</v>
      </c>
      <c r="S319" s="19">
        <v>0</v>
      </c>
      <c r="T319" s="42">
        <v>0</v>
      </c>
      <c r="U319" s="19">
        <v>27947.871164245666</v>
      </c>
    </row>
    <row r="320" spans="2:21" x14ac:dyDescent="0.25">
      <c r="B320" s="4">
        <v>45274</v>
      </c>
      <c r="C320" s="19">
        <v>27947.871164245666</v>
      </c>
      <c r="D320" s="42">
        <v>0</v>
      </c>
      <c r="E320" s="42">
        <v>0</v>
      </c>
      <c r="F320" s="42">
        <v>0</v>
      </c>
      <c r="G320" s="42">
        <v>0</v>
      </c>
      <c r="H320" s="42">
        <v>0</v>
      </c>
      <c r="I320" s="42">
        <v>0</v>
      </c>
      <c r="J320" s="42">
        <v>0</v>
      </c>
      <c r="K320" s="19">
        <v>0</v>
      </c>
      <c r="L320" s="42">
        <v>0</v>
      </c>
      <c r="M320" s="42">
        <v>0</v>
      </c>
      <c r="N320" s="42">
        <v>0</v>
      </c>
      <c r="O320" s="42">
        <v>0</v>
      </c>
      <c r="P320" s="41">
        <v>0</v>
      </c>
      <c r="Q320" s="42">
        <v>-587.17999999999995</v>
      </c>
      <c r="R320" s="19">
        <v>0</v>
      </c>
      <c r="S320" s="19">
        <v>0</v>
      </c>
      <c r="T320" s="42">
        <v>0</v>
      </c>
      <c r="U320" s="19">
        <v>27360.691164245665</v>
      </c>
    </row>
    <row r="321" spans="2:21" x14ac:dyDescent="0.25">
      <c r="B321" s="4">
        <v>45275</v>
      </c>
      <c r="C321" s="19">
        <v>27360.691164245665</v>
      </c>
      <c r="D321" s="42">
        <v>0</v>
      </c>
      <c r="E321" s="42">
        <v>0</v>
      </c>
      <c r="F321" s="42">
        <v>0</v>
      </c>
      <c r="G321" s="42">
        <v>0</v>
      </c>
      <c r="H321" s="42">
        <v>0</v>
      </c>
      <c r="I321" s="42">
        <v>0</v>
      </c>
      <c r="J321" s="42">
        <v>0</v>
      </c>
      <c r="K321" s="19">
        <v>0</v>
      </c>
      <c r="L321" s="42">
        <v>0</v>
      </c>
      <c r="M321" s="42">
        <v>0</v>
      </c>
      <c r="N321" s="42">
        <v>0</v>
      </c>
      <c r="O321" s="42">
        <v>0</v>
      </c>
      <c r="P321" s="41">
        <v>0</v>
      </c>
      <c r="Q321" s="42">
        <v>0</v>
      </c>
      <c r="R321" s="19">
        <v>0</v>
      </c>
      <c r="S321" s="19">
        <v>0</v>
      </c>
      <c r="T321" s="42">
        <v>0</v>
      </c>
      <c r="U321" s="19">
        <v>27360.691164245665</v>
      </c>
    </row>
    <row r="322" spans="2:21" x14ac:dyDescent="0.25">
      <c r="B322" s="4">
        <v>45278</v>
      </c>
      <c r="C322" s="19">
        <v>27360.691164245665</v>
      </c>
      <c r="D322" s="42">
        <v>0</v>
      </c>
      <c r="E322" s="42">
        <v>0</v>
      </c>
      <c r="F322" s="42">
        <v>0</v>
      </c>
      <c r="G322" s="42">
        <v>0</v>
      </c>
      <c r="H322" s="42">
        <v>0</v>
      </c>
      <c r="I322" s="42">
        <v>0</v>
      </c>
      <c r="J322" s="42">
        <v>0</v>
      </c>
      <c r="K322" s="19">
        <v>0</v>
      </c>
      <c r="L322" s="42">
        <v>0</v>
      </c>
      <c r="M322" s="42">
        <v>0</v>
      </c>
      <c r="N322" s="42">
        <v>0</v>
      </c>
      <c r="O322" s="42">
        <v>0</v>
      </c>
      <c r="P322" s="41">
        <v>0</v>
      </c>
      <c r="Q322" s="42">
        <v>0</v>
      </c>
      <c r="R322" s="19">
        <v>0</v>
      </c>
      <c r="S322" s="19">
        <v>0</v>
      </c>
      <c r="T322" s="42">
        <v>0</v>
      </c>
      <c r="U322" s="19">
        <v>27360.691164245665</v>
      </c>
    </row>
    <row r="323" spans="2:21" x14ac:dyDescent="0.25">
      <c r="B323" s="4">
        <v>45279</v>
      </c>
      <c r="C323" s="19">
        <v>27360.691164245665</v>
      </c>
      <c r="D323" s="42">
        <v>0</v>
      </c>
      <c r="E323" s="42">
        <v>0</v>
      </c>
      <c r="F323" s="42">
        <v>0</v>
      </c>
      <c r="G323" s="42">
        <v>0</v>
      </c>
      <c r="H323" s="42">
        <v>0</v>
      </c>
      <c r="I323" s="42">
        <v>0</v>
      </c>
      <c r="J323" s="42">
        <v>0</v>
      </c>
      <c r="K323" s="19">
        <v>0</v>
      </c>
      <c r="L323" s="42">
        <v>0</v>
      </c>
      <c r="M323" s="42">
        <v>0</v>
      </c>
      <c r="N323" s="42">
        <v>0</v>
      </c>
      <c r="O323" s="42">
        <v>0</v>
      </c>
      <c r="P323" s="41">
        <v>0</v>
      </c>
      <c r="Q323" s="42">
        <v>0</v>
      </c>
      <c r="R323" s="19">
        <v>0</v>
      </c>
      <c r="S323" s="19">
        <v>0</v>
      </c>
      <c r="T323" s="42">
        <v>0</v>
      </c>
      <c r="U323" s="19">
        <v>27360.691164245665</v>
      </c>
    </row>
    <row r="324" spans="2:21" x14ac:dyDescent="0.25">
      <c r="B324" s="4">
        <v>45280</v>
      </c>
      <c r="C324" s="19">
        <v>27360.691164245665</v>
      </c>
      <c r="D324" s="42">
        <v>0</v>
      </c>
      <c r="E324" s="42">
        <v>0</v>
      </c>
      <c r="F324" s="42">
        <v>0</v>
      </c>
      <c r="G324" s="42">
        <v>0</v>
      </c>
      <c r="H324" s="42">
        <v>0</v>
      </c>
      <c r="I324" s="42">
        <v>0</v>
      </c>
      <c r="J324" s="42">
        <v>0</v>
      </c>
      <c r="K324" s="19">
        <v>0</v>
      </c>
      <c r="L324" s="42">
        <v>0</v>
      </c>
      <c r="M324" s="42">
        <v>0</v>
      </c>
      <c r="N324" s="42">
        <v>0</v>
      </c>
      <c r="O324" s="42">
        <v>0</v>
      </c>
      <c r="P324" s="41">
        <v>0</v>
      </c>
      <c r="Q324" s="42">
        <v>0</v>
      </c>
      <c r="R324" s="19">
        <v>0</v>
      </c>
      <c r="S324" s="19">
        <v>0</v>
      </c>
      <c r="T324" s="42">
        <v>0</v>
      </c>
      <c r="U324" s="19">
        <v>27360.691164245665</v>
      </c>
    </row>
    <row r="325" spans="2:21" x14ac:dyDescent="0.25">
      <c r="B325" s="4">
        <v>45281</v>
      </c>
      <c r="C325" s="19">
        <v>27360.691164245665</v>
      </c>
      <c r="D325" s="42">
        <v>0</v>
      </c>
      <c r="E325" s="42">
        <v>0</v>
      </c>
      <c r="F325" s="42">
        <v>0</v>
      </c>
      <c r="G325" s="42">
        <v>0</v>
      </c>
      <c r="H325" s="42">
        <v>0</v>
      </c>
      <c r="I325" s="42">
        <v>0</v>
      </c>
      <c r="J325" s="42">
        <v>0</v>
      </c>
      <c r="K325" s="19">
        <v>0</v>
      </c>
      <c r="L325" s="42">
        <v>0</v>
      </c>
      <c r="M325" s="42">
        <v>0</v>
      </c>
      <c r="N325" s="42">
        <v>0</v>
      </c>
      <c r="O325" s="42">
        <v>0</v>
      </c>
      <c r="P325" s="41">
        <v>0</v>
      </c>
      <c r="Q325" s="42">
        <v>0</v>
      </c>
      <c r="R325" s="19">
        <v>0</v>
      </c>
      <c r="S325" s="19">
        <v>0</v>
      </c>
      <c r="T325" s="42">
        <v>0</v>
      </c>
      <c r="U325" s="19">
        <v>27360.691164245665</v>
      </c>
    </row>
    <row r="326" spans="2:21" x14ac:dyDescent="0.25">
      <c r="B326" s="4">
        <v>45282</v>
      </c>
      <c r="C326" s="19">
        <v>27360.691164245665</v>
      </c>
      <c r="D326" s="42">
        <v>0</v>
      </c>
      <c r="E326" s="42">
        <v>0</v>
      </c>
      <c r="F326" s="42">
        <v>0</v>
      </c>
      <c r="G326" s="42">
        <v>0</v>
      </c>
      <c r="H326" s="42">
        <v>0</v>
      </c>
      <c r="I326" s="42">
        <v>0</v>
      </c>
      <c r="J326" s="42">
        <v>0</v>
      </c>
      <c r="K326" s="19">
        <v>0</v>
      </c>
      <c r="L326" s="42">
        <v>0</v>
      </c>
      <c r="M326" s="42">
        <v>0</v>
      </c>
      <c r="N326" s="42">
        <v>0</v>
      </c>
      <c r="O326" s="42">
        <v>0</v>
      </c>
      <c r="P326" s="41">
        <v>0</v>
      </c>
      <c r="Q326" s="42">
        <v>0</v>
      </c>
      <c r="R326" s="19">
        <v>0</v>
      </c>
      <c r="S326" s="19">
        <v>0</v>
      </c>
      <c r="T326" s="42">
        <v>0</v>
      </c>
      <c r="U326" s="19">
        <v>27360.691164245665</v>
      </c>
    </row>
    <row r="327" spans="2:21" x14ac:dyDescent="0.25">
      <c r="B327" s="4">
        <v>45286</v>
      </c>
      <c r="C327" s="19">
        <v>27360.691164245665</v>
      </c>
      <c r="D327" s="42">
        <v>0</v>
      </c>
      <c r="E327" s="42">
        <v>0</v>
      </c>
      <c r="F327" s="42">
        <v>0</v>
      </c>
      <c r="G327" s="42">
        <v>0</v>
      </c>
      <c r="H327" s="42">
        <v>0</v>
      </c>
      <c r="I327" s="42">
        <v>0</v>
      </c>
      <c r="J327" s="42">
        <v>0</v>
      </c>
      <c r="K327" s="19">
        <v>0</v>
      </c>
      <c r="L327" s="42">
        <v>0</v>
      </c>
      <c r="M327" s="42">
        <v>0</v>
      </c>
      <c r="N327" s="42">
        <v>0</v>
      </c>
      <c r="O327" s="42">
        <v>0</v>
      </c>
      <c r="P327" s="41">
        <v>0</v>
      </c>
      <c r="Q327" s="42">
        <v>-196</v>
      </c>
      <c r="R327" s="19">
        <v>0</v>
      </c>
      <c r="S327" s="19">
        <v>0</v>
      </c>
      <c r="T327" s="42">
        <v>0</v>
      </c>
      <c r="U327" s="19">
        <v>27164.691164245665</v>
      </c>
    </row>
    <row r="328" spans="2:21" x14ac:dyDescent="0.25">
      <c r="B328" s="4">
        <v>45287</v>
      </c>
      <c r="C328" s="19">
        <v>27164.691164245665</v>
      </c>
      <c r="D328" s="42">
        <v>0</v>
      </c>
      <c r="E328" s="42">
        <v>0</v>
      </c>
      <c r="F328" s="42">
        <v>0</v>
      </c>
      <c r="G328" s="42">
        <v>0</v>
      </c>
      <c r="H328" s="42">
        <v>0</v>
      </c>
      <c r="I328" s="42">
        <v>0</v>
      </c>
      <c r="J328" s="42">
        <v>0</v>
      </c>
      <c r="K328" s="19">
        <v>0</v>
      </c>
      <c r="L328" s="42">
        <v>0</v>
      </c>
      <c r="M328" s="42">
        <v>0</v>
      </c>
      <c r="N328" s="42">
        <v>0</v>
      </c>
      <c r="O328" s="42">
        <v>0</v>
      </c>
      <c r="P328" s="41">
        <v>0</v>
      </c>
      <c r="Q328" s="42">
        <v>0</v>
      </c>
      <c r="R328" s="19">
        <v>0</v>
      </c>
      <c r="S328" s="19">
        <v>0</v>
      </c>
      <c r="T328" s="42">
        <v>0</v>
      </c>
      <c r="U328" s="19">
        <v>27164.691164245665</v>
      </c>
    </row>
    <row r="329" spans="2:21" x14ac:dyDescent="0.25">
      <c r="B329" s="4">
        <v>45288</v>
      </c>
      <c r="C329" s="19">
        <v>27164.691164245665</v>
      </c>
      <c r="D329" s="42">
        <v>0</v>
      </c>
      <c r="E329" s="42">
        <v>0</v>
      </c>
      <c r="F329" s="42">
        <v>0</v>
      </c>
      <c r="G329" s="42">
        <v>0</v>
      </c>
      <c r="H329" s="42">
        <v>0</v>
      </c>
      <c r="I329" s="42">
        <v>0</v>
      </c>
      <c r="J329" s="42">
        <v>0</v>
      </c>
      <c r="K329" s="19">
        <v>0</v>
      </c>
      <c r="L329" s="42">
        <v>0</v>
      </c>
      <c r="M329" s="42">
        <v>0</v>
      </c>
      <c r="N329" s="42">
        <v>0</v>
      </c>
      <c r="O329" s="42">
        <v>0</v>
      </c>
      <c r="P329" s="41">
        <v>0</v>
      </c>
      <c r="Q329" s="42">
        <v>0</v>
      </c>
      <c r="R329" s="19">
        <v>0</v>
      </c>
      <c r="S329" s="19">
        <v>0</v>
      </c>
      <c r="T329" s="42">
        <v>0</v>
      </c>
      <c r="U329" s="19">
        <v>27164.691164245665</v>
      </c>
    </row>
    <row r="330" spans="2:21" x14ac:dyDescent="0.25">
      <c r="B330" s="4">
        <v>45289</v>
      </c>
      <c r="C330" s="19">
        <v>27164.691164245665</v>
      </c>
      <c r="D330" s="42">
        <v>0</v>
      </c>
      <c r="E330" s="42">
        <v>0</v>
      </c>
      <c r="F330" s="42">
        <v>0</v>
      </c>
      <c r="G330" s="42">
        <v>0</v>
      </c>
      <c r="H330" s="42">
        <v>0</v>
      </c>
      <c r="I330" s="42">
        <v>0</v>
      </c>
      <c r="J330" s="42">
        <v>0</v>
      </c>
      <c r="K330" s="19">
        <v>0</v>
      </c>
      <c r="L330" s="42">
        <v>0</v>
      </c>
      <c r="M330" s="42">
        <v>0</v>
      </c>
      <c r="N330" s="42">
        <v>0</v>
      </c>
      <c r="O330" s="42">
        <v>0</v>
      </c>
      <c r="P330" s="41">
        <v>0</v>
      </c>
      <c r="Q330" s="42">
        <v>0</v>
      </c>
      <c r="R330" s="19">
        <v>0</v>
      </c>
      <c r="S330" s="19">
        <v>0</v>
      </c>
      <c r="T330" s="42">
        <v>0</v>
      </c>
      <c r="U330" s="19">
        <v>27164.691164245665</v>
      </c>
    </row>
    <row r="331" spans="2:21" x14ac:dyDescent="0.25">
      <c r="B331" s="4">
        <v>45293</v>
      </c>
      <c r="C331" s="19">
        <v>27164.691164245665</v>
      </c>
      <c r="D331" s="42">
        <v>0</v>
      </c>
      <c r="E331" s="42">
        <v>0</v>
      </c>
      <c r="F331" s="42">
        <v>0</v>
      </c>
      <c r="G331" s="42">
        <v>0</v>
      </c>
      <c r="H331" s="42">
        <v>0</v>
      </c>
      <c r="I331" s="42">
        <v>0</v>
      </c>
      <c r="J331" s="42">
        <v>0</v>
      </c>
      <c r="K331" s="19">
        <v>0</v>
      </c>
      <c r="L331" s="42">
        <v>0</v>
      </c>
      <c r="M331" s="42">
        <v>0</v>
      </c>
      <c r="N331" s="42">
        <v>0</v>
      </c>
      <c r="O331" s="42">
        <v>0</v>
      </c>
      <c r="P331" s="41">
        <v>0</v>
      </c>
      <c r="Q331" s="42">
        <v>0</v>
      </c>
      <c r="R331" s="19">
        <v>0</v>
      </c>
      <c r="S331" s="19">
        <v>0</v>
      </c>
      <c r="T331" s="42">
        <v>0</v>
      </c>
      <c r="U331" s="19">
        <v>27164.691164245665</v>
      </c>
    </row>
    <row r="332" spans="2:21" x14ac:dyDescent="0.25">
      <c r="B332" s="4">
        <v>45294</v>
      </c>
      <c r="C332" s="19">
        <v>27164.691164245665</v>
      </c>
      <c r="D332" s="42">
        <v>0</v>
      </c>
      <c r="E332" s="42">
        <v>0</v>
      </c>
      <c r="F332" s="42">
        <v>0</v>
      </c>
      <c r="G332" s="42">
        <v>0</v>
      </c>
      <c r="H332" s="42">
        <v>0</v>
      </c>
      <c r="I332" s="42">
        <v>0</v>
      </c>
      <c r="J332" s="42">
        <v>0</v>
      </c>
      <c r="K332" s="19">
        <v>0</v>
      </c>
      <c r="L332" s="42">
        <v>0</v>
      </c>
      <c r="M332" s="42">
        <v>0</v>
      </c>
      <c r="N332" s="42">
        <v>0</v>
      </c>
      <c r="O332" s="42">
        <v>0</v>
      </c>
      <c r="P332" s="41">
        <v>0</v>
      </c>
      <c r="Q332" s="42">
        <v>0</v>
      </c>
      <c r="R332" s="19">
        <v>0</v>
      </c>
      <c r="S332" s="19">
        <v>0</v>
      </c>
      <c r="T332" s="42">
        <v>0</v>
      </c>
      <c r="U332" s="19">
        <v>27164.691164245665</v>
      </c>
    </row>
    <row r="333" spans="2:21" x14ac:dyDescent="0.25">
      <c r="B333" s="4">
        <v>45295</v>
      </c>
      <c r="C333" s="19">
        <v>27164.691164245665</v>
      </c>
      <c r="D333" s="42">
        <v>0</v>
      </c>
      <c r="E333" s="42">
        <v>0</v>
      </c>
      <c r="F333" s="42">
        <v>0</v>
      </c>
      <c r="G333" s="42">
        <v>0</v>
      </c>
      <c r="H333" s="42">
        <v>0</v>
      </c>
      <c r="I333" s="42">
        <v>0</v>
      </c>
      <c r="J333" s="42">
        <v>0</v>
      </c>
      <c r="K333" s="19">
        <v>0</v>
      </c>
      <c r="L333" s="42">
        <v>0</v>
      </c>
      <c r="M333" s="42">
        <v>0</v>
      </c>
      <c r="N333" s="42">
        <v>0</v>
      </c>
      <c r="O333" s="42">
        <v>0</v>
      </c>
      <c r="P333" s="41">
        <v>0</v>
      </c>
      <c r="Q333" s="42">
        <v>0</v>
      </c>
      <c r="R333" s="19">
        <v>0</v>
      </c>
      <c r="S333" s="72">
        <v>26000</v>
      </c>
      <c r="T333" s="42">
        <v>0</v>
      </c>
      <c r="U333" s="19">
        <v>53164.691164245669</v>
      </c>
    </row>
    <row r="334" spans="2:21" x14ac:dyDescent="0.25">
      <c r="B334" s="4">
        <v>45296</v>
      </c>
      <c r="C334" s="19">
        <v>53164.691164245669</v>
      </c>
      <c r="D334" s="42">
        <v>0</v>
      </c>
      <c r="E334" s="42">
        <v>0</v>
      </c>
      <c r="F334" s="42">
        <v>0</v>
      </c>
      <c r="G334" s="42">
        <v>0</v>
      </c>
      <c r="H334" s="42">
        <v>0</v>
      </c>
      <c r="I334" s="42">
        <v>0</v>
      </c>
      <c r="J334" s="42">
        <v>0</v>
      </c>
      <c r="K334" s="19">
        <v>0</v>
      </c>
      <c r="L334" s="42">
        <v>0</v>
      </c>
      <c r="M334" s="42">
        <v>0</v>
      </c>
      <c r="N334" s="42">
        <v>0</v>
      </c>
      <c r="O334" s="42">
        <v>0</v>
      </c>
      <c r="P334" s="41">
        <v>0</v>
      </c>
      <c r="Q334" s="42">
        <v>0</v>
      </c>
      <c r="R334" s="19">
        <v>0</v>
      </c>
      <c r="S334" s="19">
        <v>0</v>
      </c>
      <c r="T334" s="42">
        <v>0</v>
      </c>
      <c r="U334" s="19">
        <v>53164.691164245669</v>
      </c>
    </row>
    <row r="335" spans="2:21" x14ac:dyDescent="0.25">
      <c r="B335" s="4">
        <v>45299</v>
      </c>
      <c r="C335" s="19">
        <v>53164.691164245669</v>
      </c>
      <c r="D335" s="42">
        <v>-25194.28</v>
      </c>
      <c r="E335" s="42">
        <v>0</v>
      </c>
      <c r="F335" s="42">
        <v>0</v>
      </c>
      <c r="G335" s="42">
        <v>0</v>
      </c>
      <c r="H335" s="42">
        <v>0</v>
      </c>
      <c r="I335" s="42">
        <v>0</v>
      </c>
      <c r="J335" s="42">
        <v>0</v>
      </c>
      <c r="K335" s="19">
        <v>0</v>
      </c>
      <c r="L335" s="42">
        <v>0</v>
      </c>
      <c r="M335" s="42">
        <v>0</v>
      </c>
      <c r="N335" s="42">
        <v>0</v>
      </c>
      <c r="O335" s="42">
        <v>0</v>
      </c>
      <c r="P335" s="41">
        <v>0</v>
      </c>
      <c r="Q335" s="42">
        <v>0</v>
      </c>
      <c r="R335" s="19">
        <v>0</v>
      </c>
      <c r="S335" s="19">
        <v>0</v>
      </c>
      <c r="T335" s="42">
        <v>0</v>
      </c>
      <c r="U335" s="19">
        <v>27970.41116424567</v>
      </c>
    </row>
    <row r="336" spans="2:21" x14ac:dyDescent="0.25">
      <c r="B336" s="4">
        <v>45300</v>
      </c>
      <c r="C336" s="19">
        <v>27970.41116424567</v>
      </c>
      <c r="D336" s="42">
        <v>0</v>
      </c>
      <c r="E336" s="42">
        <v>0</v>
      </c>
      <c r="F336" s="42">
        <v>0</v>
      </c>
      <c r="G336" s="42">
        <v>0</v>
      </c>
      <c r="H336" s="42">
        <v>0</v>
      </c>
      <c r="I336" s="42">
        <v>0</v>
      </c>
      <c r="J336" s="42">
        <v>0</v>
      </c>
      <c r="K336" s="19">
        <v>0</v>
      </c>
      <c r="L336" s="42">
        <v>0</v>
      </c>
      <c r="M336" s="42">
        <v>0</v>
      </c>
      <c r="N336" s="42">
        <v>0</v>
      </c>
      <c r="O336" s="42">
        <v>0</v>
      </c>
      <c r="P336" s="41">
        <v>0</v>
      </c>
      <c r="Q336" s="42">
        <v>0</v>
      </c>
      <c r="R336" s="19">
        <v>0</v>
      </c>
      <c r="S336" s="19">
        <v>0</v>
      </c>
      <c r="T336" s="42">
        <v>0</v>
      </c>
      <c r="U336" s="19">
        <v>27970.41116424567</v>
      </c>
    </row>
    <row r="337" spans="2:21" x14ac:dyDescent="0.25">
      <c r="B337" s="4">
        <v>45301</v>
      </c>
      <c r="C337" s="19">
        <v>27970.41116424567</v>
      </c>
      <c r="D337" s="42">
        <v>0</v>
      </c>
      <c r="E337" s="42">
        <v>0</v>
      </c>
      <c r="F337" s="42">
        <v>0</v>
      </c>
      <c r="G337" s="42">
        <v>0</v>
      </c>
      <c r="H337" s="42">
        <v>0</v>
      </c>
      <c r="I337" s="42">
        <v>0</v>
      </c>
      <c r="J337" s="42">
        <v>0</v>
      </c>
      <c r="K337" s="19">
        <v>0</v>
      </c>
      <c r="L337" s="42">
        <v>0</v>
      </c>
      <c r="M337" s="42">
        <v>0</v>
      </c>
      <c r="N337" s="42">
        <v>0</v>
      </c>
      <c r="O337" s="42">
        <v>0</v>
      </c>
      <c r="P337" s="41">
        <v>-211837.76</v>
      </c>
      <c r="Q337" s="42">
        <v>0</v>
      </c>
      <c r="R337" s="19">
        <v>0</v>
      </c>
      <c r="S337" s="72">
        <v>212000</v>
      </c>
      <c r="T337" s="42">
        <v>0</v>
      </c>
      <c r="U337" s="19">
        <v>28132.651164245675</v>
      </c>
    </row>
    <row r="338" spans="2:21" x14ac:dyDescent="0.25">
      <c r="B338" s="4">
        <v>45302</v>
      </c>
      <c r="C338" s="19">
        <v>28132.651164245675</v>
      </c>
      <c r="D338" s="42">
        <v>0</v>
      </c>
      <c r="E338" s="42">
        <v>0</v>
      </c>
      <c r="F338" s="42">
        <v>0</v>
      </c>
      <c r="G338" s="42">
        <v>0</v>
      </c>
      <c r="H338" s="42">
        <v>0</v>
      </c>
      <c r="I338" s="42">
        <v>0</v>
      </c>
      <c r="J338" s="42">
        <v>0</v>
      </c>
      <c r="K338" s="19">
        <v>0</v>
      </c>
      <c r="L338" s="42">
        <v>0</v>
      </c>
      <c r="M338" s="42">
        <v>0</v>
      </c>
      <c r="N338" s="42">
        <v>0</v>
      </c>
      <c r="O338" s="42">
        <v>0</v>
      </c>
      <c r="P338" s="41">
        <v>0</v>
      </c>
      <c r="Q338" s="42">
        <v>0</v>
      </c>
      <c r="R338" s="19">
        <v>0</v>
      </c>
      <c r="S338" s="19">
        <v>0</v>
      </c>
      <c r="T338" s="42">
        <v>0</v>
      </c>
      <c r="U338" s="19">
        <v>28132.651164245675</v>
      </c>
    </row>
    <row r="339" spans="2:21" x14ac:dyDescent="0.25">
      <c r="B339" s="4">
        <v>45303</v>
      </c>
      <c r="C339" s="19">
        <v>28132.651164245675</v>
      </c>
      <c r="D339" s="42">
        <v>0</v>
      </c>
      <c r="E339" s="42">
        <v>0</v>
      </c>
      <c r="F339" s="42">
        <v>0</v>
      </c>
      <c r="G339" s="42">
        <v>0</v>
      </c>
      <c r="H339" s="42">
        <v>0</v>
      </c>
      <c r="I339" s="42">
        <v>0</v>
      </c>
      <c r="J339" s="42">
        <v>0</v>
      </c>
      <c r="K339" s="19">
        <v>0</v>
      </c>
      <c r="L339" s="42">
        <v>0</v>
      </c>
      <c r="M339" s="42">
        <v>0</v>
      </c>
      <c r="N339" s="42">
        <v>0</v>
      </c>
      <c r="O339" s="42">
        <v>0</v>
      </c>
      <c r="P339" s="41">
        <v>0</v>
      </c>
      <c r="Q339" s="42">
        <v>0</v>
      </c>
      <c r="R339" s="19">
        <v>0</v>
      </c>
      <c r="S339" s="19">
        <v>0</v>
      </c>
      <c r="T339" s="42">
        <v>0</v>
      </c>
      <c r="U339" s="19">
        <v>28132.651164245675</v>
      </c>
    </row>
    <row r="340" spans="2:21" x14ac:dyDescent="0.25">
      <c r="B340" s="4">
        <v>45306</v>
      </c>
      <c r="C340" s="19">
        <v>28132.651164245675</v>
      </c>
      <c r="D340" s="42">
        <v>0</v>
      </c>
      <c r="E340" s="42">
        <v>0</v>
      </c>
      <c r="F340" s="42">
        <v>0</v>
      </c>
      <c r="G340" s="42">
        <v>0</v>
      </c>
      <c r="H340" s="42">
        <v>0</v>
      </c>
      <c r="I340" s="42">
        <v>0</v>
      </c>
      <c r="J340" s="42">
        <v>0</v>
      </c>
      <c r="K340" s="19">
        <v>0</v>
      </c>
      <c r="L340" s="42">
        <v>0</v>
      </c>
      <c r="M340" s="42">
        <v>0</v>
      </c>
      <c r="N340" s="42">
        <v>0</v>
      </c>
      <c r="O340" s="42">
        <v>0</v>
      </c>
      <c r="P340" s="41">
        <v>0</v>
      </c>
      <c r="Q340" s="42">
        <v>-5179.88</v>
      </c>
      <c r="R340" s="19">
        <v>0</v>
      </c>
      <c r="S340" s="19">
        <v>0</v>
      </c>
      <c r="T340" s="42">
        <v>0</v>
      </c>
      <c r="U340" s="19">
        <v>22952.771164245674</v>
      </c>
    </row>
    <row r="341" spans="2:21" x14ac:dyDescent="0.25">
      <c r="B341" s="4">
        <v>45307</v>
      </c>
      <c r="C341" s="19">
        <v>22952.771164245674</v>
      </c>
      <c r="D341" s="42">
        <v>0</v>
      </c>
      <c r="E341" s="42">
        <v>0</v>
      </c>
      <c r="F341" s="42">
        <v>0</v>
      </c>
      <c r="G341" s="42">
        <v>0</v>
      </c>
      <c r="H341" s="42">
        <v>0</v>
      </c>
      <c r="I341" s="42">
        <v>0</v>
      </c>
      <c r="J341" s="42">
        <v>0</v>
      </c>
      <c r="K341" s="19">
        <v>0</v>
      </c>
      <c r="L341" s="42">
        <v>0</v>
      </c>
      <c r="M341" s="42">
        <v>0</v>
      </c>
      <c r="N341" s="42">
        <v>0</v>
      </c>
      <c r="O341" s="42">
        <v>0</v>
      </c>
      <c r="P341" s="41">
        <v>0</v>
      </c>
      <c r="Q341" s="42">
        <v>0</v>
      </c>
      <c r="R341" s="19">
        <v>0</v>
      </c>
      <c r="S341" s="19">
        <v>0</v>
      </c>
      <c r="T341" s="42">
        <v>0</v>
      </c>
      <c r="U341" s="19">
        <v>22952.771164245674</v>
      </c>
    </row>
    <row r="342" spans="2:21" x14ac:dyDescent="0.25">
      <c r="B342" s="4">
        <v>45308</v>
      </c>
      <c r="C342" s="19">
        <v>22952.771164245674</v>
      </c>
      <c r="D342" s="42">
        <v>0</v>
      </c>
      <c r="E342" s="42">
        <v>0</v>
      </c>
      <c r="F342" s="42">
        <v>0</v>
      </c>
      <c r="G342" s="42">
        <v>0</v>
      </c>
      <c r="H342" s="42">
        <v>0</v>
      </c>
      <c r="I342" s="42">
        <v>0</v>
      </c>
      <c r="J342" s="42">
        <v>0</v>
      </c>
      <c r="K342" s="19">
        <v>0</v>
      </c>
      <c r="L342" s="42">
        <v>0</v>
      </c>
      <c r="M342" s="42">
        <v>0</v>
      </c>
      <c r="N342" s="42">
        <v>0</v>
      </c>
      <c r="O342" s="42">
        <v>0</v>
      </c>
      <c r="P342" s="41">
        <v>0</v>
      </c>
      <c r="Q342" s="42">
        <v>0</v>
      </c>
      <c r="R342" s="19">
        <v>0</v>
      </c>
      <c r="S342" s="19">
        <v>0</v>
      </c>
      <c r="T342" s="42">
        <v>0</v>
      </c>
      <c r="U342" s="19">
        <v>22952.771164245674</v>
      </c>
    </row>
    <row r="343" spans="2:21" x14ac:dyDescent="0.25">
      <c r="B343" s="4">
        <v>45309</v>
      </c>
      <c r="C343" s="19">
        <v>22952.771164245674</v>
      </c>
      <c r="D343" s="42">
        <v>0</v>
      </c>
      <c r="E343" s="42">
        <v>0</v>
      </c>
      <c r="F343" s="42">
        <v>0</v>
      </c>
      <c r="G343" s="42">
        <v>0</v>
      </c>
      <c r="H343" s="42">
        <v>0</v>
      </c>
      <c r="I343" s="42">
        <v>0</v>
      </c>
      <c r="J343" s="42">
        <v>0</v>
      </c>
      <c r="K343" s="19">
        <v>0</v>
      </c>
      <c r="L343" s="42">
        <v>0</v>
      </c>
      <c r="M343" s="42">
        <v>0</v>
      </c>
      <c r="N343" s="42">
        <v>0</v>
      </c>
      <c r="O343" s="42">
        <v>0</v>
      </c>
      <c r="P343" s="41">
        <v>0</v>
      </c>
      <c r="Q343" s="42">
        <v>0</v>
      </c>
      <c r="R343" s="19">
        <v>0</v>
      </c>
      <c r="S343" s="19">
        <v>0</v>
      </c>
      <c r="T343" s="42">
        <v>0</v>
      </c>
      <c r="U343" s="19">
        <v>22952.771164245674</v>
      </c>
    </row>
    <row r="344" spans="2:21" x14ac:dyDescent="0.25">
      <c r="B344" s="4">
        <v>45310</v>
      </c>
      <c r="C344" s="19">
        <v>22952.771164245674</v>
      </c>
      <c r="D344" s="42">
        <v>0</v>
      </c>
      <c r="E344" s="42">
        <v>0</v>
      </c>
      <c r="F344" s="42">
        <v>0</v>
      </c>
      <c r="G344" s="42">
        <v>0</v>
      </c>
      <c r="H344" s="42">
        <v>0</v>
      </c>
      <c r="I344" s="42">
        <v>0</v>
      </c>
      <c r="J344" s="42">
        <v>0</v>
      </c>
      <c r="K344" s="19">
        <v>0</v>
      </c>
      <c r="L344" s="42">
        <v>0</v>
      </c>
      <c r="M344" s="42">
        <v>0</v>
      </c>
      <c r="N344" s="42">
        <v>0</v>
      </c>
      <c r="O344" s="42">
        <v>0</v>
      </c>
      <c r="P344" s="41">
        <v>0</v>
      </c>
      <c r="Q344" s="42">
        <v>0</v>
      </c>
      <c r="R344" s="19">
        <v>0</v>
      </c>
      <c r="S344" s="19">
        <v>0</v>
      </c>
      <c r="T344" s="42">
        <v>0</v>
      </c>
      <c r="U344" s="19">
        <v>22952.771164245674</v>
      </c>
    </row>
    <row r="345" spans="2:21" x14ac:dyDescent="0.25">
      <c r="B345" s="4">
        <v>45313</v>
      </c>
      <c r="C345" s="19">
        <v>22952.771164245674</v>
      </c>
      <c r="D345" s="42">
        <v>0</v>
      </c>
      <c r="E345" s="42">
        <v>0</v>
      </c>
      <c r="F345" s="42">
        <v>0</v>
      </c>
      <c r="G345" s="42">
        <v>0</v>
      </c>
      <c r="H345" s="42">
        <v>0</v>
      </c>
      <c r="I345" s="42">
        <v>0</v>
      </c>
      <c r="J345" s="42">
        <v>0</v>
      </c>
      <c r="K345" s="19">
        <v>0</v>
      </c>
      <c r="L345" s="42">
        <v>0</v>
      </c>
      <c r="M345" s="42">
        <v>0</v>
      </c>
      <c r="N345" s="42">
        <v>0</v>
      </c>
      <c r="O345" s="42">
        <v>0</v>
      </c>
      <c r="P345" s="41">
        <v>0</v>
      </c>
      <c r="Q345" s="42">
        <v>0</v>
      </c>
      <c r="R345" s="19">
        <v>0</v>
      </c>
      <c r="S345" s="19">
        <v>0</v>
      </c>
      <c r="T345" s="42">
        <v>0</v>
      </c>
      <c r="U345" s="19">
        <v>22952.771164245674</v>
      </c>
    </row>
    <row r="346" spans="2:21" x14ac:dyDescent="0.25">
      <c r="B346" s="4">
        <v>45314</v>
      </c>
      <c r="C346" s="19">
        <v>22952.771164245674</v>
      </c>
      <c r="D346" s="42">
        <v>0</v>
      </c>
      <c r="E346" s="42">
        <v>0</v>
      </c>
      <c r="F346" s="42">
        <v>0</v>
      </c>
      <c r="G346" s="42">
        <v>0</v>
      </c>
      <c r="H346" s="42">
        <v>0</v>
      </c>
      <c r="I346" s="42">
        <v>0</v>
      </c>
      <c r="J346" s="42">
        <v>0</v>
      </c>
      <c r="K346" s="19">
        <v>0</v>
      </c>
      <c r="L346" s="42">
        <v>0</v>
      </c>
      <c r="M346" s="42">
        <v>0</v>
      </c>
      <c r="N346" s="42">
        <v>0</v>
      </c>
      <c r="O346" s="42">
        <v>0</v>
      </c>
      <c r="P346" s="41">
        <v>0</v>
      </c>
      <c r="Q346" s="42">
        <v>0</v>
      </c>
      <c r="R346" s="19">
        <v>0</v>
      </c>
      <c r="S346" s="19">
        <v>0</v>
      </c>
      <c r="T346" s="42">
        <v>0</v>
      </c>
      <c r="U346" s="19">
        <v>22952.771164245674</v>
      </c>
    </row>
    <row r="347" spans="2:21" x14ac:dyDescent="0.25">
      <c r="B347" s="4">
        <v>45315</v>
      </c>
      <c r="C347" s="19">
        <v>22952.771164245674</v>
      </c>
      <c r="D347" s="42">
        <v>0</v>
      </c>
      <c r="E347" s="42">
        <v>0</v>
      </c>
      <c r="F347" s="42">
        <v>0</v>
      </c>
      <c r="G347" s="42">
        <v>0</v>
      </c>
      <c r="H347" s="42">
        <v>0</v>
      </c>
      <c r="I347" s="42">
        <v>0</v>
      </c>
      <c r="J347" s="42">
        <v>0</v>
      </c>
      <c r="K347" s="19">
        <v>0</v>
      </c>
      <c r="L347" s="42">
        <v>0</v>
      </c>
      <c r="M347" s="42">
        <v>0</v>
      </c>
      <c r="N347" s="42">
        <v>0</v>
      </c>
      <c r="O347" s="42">
        <v>0</v>
      </c>
      <c r="P347" s="41">
        <v>0</v>
      </c>
      <c r="Q347" s="42">
        <v>0</v>
      </c>
      <c r="R347" s="19">
        <v>0</v>
      </c>
      <c r="S347" s="19">
        <v>0</v>
      </c>
      <c r="T347" s="42">
        <v>0</v>
      </c>
      <c r="U347" s="19">
        <v>22952.771164245674</v>
      </c>
    </row>
    <row r="348" spans="2:21" x14ac:dyDescent="0.25">
      <c r="B348" s="4">
        <v>45316</v>
      </c>
      <c r="C348" s="19">
        <v>22952.771164245674</v>
      </c>
      <c r="D348" s="42">
        <v>0</v>
      </c>
      <c r="E348" s="42">
        <v>0</v>
      </c>
      <c r="F348" s="42">
        <v>0</v>
      </c>
      <c r="G348" s="42">
        <v>0</v>
      </c>
      <c r="H348" s="42">
        <v>0</v>
      </c>
      <c r="I348" s="42">
        <v>0</v>
      </c>
      <c r="J348" s="42">
        <v>0</v>
      </c>
      <c r="K348" s="19">
        <v>0</v>
      </c>
      <c r="L348" s="42">
        <v>0</v>
      </c>
      <c r="M348" s="42">
        <v>0</v>
      </c>
      <c r="N348" s="42">
        <v>0</v>
      </c>
      <c r="O348" s="42">
        <v>0</v>
      </c>
      <c r="P348" s="41">
        <v>0</v>
      </c>
      <c r="Q348" s="42">
        <v>0</v>
      </c>
      <c r="R348" s="19">
        <v>0</v>
      </c>
      <c r="S348" s="19">
        <v>0</v>
      </c>
      <c r="T348" s="42">
        <v>0</v>
      </c>
      <c r="U348" s="19">
        <v>22952.771164245674</v>
      </c>
    </row>
    <row r="349" spans="2:21" x14ac:dyDescent="0.25">
      <c r="B349" s="4">
        <v>45317</v>
      </c>
      <c r="C349" s="19">
        <v>22952.771164245674</v>
      </c>
      <c r="D349" s="42">
        <v>0</v>
      </c>
      <c r="E349" s="42">
        <v>0</v>
      </c>
      <c r="F349" s="42">
        <v>0</v>
      </c>
      <c r="G349" s="42">
        <v>0</v>
      </c>
      <c r="H349" s="42">
        <v>0</v>
      </c>
      <c r="I349" s="42">
        <v>0</v>
      </c>
      <c r="J349" s="42">
        <v>0</v>
      </c>
      <c r="K349" s="19">
        <v>-1000000</v>
      </c>
      <c r="L349" s="42">
        <v>0</v>
      </c>
      <c r="M349" s="42">
        <v>0</v>
      </c>
      <c r="N349" s="42">
        <v>0</v>
      </c>
      <c r="O349" s="42">
        <v>0</v>
      </c>
      <c r="P349" s="41">
        <v>0</v>
      </c>
      <c r="Q349" s="42">
        <v>0</v>
      </c>
      <c r="R349" s="19">
        <v>1000000</v>
      </c>
      <c r="S349" s="19">
        <v>0</v>
      </c>
      <c r="T349" s="42">
        <v>0</v>
      </c>
      <c r="U349" s="19">
        <v>22952.771164245671</v>
      </c>
    </row>
    <row r="350" spans="2:21" x14ac:dyDescent="0.25">
      <c r="B350" s="4">
        <v>45320</v>
      </c>
      <c r="C350" s="19">
        <v>22952.771164245671</v>
      </c>
      <c r="D350" s="42">
        <v>0</v>
      </c>
      <c r="E350" s="42">
        <v>0</v>
      </c>
      <c r="F350" s="42">
        <v>0</v>
      </c>
      <c r="G350" s="42">
        <v>0</v>
      </c>
      <c r="H350" s="42">
        <v>0</v>
      </c>
      <c r="I350" s="42">
        <v>0</v>
      </c>
      <c r="J350" s="42">
        <v>0</v>
      </c>
      <c r="K350" s="19">
        <v>-100000</v>
      </c>
      <c r="L350" s="42">
        <v>0</v>
      </c>
      <c r="M350" s="42">
        <v>0</v>
      </c>
      <c r="N350" s="42">
        <v>0</v>
      </c>
      <c r="O350" s="42">
        <v>0</v>
      </c>
      <c r="P350" s="41">
        <v>0</v>
      </c>
      <c r="Q350" s="42">
        <v>0</v>
      </c>
      <c r="R350" s="19">
        <v>100000</v>
      </c>
      <c r="S350" s="19">
        <v>0</v>
      </c>
      <c r="T350" s="42">
        <v>0</v>
      </c>
      <c r="U350" s="19">
        <v>22952.771164245671</v>
      </c>
    </row>
    <row r="351" spans="2:21" x14ac:dyDescent="0.25">
      <c r="B351" s="4">
        <v>45321</v>
      </c>
      <c r="C351" s="19">
        <v>22952.771164245671</v>
      </c>
      <c r="D351" s="42">
        <v>0</v>
      </c>
      <c r="E351" s="42">
        <v>0</v>
      </c>
      <c r="F351" s="42">
        <v>0</v>
      </c>
      <c r="G351" s="42">
        <v>0</v>
      </c>
      <c r="H351" s="42">
        <v>0</v>
      </c>
      <c r="I351" s="42">
        <v>0</v>
      </c>
      <c r="J351" s="42">
        <v>0</v>
      </c>
      <c r="K351" s="19">
        <v>-1000000</v>
      </c>
      <c r="L351" s="42">
        <v>0</v>
      </c>
      <c r="M351" s="42">
        <v>0</v>
      </c>
      <c r="N351" s="42">
        <v>0</v>
      </c>
      <c r="O351" s="42">
        <v>0</v>
      </c>
      <c r="P351" s="41">
        <v>0</v>
      </c>
      <c r="Q351" s="42">
        <v>0</v>
      </c>
      <c r="R351" s="19">
        <v>1000000</v>
      </c>
      <c r="S351" s="19">
        <v>0</v>
      </c>
      <c r="T351" s="42">
        <v>0</v>
      </c>
      <c r="U351" s="19">
        <v>22952.771164245671</v>
      </c>
    </row>
    <row r="352" spans="2:21" x14ac:dyDescent="0.25">
      <c r="B352" s="4">
        <v>45322</v>
      </c>
      <c r="C352" s="19">
        <v>22952.771164245671</v>
      </c>
      <c r="D352" s="42">
        <v>0</v>
      </c>
      <c r="E352" s="42">
        <v>0</v>
      </c>
      <c r="F352" s="42">
        <v>0</v>
      </c>
      <c r="G352" s="42">
        <v>0</v>
      </c>
      <c r="H352" s="42">
        <v>0</v>
      </c>
      <c r="I352" s="42">
        <v>0</v>
      </c>
      <c r="J352" s="42">
        <v>0</v>
      </c>
      <c r="K352" s="19">
        <v>0</v>
      </c>
      <c r="L352" s="42">
        <v>0</v>
      </c>
      <c r="M352" s="42">
        <v>0</v>
      </c>
      <c r="N352" s="42">
        <v>0</v>
      </c>
      <c r="O352" s="42">
        <v>0</v>
      </c>
      <c r="P352" s="41">
        <v>0</v>
      </c>
      <c r="Q352" s="42">
        <v>0</v>
      </c>
      <c r="R352" s="19">
        <v>0</v>
      </c>
      <c r="S352" s="19">
        <v>0</v>
      </c>
      <c r="T352" s="42">
        <v>0</v>
      </c>
      <c r="U352" s="19">
        <v>22952.771164245671</v>
      </c>
    </row>
    <row r="353" spans="2:21" x14ac:dyDescent="0.25">
      <c r="B353" s="4">
        <v>45323</v>
      </c>
      <c r="C353" s="19">
        <v>22952.771164245671</v>
      </c>
      <c r="D353" s="42">
        <v>0</v>
      </c>
      <c r="E353" s="42">
        <v>0</v>
      </c>
      <c r="F353" s="42">
        <v>0</v>
      </c>
      <c r="G353" s="42">
        <v>0</v>
      </c>
      <c r="H353" s="42">
        <v>0</v>
      </c>
      <c r="I353" s="42">
        <v>0</v>
      </c>
      <c r="J353" s="42">
        <v>0</v>
      </c>
      <c r="K353" s="19">
        <v>0</v>
      </c>
      <c r="L353" s="42">
        <v>0</v>
      </c>
      <c r="M353" s="42">
        <v>0</v>
      </c>
      <c r="N353" s="42">
        <v>0</v>
      </c>
      <c r="O353" s="42">
        <v>0</v>
      </c>
      <c r="P353" s="41">
        <v>0</v>
      </c>
      <c r="Q353" s="42">
        <v>0</v>
      </c>
      <c r="R353" s="19">
        <v>-101797.86999919746</v>
      </c>
      <c r="S353" s="72">
        <v>100000</v>
      </c>
      <c r="T353" s="42">
        <v>0</v>
      </c>
      <c r="U353" s="19">
        <v>21154.901165048213</v>
      </c>
    </row>
    <row r="354" spans="2:21" x14ac:dyDescent="0.25">
      <c r="B354" s="4">
        <v>45324</v>
      </c>
      <c r="C354" s="19">
        <v>21154.901165048213</v>
      </c>
      <c r="D354" s="42">
        <v>0</v>
      </c>
      <c r="E354" s="42">
        <v>0</v>
      </c>
      <c r="F354" s="42">
        <v>0</v>
      </c>
      <c r="G354" s="42">
        <v>0</v>
      </c>
      <c r="H354" s="42">
        <v>0</v>
      </c>
      <c r="I354" s="42">
        <v>0</v>
      </c>
      <c r="J354" s="42">
        <v>0</v>
      </c>
      <c r="K354" s="19">
        <v>0</v>
      </c>
      <c r="L354" s="42">
        <v>0</v>
      </c>
      <c r="M354" s="42">
        <v>0</v>
      </c>
      <c r="N354" s="42">
        <v>0</v>
      </c>
      <c r="O354" s="42">
        <v>0</v>
      </c>
      <c r="P354" s="41">
        <v>0</v>
      </c>
      <c r="Q354" s="42">
        <v>0</v>
      </c>
      <c r="R354" s="19">
        <v>0</v>
      </c>
      <c r="S354" s="19">
        <v>0</v>
      </c>
      <c r="T354" s="42">
        <v>0</v>
      </c>
      <c r="U354" s="19">
        <v>21154.901165048213</v>
      </c>
    </row>
    <row r="355" spans="2:21" x14ac:dyDescent="0.25">
      <c r="B355" s="4">
        <v>45327</v>
      </c>
      <c r="C355" s="19">
        <v>21154.901165048213</v>
      </c>
      <c r="D355" s="42">
        <v>0</v>
      </c>
      <c r="E355" s="42">
        <v>0</v>
      </c>
      <c r="F355" s="42">
        <v>0</v>
      </c>
      <c r="G355" s="42">
        <v>0</v>
      </c>
      <c r="H355" s="42">
        <v>0</v>
      </c>
      <c r="I355" s="42">
        <v>0</v>
      </c>
      <c r="J355" s="42">
        <v>0</v>
      </c>
      <c r="K355" s="19">
        <v>0</v>
      </c>
      <c r="L355" s="42">
        <v>0</v>
      </c>
      <c r="M355" s="42">
        <v>0</v>
      </c>
      <c r="N355" s="42">
        <v>0</v>
      </c>
      <c r="O355" s="42">
        <v>0</v>
      </c>
      <c r="P355" s="41">
        <v>0</v>
      </c>
      <c r="Q355" s="42">
        <v>0</v>
      </c>
      <c r="R355" s="19">
        <v>0</v>
      </c>
      <c r="S355" s="19">
        <v>0</v>
      </c>
      <c r="T355" s="42">
        <v>0</v>
      </c>
      <c r="U355" s="19">
        <v>21154.901165048213</v>
      </c>
    </row>
    <row r="356" spans="2:21" x14ac:dyDescent="0.25">
      <c r="B356" s="4">
        <v>45328</v>
      </c>
      <c r="C356" s="19">
        <v>21154.901165048213</v>
      </c>
      <c r="D356" s="42">
        <v>0</v>
      </c>
      <c r="E356" s="42">
        <v>0</v>
      </c>
      <c r="F356" s="42">
        <v>0</v>
      </c>
      <c r="G356" s="42">
        <v>0</v>
      </c>
      <c r="H356" s="42">
        <v>0</v>
      </c>
      <c r="I356" s="42">
        <v>0</v>
      </c>
      <c r="J356" s="42">
        <v>0</v>
      </c>
      <c r="K356" s="19">
        <v>0</v>
      </c>
      <c r="L356" s="42">
        <v>0</v>
      </c>
      <c r="M356" s="42">
        <v>0</v>
      </c>
      <c r="N356" s="42">
        <v>0</v>
      </c>
      <c r="O356" s="42">
        <v>0</v>
      </c>
      <c r="P356" s="41">
        <v>0</v>
      </c>
      <c r="Q356" s="42">
        <v>0</v>
      </c>
      <c r="R356" s="19">
        <v>0</v>
      </c>
      <c r="S356" s="72">
        <v>28500</v>
      </c>
      <c r="T356" s="42">
        <v>0</v>
      </c>
      <c r="U356" s="19">
        <v>49654.901165048213</v>
      </c>
    </row>
    <row r="357" spans="2:21" x14ac:dyDescent="0.25">
      <c r="B357" s="4">
        <v>45329</v>
      </c>
      <c r="C357" s="19">
        <v>49654.901165048213</v>
      </c>
      <c r="D357" s="42">
        <v>-27908.826879508099</v>
      </c>
      <c r="E357" s="42">
        <v>0</v>
      </c>
      <c r="F357" s="42">
        <v>0</v>
      </c>
      <c r="G357" s="42">
        <v>0</v>
      </c>
      <c r="H357" s="42">
        <v>0</v>
      </c>
      <c r="I357" s="42">
        <v>0</v>
      </c>
      <c r="J357" s="42">
        <v>0</v>
      </c>
      <c r="K357" s="19">
        <v>0</v>
      </c>
      <c r="L357" s="42">
        <v>0</v>
      </c>
      <c r="M357" s="42">
        <v>0</v>
      </c>
      <c r="N357" s="42">
        <v>0</v>
      </c>
      <c r="O357" s="42">
        <v>0</v>
      </c>
      <c r="P357" s="41">
        <v>0</v>
      </c>
      <c r="Q357" s="42">
        <v>0</v>
      </c>
      <c r="R357" s="19">
        <v>0</v>
      </c>
      <c r="S357" s="19">
        <v>0</v>
      </c>
      <c r="T357" s="42">
        <v>0</v>
      </c>
      <c r="U357" s="19">
        <v>21746.074285540115</v>
      </c>
    </row>
    <row r="358" spans="2:21" x14ac:dyDescent="0.25">
      <c r="B358" s="4">
        <v>45330</v>
      </c>
      <c r="C358" s="19">
        <v>21746.074285540115</v>
      </c>
      <c r="D358" s="42">
        <v>0</v>
      </c>
      <c r="E358" s="42">
        <v>0</v>
      </c>
      <c r="F358" s="42">
        <v>0</v>
      </c>
      <c r="G358" s="42">
        <v>0</v>
      </c>
      <c r="H358" s="42">
        <v>0</v>
      </c>
      <c r="I358" s="42">
        <v>0</v>
      </c>
      <c r="J358" s="42">
        <v>0</v>
      </c>
      <c r="K358" s="19">
        <v>0</v>
      </c>
      <c r="L358" s="42">
        <v>0</v>
      </c>
      <c r="M358" s="42">
        <v>0</v>
      </c>
      <c r="N358" s="42">
        <v>0</v>
      </c>
      <c r="O358" s="42">
        <v>0</v>
      </c>
      <c r="P358" s="41">
        <v>0</v>
      </c>
      <c r="Q358" s="42">
        <v>0</v>
      </c>
      <c r="R358" s="19">
        <v>0</v>
      </c>
      <c r="S358" s="19">
        <v>0</v>
      </c>
      <c r="T358" s="42">
        <v>0</v>
      </c>
      <c r="U358" s="19">
        <v>21746.074285540115</v>
      </c>
    </row>
    <row r="359" spans="2:21" x14ac:dyDescent="0.25">
      <c r="B359" s="4">
        <v>45331</v>
      </c>
      <c r="C359" s="19">
        <v>21746.074285540115</v>
      </c>
      <c r="D359" s="42">
        <v>0</v>
      </c>
      <c r="E359" s="42">
        <v>0</v>
      </c>
      <c r="F359" s="42">
        <v>0</v>
      </c>
      <c r="G359" s="42">
        <v>0</v>
      </c>
      <c r="H359" s="42">
        <v>0</v>
      </c>
      <c r="I359" s="42">
        <v>0</v>
      </c>
      <c r="J359" s="42">
        <v>0</v>
      </c>
      <c r="K359" s="19">
        <v>0</v>
      </c>
      <c r="L359" s="42">
        <v>0</v>
      </c>
      <c r="M359" s="42">
        <v>0</v>
      </c>
      <c r="N359" s="42">
        <v>0</v>
      </c>
      <c r="O359" s="42">
        <v>0</v>
      </c>
      <c r="P359" s="41">
        <v>0</v>
      </c>
      <c r="Q359" s="42">
        <v>-6.76</v>
      </c>
      <c r="R359" s="19">
        <v>0</v>
      </c>
      <c r="S359" s="19">
        <v>0</v>
      </c>
      <c r="T359" s="42">
        <v>0</v>
      </c>
      <c r="U359" s="19">
        <v>21739.314285540117</v>
      </c>
    </row>
    <row r="360" spans="2:21" x14ac:dyDescent="0.25">
      <c r="B360" s="4">
        <v>45336</v>
      </c>
      <c r="C360" s="19">
        <v>21739.314285540117</v>
      </c>
      <c r="D360" s="42">
        <v>0</v>
      </c>
      <c r="E360" s="42">
        <v>0</v>
      </c>
      <c r="F360" s="42">
        <v>0</v>
      </c>
      <c r="G360" s="42">
        <v>0</v>
      </c>
      <c r="H360" s="42">
        <v>0</v>
      </c>
      <c r="I360" s="42">
        <v>0</v>
      </c>
      <c r="J360" s="42">
        <v>0</v>
      </c>
      <c r="K360" s="19">
        <v>0</v>
      </c>
      <c r="L360" s="42">
        <v>0</v>
      </c>
      <c r="M360" s="42">
        <v>0</v>
      </c>
      <c r="N360" s="42">
        <v>0</v>
      </c>
      <c r="O360" s="42">
        <v>0</v>
      </c>
      <c r="P360" s="41">
        <v>0</v>
      </c>
      <c r="Q360" s="42">
        <v>0</v>
      </c>
      <c r="R360" s="19">
        <v>0</v>
      </c>
      <c r="S360" s="19">
        <v>0</v>
      </c>
      <c r="T360" s="42">
        <v>0</v>
      </c>
      <c r="U360" s="19">
        <v>21739.314285540117</v>
      </c>
    </row>
    <row r="361" spans="2:21" x14ac:dyDescent="0.25">
      <c r="B361" s="4">
        <v>45337</v>
      </c>
      <c r="C361" s="19">
        <v>21739.314285540117</v>
      </c>
      <c r="D361" s="42">
        <v>0</v>
      </c>
      <c r="E361" s="42">
        <v>0</v>
      </c>
      <c r="F361" s="42">
        <v>0</v>
      </c>
      <c r="G361" s="42">
        <v>0</v>
      </c>
      <c r="H361" s="42">
        <v>0</v>
      </c>
      <c r="I361" s="42">
        <v>0</v>
      </c>
      <c r="J361" s="42">
        <v>0</v>
      </c>
      <c r="K361" s="19">
        <v>0</v>
      </c>
      <c r="L361" s="42">
        <v>0</v>
      </c>
      <c r="M361" s="42">
        <v>0</v>
      </c>
      <c r="N361" s="42">
        <v>0</v>
      </c>
      <c r="O361" s="42">
        <v>0</v>
      </c>
      <c r="P361" s="41">
        <v>0</v>
      </c>
      <c r="Q361" s="42">
        <v>0</v>
      </c>
      <c r="R361" s="19">
        <v>0</v>
      </c>
      <c r="S361" s="19">
        <v>0</v>
      </c>
      <c r="T361" s="42">
        <v>0</v>
      </c>
      <c r="U361" s="19">
        <v>21739.314285540117</v>
      </c>
    </row>
    <row r="362" spans="2:21" x14ac:dyDescent="0.25">
      <c r="B362" s="4">
        <v>45338</v>
      </c>
      <c r="C362" s="19">
        <v>21739.314285540117</v>
      </c>
      <c r="D362" s="42">
        <v>0</v>
      </c>
      <c r="E362" s="42">
        <v>0</v>
      </c>
      <c r="F362" s="42">
        <v>0</v>
      </c>
      <c r="G362" s="42">
        <v>0</v>
      </c>
      <c r="H362" s="42">
        <v>0</v>
      </c>
      <c r="I362" s="42">
        <v>0</v>
      </c>
      <c r="J362" s="42">
        <v>0</v>
      </c>
      <c r="K362" s="19">
        <v>0</v>
      </c>
      <c r="L362" s="42">
        <v>0</v>
      </c>
      <c r="M362" s="42">
        <v>0</v>
      </c>
      <c r="N362" s="42">
        <v>0</v>
      </c>
      <c r="O362" s="42">
        <v>0</v>
      </c>
      <c r="P362" s="41">
        <v>0</v>
      </c>
      <c r="Q362" s="42">
        <v>-614.66</v>
      </c>
      <c r="R362" s="19">
        <v>0</v>
      </c>
      <c r="S362" s="19">
        <v>0</v>
      </c>
      <c r="T362" s="42">
        <v>0</v>
      </c>
      <c r="U362" s="19">
        <v>21124.654285540117</v>
      </c>
    </row>
    <row r="363" spans="2:21" x14ac:dyDescent="0.25">
      <c r="B363" s="4">
        <v>45341</v>
      </c>
      <c r="C363" s="19">
        <v>21124.654285540117</v>
      </c>
      <c r="D363" s="42">
        <v>0</v>
      </c>
      <c r="E363" s="42">
        <v>0</v>
      </c>
      <c r="F363" s="42">
        <v>0</v>
      </c>
      <c r="G363" s="42">
        <v>0</v>
      </c>
      <c r="H363" s="42">
        <v>0</v>
      </c>
      <c r="I363" s="42">
        <v>0</v>
      </c>
      <c r="J363" s="42">
        <v>0</v>
      </c>
      <c r="K363" s="19">
        <v>0</v>
      </c>
      <c r="L363" s="42">
        <v>0</v>
      </c>
      <c r="M363" s="42">
        <v>0</v>
      </c>
      <c r="N363" s="42">
        <v>0</v>
      </c>
      <c r="O363" s="42">
        <v>0</v>
      </c>
      <c r="P363" s="41">
        <v>0</v>
      </c>
      <c r="Q363" s="42">
        <v>-196</v>
      </c>
      <c r="R363" s="19">
        <v>0</v>
      </c>
      <c r="S363" s="19">
        <v>0</v>
      </c>
      <c r="T363" s="42">
        <v>0</v>
      </c>
      <c r="U363" s="19">
        <v>20928.654285540117</v>
      </c>
    </row>
    <row r="364" spans="2:21" x14ac:dyDescent="0.25">
      <c r="B364" s="4">
        <v>45342</v>
      </c>
      <c r="C364" s="19">
        <v>20928.654285540117</v>
      </c>
      <c r="D364" s="42">
        <v>0</v>
      </c>
      <c r="E364" s="42">
        <v>0</v>
      </c>
      <c r="F364" s="42">
        <v>0</v>
      </c>
      <c r="G364" s="42">
        <v>0</v>
      </c>
      <c r="H364" s="42">
        <v>0</v>
      </c>
      <c r="I364" s="42">
        <v>0</v>
      </c>
      <c r="J364" s="42">
        <v>0</v>
      </c>
      <c r="K364" s="19">
        <v>0</v>
      </c>
      <c r="L364" s="42">
        <v>0</v>
      </c>
      <c r="M364" s="42">
        <v>0</v>
      </c>
      <c r="N364" s="42">
        <v>0</v>
      </c>
      <c r="O364" s="42">
        <v>0</v>
      </c>
      <c r="P364" s="41">
        <v>0</v>
      </c>
      <c r="Q364" s="42">
        <v>0</v>
      </c>
      <c r="R364" s="19">
        <v>0</v>
      </c>
      <c r="S364" s="19">
        <v>0</v>
      </c>
      <c r="T364" s="42">
        <v>0</v>
      </c>
      <c r="U364" s="19">
        <v>20928.654285540117</v>
      </c>
    </row>
    <row r="365" spans="2:21" x14ac:dyDescent="0.25">
      <c r="B365" s="4">
        <v>45343</v>
      </c>
      <c r="C365" s="19">
        <v>20928.654285540117</v>
      </c>
      <c r="D365" s="42">
        <v>0</v>
      </c>
      <c r="E365" s="42">
        <v>0</v>
      </c>
      <c r="F365" s="42">
        <v>0</v>
      </c>
      <c r="G365" s="42">
        <v>0</v>
      </c>
      <c r="H365" s="42">
        <v>0</v>
      </c>
      <c r="I365" s="42">
        <v>0</v>
      </c>
      <c r="J365" s="42">
        <v>0</v>
      </c>
      <c r="K365" s="19">
        <v>0</v>
      </c>
      <c r="L365" s="42">
        <v>0</v>
      </c>
      <c r="M365" s="42">
        <v>0</v>
      </c>
      <c r="N365" s="42">
        <v>0</v>
      </c>
      <c r="O365" s="42">
        <v>0</v>
      </c>
      <c r="P365" s="41">
        <v>0</v>
      </c>
      <c r="Q365" s="42">
        <v>0</v>
      </c>
      <c r="R365" s="19">
        <v>0</v>
      </c>
      <c r="S365" s="19">
        <v>0</v>
      </c>
      <c r="T365" s="42">
        <v>0</v>
      </c>
      <c r="U365" s="19">
        <v>20928.654285540117</v>
      </c>
    </row>
    <row r="366" spans="2:21" x14ac:dyDescent="0.25">
      <c r="B366" s="4">
        <v>45344</v>
      </c>
      <c r="C366" s="19">
        <v>20928.654285540117</v>
      </c>
      <c r="D366" s="42">
        <v>0</v>
      </c>
      <c r="E366" s="42">
        <v>0</v>
      </c>
      <c r="F366" s="42">
        <v>0</v>
      </c>
      <c r="G366" s="42">
        <v>0</v>
      </c>
      <c r="H366" s="42">
        <v>0</v>
      </c>
      <c r="I366" s="42">
        <v>0</v>
      </c>
      <c r="J366" s="42">
        <v>0</v>
      </c>
      <c r="K366" s="19">
        <v>0</v>
      </c>
      <c r="L366" s="42">
        <v>0</v>
      </c>
      <c r="M366" s="42">
        <v>0</v>
      </c>
      <c r="N366" s="42">
        <v>0</v>
      </c>
      <c r="O366" s="42">
        <v>0</v>
      </c>
      <c r="P366" s="41">
        <v>0</v>
      </c>
      <c r="Q366" s="42">
        <v>0</v>
      </c>
      <c r="R366" s="19">
        <v>0</v>
      </c>
      <c r="S366" s="19">
        <v>0</v>
      </c>
      <c r="T366" s="42">
        <v>0</v>
      </c>
      <c r="U366" s="19">
        <v>20928.654285540117</v>
      </c>
    </row>
    <row r="367" spans="2:21" x14ac:dyDescent="0.25">
      <c r="B367" s="4">
        <v>45345</v>
      </c>
      <c r="C367" s="19">
        <v>20928.654285540117</v>
      </c>
      <c r="D367" s="42">
        <v>0</v>
      </c>
      <c r="E367" s="42">
        <v>0</v>
      </c>
      <c r="F367" s="42">
        <v>0</v>
      </c>
      <c r="G367" s="42">
        <v>0</v>
      </c>
      <c r="H367" s="42">
        <v>0</v>
      </c>
      <c r="I367" s="42">
        <v>0</v>
      </c>
      <c r="J367" s="42">
        <v>0</v>
      </c>
      <c r="K367" s="19">
        <v>-400000</v>
      </c>
      <c r="L367" s="42">
        <v>0</v>
      </c>
      <c r="M367" s="42">
        <v>0</v>
      </c>
      <c r="N367" s="42">
        <v>0</v>
      </c>
      <c r="O367" s="42">
        <v>0</v>
      </c>
      <c r="P367" s="41">
        <v>0</v>
      </c>
      <c r="Q367" s="42">
        <v>0</v>
      </c>
      <c r="R367" s="19">
        <v>400000</v>
      </c>
      <c r="S367" s="19">
        <v>0</v>
      </c>
      <c r="T367" s="42">
        <v>0</v>
      </c>
      <c r="U367" s="19">
        <v>20928.654285540106</v>
      </c>
    </row>
    <row r="368" spans="2:21" x14ac:dyDescent="0.25">
      <c r="B368" s="4">
        <v>45348</v>
      </c>
      <c r="C368" s="19">
        <v>20928.654285540106</v>
      </c>
      <c r="D368" s="42">
        <v>0</v>
      </c>
      <c r="E368" s="42">
        <v>0</v>
      </c>
      <c r="F368" s="42">
        <v>0</v>
      </c>
      <c r="G368" s="42">
        <v>0</v>
      </c>
      <c r="H368" s="42">
        <v>0</v>
      </c>
      <c r="I368" s="42">
        <v>0</v>
      </c>
      <c r="J368" s="42">
        <v>0</v>
      </c>
      <c r="K368" s="19">
        <v>0</v>
      </c>
      <c r="L368" s="42">
        <v>0</v>
      </c>
      <c r="M368" s="42">
        <v>0</v>
      </c>
      <c r="N368" s="42">
        <v>0</v>
      </c>
      <c r="O368" s="42">
        <v>0</v>
      </c>
      <c r="P368" s="41">
        <v>0</v>
      </c>
      <c r="Q368" s="42">
        <v>0</v>
      </c>
      <c r="R368" s="19">
        <v>0</v>
      </c>
      <c r="S368" s="19">
        <v>0</v>
      </c>
      <c r="T368" s="42">
        <v>0</v>
      </c>
      <c r="U368" s="19">
        <v>20928.654285540106</v>
      </c>
    </row>
    <row r="369" spans="2:21" x14ac:dyDescent="0.25">
      <c r="B369" s="4">
        <v>45349</v>
      </c>
      <c r="C369" s="19">
        <v>20928.654285540106</v>
      </c>
      <c r="D369" s="42">
        <v>0</v>
      </c>
      <c r="E369" s="42">
        <v>0</v>
      </c>
      <c r="F369" s="42">
        <v>0</v>
      </c>
      <c r="G369" s="42">
        <v>0</v>
      </c>
      <c r="H369" s="42">
        <v>0</v>
      </c>
      <c r="I369" s="42">
        <v>0</v>
      </c>
      <c r="J369" s="42">
        <v>0</v>
      </c>
      <c r="K369" s="19">
        <v>0</v>
      </c>
      <c r="L369" s="42">
        <v>0</v>
      </c>
      <c r="M369" s="42">
        <v>0</v>
      </c>
      <c r="N369" s="42">
        <v>0</v>
      </c>
      <c r="O369" s="42">
        <v>0</v>
      </c>
      <c r="P369" s="41">
        <v>0</v>
      </c>
      <c r="Q369" s="42">
        <v>0</v>
      </c>
      <c r="R369" s="19">
        <v>0</v>
      </c>
      <c r="S369" s="19">
        <v>0</v>
      </c>
      <c r="T369" s="42">
        <v>0</v>
      </c>
      <c r="U369" s="19">
        <v>20928.654285540106</v>
      </c>
    </row>
    <row r="370" spans="2:21" x14ac:dyDescent="0.25">
      <c r="B370" s="4">
        <v>45350</v>
      </c>
      <c r="C370" s="19">
        <v>20928.654285540106</v>
      </c>
      <c r="D370" s="42">
        <v>0</v>
      </c>
      <c r="E370" s="42">
        <v>0</v>
      </c>
      <c r="F370" s="42">
        <v>0</v>
      </c>
      <c r="G370" s="42">
        <v>0</v>
      </c>
      <c r="H370" s="42">
        <v>0</v>
      </c>
      <c r="I370" s="42">
        <v>0</v>
      </c>
      <c r="J370" s="42">
        <v>0</v>
      </c>
      <c r="K370" s="19">
        <v>0</v>
      </c>
      <c r="L370" s="42">
        <v>0</v>
      </c>
      <c r="M370" s="42">
        <v>0</v>
      </c>
      <c r="N370" s="42">
        <v>0</v>
      </c>
      <c r="O370" s="42">
        <v>0</v>
      </c>
      <c r="P370" s="41">
        <v>0</v>
      </c>
      <c r="Q370" s="42">
        <v>0</v>
      </c>
      <c r="R370" s="19">
        <v>0</v>
      </c>
      <c r="S370" s="19">
        <v>0</v>
      </c>
      <c r="T370" s="42">
        <v>0</v>
      </c>
      <c r="U370" s="19">
        <v>20928.654285540106</v>
      </c>
    </row>
    <row r="371" spans="2:21" x14ac:dyDescent="0.25">
      <c r="B371" s="4">
        <v>45351</v>
      </c>
      <c r="C371" s="19">
        <v>20928.654285540106</v>
      </c>
      <c r="D371" s="42">
        <v>0</v>
      </c>
      <c r="E371" s="42">
        <v>0</v>
      </c>
      <c r="F371" s="42">
        <v>0</v>
      </c>
      <c r="G371" s="42">
        <v>0</v>
      </c>
      <c r="H371" s="42">
        <v>0</v>
      </c>
      <c r="I371" s="42">
        <v>0</v>
      </c>
      <c r="J371" s="42">
        <v>0</v>
      </c>
      <c r="K371" s="19">
        <v>0</v>
      </c>
      <c r="L371" s="42">
        <v>0</v>
      </c>
      <c r="M371" s="42">
        <v>0</v>
      </c>
      <c r="N371" s="42">
        <v>0</v>
      </c>
      <c r="O371" s="42">
        <v>0</v>
      </c>
      <c r="P371" s="41">
        <v>0</v>
      </c>
      <c r="Q371" s="42">
        <v>0</v>
      </c>
      <c r="R371" s="19">
        <v>0</v>
      </c>
      <c r="S371" s="19">
        <v>0</v>
      </c>
      <c r="T371" s="42">
        <v>0</v>
      </c>
      <c r="U371" s="19">
        <v>20928.654285540106</v>
      </c>
    </row>
    <row r="372" spans="2:21" x14ac:dyDescent="0.25">
      <c r="B372" s="4">
        <v>45352</v>
      </c>
      <c r="C372" s="19">
        <v>20928.654285540106</v>
      </c>
      <c r="D372" s="42">
        <v>0</v>
      </c>
      <c r="E372" s="42">
        <v>0</v>
      </c>
      <c r="F372" s="42">
        <v>0</v>
      </c>
      <c r="G372" s="42">
        <v>0</v>
      </c>
      <c r="H372" s="42">
        <v>0</v>
      </c>
      <c r="I372" s="42">
        <v>0</v>
      </c>
      <c r="J372" s="42">
        <v>0</v>
      </c>
      <c r="K372" s="19">
        <v>0</v>
      </c>
      <c r="L372" s="42">
        <v>0</v>
      </c>
      <c r="M372" s="42">
        <v>0</v>
      </c>
      <c r="N372" s="42">
        <v>0</v>
      </c>
      <c r="O372" s="42">
        <v>0</v>
      </c>
      <c r="P372" s="41">
        <v>0</v>
      </c>
      <c r="Q372" s="42">
        <v>0</v>
      </c>
      <c r="R372" s="19">
        <v>0</v>
      </c>
      <c r="S372" s="19">
        <v>0</v>
      </c>
      <c r="T372" s="42">
        <v>0</v>
      </c>
      <c r="U372" s="19">
        <v>20928.654285540106</v>
      </c>
    </row>
    <row r="373" spans="2:21" x14ac:dyDescent="0.25">
      <c r="B373" s="4">
        <v>45355</v>
      </c>
      <c r="C373" s="19">
        <v>20928.654285540106</v>
      </c>
      <c r="D373" s="42">
        <v>0</v>
      </c>
      <c r="E373" s="42">
        <v>0</v>
      </c>
      <c r="F373" s="42">
        <v>0</v>
      </c>
      <c r="G373" s="42">
        <v>0</v>
      </c>
      <c r="H373" s="42">
        <v>0</v>
      </c>
      <c r="I373" s="42">
        <v>0</v>
      </c>
      <c r="J373" s="42">
        <v>0</v>
      </c>
      <c r="K373" s="19">
        <v>0</v>
      </c>
      <c r="L373" s="42">
        <v>0</v>
      </c>
      <c r="M373" s="42">
        <v>0</v>
      </c>
      <c r="N373" s="42">
        <v>0</v>
      </c>
      <c r="O373" s="42">
        <v>0</v>
      </c>
      <c r="P373" s="41">
        <v>0</v>
      </c>
      <c r="Q373" s="42">
        <v>0</v>
      </c>
      <c r="R373" s="19">
        <v>0</v>
      </c>
      <c r="S373" s="19">
        <v>0</v>
      </c>
      <c r="T373" s="42">
        <v>0</v>
      </c>
      <c r="U373" s="19">
        <v>20928.654285540106</v>
      </c>
    </row>
    <row r="374" spans="2:21" x14ac:dyDescent="0.25">
      <c r="B374" s="4">
        <v>45356</v>
      </c>
      <c r="C374" s="19">
        <v>20928.654285540106</v>
      </c>
      <c r="D374" s="42">
        <v>0</v>
      </c>
      <c r="E374" s="42">
        <v>0</v>
      </c>
      <c r="F374" s="42">
        <v>0</v>
      </c>
      <c r="G374" s="42">
        <v>0</v>
      </c>
      <c r="H374" s="42">
        <v>0</v>
      </c>
      <c r="I374" s="42">
        <v>0</v>
      </c>
      <c r="J374" s="42">
        <v>0</v>
      </c>
      <c r="K374" s="19">
        <v>0</v>
      </c>
      <c r="L374" s="42">
        <v>0</v>
      </c>
      <c r="M374" s="42">
        <v>0</v>
      </c>
      <c r="N374" s="42">
        <v>0</v>
      </c>
      <c r="O374" s="42">
        <v>0</v>
      </c>
      <c r="P374" s="41">
        <v>0</v>
      </c>
      <c r="Q374" s="42">
        <v>0</v>
      </c>
      <c r="R374" s="19">
        <v>0</v>
      </c>
      <c r="S374" s="19">
        <v>0</v>
      </c>
      <c r="T374" s="42">
        <v>0</v>
      </c>
      <c r="U374" s="19">
        <v>20928.654285540106</v>
      </c>
    </row>
    <row r="375" spans="2:21" x14ac:dyDescent="0.25">
      <c r="B375" s="4">
        <v>45357</v>
      </c>
      <c r="C375" s="19">
        <v>20928.654285540106</v>
      </c>
      <c r="D375" s="42">
        <v>0</v>
      </c>
      <c r="E375" s="42">
        <v>0</v>
      </c>
      <c r="F375" s="42">
        <v>0</v>
      </c>
      <c r="G375" s="42">
        <v>0</v>
      </c>
      <c r="H375" s="42">
        <v>0</v>
      </c>
      <c r="I375" s="42">
        <v>0</v>
      </c>
      <c r="J375" s="42">
        <v>0</v>
      </c>
      <c r="K375" s="19">
        <v>0</v>
      </c>
      <c r="L375" s="42">
        <v>0</v>
      </c>
      <c r="M375" s="42">
        <v>0</v>
      </c>
      <c r="N375" s="42">
        <v>0</v>
      </c>
      <c r="O375" s="42">
        <v>0</v>
      </c>
      <c r="P375" s="41">
        <v>0</v>
      </c>
      <c r="Q375" s="42">
        <v>-6.76</v>
      </c>
      <c r="R375" s="19">
        <v>0</v>
      </c>
      <c r="S375" s="19">
        <v>0</v>
      </c>
      <c r="T375" s="42">
        <v>0</v>
      </c>
      <c r="U375" s="19">
        <v>20921.894285540107</v>
      </c>
    </row>
    <row r="376" spans="2:21" x14ac:dyDescent="0.25">
      <c r="B376" s="4">
        <v>45358</v>
      </c>
      <c r="C376" s="19">
        <v>20921.894285540107</v>
      </c>
      <c r="D376" s="42">
        <v>-26329.85</v>
      </c>
      <c r="E376" s="42">
        <v>0</v>
      </c>
      <c r="F376" s="42">
        <v>0</v>
      </c>
      <c r="G376" s="42">
        <v>0</v>
      </c>
      <c r="H376" s="42">
        <v>0</v>
      </c>
      <c r="I376" s="42">
        <v>0</v>
      </c>
      <c r="J376" s="42">
        <v>0</v>
      </c>
      <c r="K376" s="19">
        <v>0</v>
      </c>
      <c r="L376" s="42">
        <v>0</v>
      </c>
      <c r="M376" s="42">
        <v>0</v>
      </c>
      <c r="N376" s="42">
        <v>0</v>
      </c>
      <c r="O376" s="42">
        <v>0</v>
      </c>
      <c r="P376" s="41">
        <v>0</v>
      </c>
      <c r="Q376" s="42">
        <v>0</v>
      </c>
      <c r="R376" s="19">
        <v>0</v>
      </c>
      <c r="S376" s="72">
        <v>27000</v>
      </c>
      <c r="T376" s="42">
        <v>0</v>
      </c>
      <c r="U376" s="19">
        <v>21592.044285540109</v>
      </c>
    </row>
    <row r="377" spans="2:21" x14ac:dyDescent="0.25">
      <c r="B377" s="4">
        <v>45359</v>
      </c>
      <c r="C377" s="19">
        <v>21592.044285540109</v>
      </c>
      <c r="D377" s="42">
        <v>0</v>
      </c>
      <c r="E377" s="42">
        <v>0</v>
      </c>
      <c r="F377" s="42">
        <v>0</v>
      </c>
      <c r="G377" s="42">
        <v>0</v>
      </c>
      <c r="H377" s="42">
        <v>0</v>
      </c>
      <c r="I377" s="42">
        <v>0</v>
      </c>
      <c r="J377" s="42">
        <v>0</v>
      </c>
      <c r="K377" s="19">
        <v>0</v>
      </c>
      <c r="L377" s="42">
        <v>0</v>
      </c>
      <c r="M377" s="42">
        <v>0</v>
      </c>
      <c r="N377" s="42">
        <v>0</v>
      </c>
      <c r="O377" s="42">
        <v>0</v>
      </c>
      <c r="P377" s="41">
        <v>0</v>
      </c>
      <c r="Q377" s="42">
        <v>0</v>
      </c>
      <c r="R377" s="19">
        <v>0</v>
      </c>
      <c r="S377" s="19">
        <v>0</v>
      </c>
      <c r="T377" s="42">
        <v>0</v>
      </c>
      <c r="U377" s="19">
        <v>21592.044285540109</v>
      </c>
    </row>
    <row r="378" spans="2:21" x14ac:dyDescent="0.25">
      <c r="B378" s="4">
        <v>45362</v>
      </c>
      <c r="C378" s="19">
        <v>21592.044285540109</v>
      </c>
      <c r="D378" s="42">
        <v>0</v>
      </c>
      <c r="E378" s="42">
        <v>0</v>
      </c>
      <c r="F378" s="42">
        <v>0</v>
      </c>
      <c r="G378" s="42">
        <v>0</v>
      </c>
      <c r="H378" s="42">
        <v>0</v>
      </c>
      <c r="I378" s="42">
        <v>0</v>
      </c>
      <c r="J378" s="42">
        <v>0</v>
      </c>
      <c r="K378" s="19">
        <v>0</v>
      </c>
      <c r="L378" s="42">
        <v>0</v>
      </c>
      <c r="M378" s="42">
        <v>0</v>
      </c>
      <c r="N378" s="42">
        <v>0</v>
      </c>
      <c r="O378" s="42">
        <v>0</v>
      </c>
      <c r="P378" s="41">
        <v>0</v>
      </c>
      <c r="Q378" s="42">
        <v>0</v>
      </c>
      <c r="R378" s="19">
        <v>0</v>
      </c>
      <c r="S378" s="19">
        <v>0</v>
      </c>
      <c r="T378" s="42">
        <v>0</v>
      </c>
      <c r="U378" s="19">
        <v>21592.044285540109</v>
      </c>
    </row>
    <row r="379" spans="2:21" x14ac:dyDescent="0.25">
      <c r="B379" s="4">
        <v>45363</v>
      </c>
      <c r="C379" s="19">
        <v>21592.044285540109</v>
      </c>
      <c r="D379" s="42">
        <v>0</v>
      </c>
      <c r="E379" s="42">
        <v>0</v>
      </c>
      <c r="F379" s="42">
        <v>0</v>
      </c>
      <c r="G379" s="42">
        <v>0</v>
      </c>
      <c r="H379" s="42">
        <v>0</v>
      </c>
      <c r="I379" s="42">
        <v>0</v>
      </c>
      <c r="J379" s="42">
        <v>0</v>
      </c>
      <c r="K379" s="19">
        <v>0</v>
      </c>
      <c r="L379" s="42">
        <v>0</v>
      </c>
      <c r="M379" s="42">
        <v>0</v>
      </c>
      <c r="N379" s="42">
        <v>0</v>
      </c>
      <c r="O379" s="42">
        <v>0</v>
      </c>
      <c r="P379" s="41">
        <v>0</v>
      </c>
      <c r="Q379" s="42">
        <v>0</v>
      </c>
      <c r="R379" s="19">
        <v>0</v>
      </c>
      <c r="S379" s="19">
        <v>0</v>
      </c>
      <c r="T379" s="42">
        <v>0</v>
      </c>
      <c r="U379" s="19">
        <v>21592.044285540109</v>
      </c>
    </row>
    <row r="380" spans="2:21" x14ac:dyDescent="0.25">
      <c r="B380" s="4">
        <v>45364</v>
      </c>
      <c r="C380" s="19">
        <v>21592.044285540109</v>
      </c>
      <c r="D380" s="42">
        <v>0</v>
      </c>
      <c r="E380" s="42">
        <v>0</v>
      </c>
      <c r="F380" s="42">
        <v>0</v>
      </c>
      <c r="G380" s="42">
        <v>0</v>
      </c>
      <c r="H380" s="42">
        <v>0</v>
      </c>
      <c r="I380" s="42">
        <v>0</v>
      </c>
      <c r="J380" s="42">
        <v>0</v>
      </c>
      <c r="K380" s="19">
        <v>0</v>
      </c>
      <c r="L380" s="42">
        <v>0</v>
      </c>
      <c r="M380" s="42">
        <v>0</v>
      </c>
      <c r="N380" s="42">
        <v>0</v>
      </c>
      <c r="O380" s="42">
        <v>0</v>
      </c>
      <c r="P380" s="41">
        <v>0</v>
      </c>
      <c r="Q380" s="42">
        <v>0</v>
      </c>
      <c r="R380" s="19">
        <v>0</v>
      </c>
      <c r="S380" s="19">
        <v>0</v>
      </c>
      <c r="T380" s="42">
        <v>0</v>
      </c>
      <c r="U380" s="19">
        <v>21592.044285540109</v>
      </c>
    </row>
    <row r="381" spans="2:21" x14ac:dyDescent="0.25">
      <c r="B381" s="4">
        <v>45365</v>
      </c>
      <c r="C381" s="19">
        <v>21592.044285540109</v>
      </c>
      <c r="D381" s="42">
        <v>0</v>
      </c>
      <c r="E381" s="42">
        <v>0</v>
      </c>
      <c r="F381" s="42">
        <v>0</v>
      </c>
      <c r="G381" s="42">
        <v>0</v>
      </c>
      <c r="H381" s="42">
        <v>0</v>
      </c>
      <c r="I381" s="42">
        <v>0</v>
      </c>
      <c r="J381" s="42">
        <v>0</v>
      </c>
      <c r="K381" s="19">
        <v>0</v>
      </c>
      <c r="L381" s="42">
        <v>0</v>
      </c>
      <c r="M381" s="42">
        <v>0</v>
      </c>
      <c r="N381" s="42">
        <v>0</v>
      </c>
      <c r="O381" s="42">
        <v>0</v>
      </c>
      <c r="P381" s="41">
        <v>0</v>
      </c>
      <c r="Q381" s="42">
        <v>-614.66</v>
      </c>
      <c r="R381" s="19">
        <v>0</v>
      </c>
      <c r="S381" s="19">
        <v>0</v>
      </c>
      <c r="T381" s="42">
        <v>0</v>
      </c>
      <c r="U381" s="19">
        <v>20977.384285540109</v>
      </c>
    </row>
    <row r="382" spans="2:21" x14ac:dyDescent="0.25">
      <c r="B382" s="4">
        <v>45366</v>
      </c>
      <c r="C382" s="19">
        <v>20977.384285540109</v>
      </c>
      <c r="D382" s="42">
        <v>0</v>
      </c>
      <c r="E382" s="42">
        <v>0</v>
      </c>
      <c r="F382" s="42">
        <v>0</v>
      </c>
      <c r="G382" s="42">
        <v>0</v>
      </c>
      <c r="H382" s="42">
        <v>0</v>
      </c>
      <c r="I382" s="42">
        <v>0</v>
      </c>
      <c r="J382" s="42">
        <v>0</v>
      </c>
      <c r="K382" s="19">
        <v>0</v>
      </c>
      <c r="L382" s="42">
        <v>0</v>
      </c>
      <c r="M382" s="42">
        <v>0</v>
      </c>
      <c r="N382" s="42">
        <v>0</v>
      </c>
      <c r="O382" s="42">
        <v>0</v>
      </c>
      <c r="P382" s="41">
        <v>0</v>
      </c>
      <c r="Q382" s="42">
        <v>0</v>
      </c>
      <c r="R382" s="19">
        <v>0</v>
      </c>
      <c r="S382" s="19">
        <v>0</v>
      </c>
      <c r="T382" s="42">
        <v>0</v>
      </c>
      <c r="U382" s="19">
        <v>20977.384285540109</v>
      </c>
    </row>
    <row r="383" spans="2:21" x14ac:dyDescent="0.25">
      <c r="B383" s="4">
        <v>45369</v>
      </c>
      <c r="C383" s="19">
        <v>20977.384285540109</v>
      </c>
      <c r="D383" s="42">
        <v>0</v>
      </c>
      <c r="E383" s="42">
        <v>0</v>
      </c>
      <c r="F383" s="42">
        <v>0</v>
      </c>
      <c r="G383" s="42">
        <v>0</v>
      </c>
      <c r="H383" s="42">
        <v>0</v>
      </c>
      <c r="I383" s="42">
        <v>0</v>
      </c>
      <c r="J383" s="42">
        <v>0</v>
      </c>
      <c r="K383" s="19">
        <v>0</v>
      </c>
      <c r="L383" s="42">
        <v>0</v>
      </c>
      <c r="M383" s="42">
        <v>0</v>
      </c>
      <c r="N383" s="42">
        <v>0</v>
      </c>
      <c r="O383" s="42">
        <v>0</v>
      </c>
      <c r="P383" s="41">
        <v>0</v>
      </c>
      <c r="Q383" s="42">
        <v>0</v>
      </c>
      <c r="R383" s="19">
        <v>0</v>
      </c>
      <c r="S383" s="19">
        <v>0</v>
      </c>
      <c r="T383" s="42">
        <v>0</v>
      </c>
      <c r="U383" s="19">
        <v>20977.384285540109</v>
      </c>
    </row>
    <row r="384" spans="2:21" x14ac:dyDescent="0.25">
      <c r="B384" s="4">
        <v>45370</v>
      </c>
      <c r="C384" s="19">
        <v>20977.384285540109</v>
      </c>
      <c r="D384" s="42">
        <v>0</v>
      </c>
      <c r="E384" s="42">
        <v>0</v>
      </c>
      <c r="F384" s="42">
        <v>0</v>
      </c>
      <c r="G384" s="42">
        <v>0</v>
      </c>
      <c r="H384" s="42">
        <v>0</v>
      </c>
      <c r="I384" s="42">
        <v>0</v>
      </c>
      <c r="J384" s="42">
        <v>0</v>
      </c>
      <c r="K384" s="19">
        <v>0</v>
      </c>
      <c r="L384" s="42">
        <v>0</v>
      </c>
      <c r="M384" s="42">
        <v>0</v>
      </c>
      <c r="N384" s="42">
        <v>0</v>
      </c>
      <c r="O384" s="42">
        <v>0</v>
      </c>
      <c r="P384" s="41">
        <v>0</v>
      </c>
      <c r="Q384" s="42">
        <v>0</v>
      </c>
      <c r="R384" s="19">
        <v>0</v>
      </c>
      <c r="S384" s="19">
        <v>0</v>
      </c>
      <c r="T384" s="42">
        <v>0</v>
      </c>
      <c r="U384" s="19">
        <v>20977.384285540109</v>
      </c>
    </row>
    <row r="385" spans="2:21" x14ac:dyDescent="0.25">
      <c r="B385" s="4">
        <v>45371</v>
      </c>
      <c r="C385" s="19">
        <v>20977.384285540109</v>
      </c>
      <c r="D385" s="42">
        <v>0</v>
      </c>
      <c r="E385" s="42">
        <v>0</v>
      </c>
      <c r="F385" s="42">
        <v>0</v>
      </c>
      <c r="G385" s="42">
        <v>0</v>
      </c>
      <c r="H385" s="42">
        <v>0</v>
      </c>
      <c r="I385" s="42">
        <v>0</v>
      </c>
      <c r="J385" s="42">
        <v>0</v>
      </c>
      <c r="K385" s="19">
        <v>0</v>
      </c>
      <c r="L385" s="42">
        <v>0</v>
      </c>
      <c r="M385" s="42">
        <v>0</v>
      </c>
      <c r="N385" s="42">
        <v>0</v>
      </c>
      <c r="O385" s="42">
        <v>0</v>
      </c>
      <c r="P385" s="41">
        <v>0</v>
      </c>
      <c r="Q385" s="42">
        <v>0</v>
      </c>
      <c r="R385" s="19">
        <v>0</v>
      </c>
      <c r="S385" s="19">
        <v>0</v>
      </c>
      <c r="T385" s="42">
        <v>0</v>
      </c>
      <c r="U385" s="19">
        <v>20977.384285540109</v>
      </c>
    </row>
    <row r="386" spans="2:21" x14ac:dyDescent="0.25">
      <c r="B386" s="4">
        <v>45372</v>
      </c>
      <c r="C386" s="19">
        <v>20977.384285540109</v>
      </c>
      <c r="D386" s="42">
        <v>0</v>
      </c>
      <c r="E386" s="42">
        <v>0</v>
      </c>
      <c r="F386" s="42">
        <v>0</v>
      </c>
      <c r="G386" s="42">
        <v>0</v>
      </c>
      <c r="H386" s="42">
        <v>0</v>
      </c>
      <c r="I386" s="42">
        <v>0</v>
      </c>
      <c r="J386" s="42">
        <v>0</v>
      </c>
      <c r="K386" s="19">
        <v>0</v>
      </c>
      <c r="L386" s="42">
        <v>0</v>
      </c>
      <c r="M386" s="42">
        <v>0</v>
      </c>
      <c r="N386" s="42">
        <v>0</v>
      </c>
      <c r="O386" s="42">
        <v>0</v>
      </c>
      <c r="P386" s="41">
        <v>0</v>
      </c>
      <c r="Q386" s="42">
        <v>0</v>
      </c>
      <c r="R386" s="19">
        <v>0</v>
      </c>
      <c r="S386" s="19">
        <v>0</v>
      </c>
      <c r="T386" s="42">
        <v>0</v>
      </c>
      <c r="U386" s="19">
        <v>20977.384285540109</v>
      </c>
    </row>
    <row r="387" spans="2:21" x14ac:dyDescent="0.25">
      <c r="B387" s="4">
        <v>45373</v>
      </c>
      <c r="C387" s="19">
        <v>20977.384285540109</v>
      </c>
      <c r="D387" s="42">
        <v>0</v>
      </c>
      <c r="E387" s="42">
        <v>0</v>
      </c>
      <c r="F387" s="42">
        <v>0</v>
      </c>
      <c r="G387" s="42">
        <v>0</v>
      </c>
      <c r="H387" s="42">
        <v>0</v>
      </c>
      <c r="I387" s="42">
        <v>0</v>
      </c>
      <c r="J387" s="42">
        <v>0</v>
      </c>
      <c r="K387" s="19">
        <v>0</v>
      </c>
      <c r="L387" s="42">
        <v>0</v>
      </c>
      <c r="M387" s="42">
        <v>0</v>
      </c>
      <c r="N387" s="42">
        <v>0</v>
      </c>
      <c r="O387" s="42">
        <v>0</v>
      </c>
      <c r="P387" s="41">
        <v>0</v>
      </c>
      <c r="Q387" s="42">
        <v>0</v>
      </c>
      <c r="R387" s="19">
        <v>0</v>
      </c>
      <c r="S387" s="19">
        <v>0</v>
      </c>
      <c r="T387" s="42">
        <v>0</v>
      </c>
      <c r="U387" s="19">
        <v>20977.384285540109</v>
      </c>
    </row>
    <row r="388" spans="2:21" x14ac:dyDescent="0.25">
      <c r="B388" s="4">
        <v>45376</v>
      </c>
      <c r="C388" s="19">
        <v>20977.384285540109</v>
      </c>
      <c r="D388" s="42">
        <v>0</v>
      </c>
      <c r="E388" s="42">
        <v>0</v>
      </c>
      <c r="F388" s="42">
        <v>0</v>
      </c>
      <c r="G388" s="42">
        <v>0</v>
      </c>
      <c r="H388" s="42">
        <v>0</v>
      </c>
      <c r="I388" s="42">
        <v>0</v>
      </c>
      <c r="J388" s="42">
        <v>0</v>
      </c>
      <c r="K388" s="19">
        <v>0</v>
      </c>
      <c r="L388" s="42">
        <v>0</v>
      </c>
      <c r="M388" s="42">
        <v>0</v>
      </c>
      <c r="N388" s="42">
        <v>0</v>
      </c>
      <c r="O388" s="42">
        <v>0</v>
      </c>
      <c r="P388" s="41">
        <v>0</v>
      </c>
      <c r="Q388" s="42">
        <v>0</v>
      </c>
      <c r="R388" s="19">
        <v>0</v>
      </c>
      <c r="S388" s="19">
        <v>0</v>
      </c>
      <c r="T388" s="42">
        <v>0</v>
      </c>
      <c r="U388" s="19">
        <v>20977.384285540109</v>
      </c>
    </row>
    <row r="389" spans="2:21" x14ac:dyDescent="0.25">
      <c r="B389" s="4">
        <v>45377</v>
      </c>
      <c r="C389" s="19">
        <v>20977.384285540109</v>
      </c>
      <c r="D389" s="42">
        <v>0</v>
      </c>
      <c r="E389" s="42">
        <v>0</v>
      </c>
      <c r="F389" s="42">
        <v>0</v>
      </c>
      <c r="G389" s="42">
        <v>0</v>
      </c>
      <c r="H389" s="42">
        <v>0</v>
      </c>
      <c r="I389" s="42">
        <v>0</v>
      </c>
      <c r="J389" s="42">
        <v>0</v>
      </c>
      <c r="K389" s="19">
        <v>0</v>
      </c>
      <c r="L389" s="42">
        <v>0</v>
      </c>
      <c r="M389" s="42">
        <v>0</v>
      </c>
      <c r="N389" s="42">
        <v>-1112.05</v>
      </c>
      <c r="O389" s="42">
        <v>0</v>
      </c>
      <c r="P389" s="41">
        <v>0</v>
      </c>
      <c r="Q389" s="42">
        <v>0</v>
      </c>
      <c r="R389" s="19">
        <v>0</v>
      </c>
      <c r="S389" s="19">
        <v>0</v>
      </c>
      <c r="T389" s="42">
        <v>0</v>
      </c>
      <c r="U389" s="19">
        <v>19865.33428554011</v>
      </c>
    </row>
    <row r="390" spans="2:21" x14ac:dyDescent="0.25">
      <c r="B390" s="4">
        <v>45378</v>
      </c>
      <c r="C390" s="19">
        <v>19865.33428554011</v>
      </c>
      <c r="D390" s="42">
        <v>0</v>
      </c>
      <c r="E390" s="42">
        <v>0</v>
      </c>
      <c r="F390" s="42">
        <v>0</v>
      </c>
      <c r="G390" s="42">
        <v>0</v>
      </c>
      <c r="H390" s="42">
        <v>0</v>
      </c>
      <c r="I390" s="42">
        <v>0</v>
      </c>
      <c r="J390" s="42">
        <v>0</v>
      </c>
      <c r="K390" s="19">
        <v>0</v>
      </c>
      <c r="L390" s="42">
        <v>0</v>
      </c>
      <c r="M390" s="42">
        <v>0</v>
      </c>
      <c r="N390" s="42">
        <v>0</v>
      </c>
      <c r="O390" s="42">
        <v>0</v>
      </c>
      <c r="P390" s="41">
        <v>0</v>
      </c>
      <c r="Q390" s="42">
        <v>0</v>
      </c>
      <c r="R390" s="19">
        <v>0</v>
      </c>
      <c r="S390" s="19">
        <v>0</v>
      </c>
      <c r="T390" s="42">
        <v>0</v>
      </c>
      <c r="U390" s="19">
        <v>19865.33428554011</v>
      </c>
    </row>
    <row r="391" spans="2:21" x14ac:dyDescent="0.25">
      <c r="B391" s="4">
        <v>45379</v>
      </c>
      <c r="C391" s="19">
        <v>19865.33428554011</v>
      </c>
      <c r="D391" s="42">
        <v>0</v>
      </c>
      <c r="E391" s="42">
        <v>0</v>
      </c>
      <c r="F391" s="42">
        <v>0</v>
      </c>
      <c r="G391" s="42">
        <v>0</v>
      </c>
      <c r="H391" s="42">
        <v>0</v>
      </c>
      <c r="I391" s="42">
        <v>0</v>
      </c>
      <c r="J391" s="42">
        <v>0</v>
      </c>
      <c r="K391" s="19">
        <v>0</v>
      </c>
      <c r="L391" s="42">
        <v>0</v>
      </c>
      <c r="M391" s="42">
        <v>0</v>
      </c>
      <c r="N391" s="42">
        <v>0</v>
      </c>
      <c r="O391" s="42">
        <v>0</v>
      </c>
      <c r="P391" s="41">
        <v>0</v>
      </c>
      <c r="Q391" s="42">
        <v>0</v>
      </c>
      <c r="R391" s="19">
        <v>0</v>
      </c>
      <c r="S391" s="19">
        <v>0</v>
      </c>
      <c r="T391" s="42">
        <v>0</v>
      </c>
      <c r="U391" s="19">
        <v>19865.33428554011</v>
      </c>
    </row>
    <row r="392" spans="2:21" x14ac:dyDescent="0.25">
      <c r="B392" s="4">
        <v>45383</v>
      </c>
      <c r="C392" s="19">
        <v>19865.33428554011</v>
      </c>
      <c r="D392" s="42">
        <v>0</v>
      </c>
      <c r="E392" s="42">
        <v>0</v>
      </c>
      <c r="F392" s="42">
        <v>0</v>
      </c>
      <c r="G392" s="42">
        <v>0</v>
      </c>
      <c r="H392" s="42">
        <v>0</v>
      </c>
      <c r="I392" s="42">
        <v>0</v>
      </c>
      <c r="J392" s="42">
        <v>0</v>
      </c>
      <c r="K392" s="19">
        <v>0</v>
      </c>
      <c r="L392" s="42">
        <v>0</v>
      </c>
      <c r="M392" s="42">
        <v>0</v>
      </c>
      <c r="N392" s="42">
        <v>0</v>
      </c>
      <c r="O392" s="42">
        <v>0</v>
      </c>
      <c r="P392" s="41">
        <v>0</v>
      </c>
      <c r="Q392" s="42">
        <v>0</v>
      </c>
      <c r="R392" s="19">
        <v>0</v>
      </c>
      <c r="S392" s="19">
        <v>0</v>
      </c>
      <c r="T392" s="42">
        <v>0</v>
      </c>
      <c r="U392" s="19">
        <v>19865.33428554011</v>
      </c>
    </row>
    <row r="393" spans="2:21" x14ac:dyDescent="0.25">
      <c r="B393" s="4">
        <v>45384</v>
      </c>
      <c r="C393" s="19">
        <v>19865.33428554011</v>
      </c>
      <c r="D393" s="42">
        <v>0</v>
      </c>
      <c r="E393" s="42">
        <v>0</v>
      </c>
      <c r="F393" s="42">
        <v>0</v>
      </c>
      <c r="G393" s="42">
        <v>0</v>
      </c>
      <c r="H393" s="42">
        <v>0</v>
      </c>
      <c r="I393" s="42">
        <v>0</v>
      </c>
      <c r="J393" s="42">
        <v>0</v>
      </c>
      <c r="K393" s="19">
        <v>0</v>
      </c>
      <c r="L393" s="42">
        <v>0</v>
      </c>
      <c r="M393" s="42">
        <v>0</v>
      </c>
      <c r="N393" s="42">
        <v>0</v>
      </c>
      <c r="O393" s="42">
        <v>0</v>
      </c>
      <c r="P393" s="41">
        <v>0</v>
      </c>
      <c r="Q393" s="42">
        <v>0</v>
      </c>
      <c r="R393" s="19">
        <v>0</v>
      </c>
      <c r="S393" s="19">
        <v>0</v>
      </c>
      <c r="T393" s="42">
        <v>0</v>
      </c>
      <c r="U393" s="19">
        <v>19865.33428554011</v>
      </c>
    </row>
    <row r="394" spans="2:21" x14ac:dyDescent="0.25">
      <c r="B394" s="4">
        <v>45385</v>
      </c>
      <c r="C394" s="19">
        <v>19865.33428554011</v>
      </c>
      <c r="D394" s="42">
        <v>0</v>
      </c>
      <c r="E394" s="42">
        <v>0</v>
      </c>
      <c r="F394" s="42">
        <v>0</v>
      </c>
      <c r="G394" s="42">
        <v>0</v>
      </c>
      <c r="H394" s="42">
        <v>0</v>
      </c>
      <c r="I394" s="42">
        <v>0</v>
      </c>
      <c r="J394" s="42">
        <v>0</v>
      </c>
      <c r="K394" s="19">
        <v>0</v>
      </c>
      <c r="L394" s="42">
        <v>0</v>
      </c>
      <c r="M394" s="42">
        <v>0</v>
      </c>
      <c r="N394" s="42">
        <v>0</v>
      </c>
      <c r="O394" s="42">
        <v>0</v>
      </c>
      <c r="P394" s="41">
        <v>0</v>
      </c>
      <c r="Q394" s="42">
        <v>0</v>
      </c>
      <c r="R394" s="19">
        <v>0</v>
      </c>
      <c r="S394" s="19">
        <v>0</v>
      </c>
      <c r="T394" s="42">
        <v>0</v>
      </c>
      <c r="U394" s="19">
        <v>19865.33428554011</v>
      </c>
    </row>
    <row r="395" spans="2:21" x14ac:dyDescent="0.25">
      <c r="B395" s="4">
        <v>45386</v>
      </c>
      <c r="C395" s="19">
        <v>19865.33428554011</v>
      </c>
      <c r="D395" s="42">
        <v>0</v>
      </c>
      <c r="E395" s="42">
        <v>0</v>
      </c>
      <c r="F395" s="42">
        <v>0</v>
      </c>
      <c r="G395" s="42">
        <v>0</v>
      </c>
      <c r="H395" s="42">
        <v>0</v>
      </c>
      <c r="I395" s="42">
        <v>0</v>
      </c>
      <c r="J395" s="42">
        <v>0</v>
      </c>
      <c r="K395" s="19">
        <v>0</v>
      </c>
      <c r="L395" s="42">
        <v>0</v>
      </c>
      <c r="M395" s="42">
        <v>0</v>
      </c>
      <c r="N395" s="42">
        <v>0</v>
      </c>
      <c r="O395" s="42">
        <v>0</v>
      </c>
      <c r="P395" s="41">
        <v>0</v>
      </c>
      <c r="Q395" s="42">
        <v>0</v>
      </c>
      <c r="R395" s="19">
        <v>0</v>
      </c>
      <c r="S395" s="19">
        <v>0</v>
      </c>
      <c r="T395" s="42">
        <v>0</v>
      </c>
      <c r="U395" s="19">
        <v>19865.33428554011</v>
      </c>
    </row>
    <row r="396" spans="2:21" x14ac:dyDescent="0.25">
      <c r="B396" s="4">
        <v>45387</v>
      </c>
      <c r="C396" s="19">
        <v>19865.33428554011</v>
      </c>
      <c r="D396" s="42">
        <v>-28383.644521721199</v>
      </c>
      <c r="E396" s="42">
        <v>0</v>
      </c>
      <c r="F396" s="42">
        <v>0</v>
      </c>
      <c r="G396" s="42">
        <v>0</v>
      </c>
      <c r="H396" s="42">
        <v>0</v>
      </c>
      <c r="I396" s="42">
        <v>0</v>
      </c>
      <c r="J396" s="42">
        <v>0</v>
      </c>
      <c r="K396" s="19">
        <v>0</v>
      </c>
      <c r="L396" s="42">
        <v>0</v>
      </c>
      <c r="M396" s="42">
        <v>0</v>
      </c>
      <c r="N396" s="42">
        <v>0</v>
      </c>
      <c r="O396" s="42">
        <v>0</v>
      </c>
      <c r="P396" s="41">
        <v>0</v>
      </c>
      <c r="Q396" s="42">
        <v>0</v>
      </c>
      <c r="R396" s="19">
        <v>0</v>
      </c>
      <c r="S396" s="42">
        <v>29000</v>
      </c>
      <c r="T396" s="42">
        <v>0</v>
      </c>
      <c r="U396" s="19">
        <v>20481.689763818911</v>
      </c>
    </row>
    <row r="397" spans="2:21" x14ac:dyDescent="0.25">
      <c r="B397" s="4">
        <v>45390</v>
      </c>
      <c r="C397" s="19">
        <v>20481.689763818911</v>
      </c>
      <c r="D397" s="42">
        <v>0</v>
      </c>
      <c r="E397" s="42">
        <v>0</v>
      </c>
      <c r="F397" s="42">
        <v>0</v>
      </c>
      <c r="G397" s="42">
        <v>0</v>
      </c>
      <c r="H397" s="42">
        <v>0</v>
      </c>
      <c r="I397" s="42">
        <v>0</v>
      </c>
      <c r="J397" s="42">
        <v>0</v>
      </c>
      <c r="K397" s="19">
        <v>0</v>
      </c>
      <c r="L397" s="42">
        <v>0</v>
      </c>
      <c r="M397" s="42">
        <v>0</v>
      </c>
      <c r="N397" s="42">
        <v>0</v>
      </c>
      <c r="O397" s="42">
        <v>0</v>
      </c>
      <c r="P397" s="41">
        <v>0</v>
      </c>
      <c r="Q397" s="42">
        <v>0</v>
      </c>
      <c r="R397" s="19">
        <v>0</v>
      </c>
      <c r="S397" s="19">
        <v>0</v>
      </c>
      <c r="T397" s="42">
        <v>0</v>
      </c>
      <c r="U397" s="19">
        <v>20481.689763818911</v>
      </c>
    </row>
    <row r="398" spans="2:21" x14ac:dyDescent="0.25">
      <c r="B398" s="4">
        <v>45391</v>
      </c>
      <c r="C398" s="19">
        <v>20481.689763818911</v>
      </c>
      <c r="D398" s="42">
        <v>0</v>
      </c>
      <c r="E398" s="42">
        <v>0</v>
      </c>
      <c r="F398" s="42">
        <v>0</v>
      </c>
      <c r="G398" s="42">
        <v>0</v>
      </c>
      <c r="H398" s="42">
        <v>0</v>
      </c>
      <c r="I398" s="42">
        <v>0</v>
      </c>
      <c r="J398" s="42">
        <v>0</v>
      </c>
      <c r="K398" s="19">
        <v>0</v>
      </c>
      <c r="L398" s="42">
        <v>0</v>
      </c>
      <c r="M398" s="42">
        <v>0</v>
      </c>
      <c r="N398" s="42">
        <v>0</v>
      </c>
      <c r="O398" s="42">
        <v>0</v>
      </c>
      <c r="P398" s="41">
        <v>0</v>
      </c>
      <c r="Q398" s="42">
        <v>0</v>
      </c>
      <c r="R398" s="19">
        <v>0</v>
      </c>
      <c r="S398" s="19">
        <v>0</v>
      </c>
      <c r="T398" s="42">
        <v>0</v>
      </c>
      <c r="U398" s="19">
        <v>20481.689763818911</v>
      </c>
    </row>
    <row r="399" spans="2:21" x14ac:dyDescent="0.25">
      <c r="B399" s="4">
        <v>45392</v>
      </c>
      <c r="C399" s="19">
        <v>20481.689763818911</v>
      </c>
      <c r="D399" s="42">
        <v>0</v>
      </c>
      <c r="E399" s="42">
        <v>0</v>
      </c>
      <c r="F399" s="42">
        <v>0</v>
      </c>
      <c r="G399" s="42">
        <v>0</v>
      </c>
      <c r="H399" s="42">
        <v>0</v>
      </c>
      <c r="I399" s="42">
        <v>0</v>
      </c>
      <c r="J399" s="42">
        <v>0</v>
      </c>
      <c r="K399" s="19">
        <v>0</v>
      </c>
      <c r="L399" s="42">
        <v>0</v>
      </c>
      <c r="M399" s="42">
        <v>0</v>
      </c>
      <c r="N399" s="42">
        <v>0</v>
      </c>
      <c r="O399" s="42">
        <v>0</v>
      </c>
      <c r="P399" s="41">
        <v>0</v>
      </c>
      <c r="Q399" s="42">
        <v>0</v>
      </c>
      <c r="R399" s="19">
        <v>0</v>
      </c>
      <c r="S399" s="19">
        <v>0</v>
      </c>
      <c r="T399" s="42">
        <v>0</v>
      </c>
      <c r="U399" s="19">
        <v>20481.689763818911</v>
      </c>
    </row>
    <row r="400" spans="2:21" x14ac:dyDescent="0.25">
      <c r="B400" s="4">
        <v>45393</v>
      </c>
      <c r="C400" s="19">
        <v>20481.689763818911</v>
      </c>
      <c r="D400" s="42">
        <v>0</v>
      </c>
      <c r="E400" s="42">
        <v>0</v>
      </c>
      <c r="F400" s="42">
        <v>0</v>
      </c>
      <c r="G400" s="42">
        <v>0</v>
      </c>
      <c r="H400" s="42">
        <v>0</v>
      </c>
      <c r="I400" s="42">
        <v>0</v>
      </c>
      <c r="J400" s="42">
        <v>0</v>
      </c>
      <c r="K400" s="19">
        <v>0</v>
      </c>
      <c r="L400" s="42">
        <v>0</v>
      </c>
      <c r="M400" s="42">
        <v>0</v>
      </c>
      <c r="N400" s="42">
        <v>0</v>
      </c>
      <c r="O400" s="42">
        <v>0</v>
      </c>
      <c r="P400" s="41">
        <v>0</v>
      </c>
      <c r="Q400" s="42">
        <v>0</v>
      </c>
      <c r="R400" s="19">
        <v>0</v>
      </c>
      <c r="S400" s="19">
        <v>0</v>
      </c>
      <c r="T400" s="42">
        <v>0</v>
      </c>
      <c r="U400" s="19">
        <v>20481.689763818911</v>
      </c>
    </row>
    <row r="401" spans="2:21" x14ac:dyDescent="0.25">
      <c r="B401" s="4">
        <v>45394</v>
      </c>
      <c r="C401" s="19">
        <v>20481.689763818911</v>
      </c>
      <c r="D401" s="42">
        <v>0</v>
      </c>
      <c r="E401" s="42">
        <v>0</v>
      </c>
      <c r="F401" s="42">
        <v>0</v>
      </c>
      <c r="G401" s="42">
        <v>0</v>
      </c>
      <c r="H401" s="42">
        <v>0</v>
      </c>
      <c r="I401" s="42">
        <v>0</v>
      </c>
      <c r="J401" s="42">
        <v>0</v>
      </c>
      <c r="K401" s="19">
        <v>0</v>
      </c>
      <c r="L401" s="42">
        <v>0</v>
      </c>
      <c r="M401" s="42">
        <v>0</v>
      </c>
      <c r="N401" s="42">
        <v>0</v>
      </c>
      <c r="O401" s="42">
        <v>0</v>
      </c>
      <c r="P401" s="41">
        <v>0</v>
      </c>
      <c r="Q401" s="42">
        <v>-614.66</v>
      </c>
      <c r="R401" s="19">
        <v>0</v>
      </c>
      <c r="S401" s="19">
        <v>0</v>
      </c>
      <c r="T401" s="42">
        <v>0</v>
      </c>
      <c r="U401" s="19">
        <v>19867.029763818911</v>
      </c>
    </row>
    <row r="402" spans="2:21" x14ac:dyDescent="0.25">
      <c r="B402" s="4">
        <v>45397</v>
      </c>
      <c r="C402" s="19">
        <v>19867.029763818911</v>
      </c>
      <c r="D402" s="42">
        <v>0</v>
      </c>
      <c r="E402" s="42">
        <v>0</v>
      </c>
      <c r="F402" s="42">
        <v>0</v>
      </c>
      <c r="G402" s="42">
        <v>0</v>
      </c>
      <c r="H402" s="42">
        <v>0</v>
      </c>
      <c r="I402" s="42">
        <v>0</v>
      </c>
      <c r="J402" s="42">
        <v>0</v>
      </c>
      <c r="K402" s="19">
        <v>0</v>
      </c>
      <c r="L402" s="42">
        <v>0</v>
      </c>
      <c r="M402" s="42">
        <v>0</v>
      </c>
      <c r="N402" s="42">
        <v>0</v>
      </c>
      <c r="O402" s="42">
        <v>0</v>
      </c>
      <c r="P402" s="41">
        <v>0</v>
      </c>
      <c r="Q402" s="42">
        <v>0</v>
      </c>
      <c r="R402" s="19">
        <v>0</v>
      </c>
      <c r="S402" s="19">
        <v>0</v>
      </c>
      <c r="T402" s="42">
        <v>0</v>
      </c>
      <c r="U402" s="19">
        <v>19867.029763818911</v>
      </c>
    </row>
    <row r="403" spans="2:21" x14ac:dyDescent="0.25">
      <c r="B403" s="4">
        <v>45398</v>
      </c>
      <c r="C403" s="19">
        <v>19867.029763818911</v>
      </c>
      <c r="D403" s="42">
        <v>0</v>
      </c>
      <c r="E403" s="42">
        <v>0</v>
      </c>
      <c r="F403" s="42">
        <v>0</v>
      </c>
      <c r="G403" s="42">
        <v>0</v>
      </c>
      <c r="H403" s="42">
        <v>0</v>
      </c>
      <c r="I403" s="42">
        <v>0</v>
      </c>
      <c r="J403" s="42">
        <v>0</v>
      </c>
      <c r="K403" s="19">
        <v>0</v>
      </c>
      <c r="L403" s="42">
        <v>0</v>
      </c>
      <c r="M403" s="42">
        <v>0</v>
      </c>
      <c r="N403" s="42">
        <v>0</v>
      </c>
      <c r="O403" s="42">
        <v>0</v>
      </c>
      <c r="P403" s="41">
        <v>0</v>
      </c>
      <c r="Q403" s="42">
        <v>0</v>
      </c>
      <c r="R403" s="19">
        <v>0</v>
      </c>
      <c r="S403" s="19">
        <v>0</v>
      </c>
      <c r="T403" s="42">
        <v>0</v>
      </c>
      <c r="U403" s="19">
        <v>19867.029763818911</v>
      </c>
    </row>
    <row r="404" spans="2:21" x14ac:dyDescent="0.25">
      <c r="B404" s="4">
        <v>45399</v>
      </c>
      <c r="C404" s="19">
        <v>19867.029763818911</v>
      </c>
      <c r="D404" s="42">
        <v>0</v>
      </c>
      <c r="E404" s="42">
        <v>0</v>
      </c>
      <c r="F404" s="42">
        <v>0</v>
      </c>
      <c r="G404" s="42">
        <v>0</v>
      </c>
      <c r="H404" s="42">
        <v>0</v>
      </c>
      <c r="I404" s="42">
        <v>0</v>
      </c>
      <c r="J404" s="42">
        <v>0</v>
      </c>
      <c r="K404" s="19">
        <v>0</v>
      </c>
      <c r="L404" s="42">
        <v>0</v>
      </c>
      <c r="M404" s="42">
        <v>0</v>
      </c>
      <c r="N404" s="42">
        <v>0</v>
      </c>
      <c r="O404" s="42">
        <v>0</v>
      </c>
      <c r="P404" s="41">
        <v>0</v>
      </c>
      <c r="Q404" s="42">
        <v>0</v>
      </c>
      <c r="R404" s="19">
        <v>0</v>
      </c>
      <c r="S404" s="19">
        <v>0</v>
      </c>
      <c r="T404" s="42">
        <v>0</v>
      </c>
      <c r="U404" s="19">
        <v>19867.029763818911</v>
      </c>
    </row>
    <row r="405" spans="2:21" x14ac:dyDescent="0.25">
      <c r="B405" s="4">
        <v>45400</v>
      </c>
      <c r="C405" s="19">
        <v>19867.029763818911</v>
      </c>
      <c r="D405" s="42">
        <v>0</v>
      </c>
      <c r="E405" s="42">
        <v>0</v>
      </c>
      <c r="F405" s="42">
        <v>0</v>
      </c>
      <c r="G405" s="42">
        <v>0</v>
      </c>
      <c r="H405" s="42">
        <v>0</v>
      </c>
      <c r="I405" s="42">
        <v>0</v>
      </c>
      <c r="J405" s="42">
        <v>0</v>
      </c>
      <c r="K405" s="19">
        <v>0</v>
      </c>
      <c r="L405" s="42">
        <v>0</v>
      </c>
      <c r="M405" s="42">
        <v>0</v>
      </c>
      <c r="N405" s="42">
        <v>0</v>
      </c>
      <c r="O405" s="42">
        <v>0</v>
      </c>
      <c r="P405" s="41">
        <v>0</v>
      </c>
      <c r="Q405" s="42">
        <v>0</v>
      </c>
      <c r="R405" s="19">
        <v>0</v>
      </c>
      <c r="S405" s="19">
        <v>0</v>
      </c>
      <c r="T405" s="42">
        <v>0</v>
      </c>
      <c r="U405" s="19">
        <v>19867.029763818911</v>
      </c>
    </row>
    <row r="406" spans="2:21" x14ac:dyDescent="0.25">
      <c r="B406" s="4">
        <v>45401</v>
      </c>
      <c r="C406" s="19">
        <v>19867.029763818911</v>
      </c>
      <c r="D406" s="42">
        <v>0</v>
      </c>
      <c r="E406" s="42">
        <v>0</v>
      </c>
      <c r="F406" s="42">
        <v>0</v>
      </c>
      <c r="G406" s="42">
        <v>0</v>
      </c>
      <c r="H406" s="42">
        <v>0</v>
      </c>
      <c r="I406" s="42">
        <v>0</v>
      </c>
      <c r="J406" s="42">
        <v>0</v>
      </c>
      <c r="K406" s="19">
        <v>0</v>
      </c>
      <c r="L406" s="42">
        <v>0</v>
      </c>
      <c r="M406" s="42">
        <v>0</v>
      </c>
      <c r="N406" s="42">
        <v>0</v>
      </c>
      <c r="O406" s="42">
        <v>0</v>
      </c>
      <c r="P406" s="41">
        <v>0</v>
      </c>
      <c r="Q406" s="42">
        <v>-196</v>
      </c>
      <c r="R406" s="19">
        <v>0</v>
      </c>
      <c r="S406" s="19">
        <v>0</v>
      </c>
      <c r="T406" s="42">
        <v>0</v>
      </c>
      <c r="U406" s="19">
        <v>19671.029763818911</v>
      </c>
    </row>
    <row r="407" spans="2:21" x14ac:dyDescent="0.25">
      <c r="B407" s="4">
        <v>45404</v>
      </c>
      <c r="C407" s="19">
        <v>19671.029763818911</v>
      </c>
      <c r="D407" s="42">
        <v>0</v>
      </c>
      <c r="E407" s="42">
        <v>0</v>
      </c>
      <c r="F407" s="42">
        <v>0</v>
      </c>
      <c r="G407" s="42">
        <v>0</v>
      </c>
      <c r="H407" s="42">
        <v>0</v>
      </c>
      <c r="I407" s="42">
        <v>0</v>
      </c>
      <c r="J407" s="42">
        <v>0</v>
      </c>
      <c r="K407" s="19">
        <v>0</v>
      </c>
      <c r="L407" s="42">
        <v>0</v>
      </c>
      <c r="M407" s="42">
        <v>0</v>
      </c>
      <c r="N407" s="42">
        <v>0</v>
      </c>
      <c r="O407" s="42">
        <v>0</v>
      </c>
      <c r="P407" s="41">
        <v>0</v>
      </c>
      <c r="Q407" s="42">
        <v>0</v>
      </c>
      <c r="R407" s="19">
        <v>0</v>
      </c>
      <c r="S407" s="19">
        <v>0</v>
      </c>
      <c r="T407" s="42">
        <v>0</v>
      </c>
      <c r="U407" s="19">
        <v>19671.029763818911</v>
      </c>
    </row>
    <row r="408" spans="2:21" x14ac:dyDescent="0.25">
      <c r="B408" s="4">
        <v>45405</v>
      </c>
      <c r="C408" s="19">
        <v>19671.029763818911</v>
      </c>
      <c r="D408" s="42">
        <v>0</v>
      </c>
      <c r="E408" s="42">
        <v>0</v>
      </c>
      <c r="F408" s="42">
        <v>0</v>
      </c>
      <c r="G408" s="42">
        <v>0</v>
      </c>
      <c r="H408" s="42">
        <v>0</v>
      </c>
      <c r="I408" s="42">
        <v>0</v>
      </c>
      <c r="J408" s="42">
        <v>0</v>
      </c>
      <c r="K408" s="19">
        <v>0</v>
      </c>
      <c r="L408" s="42">
        <v>0</v>
      </c>
      <c r="M408" s="42">
        <v>0</v>
      </c>
      <c r="N408" s="42">
        <v>0</v>
      </c>
      <c r="O408" s="42">
        <v>0</v>
      </c>
      <c r="P408" s="41">
        <v>0</v>
      </c>
      <c r="Q408" s="42">
        <v>0</v>
      </c>
      <c r="R408" s="19">
        <v>0</v>
      </c>
      <c r="S408" s="19">
        <v>0</v>
      </c>
      <c r="T408" s="42">
        <v>0</v>
      </c>
      <c r="U408" s="19">
        <v>19671.029763818911</v>
      </c>
    </row>
    <row r="409" spans="2:21" x14ac:dyDescent="0.25">
      <c r="B409" s="4">
        <v>45406</v>
      </c>
      <c r="C409" s="19">
        <v>19671.029763818911</v>
      </c>
      <c r="D409" s="42">
        <v>0</v>
      </c>
      <c r="E409" s="42">
        <v>0</v>
      </c>
      <c r="F409" s="42">
        <v>0</v>
      </c>
      <c r="G409" s="42">
        <v>0</v>
      </c>
      <c r="H409" s="42">
        <v>0</v>
      </c>
      <c r="I409" s="42">
        <v>0</v>
      </c>
      <c r="J409" s="42">
        <v>0</v>
      </c>
      <c r="K409" s="19">
        <v>0</v>
      </c>
      <c r="L409" s="42">
        <v>0</v>
      </c>
      <c r="M409" s="42">
        <v>0</v>
      </c>
      <c r="N409" s="42">
        <v>0</v>
      </c>
      <c r="O409" s="42">
        <v>0</v>
      </c>
      <c r="P409" s="41">
        <v>0</v>
      </c>
      <c r="Q409" s="42">
        <v>0</v>
      </c>
      <c r="R409" s="19">
        <v>0</v>
      </c>
      <c r="S409" s="19">
        <v>0</v>
      </c>
      <c r="T409" s="42">
        <v>0</v>
      </c>
      <c r="U409" s="19">
        <v>19671.029763818911</v>
      </c>
    </row>
    <row r="410" spans="2:21" x14ac:dyDescent="0.25">
      <c r="B410" s="4">
        <v>45407</v>
      </c>
      <c r="C410" s="19">
        <v>19671.029763818911</v>
      </c>
      <c r="D410" s="42">
        <v>0</v>
      </c>
      <c r="E410" s="42">
        <v>0</v>
      </c>
      <c r="F410" s="42">
        <v>0</v>
      </c>
      <c r="G410" s="42">
        <v>0</v>
      </c>
      <c r="H410" s="42">
        <v>0</v>
      </c>
      <c r="I410" s="42">
        <v>0</v>
      </c>
      <c r="J410" s="42">
        <v>0</v>
      </c>
      <c r="K410" s="19">
        <v>0</v>
      </c>
      <c r="L410" s="42">
        <v>0</v>
      </c>
      <c r="M410" s="42">
        <v>0</v>
      </c>
      <c r="N410" s="42">
        <v>0</v>
      </c>
      <c r="O410" s="42">
        <v>0</v>
      </c>
      <c r="P410" s="41">
        <v>0</v>
      </c>
      <c r="Q410" s="42">
        <v>0</v>
      </c>
      <c r="R410" s="19">
        <v>0</v>
      </c>
      <c r="S410" s="19">
        <v>0</v>
      </c>
      <c r="T410" s="42">
        <v>0</v>
      </c>
      <c r="U410" s="19">
        <v>19671.029763818911</v>
      </c>
    </row>
    <row r="411" spans="2:21" x14ac:dyDescent="0.25">
      <c r="B411" s="4">
        <v>45408</v>
      </c>
      <c r="C411" s="19">
        <v>19671.029763818911</v>
      </c>
      <c r="D411" s="42">
        <v>0</v>
      </c>
      <c r="E411" s="42">
        <v>0</v>
      </c>
      <c r="F411" s="42">
        <v>0</v>
      </c>
      <c r="G411" s="42">
        <v>0</v>
      </c>
      <c r="H411" s="42">
        <v>0</v>
      </c>
      <c r="I411" s="42">
        <v>0</v>
      </c>
      <c r="J411" s="42">
        <v>0</v>
      </c>
      <c r="K411" s="19">
        <v>0</v>
      </c>
      <c r="L411" s="42">
        <v>0</v>
      </c>
      <c r="M411" s="42">
        <v>0</v>
      </c>
      <c r="N411" s="42">
        <v>0</v>
      </c>
      <c r="O411" s="42">
        <v>0</v>
      </c>
      <c r="P411" s="41">
        <v>0</v>
      </c>
      <c r="Q411" s="42">
        <v>0</v>
      </c>
      <c r="R411" s="19">
        <v>0</v>
      </c>
      <c r="S411" s="19">
        <v>0</v>
      </c>
      <c r="T411" s="42">
        <v>0</v>
      </c>
      <c r="U411" s="19">
        <v>19671.029763818911</v>
      </c>
    </row>
    <row r="412" spans="2:21" x14ac:dyDescent="0.25">
      <c r="B412" s="4">
        <v>45411</v>
      </c>
      <c r="C412" s="19">
        <v>19671.029763818911</v>
      </c>
      <c r="D412" s="42">
        <v>0</v>
      </c>
      <c r="E412" s="42">
        <v>0</v>
      </c>
      <c r="F412" s="42">
        <v>0</v>
      </c>
      <c r="G412" s="42">
        <v>0</v>
      </c>
      <c r="H412" s="42">
        <v>0</v>
      </c>
      <c r="I412" s="42">
        <v>0</v>
      </c>
      <c r="J412" s="42">
        <v>0</v>
      </c>
      <c r="K412" s="19">
        <v>0</v>
      </c>
      <c r="L412" s="42">
        <v>0</v>
      </c>
      <c r="M412" s="42">
        <v>0</v>
      </c>
      <c r="N412" s="42">
        <v>0</v>
      </c>
      <c r="O412" s="42">
        <v>0</v>
      </c>
      <c r="P412" s="41">
        <v>0</v>
      </c>
      <c r="Q412" s="42">
        <v>0</v>
      </c>
      <c r="R412" s="19">
        <v>0</v>
      </c>
      <c r="S412" s="19">
        <v>0</v>
      </c>
      <c r="T412" s="42">
        <v>0</v>
      </c>
      <c r="U412" s="19">
        <v>19671.029763818911</v>
      </c>
    </row>
    <row r="413" spans="2:21" x14ac:dyDescent="0.25">
      <c r="B413" s="4">
        <v>45412</v>
      </c>
      <c r="C413" s="19">
        <v>19671.029763818911</v>
      </c>
      <c r="D413" s="42">
        <v>0</v>
      </c>
      <c r="E413" s="42">
        <v>0</v>
      </c>
      <c r="F413" s="42">
        <v>0</v>
      </c>
      <c r="G413" s="42">
        <v>0</v>
      </c>
      <c r="H413" s="42">
        <v>0</v>
      </c>
      <c r="I413" s="42">
        <v>0</v>
      </c>
      <c r="J413" s="42">
        <v>0</v>
      </c>
      <c r="K413" s="19">
        <v>0</v>
      </c>
      <c r="L413" s="42">
        <v>0</v>
      </c>
      <c r="M413" s="42">
        <v>0</v>
      </c>
      <c r="N413" s="42">
        <v>0</v>
      </c>
      <c r="O413" s="42">
        <v>0</v>
      </c>
      <c r="P413" s="41">
        <v>0</v>
      </c>
      <c r="Q413" s="42">
        <v>0</v>
      </c>
      <c r="R413" s="19">
        <v>0</v>
      </c>
      <c r="S413" s="19">
        <v>0</v>
      </c>
      <c r="T413" s="42">
        <v>0</v>
      </c>
      <c r="U413" s="19">
        <v>19671.029763818911</v>
      </c>
    </row>
    <row r="414" spans="2:21" x14ac:dyDescent="0.25">
      <c r="B414" s="4">
        <v>45414</v>
      </c>
      <c r="C414" s="19">
        <v>19671.029763818911</v>
      </c>
      <c r="D414" s="42">
        <v>0</v>
      </c>
      <c r="E414" s="42">
        <v>0</v>
      </c>
      <c r="F414" s="42">
        <v>0</v>
      </c>
      <c r="G414" s="42">
        <v>0</v>
      </c>
      <c r="H414" s="42">
        <v>0</v>
      </c>
      <c r="I414" s="42">
        <v>0</v>
      </c>
      <c r="J414" s="42">
        <v>0</v>
      </c>
      <c r="K414" s="19">
        <v>0</v>
      </c>
      <c r="L414" s="42">
        <v>0</v>
      </c>
      <c r="M414" s="42">
        <v>0</v>
      </c>
      <c r="N414" s="42">
        <v>0</v>
      </c>
      <c r="O414" s="42">
        <v>0</v>
      </c>
      <c r="P414" s="41">
        <v>0</v>
      </c>
      <c r="Q414" s="42">
        <v>0</v>
      </c>
      <c r="R414" s="19">
        <v>0</v>
      </c>
      <c r="S414" s="19">
        <v>0</v>
      </c>
      <c r="T414" s="42">
        <v>0</v>
      </c>
      <c r="U414" s="19">
        <v>19671.029763818911</v>
      </c>
    </row>
    <row r="415" spans="2:21" x14ac:dyDescent="0.25">
      <c r="B415" s="4">
        <v>45415</v>
      </c>
      <c r="C415" s="19">
        <v>19671.029763818911</v>
      </c>
      <c r="D415" s="42">
        <v>0</v>
      </c>
      <c r="E415" s="42">
        <v>0</v>
      </c>
      <c r="F415" s="42">
        <v>0</v>
      </c>
      <c r="G415" s="42">
        <v>0</v>
      </c>
      <c r="H415" s="42">
        <v>0</v>
      </c>
      <c r="I415" s="42">
        <v>0</v>
      </c>
      <c r="J415" s="42">
        <v>0</v>
      </c>
      <c r="K415" s="19">
        <v>0</v>
      </c>
      <c r="L415" s="42">
        <v>0</v>
      </c>
      <c r="M415" s="42">
        <v>0</v>
      </c>
      <c r="N415" s="42">
        <v>0</v>
      </c>
      <c r="O415" s="42">
        <v>0</v>
      </c>
      <c r="P415" s="41">
        <v>0</v>
      </c>
      <c r="Q415" s="42">
        <v>0</v>
      </c>
      <c r="R415" s="19">
        <v>0</v>
      </c>
      <c r="S415" s="19">
        <v>0</v>
      </c>
      <c r="T415" s="42">
        <v>0</v>
      </c>
      <c r="U415" s="19">
        <v>19671.029763818911</v>
      </c>
    </row>
    <row r="416" spans="2:21" x14ac:dyDescent="0.25">
      <c r="B416" s="4">
        <v>45418</v>
      </c>
      <c r="C416" s="19">
        <v>19671.029763818911</v>
      </c>
      <c r="D416" s="42">
        <v>0</v>
      </c>
      <c r="E416" s="42">
        <v>0</v>
      </c>
      <c r="F416" s="42">
        <v>0</v>
      </c>
      <c r="G416" s="42">
        <v>0</v>
      </c>
      <c r="H416" s="42">
        <v>0</v>
      </c>
      <c r="I416" s="42">
        <v>0</v>
      </c>
      <c r="J416" s="42">
        <v>0</v>
      </c>
      <c r="K416" s="19">
        <v>0</v>
      </c>
      <c r="L416" s="42">
        <v>0</v>
      </c>
      <c r="M416" s="42">
        <v>0</v>
      </c>
      <c r="N416" s="42">
        <v>0</v>
      </c>
      <c r="O416" s="42">
        <v>0</v>
      </c>
      <c r="P416" s="41">
        <v>0</v>
      </c>
      <c r="Q416" s="42">
        <v>0</v>
      </c>
      <c r="R416" s="19">
        <v>0</v>
      </c>
      <c r="S416" s="19">
        <v>0</v>
      </c>
      <c r="T416" s="42">
        <v>0</v>
      </c>
      <c r="U416" s="19">
        <v>19671.029763818911</v>
      </c>
    </row>
    <row r="417" spans="2:21" x14ac:dyDescent="0.25">
      <c r="B417" s="4">
        <v>45419</v>
      </c>
      <c r="C417" s="19">
        <v>19671.029763818911</v>
      </c>
      <c r="D417" s="42">
        <v>0</v>
      </c>
      <c r="E417" s="42">
        <v>0</v>
      </c>
      <c r="F417" s="42">
        <v>0</v>
      </c>
      <c r="G417" s="42">
        <v>0</v>
      </c>
      <c r="H417" s="42">
        <v>0</v>
      </c>
      <c r="I417" s="42">
        <v>0</v>
      </c>
      <c r="J417" s="42">
        <v>0</v>
      </c>
      <c r="K417" s="19">
        <v>0</v>
      </c>
      <c r="L417" s="42">
        <v>0</v>
      </c>
      <c r="M417" s="42">
        <v>0</v>
      </c>
      <c r="N417" s="42">
        <v>0</v>
      </c>
      <c r="O417" s="42">
        <v>0</v>
      </c>
      <c r="P417" s="41">
        <v>0</v>
      </c>
      <c r="Q417" s="42">
        <v>0</v>
      </c>
      <c r="R417" s="19">
        <v>0</v>
      </c>
      <c r="S417" s="19">
        <v>0</v>
      </c>
      <c r="T417" s="42">
        <v>0</v>
      </c>
      <c r="U417" s="19">
        <v>19671.029763818911</v>
      </c>
    </row>
    <row r="418" spans="2:21" x14ac:dyDescent="0.25">
      <c r="B418" s="4">
        <v>45420</v>
      </c>
      <c r="C418" s="19">
        <v>19671.029763818911</v>
      </c>
      <c r="D418" s="42">
        <v>-29868.34</v>
      </c>
      <c r="E418" s="42">
        <v>0</v>
      </c>
      <c r="F418" s="42">
        <v>0</v>
      </c>
      <c r="G418" s="42">
        <v>0</v>
      </c>
      <c r="H418" s="42">
        <v>0</v>
      </c>
      <c r="I418" s="42">
        <v>0</v>
      </c>
      <c r="J418" s="42">
        <v>0</v>
      </c>
      <c r="K418" s="19">
        <v>0</v>
      </c>
      <c r="L418" s="42">
        <v>0</v>
      </c>
      <c r="M418" s="42">
        <v>0</v>
      </c>
      <c r="N418" s="42">
        <v>-7115.15</v>
      </c>
      <c r="O418" s="42">
        <v>0</v>
      </c>
      <c r="P418" s="41">
        <v>0</v>
      </c>
      <c r="Q418" s="42">
        <v>0</v>
      </c>
      <c r="R418" s="19">
        <v>0</v>
      </c>
      <c r="S418" s="42">
        <v>37500</v>
      </c>
      <c r="T418" s="42">
        <v>0</v>
      </c>
      <c r="U418" s="19">
        <v>20187.53976381891</v>
      </c>
    </row>
    <row r="419" spans="2:21" x14ac:dyDescent="0.25">
      <c r="B419" s="4">
        <v>45421</v>
      </c>
      <c r="C419" s="19">
        <v>20187.53976381891</v>
      </c>
      <c r="D419" s="42">
        <v>0</v>
      </c>
      <c r="E419" s="42">
        <v>0</v>
      </c>
      <c r="F419" s="42">
        <v>0</v>
      </c>
      <c r="G419" s="42">
        <v>0</v>
      </c>
      <c r="H419" s="42">
        <v>0</v>
      </c>
      <c r="I419" s="42">
        <v>0</v>
      </c>
      <c r="J419" s="42">
        <v>0</v>
      </c>
      <c r="K419" s="19">
        <v>0</v>
      </c>
      <c r="L419" s="42">
        <v>0</v>
      </c>
      <c r="M419" s="42">
        <v>0</v>
      </c>
      <c r="N419" s="42">
        <v>0</v>
      </c>
      <c r="O419" s="42">
        <v>0</v>
      </c>
      <c r="P419" s="41">
        <v>0</v>
      </c>
      <c r="Q419" s="42">
        <v>0</v>
      </c>
      <c r="R419" s="19">
        <v>0</v>
      </c>
      <c r="S419" s="19">
        <v>0</v>
      </c>
      <c r="T419" s="42">
        <v>0</v>
      </c>
      <c r="U419" s="19">
        <v>20187.53976381891</v>
      </c>
    </row>
    <row r="420" spans="2:21" x14ac:dyDescent="0.25">
      <c r="B420" s="4">
        <v>45422</v>
      </c>
      <c r="C420" s="19">
        <v>20187.53976381891</v>
      </c>
      <c r="D420" s="42">
        <v>0</v>
      </c>
      <c r="E420" s="42">
        <v>0</v>
      </c>
      <c r="F420" s="42">
        <v>0</v>
      </c>
      <c r="G420" s="42">
        <v>0</v>
      </c>
      <c r="H420" s="42">
        <v>0</v>
      </c>
      <c r="I420" s="42">
        <v>0</v>
      </c>
      <c r="J420" s="42">
        <v>0</v>
      </c>
      <c r="K420" s="19">
        <v>0</v>
      </c>
      <c r="L420" s="42">
        <v>0</v>
      </c>
      <c r="M420" s="42">
        <v>0</v>
      </c>
      <c r="N420" s="42">
        <v>0</v>
      </c>
      <c r="O420" s="42">
        <v>0</v>
      </c>
      <c r="P420" s="41">
        <v>0</v>
      </c>
      <c r="Q420" s="42">
        <v>0</v>
      </c>
      <c r="R420" s="19">
        <v>0</v>
      </c>
      <c r="S420" s="19">
        <v>0</v>
      </c>
      <c r="T420" s="42">
        <v>0</v>
      </c>
      <c r="U420" s="19">
        <v>20187.53976381891</v>
      </c>
    </row>
    <row r="421" spans="2:21" x14ac:dyDescent="0.25">
      <c r="B421" s="4">
        <v>45425</v>
      </c>
      <c r="C421" s="19">
        <v>20187.53976381891</v>
      </c>
      <c r="D421" s="42">
        <v>0</v>
      </c>
      <c r="E421" s="42">
        <v>0</v>
      </c>
      <c r="F421" s="42">
        <v>0</v>
      </c>
      <c r="G421" s="42">
        <v>0</v>
      </c>
      <c r="H421" s="42">
        <v>0</v>
      </c>
      <c r="I421" s="42">
        <v>0</v>
      </c>
      <c r="J421" s="42">
        <v>0</v>
      </c>
      <c r="K421" s="19">
        <v>0</v>
      </c>
      <c r="L421" s="42">
        <v>0</v>
      </c>
      <c r="M421" s="42">
        <v>0</v>
      </c>
      <c r="N421" s="42">
        <v>0</v>
      </c>
      <c r="O421" s="42">
        <v>0</v>
      </c>
      <c r="P421" s="41">
        <v>0</v>
      </c>
      <c r="Q421" s="42">
        <v>0</v>
      </c>
      <c r="R421" s="19">
        <v>0</v>
      </c>
      <c r="S421" s="19">
        <v>0</v>
      </c>
      <c r="T421" s="42">
        <v>0</v>
      </c>
      <c r="U421" s="19">
        <v>20187.53976381891</v>
      </c>
    </row>
    <row r="422" spans="2:21" x14ac:dyDescent="0.25">
      <c r="B422" s="4">
        <v>45426</v>
      </c>
      <c r="C422" s="19">
        <v>20187.53976381891</v>
      </c>
      <c r="D422" s="42">
        <v>0</v>
      </c>
      <c r="E422" s="42">
        <v>0</v>
      </c>
      <c r="F422" s="42">
        <v>0</v>
      </c>
      <c r="G422" s="42">
        <v>0</v>
      </c>
      <c r="H422" s="42">
        <v>0</v>
      </c>
      <c r="I422" s="42">
        <v>0</v>
      </c>
      <c r="J422" s="42">
        <v>0</v>
      </c>
      <c r="K422" s="19">
        <v>0</v>
      </c>
      <c r="L422" s="42">
        <v>0</v>
      </c>
      <c r="M422" s="42">
        <v>0</v>
      </c>
      <c r="N422" s="42">
        <v>0</v>
      </c>
      <c r="O422" s="42">
        <v>0</v>
      </c>
      <c r="P422" s="41">
        <v>0</v>
      </c>
      <c r="Q422" s="42">
        <v>0</v>
      </c>
      <c r="R422" s="19">
        <v>0</v>
      </c>
      <c r="S422" s="19">
        <v>0</v>
      </c>
      <c r="T422" s="42">
        <v>0</v>
      </c>
      <c r="U422" s="19">
        <v>20187.53976381891</v>
      </c>
    </row>
    <row r="423" spans="2:21" x14ac:dyDescent="0.25">
      <c r="B423" s="4">
        <v>45427</v>
      </c>
      <c r="C423" s="19">
        <v>20187.53976381891</v>
      </c>
      <c r="D423" s="42">
        <v>0</v>
      </c>
      <c r="E423" s="42">
        <v>0</v>
      </c>
      <c r="F423" s="42">
        <v>0</v>
      </c>
      <c r="G423" s="42">
        <v>0</v>
      </c>
      <c r="H423" s="42">
        <v>0</v>
      </c>
      <c r="I423" s="42">
        <v>0</v>
      </c>
      <c r="J423" s="42">
        <v>0</v>
      </c>
      <c r="K423" s="19">
        <v>0</v>
      </c>
      <c r="L423" s="42">
        <v>0</v>
      </c>
      <c r="M423" s="42">
        <v>0</v>
      </c>
      <c r="N423" s="42">
        <v>0</v>
      </c>
      <c r="O423" s="42">
        <v>0</v>
      </c>
      <c r="P423" s="41">
        <v>0</v>
      </c>
      <c r="Q423" s="42">
        <v>-614.66</v>
      </c>
      <c r="R423" s="19">
        <v>0</v>
      </c>
      <c r="S423" s="19">
        <v>0</v>
      </c>
      <c r="T423" s="42">
        <v>0</v>
      </c>
      <c r="U423" s="19">
        <v>19572.87976381891</v>
      </c>
    </row>
    <row r="424" spans="2:21" x14ac:dyDescent="0.25">
      <c r="B424" s="4">
        <v>45428</v>
      </c>
      <c r="C424" s="19">
        <v>19572.87976381891</v>
      </c>
      <c r="D424" s="42">
        <v>0</v>
      </c>
      <c r="E424" s="42">
        <v>0</v>
      </c>
      <c r="F424" s="42">
        <v>0</v>
      </c>
      <c r="G424" s="42">
        <v>0</v>
      </c>
      <c r="H424" s="42">
        <v>0</v>
      </c>
      <c r="I424" s="42">
        <v>0</v>
      </c>
      <c r="J424" s="42">
        <v>0</v>
      </c>
      <c r="K424" s="19">
        <v>0</v>
      </c>
      <c r="L424" s="42">
        <v>0</v>
      </c>
      <c r="M424" s="42">
        <v>0</v>
      </c>
      <c r="N424" s="42">
        <v>0</v>
      </c>
      <c r="O424" s="42">
        <v>0</v>
      </c>
      <c r="P424" s="41">
        <v>0</v>
      </c>
      <c r="Q424" s="42">
        <v>0</v>
      </c>
      <c r="R424" s="19">
        <v>0</v>
      </c>
      <c r="S424" s="19">
        <v>0</v>
      </c>
      <c r="T424" s="42">
        <v>0</v>
      </c>
      <c r="U424" s="19">
        <v>19572.87976381891</v>
      </c>
    </row>
    <row r="425" spans="2:21" x14ac:dyDescent="0.25">
      <c r="B425" s="4">
        <v>45429</v>
      </c>
      <c r="C425" s="19">
        <v>19572.87976381891</v>
      </c>
      <c r="D425" s="42">
        <v>0</v>
      </c>
      <c r="E425" s="42">
        <v>0</v>
      </c>
      <c r="F425" s="42">
        <v>0</v>
      </c>
      <c r="G425" s="42">
        <v>0</v>
      </c>
      <c r="H425" s="42">
        <v>0</v>
      </c>
      <c r="I425" s="42">
        <v>0</v>
      </c>
      <c r="J425" s="42">
        <v>0</v>
      </c>
      <c r="K425" s="19">
        <v>0</v>
      </c>
      <c r="L425" s="42">
        <v>0</v>
      </c>
      <c r="M425" s="42">
        <v>0</v>
      </c>
      <c r="N425" s="42">
        <v>0</v>
      </c>
      <c r="O425" s="42">
        <v>0</v>
      </c>
      <c r="P425" s="41">
        <v>0</v>
      </c>
      <c r="Q425" s="42">
        <v>0</v>
      </c>
      <c r="R425" s="19">
        <v>0</v>
      </c>
      <c r="S425" s="19">
        <v>0</v>
      </c>
      <c r="T425" s="42">
        <v>0</v>
      </c>
      <c r="U425" s="19">
        <v>19572.87976381891</v>
      </c>
    </row>
    <row r="426" spans="2:21" x14ac:dyDescent="0.25">
      <c r="B426" s="4">
        <v>45432</v>
      </c>
      <c r="C426" s="19">
        <v>19572.87976381891</v>
      </c>
      <c r="D426" s="42">
        <v>0</v>
      </c>
      <c r="E426" s="42">
        <v>0</v>
      </c>
      <c r="F426" s="42">
        <v>0</v>
      </c>
      <c r="G426" s="42">
        <v>0</v>
      </c>
      <c r="H426" s="42">
        <v>0</v>
      </c>
      <c r="I426" s="42">
        <v>0</v>
      </c>
      <c r="J426" s="42">
        <v>0</v>
      </c>
      <c r="K426" s="19">
        <v>0</v>
      </c>
      <c r="L426" s="42">
        <v>0</v>
      </c>
      <c r="M426" s="42">
        <v>0</v>
      </c>
      <c r="N426" s="42">
        <v>0</v>
      </c>
      <c r="O426" s="42">
        <v>0</v>
      </c>
      <c r="P426" s="41">
        <v>0</v>
      </c>
      <c r="Q426" s="42">
        <v>0</v>
      </c>
      <c r="R426" s="19">
        <v>0</v>
      </c>
      <c r="S426" s="19">
        <v>0</v>
      </c>
      <c r="T426" s="42">
        <v>0</v>
      </c>
      <c r="U426" s="19">
        <v>19572.87976381891</v>
      </c>
    </row>
    <row r="427" spans="2:21" x14ac:dyDescent="0.25">
      <c r="B427" s="4">
        <v>45433</v>
      </c>
      <c r="C427" s="19">
        <v>19572.87976381891</v>
      </c>
      <c r="D427" s="42">
        <v>0</v>
      </c>
      <c r="E427" s="42">
        <v>0</v>
      </c>
      <c r="F427" s="42">
        <v>0</v>
      </c>
      <c r="G427" s="42">
        <v>0</v>
      </c>
      <c r="H427" s="42">
        <v>0</v>
      </c>
      <c r="I427" s="42">
        <v>0</v>
      </c>
      <c r="J427" s="42">
        <v>0</v>
      </c>
      <c r="K427" s="19">
        <v>0</v>
      </c>
      <c r="L427" s="42">
        <v>0</v>
      </c>
      <c r="M427" s="42">
        <v>0</v>
      </c>
      <c r="N427" s="42">
        <v>0</v>
      </c>
      <c r="O427" s="42">
        <v>0</v>
      </c>
      <c r="P427" s="41">
        <v>0</v>
      </c>
      <c r="Q427" s="42">
        <v>0</v>
      </c>
      <c r="R427" s="19">
        <v>0</v>
      </c>
      <c r="S427" s="19">
        <v>0</v>
      </c>
      <c r="T427" s="42">
        <v>0</v>
      </c>
      <c r="U427" s="19">
        <v>19572.87976381891</v>
      </c>
    </row>
    <row r="428" spans="2:21" x14ac:dyDescent="0.25">
      <c r="B428" s="4">
        <v>45434</v>
      </c>
      <c r="C428" s="19">
        <v>19572.87976381891</v>
      </c>
      <c r="D428" s="42">
        <v>0</v>
      </c>
      <c r="E428" s="42">
        <v>0</v>
      </c>
      <c r="F428" s="42">
        <v>0</v>
      </c>
      <c r="G428" s="42">
        <v>0</v>
      </c>
      <c r="H428" s="42">
        <v>0</v>
      </c>
      <c r="I428" s="42">
        <v>0</v>
      </c>
      <c r="J428" s="42">
        <v>0</v>
      </c>
      <c r="K428" s="19">
        <v>0</v>
      </c>
      <c r="L428" s="42">
        <v>0</v>
      </c>
      <c r="M428" s="42">
        <v>0</v>
      </c>
      <c r="N428" s="42">
        <v>0</v>
      </c>
      <c r="O428" s="42">
        <v>0</v>
      </c>
      <c r="P428" s="41">
        <v>0</v>
      </c>
      <c r="Q428" s="42">
        <v>0</v>
      </c>
      <c r="R428" s="19">
        <v>0</v>
      </c>
      <c r="S428" s="19">
        <v>0</v>
      </c>
      <c r="T428" s="42">
        <v>0</v>
      </c>
      <c r="U428" s="19">
        <v>19572.87976381891</v>
      </c>
    </row>
    <row r="429" spans="2:21" x14ac:dyDescent="0.25">
      <c r="B429" s="4">
        <v>45435</v>
      </c>
      <c r="C429" s="19">
        <v>19572.87976381891</v>
      </c>
      <c r="D429" s="42">
        <v>0</v>
      </c>
      <c r="E429" s="42">
        <v>0</v>
      </c>
      <c r="F429" s="42">
        <v>0</v>
      </c>
      <c r="G429" s="42">
        <v>0</v>
      </c>
      <c r="H429" s="42">
        <v>0</v>
      </c>
      <c r="I429" s="42">
        <v>0</v>
      </c>
      <c r="J429" s="42">
        <v>0</v>
      </c>
      <c r="K429" s="19">
        <v>0</v>
      </c>
      <c r="L429" s="42">
        <v>0</v>
      </c>
      <c r="M429" s="42">
        <v>0</v>
      </c>
      <c r="N429" s="42">
        <v>0</v>
      </c>
      <c r="O429" s="42">
        <v>0</v>
      </c>
      <c r="P429" s="41">
        <v>0</v>
      </c>
      <c r="Q429" s="42">
        <v>0</v>
      </c>
      <c r="R429" s="19">
        <v>0</v>
      </c>
      <c r="S429" s="19">
        <v>0</v>
      </c>
      <c r="T429" s="42">
        <v>0</v>
      </c>
      <c r="U429" s="19">
        <v>19572.87976381891</v>
      </c>
    </row>
    <row r="430" spans="2:21" x14ac:dyDescent="0.25">
      <c r="B430" s="4">
        <v>45436</v>
      </c>
      <c r="C430" s="19">
        <v>19572.87976381891</v>
      </c>
      <c r="D430" s="42">
        <v>0</v>
      </c>
      <c r="E430" s="42">
        <v>0</v>
      </c>
      <c r="F430" s="42">
        <v>0</v>
      </c>
      <c r="G430" s="42">
        <v>0</v>
      </c>
      <c r="H430" s="42">
        <v>0</v>
      </c>
      <c r="I430" s="42">
        <v>0</v>
      </c>
      <c r="J430" s="42">
        <v>0</v>
      </c>
      <c r="K430" s="19">
        <v>0</v>
      </c>
      <c r="L430" s="42">
        <v>0</v>
      </c>
      <c r="M430" s="42">
        <v>0</v>
      </c>
      <c r="N430" s="42">
        <v>0</v>
      </c>
      <c r="O430" s="42">
        <v>0</v>
      </c>
      <c r="P430" s="41">
        <v>0</v>
      </c>
      <c r="Q430" s="42">
        <v>0</v>
      </c>
      <c r="R430" s="19">
        <v>0</v>
      </c>
      <c r="S430" s="19">
        <v>0</v>
      </c>
      <c r="T430" s="42">
        <v>0</v>
      </c>
      <c r="U430" s="19">
        <v>19572.87976381891</v>
      </c>
    </row>
    <row r="431" spans="2:21" x14ac:dyDescent="0.25">
      <c r="B431" s="4">
        <v>45439</v>
      </c>
      <c r="C431" s="19">
        <v>19572.87976381891</v>
      </c>
      <c r="D431" s="42">
        <v>0</v>
      </c>
      <c r="E431" s="42">
        <v>0</v>
      </c>
      <c r="F431" s="42">
        <v>0</v>
      </c>
      <c r="G431" s="42">
        <v>0</v>
      </c>
      <c r="H431" s="42">
        <v>0</v>
      </c>
      <c r="I431" s="42">
        <v>0</v>
      </c>
      <c r="J431" s="42">
        <v>0</v>
      </c>
      <c r="K431" s="19">
        <v>0</v>
      </c>
      <c r="L431" s="42">
        <v>0</v>
      </c>
      <c r="M431" s="42">
        <v>0</v>
      </c>
      <c r="N431" s="42">
        <v>0</v>
      </c>
      <c r="O431" s="42">
        <v>0</v>
      </c>
      <c r="P431" s="41">
        <v>0</v>
      </c>
      <c r="Q431" s="42">
        <v>0</v>
      </c>
      <c r="R431" s="19">
        <v>0</v>
      </c>
      <c r="S431" s="19">
        <v>0</v>
      </c>
      <c r="T431" s="42">
        <v>0</v>
      </c>
      <c r="U431" s="19">
        <v>19572.87976381891</v>
      </c>
    </row>
    <row r="432" spans="2:21" x14ac:dyDescent="0.25">
      <c r="B432" s="4">
        <v>45440</v>
      </c>
      <c r="C432" s="19">
        <v>19572.87976381891</v>
      </c>
      <c r="D432" s="42">
        <v>0</v>
      </c>
      <c r="E432" s="42">
        <v>0</v>
      </c>
      <c r="F432" s="42">
        <v>0</v>
      </c>
      <c r="G432" s="42">
        <v>0</v>
      </c>
      <c r="H432" s="42">
        <v>0</v>
      </c>
      <c r="I432" s="42">
        <v>0</v>
      </c>
      <c r="J432" s="42">
        <v>0</v>
      </c>
      <c r="K432" s="19">
        <v>-50000</v>
      </c>
      <c r="L432" s="42">
        <v>0</v>
      </c>
      <c r="M432" s="42">
        <v>0</v>
      </c>
      <c r="N432" s="42">
        <v>0</v>
      </c>
      <c r="O432" s="42">
        <v>0</v>
      </c>
      <c r="P432" s="41">
        <v>0</v>
      </c>
      <c r="Q432" s="42">
        <v>0</v>
      </c>
      <c r="R432" s="19">
        <v>50000</v>
      </c>
      <c r="S432" s="19">
        <v>0</v>
      </c>
      <c r="T432" s="42">
        <v>0</v>
      </c>
      <c r="U432" s="19">
        <v>19572.87976381891</v>
      </c>
    </row>
    <row r="433" spans="2:21" x14ac:dyDescent="0.25">
      <c r="B433" s="4">
        <v>45441</v>
      </c>
      <c r="C433" s="19">
        <v>19572.87976381891</v>
      </c>
      <c r="D433" s="42">
        <v>0</v>
      </c>
      <c r="E433" s="42">
        <v>0</v>
      </c>
      <c r="F433" s="42">
        <v>0</v>
      </c>
      <c r="G433" s="42">
        <v>0</v>
      </c>
      <c r="H433" s="42">
        <v>0</v>
      </c>
      <c r="I433" s="42">
        <v>0</v>
      </c>
      <c r="J433" s="42">
        <v>0</v>
      </c>
      <c r="K433" s="19">
        <v>0</v>
      </c>
      <c r="L433" s="42">
        <v>0</v>
      </c>
      <c r="M433" s="42">
        <v>0</v>
      </c>
      <c r="N433" s="42">
        <v>0</v>
      </c>
      <c r="O433" s="42">
        <v>0</v>
      </c>
      <c r="P433" s="41">
        <v>0</v>
      </c>
      <c r="Q433" s="42">
        <v>0</v>
      </c>
      <c r="R433" s="19">
        <v>0</v>
      </c>
      <c r="S433" s="19">
        <v>0</v>
      </c>
      <c r="T433" s="42">
        <v>0</v>
      </c>
      <c r="U433" s="19">
        <v>19572.87976381891</v>
      </c>
    </row>
    <row r="434" spans="2:21" x14ac:dyDescent="0.25">
      <c r="B434" s="4">
        <v>45443</v>
      </c>
      <c r="C434" s="19">
        <v>19572.87976381891</v>
      </c>
      <c r="D434" s="42">
        <v>0</v>
      </c>
      <c r="E434" s="42">
        <v>0</v>
      </c>
      <c r="F434" s="42">
        <v>0</v>
      </c>
      <c r="G434" s="42">
        <v>0</v>
      </c>
      <c r="H434" s="42">
        <v>0</v>
      </c>
      <c r="I434" s="42">
        <v>0</v>
      </c>
      <c r="J434" s="42">
        <v>0</v>
      </c>
      <c r="K434" s="19">
        <v>0</v>
      </c>
      <c r="L434" s="42">
        <v>0</v>
      </c>
      <c r="M434" s="42">
        <v>0</v>
      </c>
      <c r="N434" s="42">
        <v>0</v>
      </c>
      <c r="O434" s="42">
        <v>0</v>
      </c>
      <c r="P434" s="41">
        <v>0</v>
      </c>
      <c r="Q434" s="42">
        <v>0</v>
      </c>
      <c r="R434" s="19">
        <v>0</v>
      </c>
      <c r="S434" s="19">
        <v>0</v>
      </c>
      <c r="T434" s="42">
        <v>0</v>
      </c>
      <c r="U434" s="19">
        <v>19572.87976381891</v>
      </c>
    </row>
    <row r="435" spans="2:21" x14ac:dyDescent="0.25">
      <c r="B435" s="4">
        <v>45446</v>
      </c>
      <c r="C435" s="19">
        <v>19572.87976381891</v>
      </c>
      <c r="D435" s="42">
        <v>0</v>
      </c>
      <c r="E435" s="42">
        <v>0</v>
      </c>
      <c r="F435" s="42">
        <v>0</v>
      </c>
      <c r="G435" s="42">
        <v>0</v>
      </c>
      <c r="H435" s="42">
        <v>0</v>
      </c>
      <c r="I435" s="42">
        <v>0</v>
      </c>
      <c r="J435" s="42">
        <v>0</v>
      </c>
      <c r="K435" s="19">
        <v>0</v>
      </c>
      <c r="L435" s="42">
        <v>0</v>
      </c>
      <c r="M435" s="42">
        <v>0</v>
      </c>
      <c r="N435" s="42">
        <v>0</v>
      </c>
      <c r="O435" s="42">
        <v>0</v>
      </c>
      <c r="P435" s="41">
        <v>0</v>
      </c>
      <c r="Q435" s="42">
        <v>0</v>
      </c>
      <c r="R435" s="19">
        <v>0</v>
      </c>
      <c r="S435" s="19">
        <v>0</v>
      </c>
      <c r="T435" s="42">
        <v>0</v>
      </c>
      <c r="U435" s="19">
        <v>19572.87976381891</v>
      </c>
    </row>
    <row r="436" spans="2:21" x14ac:dyDescent="0.25">
      <c r="B436" s="4">
        <v>45447</v>
      </c>
      <c r="C436" s="19">
        <v>19572.87976381891</v>
      </c>
      <c r="D436" s="42">
        <v>0</v>
      </c>
      <c r="E436" s="42">
        <v>0</v>
      </c>
      <c r="F436" s="42">
        <v>0</v>
      </c>
      <c r="G436" s="42">
        <v>0</v>
      </c>
      <c r="H436" s="42">
        <v>0</v>
      </c>
      <c r="I436" s="42">
        <v>0</v>
      </c>
      <c r="J436" s="42">
        <v>0</v>
      </c>
      <c r="K436" s="19">
        <v>0</v>
      </c>
      <c r="L436" s="42">
        <v>0</v>
      </c>
      <c r="M436" s="42">
        <v>0</v>
      </c>
      <c r="N436" s="42">
        <v>0</v>
      </c>
      <c r="O436" s="42">
        <v>0</v>
      </c>
      <c r="P436" s="41">
        <v>0</v>
      </c>
      <c r="Q436" s="42">
        <v>0</v>
      </c>
      <c r="R436" s="19">
        <v>-50000</v>
      </c>
      <c r="S436" s="42">
        <v>50000</v>
      </c>
      <c r="T436" s="42">
        <v>0</v>
      </c>
      <c r="U436" s="19">
        <v>19572.87976381891</v>
      </c>
    </row>
    <row r="437" spans="2:21" x14ac:dyDescent="0.25">
      <c r="B437" s="4">
        <v>45448</v>
      </c>
      <c r="C437" s="19">
        <v>19572.87976381891</v>
      </c>
      <c r="D437" s="42">
        <v>0</v>
      </c>
      <c r="E437" s="42">
        <v>0</v>
      </c>
      <c r="F437" s="42">
        <v>0</v>
      </c>
      <c r="G437" s="42">
        <v>0</v>
      </c>
      <c r="H437" s="42">
        <v>0</v>
      </c>
      <c r="I437" s="42">
        <v>0</v>
      </c>
      <c r="J437" s="42">
        <v>0</v>
      </c>
      <c r="K437" s="19">
        <v>0</v>
      </c>
      <c r="L437" s="42">
        <v>0</v>
      </c>
      <c r="M437" s="42">
        <v>0</v>
      </c>
      <c r="N437" s="42">
        <v>0</v>
      </c>
      <c r="O437" s="42">
        <v>0</v>
      </c>
      <c r="P437" s="41">
        <v>0</v>
      </c>
      <c r="Q437" s="42">
        <v>0</v>
      </c>
      <c r="R437" s="19">
        <v>0</v>
      </c>
      <c r="S437" s="42">
        <v>0</v>
      </c>
      <c r="T437" s="42">
        <v>0</v>
      </c>
      <c r="U437" s="19">
        <v>19572.87976381891</v>
      </c>
    </row>
    <row r="438" spans="2:21" x14ac:dyDescent="0.25">
      <c r="B438" s="4">
        <v>45449</v>
      </c>
      <c r="C438" s="19">
        <v>19572.87976381891</v>
      </c>
      <c r="D438" s="42">
        <v>0</v>
      </c>
      <c r="E438" s="42">
        <v>0</v>
      </c>
      <c r="F438" s="42">
        <v>0</v>
      </c>
      <c r="G438" s="42">
        <v>0</v>
      </c>
      <c r="H438" s="42">
        <v>0</v>
      </c>
      <c r="I438" s="42">
        <v>0</v>
      </c>
      <c r="J438" s="42">
        <v>0</v>
      </c>
      <c r="K438" s="19">
        <v>0</v>
      </c>
      <c r="L438" s="42">
        <v>0</v>
      </c>
      <c r="M438" s="42">
        <v>0</v>
      </c>
      <c r="N438" s="42">
        <v>0</v>
      </c>
      <c r="O438" s="42">
        <v>0</v>
      </c>
      <c r="P438" s="41">
        <v>0</v>
      </c>
      <c r="Q438" s="42">
        <v>0.66</v>
      </c>
      <c r="R438" s="19">
        <v>0</v>
      </c>
      <c r="S438" s="42">
        <v>0</v>
      </c>
      <c r="T438" s="42">
        <v>0</v>
      </c>
      <c r="U438" s="19">
        <v>19573.53976381891</v>
      </c>
    </row>
    <row r="439" spans="2:21" x14ac:dyDescent="0.25">
      <c r="B439" s="4">
        <v>45450</v>
      </c>
      <c r="C439" s="19">
        <v>19573.53976381891</v>
      </c>
      <c r="D439" s="42">
        <v>-27491.88</v>
      </c>
      <c r="E439" s="42">
        <v>0</v>
      </c>
      <c r="F439" s="42">
        <v>0</v>
      </c>
      <c r="G439" s="42">
        <v>0</v>
      </c>
      <c r="H439" s="42">
        <v>0</v>
      </c>
      <c r="I439" s="42">
        <v>0</v>
      </c>
      <c r="J439" s="42">
        <v>0</v>
      </c>
      <c r="K439" s="19">
        <v>0</v>
      </c>
      <c r="L439" s="42">
        <v>0</v>
      </c>
      <c r="M439" s="42">
        <v>0</v>
      </c>
      <c r="N439" s="42">
        <v>0</v>
      </c>
      <c r="O439" s="42">
        <v>0</v>
      </c>
      <c r="P439" s="41">
        <v>0</v>
      </c>
      <c r="Q439" s="42">
        <v>0</v>
      </c>
      <c r="R439" s="19">
        <v>0</v>
      </c>
      <c r="S439" s="42">
        <v>28000</v>
      </c>
      <c r="T439" s="42">
        <v>0</v>
      </c>
      <c r="U439" s="19">
        <v>20081.659763818909</v>
      </c>
    </row>
    <row r="440" spans="2:21" x14ac:dyDescent="0.25">
      <c r="B440" s="4">
        <v>45453</v>
      </c>
      <c r="C440" s="19">
        <v>20081.659763818909</v>
      </c>
      <c r="D440" s="42">
        <v>0</v>
      </c>
      <c r="E440" s="42">
        <v>0</v>
      </c>
      <c r="F440" s="42">
        <v>0</v>
      </c>
      <c r="G440" s="42">
        <v>0</v>
      </c>
      <c r="H440" s="42">
        <v>0</v>
      </c>
      <c r="I440" s="42">
        <v>0</v>
      </c>
      <c r="J440" s="42">
        <v>0</v>
      </c>
      <c r="K440" s="19">
        <v>0</v>
      </c>
      <c r="L440" s="42">
        <v>0</v>
      </c>
      <c r="M440" s="42">
        <v>0</v>
      </c>
      <c r="N440" s="42">
        <v>0</v>
      </c>
      <c r="O440" s="42">
        <v>0</v>
      </c>
      <c r="P440" s="41">
        <v>0</v>
      </c>
      <c r="Q440" s="42">
        <v>0</v>
      </c>
      <c r="R440" s="19">
        <v>0</v>
      </c>
      <c r="S440" s="42">
        <v>0</v>
      </c>
      <c r="T440" s="42">
        <v>0</v>
      </c>
      <c r="U440" s="19">
        <v>20081.659763818909</v>
      </c>
    </row>
    <row r="441" spans="2:21" x14ac:dyDescent="0.25">
      <c r="B441" s="4">
        <v>45454</v>
      </c>
      <c r="C441" s="19">
        <v>20081.659763818909</v>
      </c>
      <c r="D441" s="42">
        <v>0</v>
      </c>
      <c r="E441" s="42">
        <v>0</v>
      </c>
      <c r="F441" s="42">
        <v>0</v>
      </c>
      <c r="G441" s="42">
        <v>0</v>
      </c>
      <c r="H441" s="42">
        <v>0</v>
      </c>
      <c r="I441" s="42">
        <v>0</v>
      </c>
      <c r="J441" s="42">
        <v>0</v>
      </c>
      <c r="K441" s="19">
        <v>0</v>
      </c>
      <c r="L441" s="42">
        <v>0</v>
      </c>
      <c r="M441" s="42">
        <v>0</v>
      </c>
      <c r="N441" s="42">
        <v>0</v>
      </c>
      <c r="O441" s="42">
        <v>0</v>
      </c>
      <c r="P441" s="41">
        <v>0</v>
      </c>
      <c r="Q441" s="42">
        <v>0</v>
      </c>
      <c r="R441" s="19">
        <v>0</v>
      </c>
      <c r="S441" s="42">
        <v>0</v>
      </c>
      <c r="T441" s="42">
        <v>0</v>
      </c>
      <c r="U441" s="19">
        <v>20081.659763818909</v>
      </c>
    </row>
    <row r="442" spans="2:21" x14ac:dyDescent="0.25">
      <c r="B442" s="4">
        <v>45455</v>
      </c>
      <c r="C442" s="19">
        <v>20081.659763818909</v>
      </c>
      <c r="D442" s="42">
        <v>0</v>
      </c>
      <c r="E442" s="42">
        <v>0</v>
      </c>
      <c r="F442" s="42">
        <v>0</v>
      </c>
      <c r="G442" s="42">
        <v>0</v>
      </c>
      <c r="H442" s="42">
        <v>0</v>
      </c>
      <c r="I442" s="42">
        <v>0</v>
      </c>
      <c r="J442" s="42">
        <v>0</v>
      </c>
      <c r="K442" s="19">
        <v>0</v>
      </c>
      <c r="L442" s="42">
        <v>0</v>
      </c>
      <c r="M442" s="42">
        <v>0</v>
      </c>
      <c r="N442" s="42">
        <v>0</v>
      </c>
      <c r="O442" s="42">
        <v>0</v>
      </c>
      <c r="P442" s="41">
        <v>0</v>
      </c>
      <c r="Q442" s="42">
        <v>0</v>
      </c>
      <c r="R442" s="19">
        <v>0</v>
      </c>
      <c r="S442" s="42">
        <v>0</v>
      </c>
      <c r="T442" s="42">
        <v>0</v>
      </c>
      <c r="U442" s="19">
        <v>20081.659763818909</v>
      </c>
    </row>
    <row r="443" spans="2:21" x14ac:dyDescent="0.25">
      <c r="B443" s="4">
        <v>45456</v>
      </c>
      <c r="C443" s="19">
        <v>20081.659763818909</v>
      </c>
      <c r="D443" s="42">
        <v>0</v>
      </c>
      <c r="E443" s="42">
        <v>0</v>
      </c>
      <c r="F443" s="42">
        <v>0</v>
      </c>
      <c r="G443" s="42">
        <v>0</v>
      </c>
      <c r="H443" s="42">
        <v>0</v>
      </c>
      <c r="I443" s="42">
        <v>0</v>
      </c>
      <c r="J443" s="42">
        <v>0</v>
      </c>
      <c r="K443" s="19">
        <v>0</v>
      </c>
      <c r="L443" s="42">
        <v>0</v>
      </c>
      <c r="M443" s="42">
        <v>0</v>
      </c>
      <c r="N443" s="42">
        <v>0</v>
      </c>
      <c r="O443" s="42">
        <v>0</v>
      </c>
      <c r="P443" s="41">
        <v>0</v>
      </c>
      <c r="Q443" s="42">
        <v>0</v>
      </c>
      <c r="R443" s="19">
        <v>0</v>
      </c>
      <c r="S443" s="42">
        <v>0</v>
      </c>
      <c r="T443" s="42">
        <v>0</v>
      </c>
      <c r="U443" s="19">
        <v>20081.659763818909</v>
      </c>
    </row>
    <row r="444" spans="2:21" x14ac:dyDescent="0.25">
      <c r="B444" s="4">
        <v>45457</v>
      </c>
      <c r="C444" s="19">
        <v>20081.659763818909</v>
      </c>
      <c r="D444" s="42">
        <v>0</v>
      </c>
      <c r="E444" s="42">
        <v>0</v>
      </c>
      <c r="F444" s="42">
        <v>0</v>
      </c>
      <c r="G444" s="42">
        <v>0</v>
      </c>
      <c r="H444" s="42">
        <v>0</v>
      </c>
      <c r="I444" s="42">
        <v>0</v>
      </c>
      <c r="J444" s="42">
        <v>0</v>
      </c>
      <c r="K444" s="19">
        <v>0</v>
      </c>
      <c r="L444" s="42">
        <v>0</v>
      </c>
      <c r="M444" s="42">
        <v>0</v>
      </c>
      <c r="N444" s="42">
        <v>0</v>
      </c>
      <c r="O444" s="42">
        <v>0</v>
      </c>
      <c r="P444" s="41">
        <v>0</v>
      </c>
      <c r="Q444" s="42">
        <v>-614.66</v>
      </c>
      <c r="R444" s="19">
        <v>0</v>
      </c>
      <c r="S444" s="42">
        <v>0</v>
      </c>
      <c r="T444" s="42">
        <v>0</v>
      </c>
      <c r="U444" s="19">
        <v>19466.999763818909</v>
      </c>
    </row>
    <row r="445" spans="2:21" x14ac:dyDescent="0.25">
      <c r="B445" s="4">
        <v>45460</v>
      </c>
      <c r="C445" s="19">
        <v>19466.999763818909</v>
      </c>
      <c r="D445" s="42">
        <v>0</v>
      </c>
      <c r="E445" s="42">
        <v>0</v>
      </c>
      <c r="F445" s="42">
        <v>0</v>
      </c>
      <c r="G445" s="42">
        <v>0</v>
      </c>
      <c r="H445" s="42">
        <v>0</v>
      </c>
      <c r="I445" s="42">
        <v>0</v>
      </c>
      <c r="J445" s="42">
        <v>0</v>
      </c>
      <c r="K445" s="19">
        <v>0</v>
      </c>
      <c r="L445" s="42">
        <v>0</v>
      </c>
      <c r="M445" s="42">
        <v>0</v>
      </c>
      <c r="N445" s="42">
        <v>0</v>
      </c>
      <c r="O445" s="42">
        <v>0</v>
      </c>
      <c r="P445" s="41">
        <v>0</v>
      </c>
      <c r="Q445" s="42">
        <v>0</v>
      </c>
      <c r="R445" s="19">
        <v>0</v>
      </c>
      <c r="S445" s="42">
        <v>0</v>
      </c>
      <c r="T445" s="42">
        <v>0</v>
      </c>
      <c r="U445" s="19">
        <v>19466.999763818909</v>
      </c>
    </row>
    <row r="446" spans="2:21" x14ac:dyDescent="0.25">
      <c r="B446" s="4">
        <v>45461</v>
      </c>
      <c r="C446" s="19">
        <v>19466.999763818909</v>
      </c>
      <c r="D446" s="42">
        <v>0</v>
      </c>
      <c r="E446" s="42">
        <v>0</v>
      </c>
      <c r="F446" s="42">
        <v>0</v>
      </c>
      <c r="G446" s="42">
        <v>0</v>
      </c>
      <c r="H446" s="42">
        <v>0</v>
      </c>
      <c r="I446" s="42">
        <v>0</v>
      </c>
      <c r="J446" s="42">
        <v>0</v>
      </c>
      <c r="K446" s="19">
        <v>0</v>
      </c>
      <c r="L446" s="42">
        <v>0</v>
      </c>
      <c r="M446" s="42">
        <v>0</v>
      </c>
      <c r="N446" s="42">
        <v>0</v>
      </c>
      <c r="O446" s="42">
        <v>0</v>
      </c>
      <c r="P446" s="41">
        <v>0</v>
      </c>
      <c r="Q446" s="42">
        <v>0</v>
      </c>
      <c r="R446" s="19">
        <v>0</v>
      </c>
      <c r="S446" s="42">
        <v>0</v>
      </c>
      <c r="T446" s="42">
        <v>0</v>
      </c>
      <c r="U446" s="19">
        <v>19466.999763818909</v>
      </c>
    </row>
    <row r="447" spans="2:21" x14ac:dyDescent="0.25">
      <c r="B447" s="4">
        <v>45462</v>
      </c>
      <c r="C447" s="19">
        <v>19466.999763818909</v>
      </c>
      <c r="D447" s="42">
        <v>0</v>
      </c>
      <c r="E447" s="42">
        <v>0</v>
      </c>
      <c r="F447" s="42">
        <v>0</v>
      </c>
      <c r="G447" s="42">
        <v>0</v>
      </c>
      <c r="H447" s="42">
        <v>0</v>
      </c>
      <c r="I447" s="42">
        <v>0</v>
      </c>
      <c r="J447" s="42">
        <v>0</v>
      </c>
      <c r="K447" s="19">
        <v>0</v>
      </c>
      <c r="L447" s="42">
        <v>0</v>
      </c>
      <c r="M447" s="42">
        <v>0</v>
      </c>
      <c r="N447" s="42">
        <v>0</v>
      </c>
      <c r="O447" s="42">
        <v>0</v>
      </c>
      <c r="P447" s="41">
        <v>0</v>
      </c>
      <c r="Q447" s="42">
        <v>0</v>
      </c>
      <c r="R447" s="19">
        <v>0</v>
      </c>
      <c r="S447" s="42">
        <v>0</v>
      </c>
      <c r="T447" s="42">
        <v>0</v>
      </c>
      <c r="U447" s="19">
        <v>19466.999763818909</v>
      </c>
    </row>
    <row r="448" spans="2:21" x14ac:dyDescent="0.25">
      <c r="B448" s="4">
        <v>45463</v>
      </c>
      <c r="C448" s="19">
        <v>19466.999763818909</v>
      </c>
      <c r="D448" s="42">
        <v>0</v>
      </c>
      <c r="E448" s="42">
        <v>0</v>
      </c>
      <c r="F448" s="42">
        <v>0</v>
      </c>
      <c r="G448" s="42">
        <v>0</v>
      </c>
      <c r="H448" s="42">
        <v>0</v>
      </c>
      <c r="I448" s="42">
        <v>0</v>
      </c>
      <c r="J448" s="42">
        <v>0</v>
      </c>
      <c r="K448" s="19">
        <v>0</v>
      </c>
      <c r="L448" s="42">
        <v>0</v>
      </c>
      <c r="M448" s="42">
        <v>0</v>
      </c>
      <c r="N448" s="42">
        <v>0</v>
      </c>
      <c r="O448" s="42">
        <v>0</v>
      </c>
      <c r="P448" s="41">
        <v>0</v>
      </c>
      <c r="Q448" s="42">
        <v>0</v>
      </c>
      <c r="R448" s="19">
        <v>0</v>
      </c>
      <c r="S448" s="42">
        <v>0</v>
      </c>
      <c r="T448" s="42">
        <v>0</v>
      </c>
      <c r="U448" s="19">
        <v>19466.999763818909</v>
      </c>
    </row>
    <row r="449" spans="2:21" x14ac:dyDescent="0.25">
      <c r="B449" s="4">
        <v>45464</v>
      </c>
      <c r="C449" s="19">
        <v>19466.999763818909</v>
      </c>
      <c r="D449" s="42">
        <v>0</v>
      </c>
      <c r="E449" s="42">
        <v>0</v>
      </c>
      <c r="F449" s="42">
        <v>0</v>
      </c>
      <c r="G449" s="42">
        <v>0</v>
      </c>
      <c r="H449" s="42">
        <v>0</v>
      </c>
      <c r="I449" s="42">
        <v>0</v>
      </c>
      <c r="J449" s="42">
        <v>0</v>
      </c>
      <c r="K449" s="19">
        <v>0</v>
      </c>
      <c r="L449" s="42">
        <v>0</v>
      </c>
      <c r="M449" s="42">
        <v>0</v>
      </c>
      <c r="N449" s="42">
        <v>0</v>
      </c>
      <c r="O449" s="42">
        <v>0</v>
      </c>
      <c r="P449" s="41">
        <v>0</v>
      </c>
      <c r="Q449" s="42">
        <v>0</v>
      </c>
      <c r="R449" s="19">
        <v>0</v>
      </c>
      <c r="S449" s="42">
        <v>0</v>
      </c>
      <c r="T449" s="42">
        <v>0</v>
      </c>
      <c r="U449" s="19">
        <v>19466.999763818909</v>
      </c>
    </row>
    <row r="450" spans="2:21" x14ac:dyDescent="0.25">
      <c r="B450" s="4">
        <v>45467</v>
      </c>
      <c r="C450" s="19">
        <v>19466.999763818909</v>
      </c>
      <c r="D450" s="42">
        <v>0</v>
      </c>
      <c r="E450" s="42">
        <v>0</v>
      </c>
      <c r="F450" s="42">
        <v>0</v>
      </c>
      <c r="G450" s="42">
        <v>0</v>
      </c>
      <c r="H450" s="42">
        <v>0</v>
      </c>
      <c r="I450" s="42">
        <v>0</v>
      </c>
      <c r="J450" s="42">
        <v>0</v>
      </c>
      <c r="K450" s="19">
        <v>0</v>
      </c>
      <c r="L450" s="42">
        <v>0</v>
      </c>
      <c r="M450" s="42">
        <v>0</v>
      </c>
      <c r="N450" s="42">
        <v>0</v>
      </c>
      <c r="O450" s="42">
        <v>0</v>
      </c>
      <c r="P450" s="41">
        <v>0</v>
      </c>
      <c r="Q450" s="42">
        <v>-196</v>
      </c>
      <c r="R450" s="19">
        <v>0</v>
      </c>
      <c r="S450" s="42">
        <v>0</v>
      </c>
      <c r="T450" s="42">
        <v>0</v>
      </c>
      <c r="U450" s="19">
        <v>19270.999763818909</v>
      </c>
    </row>
    <row r="451" spans="2:21" x14ac:dyDescent="0.25">
      <c r="B451" s="4">
        <v>45468</v>
      </c>
      <c r="C451" s="19">
        <v>19270.999763818909</v>
      </c>
      <c r="D451" s="42">
        <v>0</v>
      </c>
      <c r="E451" s="42">
        <v>0</v>
      </c>
      <c r="F451" s="42">
        <v>0</v>
      </c>
      <c r="G451" s="42">
        <v>0</v>
      </c>
      <c r="H451" s="42">
        <v>0</v>
      </c>
      <c r="I451" s="42">
        <v>0</v>
      </c>
      <c r="J451" s="42">
        <v>0</v>
      </c>
      <c r="K451" s="19">
        <v>0</v>
      </c>
      <c r="L451" s="42">
        <v>0</v>
      </c>
      <c r="M451" s="42">
        <v>0</v>
      </c>
      <c r="N451" s="42">
        <v>0</v>
      </c>
      <c r="O451" s="42">
        <v>0</v>
      </c>
      <c r="P451" s="41">
        <v>0</v>
      </c>
      <c r="Q451" s="42">
        <v>0</v>
      </c>
      <c r="R451" s="19">
        <v>0</v>
      </c>
      <c r="S451" s="42">
        <v>0</v>
      </c>
      <c r="T451" s="42">
        <v>0</v>
      </c>
      <c r="U451" s="19">
        <v>19270.999763818909</v>
      </c>
    </row>
    <row r="452" spans="2:21" x14ac:dyDescent="0.25">
      <c r="B452" s="4">
        <v>45469</v>
      </c>
      <c r="C452" s="19">
        <v>19270.999763818909</v>
      </c>
      <c r="D452" s="42">
        <v>0</v>
      </c>
      <c r="E452" s="42">
        <v>0</v>
      </c>
      <c r="F452" s="42">
        <v>0</v>
      </c>
      <c r="G452" s="42">
        <v>0</v>
      </c>
      <c r="H452" s="42">
        <v>0</v>
      </c>
      <c r="I452" s="42">
        <v>0</v>
      </c>
      <c r="J452" s="42">
        <v>0</v>
      </c>
      <c r="K452" s="19">
        <v>0</v>
      </c>
      <c r="L452" s="42">
        <v>0</v>
      </c>
      <c r="M452" s="42">
        <v>0</v>
      </c>
      <c r="N452" s="42">
        <v>0</v>
      </c>
      <c r="O452" s="42">
        <v>0</v>
      </c>
      <c r="P452" s="41">
        <v>0</v>
      </c>
      <c r="Q452" s="42">
        <v>0</v>
      </c>
      <c r="R452" s="19">
        <v>0</v>
      </c>
      <c r="S452" s="42">
        <v>0</v>
      </c>
      <c r="T452" s="42">
        <v>0</v>
      </c>
      <c r="U452" s="19">
        <v>19270.999763818909</v>
      </c>
    </row>
    <row r="453" spans="2:21" x14ac:dyDescent="0.25">
      <c r="B453" s="4">
        <v>45470</v>
      </c>
      <c r="C453" s="19">
        <v>19270.999763818909</v>
      </c>
      <c r="D453" s="42">
        <v>0</v>
      </c>
      <c r="E453" s="42">
        <v>0</v>
      </c>
      <c r="F453" s="42">
        <v>0</v>
      </c>
      <c r="G453" s="42">
        <v>0</v>
      </c>
      <c r="H453" s="42">
        <v>0</v>
      </c>
      <c r="I453" s="42">
        <v>0</v>
      </c>
      <c r="J453" s="42">
        <v>0</v>
      </c>
      <c r="K453" s="19">
        <v>0</v>
      </c>
      <c r="L453" s="42">
        <v>0</v>
      </c>
      <c r="M453" s="42">
        <v>0</v>
      </c>
      <c r="N453" s="42">
        <v>0</v>
      </c>
      <c r="O453" s="42">
        <v>0</v>
      </c>
      <c r="P453" s="41">
        <v>0</v>
      </c>
      <c r="Q453" s="42">
        <v>0</v>
      </c>
      <c r="R453" s="19">
        <v>0</v>
      </c>
      <c r="S453" s="42">
        <v>0</v>
      </c>
      <c r="T453" s="42">
        <v>0</v>
      </c>
      <c r="U453" s="19">
        <v>19270.999763818909</v>
      </c>
    </row>
    <row r="454" spans="2:21" x14ac:dyDescent="0.25">
      <c r="B454" s="4">
        <v>45471</v>
      </c>
      <c r="C454" s="19">
        <v>19270.999763818909</v>
      </c>
      <c r="D454" s="42">
        <v>0</v>
      </c>
      <c r="E454" s="42">
        <v>0</v>
      </c>
      <c r="F454" s="42">
        <v>0</v>
      </c>
      <c r="G454" s="42">
        <v>0</v>
      </c>
      <c r="H454" s="42">
        <v>0</v>
      </c>
      <c r="I454" s="42">
        <v>0</v>
      </c>
      <c r="J454" s="42">
        <v>0</v>
      </c>
      <c r="K454" s="19">
        <v>0</v>
      </c>
      <c r="L454" s="42">
        <v>0</v>
      </c>
      <c r="M454" s="42">
        <v>0</v>
      </c>
      <c r="N454" s="42">
        <v>0</v>
      </c>
      <c r="O454" s="42">
        <v>0</v>
      </c>
      <c r="P454" s="41">
        <v>0</v>
      </c>
      <c r="Q454" s="42">
        <v>0</v>
      </c>
      <c r="R454" s="19">
        <v>0</v>
      </c>
      <c r="S454" s="42">
        <v>0</v>
      </c>
      <c r="T454" s="42">
        <v>0</v>
      </c>
      <c r="U454" s="19">
        <v>19270.999763818909</v>
      </c>
    </row>
    <row r="455" spans="2:21" x14ac:dyDescent="0.25">
      <c r="B455" s="4">
        <v>45474</v>
      </c>
      <c r="C455" s="19">
        <v>19270.999763818909</v>
      </c>
      <c r="D455" s="42">
        <v>0</v>
      </c>
      <c r="E455" s="42">
        <v>0</v>
      </c>
      <c r="F455" s="42">
        <v>0</v>
      </c>
      <c r="G455" s="42">
        <v>0</v>
      </c>
      <c r="H455" s="42">
        <v>0</v>
      </c>
      <c r="I455" s="42">
        <v>0</v>
      </c>
      <c r="J455" s="42">
        <v>0</v>
      </c>
      <c r="K455" s="19">
        <v>0</v>
      </c>
      <c r="L455" s="42">
        <v>0</v>
      </c>
      <c r="M455" s="42">
        <v>0</v>
      </c>
      <c r="N455" s="42">
        <v>0</v>
      </c>
      <c r="O455" s="42">
        <v>0</v>
      </c>
      <c r="P455" s="41">
        <v>0</v>
      </c>
      <c r="Q455" s="42">
        <v>0</v>
      </c>
      <c r="R455" s="19">
        <v>0</v>
      </c>
      <c r="S455" s="42">
        <v>0</v>
      </c>
      <c r="T455" s="42">
        <v>0</v>
      </c>
      <c r="U455" s="19">
        <v>19270.999763818909</v>
      </c>
    </row>
    <row r="456" spans="2:21" x14ac:dyDescent="0.25">
      <c r="B456" s="4">
        <v>45475</v>
      </c>
      <c r="C456" s="19">
        <v>19270.999763818909</v>
      </c>
      <c r="D456" s="42">
        <v>0</v>
      </c>
      <c r="E456" s="42">
        <v>0</v>
      </c>
      <c r="F456" s="42">
        <v>0</v>
      </c>
      <c r="G456" s="42">
        <v>0</v>
      </c>
      <c r="H456" s="42">
        <v>0</v>
      </c>
      <c r="I456" s="42">
        <v>0</v>
      </c>
      <c r="J456" s="42">
        <v>0</v>
      </c>
      <c r="K456" s="19">
        <v>0</v>
      </c>
      <c r="L456" s="42">
        <v>0</v>
      </c>
      <c r="M456" s="42">
        <v>0</v>
      </c>
      <c r="N456" s="42">
        <v>0</v>
      </c>
      <c r="O456" s="42">
        <v>0</v>
      </c>
      <c r="P456" s="41">
        <v>0</v>
      </c>
      <c r="Q456" s="42">
        <v>0</v>
      </c>
      <c r="R456" s="19">
        <v>0</v>
      </c>
      <c r="S456" s="42">
        <v>0</v>
      </c>
      <c r="T456" s="42">
        <v>0</v>
      </c>
      <c r="U456" s="19">
        <v>19270.999763818909</v>
      </c>
    </row>
    <row r="457" spans="2:21" x14ac:dyDescent="0.25">
      <c r="B457" s="4">
        <v>45476</v>
      </c>
      <c r="C457" s="19">
        <v>19270.999763818909</v>
      </c>
      <c r="D457" s="42">
        <v>0</v>
      </c>
      <c r="E457" s="42">
        <v>0</v>
      </c>
      <c r="F457" s="42">
        <v>0</v>
      </c>
      <c r="G457" s="42">
        <v>0</v>
      </c>
      <c r="H457" s="42">
        <v>0</v>
      </c>
      <c r="I457" s="42">
        <v>0</v>
      </c>
      <c r="J457" s="42">
        <v>0</v>
      </c>
      <c r="K457" s="19">
        <v>0</v>
      </c>
      <c r="L457" s="42">
        <v>0</v>
      </c>
      <c r="M457" s="42">
        <v>0</v>
      </c>
      <c r="N457" s="42">
        <v>0</v>
      </c>
      <c r="O457" s="42">
        <v>0</v>
      </c>
      <c r="P457" s="41">
        <v>0</v>
      </c>
      <c r="Q457" s="42">
        <v>0</v>
      </c>
      <c r="R457" s="19">
        <v>0</v>
      </c>
      <c r="S457" s="42">
        <v>0</v>
      </c>
      <c r="T457" s="42">
        <v>0</v>
      </c>
      <c r="U457" s="19">
        <v>19270.999763818909</v>
      </c>
    </row>
    <row r="458" spans="2:21" x14ac:dyDescent="0.25">
      <c r="B458" s="4">
        <v>45477</v>
      </c>
      <c r="C458" s="19">
        <v>19270.999763818909</v>
      </c>
      <c r="D458" s="42">
        <v>0</v>
      </c>
      <c r="E458" s="42">
        <v>0</v>
      </c>
      <c r="F458" s="42">
        <v>0</v>
      </c>
      <c r="G458" s="42">
        <v>0</v>
      </c>
      <c r="H458" s="42">
        <v>0</v>
      </c>
      <c r="I458" s="42">
        <v>0</v>
      </c>
      <c r="J458" s="42">
        <v>0</v>
      </c>
      <c r="K458" s="19">
        <v>0</v>
      </c>
      <c r="L458" s="42">
        <v>0</v>
      </c>
      <c r="M458" s="42">
        <v>0</v>
      </c>
      <c r="N458" s="42">
        <v>0</v>
      </c>
      <c r="O458" s="42">
        <v>0</v>
      </c>
      <c r="P458" s="41">
        <v>0</v>
      </c>
      <c r="Q458" s="42">
        <v>0</v>
      </c>
      <c r="R458" s="19">
        <v>0</v>
      </c>
      <c r="S458" s="42">
        <v>0</v>
      </c>
      <c r="T458" s="42">
        <v>0</v>
      </c>
      <c r="U458" s="19">
        <v>19270.999763818909</v>
      </c>
    </row>
    <row r="459" spans="2:21" x14ac:dyDescent="0.25">
      <c r="B459" s="4">
        <v>45478</v>
      </c>
      <c r="C459" s="19">
        <v>19270.999763818909</v>
      </c>
      <c r="D459" s="42">
        <v>-24499.6820117774</v>
      </c>
      <c r="E459" s="42">
        <v>0</v>
      </c>
      <c r="F459" s="42">
        <v>0</v>
      </c>
      <c r="G459" s="42">
        <v>0</v>
      </c>
      <c r="H459" s="42">
        <v>0</v>
      </c>
      <c r="I459" s="42">
        <v>0</v>
      </c>
      <c r="J459" s="42">
        <v>0</v>
      </c>
      <c r="K459" s="19">
        <v>0</v>
      </c>
      <c r="L459" s="42">
        <v>0</v>
      </c>
      <c r="M459" s="42">
        <v>0</v>
      </c>
      <c r="N459" s="42">
        <v>0</v>
      </c>
      <c r="O459" s="42">
        <v>0</v>
      </c>
      <c r="P459" s="41">
        <v>0</v>
      </c>
      <c r="Q459" s="42">
        <v>0</v>
      </c>
      <c r="R459" s="19">
        <v>0</v>
      </c>
      <c r="S459" s="42">
        <v>26000</v>
      </c>
      <c r="T459" s="42">
        <v>0</v>
      </c>
      <c r="U459" s="19">
        <v>20771.317752041508</v>
      </c>
    </row>
    <row r="460" spans="2:21" x14ac:dyDescent="0.25">
      <c r="B460" s="4">
        <v>45481</v>
      </c>
      <c r="C460" s="19">
        <v>20771.317752041508</v>
      </c>
      <c r="D460" s="42">
        <v>0</v>
      </c>
      <c r="E460" s="42">
        <v>0</v>
      </c>
      <c r="F460" s="42">
        <v>0</v>
      </c>
      <c r="G460" s="42">
        <v>0</v>
      </c>
      <c r="H460" s="42">
        <v>0</v>
      </c>
      <c r="I460" s="42">
        <v>0</v>
      </c>
      <c r="J460" s="42">
        <v>0</v>
      </c>
      <c r="K460" s="19">
        <v>0</v>
      </c>
      <c r="L460" s="42">
        <v>0</v>
      </c>
      <c r="M460" s="42">
        <v>0</v>
      </c>
      <c r="N460" s="42">
        <v>0</v>
      </c>
      <c r="O460" s="42">
        <v>0</v>
      </c>
      <c r="P460" s="41">
        <v>0</v>
      </c>
      <c r="Q460" s="42">
        <v>0</v>
      </c>
      <c r="R460" s="19">
        <v>0</v>
      </c>
      <c r="S460" s="42">
        <v>0</v>
      </c>
      <c r="T460" s="42">
        <v>0</v>
      </c>
      <c r="U460" s="19">
        <v>20771.317752041508</v>
      </c>
    </row>
    <row r="461" spans="2:21" x14ac:dyDescent="0.25">
      <c r="B461" s="4">
        <v>45482</v>
      </c>
      <c r="C461" s="19">
        <v>20771.317752041508</v>
      </c>
      <c r="D461" s="42">
        <v>0</v>
      </c>
      <c r="E461" s="42">
        <v>0</v>
      </c>
      <c r="F461" s="42">
        <v>0</v>
      </c>
      <c r="G461" s="42">
        <v>0</v>
      </c>
      <c r="H461" s="42">
        <v>0</v>
      </c>
      <c r="I461" s="42">
        <v>0</v>
      </c>
      <c r="J461" s="42">
        <v>0</v>
      </c>
      <c r="K461" s="19">
        <v>0</v>
      </c>
      <c r="L461" s="42">
        <v>0</v>
      </c>
      <c r="M461" s="42">
        <v>0</v>
      </c>
      <c r="N461" s="42">
        <v>0</v>
      </c>
      <c r="O461" s="42">
        <v>0</v>
      </c>
      <c r="P461" s="41">
        <v>0</v>
      </c>
      <c r="Q461" s="42">
        <v>0</v>
      </c>
      <c r="R461" s="19">
        <v>0</v>
      </c>
      <c r="S461" s="42">
        <v>0</v>
      </c>
      <c r="T461" s="42">
        <v>0</v>
      </c>
      <c r="U461" s="19">
        <v>20771.317752041508</v>
      </c>
    </row>
    <row r="462" spans="2:21" x14ac:dyDescent="0.25">
      <c r="B462" s="4">
        <v>45483</v>
      </c>
      <c r="C462" s="19">
        <v>20771.317752041508</v>
      </c>
      <c r="D462" s="42">
        <v>0</v>
      </c>
      <c r="E462" s="42">
        <v>0</v>
      </c>
      <c r="F462" s="42">
        <v>0</v>
      </c>
      <c r="G462" s="42">
        <v>0</v>
      </c>
      <c r="H462" s="42">
        <v>0</v>
      </c>
      <c r="I462" s="42">
        <v>0</v>
      </c>
      <c r="J462" s="42">
        <v>0</v>
      </c>
      <c r="K462" s="19">
        <v>0</v>
      </c>
      <c r="L462" s="42">
        <v>0</v>
      </c>
      <c r="M462" s="42">
        <v>0</v>
      </c>
      <c r="N462" s="42">
        <v>0</v>
      </c>
      <c r="O462" s="42">
        <v>0</v>
      </c>
      <c r="P462" s="41">
        <v>0</v>
      </c>
      <c r="Q462" s="42">
        <v>0</v>
      </c>
      <c r="R462" s="19">
        <v>0</v>
      </c>
      <c r="S462" s="42">
        <v>0</v>
      </c>
      <c r="T462" s="42">
        <v>0</v>
      </c>
      <c r="U462" s="19">
        <v>20771.317752041508</v>
      </c>
    </row>
    <row r="463" spans="2:21" x14ac:dyDescent="0.25">
      <c r="B463" s="4">
        <f>WORKDAY($B462,1,Feriados!$A$2:$A$842)</f>
        <v>45484</v>
      </c>
      <c r="C463" s="19">
        <f t="shared" ref="C463" si="0">U462</f>
        <v>20771.317752041508</v>
      </c>
      <c r="D463" s="42">
        <v>0</v>
      </c>
      <c r="E463" s="42">
        <v>0</v>
      </c>
      <c r="F463" s="42">
        <v>0</v>
      </c>
      <c r="G463" s="42">
        <v>0</v>
      </c>
      <c r="H463" s="42">
        <v>0</v>
      </c>
      <c r="I463" s="42">
        <v>0</v>
      </c>
      <c r="J463" s="42">
        <v>0</v>
      </c>
      <c r="K463" s="19">
        <f>-Resumo_Master!N459</f>
        <v>0</v>
      </c>
      <c r="L463" s="42">
        <v>0</v>
      </c>
      <c r="M463" s="42">
        <v>0</v>
      </c>
      <c r="N463" s="42">
        <v>0</v>
      </c>
      <c r="O463" s="42">
        <v>0</v>
      </c>
      <c r="P463" s="41">
        <v>0</v>
      </c>
      <c r="Q463" s="42">
        <v>0</v>
      </c>
      <c r="R463" s="19">
        <f>SUMIFS([1]FIC!$J$2:$J$1000,[1]FIC!$G$2:$G$1000,"="&amp;B463)</f>
        <v>0</v>
      </c>
      <c r="S463" s="42">
        <v>0</v>
      </c>
      <c r="T463" s="42">
        <v>0</v>
      </c>
      <c r="U463" s="19">
        <f t="shared" ref="U463" si="1">SUM(C463:T463)</f>
        <v>20771.317752041508</v>
      </c>
    </row>
    <row r="464" spans="2:21" x14ac:dyDescent="0.25">
      <c r="B464" s="4">
        <f>WORKDAY($B463,1,Feriados!$A$2:$A$842)</f>
        <v>45485</v>
      </c>
      <c r="C464" s="19">
        <f t="shared" ref="C464:C465" si="2">U463</f>
        <v>20771.317752041508</v>
      </c>
      <c r="D464" s="42">
        <v>0</v>
      </c>
      <c r="E464" s="42">
        <v>0</v>
      </c>
      <c r="F464" s="42">
        <v>0</v>
      </c>
      <c r="G464" s="42">
        <v>0</v>
      </c>
      <c r="H464" s="42">
        <v>0</v>
      </c>
      <c r="I464" s="42">
        <v>0</v>
      </c>
      <c r="J464" s="42">
        <v>0</v>
      </c>
      <c r="K464" s="19">
        <f>-Resumo_Master!N460</f>
        <v>0</v>
      </c>
      <c r="L464" s="42">
        <v>0</v>
      </c>
      <c r="M464" s="42">
        <v>0</v>
      </c>
      <c r="N464" s="42">
        <v>0</v>
      </c>
      <c r="O464" s="42">
        <v>0</v>
      </c>
      <c r="P464" s="41">
        <v>0</v>
      </c>
      <c r="Q464" s="42">
        <v>-614.66</v>
      </c>
      <c r="R464" s="19">
        <f>SUMIFS([1]FIC!$J$2:$J$1000,[1]FIC!$G$2:$G$1000,"="&amp;B464)</f>
        <v>0</v>
      </c>
      <c r="S464" s="42">
        <v>0</v>
      </c>
      <c r="T464" s="42">
        <v>0</v>
      </c>
      <c r="U464" s="19">
        <f t="shared" ref="U464:U465" si="3">SUM(C464:T464)</f>
        <v>20156.657752041509</v>
      </c>
    </row>
    <row r="465" spans="2:21" x14ac:dyDescent="0.25">
      <c r="B465" s="4">
        <f>WORKDAY($B464,1,Feriados!$A$2:$A$842)</f>
        <v>45488</v>
      </c>
      <c r="C465" s="19">
        <f t="shared" si="2"/>
        <v>20156.657752041509</v>
      </c>
      <c r="D465" s="42">
        <v>0</v>
      </c>
      <c r="E465" s="42">
        <v>0</v>
      </c>
      <c r="F465" s="42">
        <v>0</v>
      </c>
      <c r="G465" s="42">
        <v>0</v>
      </c>
      <c r="H465" s="42">
        <v>0</v>
      </c>
      <c r="I465" s="42">
        <v>0</v>
      </c>
      <c r="J465" s="42">
        <v>0</v>
      </c>
      <c r="K465" s="19">
        <f>-Resumo_Master!N461</f>
        <v>0</v>
      </c>
      <c r="L465" s="42">
        <v>0</v>
      </c>
      <c r="M465" s="42">
        <v>0</v>
      </c>
      <c r="N465" s="42">
        <v>0</v>
      </c>
      <c r="O465" s="42">
        <v>0</v>
      </c>
      <c r="P465" s="41">
        <v>0</v>
      </c>
      <c r="Q465" s="42">
        <v>0</v>
      </c>
      <c r="R465" s="19">
        <f>SUMIFS([1]FIC!$J$2:$J$1000,[1]FIC!$G$2:$G$1000,"="&amp;B465)</f>
        <v>0</v>
      </c>
      <c r="S465" s="42">
        <v>0</v>
      </c>
      <c r="T465" s="42">
        <v>0</v>
      </c>
      <c r="U465" s="19">
        <f t="shared" si="3"/>
        <v>20156.657752041509</v>
      </c>
    </row>
    <row r="466" spans="2:21" x14ac:dyDescent="0.25">
      <c r="B466" s="4">
        <f>WORKDAY($B465,1,Feriados!$A$2:$A$842)</f>
        <v>45489</v>
      </c>
      <c r="C466" s="19">
        <f t="shared" ref="C466" si="4">U465</f>
        <v>20156.657752041509</v>
      </c>
      <c r="D466" s="42">
        <v>0</v>
      </c>
      <c r="E466" s="42">
        <v>0</v>
      </c>
      <c r="F466" s="42">
        <v>0</v>
      </c>
      <c r="G466" s="42">
        <v>0</v>
      </c>
      <c r="H466" s="42">
        <v>0</v>
      </c>
      <c r="I466" s="42">
        <v>0</v>
      </c>
      <c r="J466" s="42">
        <v>0</v>
      </c>
      <c r="K466" s="19">
        <f>-Resumo_Master!N462</f>
        <v>0</v>
      </c>
      <c r="L466" s="42">
        <v>0</v>
      </c>
      <c r="M466" s="42">
        <v>0</v>
      </c>
      <c r="N466" s="42">
        <v>0</v>
      </c>
      <c r="O466" s="42">
        <v>0</v>
      </c>
      <c r="P466" s="41">
        <v>0</v>
      </c>
      <c r="Q466" s="42">
        <v>0</v>
      </c>
      <c r="R466" s="19">
        <f>SUMIFS([1]FIC!$J$2:$J$1000,[1]FIC!$G$2:$G$1000,"="&amp;B466)</f>
        <v>0</v>
      </c>
      <c r="S466" s="42">
        <v>0</v>
      </c>
      <c r="T466" s="42">
        <v>0</v>
      </c>
      <c r="U466" s="19">
        <f t="shared" ref="U466" si="5">SUM(C466:T466)</f>
        <v>20156.657752041509</v>
      </c>
    </row>
    <row r="467" spans="2:21" x14ac:dyDescent="0.25">
      <c r="B467" s="4">
        <f>WORKDAY($B466,1,Feriados!$A$2:$A$842)</f>
        <v>45490</v>
      </c>
      <c r="C467" s="19">
        <f t="shared" ref="C467" si="6">U466</f>
        <v>20156.657752041509</v>
      </c>
      <c r="D467" s="42">
        <v>0</v>
      </c>
      <c r="E467" s="42">
        <v>0</v>
      </c>
      <c r="F467" s="42">
        <v>0</v>
      </c>
      <c r="G467" s="42">
        <v>0</v>
      </c>
      <c r="H467" s="42">
        <v>0</v>
      </c>
      <c r="I467" s="42">
        <v>0</v>
      </c>
      <c r="J467" s="42">
        <v>0</v>
      </c>
      <c r="K467" s="19">
        <f>-Resumo_Master!N463</f>
        <v>0</v>
      </c>
      <c r="L467" s="42">
        <v>0</v>
      </c>
      <c r="M467" s="42">
        <v>0</v>
      </c>
      <c r="N467" s="42">
        <v>0</v>
      </c>
      <c r="O467" s="42">
        <v>0</v>
      </c>
      <c r="P467" s="41">
        <v>0</v>
      </c>
      <c r="Q467" s="42">
        <v>0</v>
      </c>
      <c r="R467" s="19">
        <f>SUMIFS([1]FIC!$J$2:$J$1000,[1]FIC!$G$2:$G$1000,"="&amp;B467)</f>
        <v>0</v>
      </c>
      <c r="S467" s="42">
        <v>0</v>
      </c>
      <c r="T467" s="42">
        <v>0</v>
      </c>
      <c r="U467" s="19">
        <f t="shared" ref="U467" si="7">SUM(C467:T467)</f>
        <v>20156.657752041509</v>
      </c>
    </row>
    <row r="468" spans="2:21" x14ac:dyDescent="0.25">
      <c r="B468" s="4">
        <f>WORKDAY($B467,1,Feriados!$A$2:$A$842)</f>
        <v>45491</v>
      </c>
      <c r="C468" s="19">
        <f t="shared" ref="C468" si="8">U467</f>
        <v>20156.657752041509</v>
      </c>
      <c r="D468" s="42">
        <v>0</v>
      </c>
      <c r="E468" s="42">
        <v>0</v>
      </c>
      <c r="F468" s="42">
        <v>0</v>
      </c>
      <c r="G468" s="42">
        <v>0</v>
      </c>
      <c r="H468" s="42">
        <v>0</v>
      </c>
      <c r="I468" s="42">
        <v>0</v>
      </c>
      <c r="J468" s="42">
        <v>0</v>
      </c>
      <c r="K468" s="19">
        <f>-Resumo_Master!N464</f>
        <v>0</v>
      </c>
      <c r="L468" s="42">
        <v>0</v>
      </c>
      <c r="M468" s="42">
        <v>0</v>
      </c>
      <c r="N468" s="42">
        <v>0</v>
      </c>
      <c r="O468" s="42">
        <v>0</v>
      </c>
      <c r="P468" s="41">
        <v>0</v>
      </c>
      <c r="Q468" s="42">
        <v>0</v>
      </c>
      <c r="R468" s="19">
        <f>SUMIFS([1]FIC!$J$2:$J$1000,[1]FIC!$G$2:$G$1000,"="&amp;B468)</f>
        <v>0</v>
      </c>
      <c r="S468" s="42">
        <v>0</v>
      </c>
      <c r="T468" s="42">
        <v>0</v>
      </c>
      <c r="U468" s="19">
        <f t="shared" ref="U468" si="9">SUM(C468:T468)</f>
        <v>20156.657752041509</v>
      </c>
    </row>
    <row r="469" spans="2:21" x14ac:dyDescent="0.25">
      <c r="B469" s="4">
        <f>WORKDAY($B468,1,Feriados!$A$2:$A$842)</f>
        <v>45492</v>
      </c>
      <c r="C469" s="19">
        <f t="shared" ref="C469" si="10">U468</f>
        <v>20156.657752041509</v>
      </c>
      <c r="D469" s="42">
        <v>0</v>
      </c>
      <c r="E469" s="42">
        <v>0</v>
      </c>
      <c r="F469" s="42">
        <v>0</v>
      </c>
      <c r="G469" s="42">
        <v>0</v>
      </c>
      <c r="H469" s="42">
        <v>0</v>
      </c>
      <c r="I469" s="42">
        <v>0</v>
      </c>
      <c r="J469" s="42">
        <v>0</v>
      </c>
      <c r="K469" s="19">
        <f>-Resumo_Master!N465</f>
        <v>0</v>
      </c>
      <c r="L469" s="42">
        <v>0</v>
      </c>
      <c r="M469" s="42">
        <v>0</v>
      </c>
      <c r="N469" s="42">
        <v>0</v>
      </c>
      <c r="O469" s="42">
        <v>0</v>
      </c>
      <c r="P469" s="41">
        <v>0</v>
      </c>
      <c r="Q469" s="42">
        <v>0</v>
      </c>
      <c r="R469" s="19">
        <f>SUMIFS([1]FIC!$J$2:$J$1000,[1]FIC!$G$2:$G$1000,"="&amp;B469)</f>
        <v>0</v>
      </c>
      <c r="S469" s="42">
        <v>0</v>
      </c>
      <c r="T469" s="42">
        <v>0</v>
      </c>
      <c r="U469" s="19">
        <f t="shared" ref="U469" si="11">SUM(C469:T469)</f>
        <v>20156.657752041509</v>
      </c>
    </row>
    <row r="470" spans="2:21" x14ac:dyDescent="0.25">
      <c r="B470" s="4">
        <f>WORKDAY($B469,1,Feriados!$A$2:$A$842)</f>
        <v>45495</v>
      </c>
      <c r="C470" s="19">
        <f t="shared" ref="C470" si="12">U469</f>
        <v>20156.657752041509</v>
      </c>
      <c r="D470" s="42">
        <v>0</v>
      </c>
      <c r="E470" s="42">
        <v>0</v>
      </c>
      <c r="F470" s="42">
        <v>0</v>
      </c>
      <c r="G470" s="42">
        <v>0</v>
      </c>
      <c r="H470" s="42">
        <v>0</v>
      </c>
      <c r="I470" s="42">
        <v>0</v>
      </c>
      <c r="J470" s="42">
        <v>0</v>
      </c>
      <c r="K470" s="19">
        <f>-Resumo_Master!N466</f>
        <v>0</v>
      </c>
      <c r="L470" s="42">
        <v>0</v>
      </c>
      <c r="M470" s="42">
        <v>0</v>
      </c>
      <c r="N470" s="42">
        <v>0</v>
      </c>
      <c r="O470" s="42">
        <v>0</v>
      </c>
      <c r="P470" s="41">
        <v>0</v>
      </c>
      <c r="Q470" s="42">
        <v>0</v>
      </c>
      <c r="R470" s="19">
        <f>SUMIFS([1]FIC!$J$2:$J$1000,[1]FIC!$G$2:$G$1000,"="&amp;B470)</f>
        <v>0</v>
      </c>
      <c r="S470" s="42">
        <v>0</v>
      </c>
      <c r="T470" s="42">
        <v>0</v>
      </c>
      <c r="U470" s="19">
        <f t="shared" ref="U470" si="13">SUM(C470:T470)</f>
        <v>20156.657752041509</v>
      </c>
    </row>
    <row r="471" spans="2:21" x14ac:dyDescent="0.25">
      <c r="B471" s="4">
        <f>WORKDAY($B470,1,Feriados!$A$2:$A$842)</f>
        <v>45496</v>
      </c>
      <c r="C471" s="19">
        <f t="shared" ref="C471" si="14">U470</f>
        <v>20156.657752041509</v>
      </c>
      <c r="D471" s="42">
        <v>0</v>
      </c>
      <c r="E471" s="42">
        <v>0</v>
      </c>
      <c r="F471" s="42">
        <v>0</v>
      </c>
      <c r="G471" s="42">
        <v>0</v>
      </c>
      <c r="H471" s="42">
        <v>0</v>
      </c>
      <c r="I471" s="42">
        <v>0</v>
      </c>
      <c r="J471" s="42">
        <v>0</v>
      </c>
      <c r="K471" s="19">
        <f>-Resumo_Master!N467</f>
        <v>0</v>
      </c>
      <c r="L471" s="42">
        <v>0</v>
      </c>
      <c r="M471" s="42">
        <v>0</v>
      </c>
      <c r="N471" s="42">
        <v>0</v>
      </c>
      <c r="O471" s="42">
        <v>0</v>
      </c>
      <c r="P471" s="41">
        <v>0</v>
      </c>
      <c r="Q471" s="42">
        <v>0</v>
      </c>
      <c r="R471" s="19">
        <f>SUMIFS([1]FIC!$J$2:$J$1000,[1]FIC!$G$2:$G$1000,"="&amp;B471)</f>
        <v>0</v>
      </c>
      <c r="S471" s="42">
        <v>0</v>
      </c>
      <c r="T471" s="42">
        <v>0</v>
      </c>
      <c r="U471" s="19">
        <f t="shared" ref="U471" si="15">SUM(C471:T471)</f>
        <v>20156.657752041509</v>
      </c>
    </row>
    <row r="472" spans="2:21" x14ac:dyDescent="0.25">
      <c r="B472" s="4">
        <f>WORKDAY($B471,1,Feriados!$A$2:$A$842)</f>
        <v>45497</v>
      </c>
      <c r="C472" s="19">
        <f t="shared" ref="C472" si="16">U471</f>
        <v>20156.657752041509</v>
      </c>
      <c r="D472" s="42">
        <v>0</v>
      </c>
      <c r="E472" s="42">
        <v>0</v>
      </c>
      <c r="F472" s="42">
        <v>0</v>
      </c>
      <c r="G472" s="42">
        <v>0</v>
      </c>
      <c r="H472" s="42">
        <v>0</v>
      </c>
      <c r="I472" s="42">
        <v>0</v>
      </c>
      <c r="J472" s="42">
        <v>0</v>
      </c>
      <c r="K472" s="19">
        <f>-Resumo_Master!N468</f>
        <v>0</v>
      </c>
      <c r="L472" s="42">
        <v>0</v>
      </c>
      <c r="M472" s="42">
        <v>0</v>
      </c>
      <c r="N472" s="42">
        <v>0</v>
      </c>
      <c r="O472" s="42">
        <v>0</v>
      </c>
      <c r="P472" s="41">
        <v>0</v>
      </c>
      <c r="Q472" s="42">
        <v>0</v>
      </c>
      <c r="R472" s="19">
        <f>SUMIFS([1]FIC!$J$2:$J$1000,[1]FIC!$G$2:$G$1000,"="&amp;B472)</f>
        <v>0</v>
      </c>
      <c r="S472" s="42">
        <v>0</v>
      </c>
      <c r="T472" s="42">
        <v>0</v>
      </c>
      <c r="U472" s="19">
        <f t="shared" ref="U472" si="17">SUM(C472:T472)</f>
        <v>20156.657752041509</v>
      </c>
    </row>
    <row r="473" spans="2:21" x14ac:dyDescent="0.25">
      <c r="B473" s="4">
        <f>WORKDAY($B472,1,Feriados!$A$2:$A$842)</f>
        <v>45498</v>
      </c>
      <c r="C473" s="19">
        <f t="shared" ref="C473" si="18">U472</f>
        <v>20156.657752041509</v>
      </c>
      <c r="D473" s="42">
        <v>0</v>
      </c>
      <c r="E473" s="42">
        <v>0</v>
      </c>
      <c r="F473" s="42">
        <v>0</v>
      </c>
      <c r="G473" s="42">
        <v>0</v>
      </c>
      <c r="H473" s="42">
        <v>0</v>
      </c>
      <c r="I473" s="42">
        <v>0</v>
      </c>
      <c r="J473" s="42">
        <v>0</v>
      </c>
      <c r="K473" s="19">
        <f>-Resumo_Master!N469</f>
        <v>0</v>
      </c>
      <c r="L473" s="42">
        <v>0</v>
      </c>
      <c r="M473" s="42">
        <v>0</v>
      </c>
      <c r="N473" s="42">
        <v>0</v>
      </c>
      <c r="O473" s="42">
        <v>0</v>
      </c>
      <c r="P473" s="41">
        <v>0</v>
      </c>
      <c r="Q473" s="42">
        <v>0.1</v>
      </c>
      <c r="R473" s="19">
        <f>SUMIFS([1]FIC!$J$2:$J$1000,[1]FIC!$G$2:$G$1000,"="&amp;B473)</f>
        <v>0</v>
      </c>
      <c r="S473" s="42">
        <v>0</v>
      </c>
      <c r="T473" s="42">
        <v>0</v>
      </c>
      <c r="U473" s="19">
        <f t="shared" ref="U473" si="19">SUM(C473:T473)</f>
        <v>20156.757752041507</v>
      </c>
    </row>
    <row r="474" spans="2:21" x14ac:dyDescent="0.25">
      <c r="B474" s="4">
        <f>WORKDAY($B473,1,Feriados!$A$2:$A$842)</f>
        <v>45499</v>
      </c>
      <c r="C474" s="19">
        <f t="shared" ref="C474" si="20">U473</f>
        <v>20156.757752041507</v>
      </c>
      <c r="D474" s="42">
        <v>0</v>
      </c>
      <c r="E474" s="42">
        <v>0</v>
      </c>
      <c r="F474" s="42">
        <v>0</v>
      </c>
      <c r="G474" s="42">
        <v>0</v>
      </c>
      <c r="H474" s="42">
        <v>0</v>
      </c>
      <c r="I474" s="42">
        <v>0</v>
      </c>
      <c r="J474" s="42">
        <v>0</v>
      </c>
      <c r="K474" s="19">
        <f>-Resumo_Master!N470</f>
        <v>0</v>
      </c>
      <c r="L474" s="42">
        <v>0</v>
      </c>
      <c r="M474" s="42">
        <v>0</v>
      </c>
      <c r="N474" s="42">
        <v>0</v>
      </c>
      <c r="O474" s="42">
        <v>0</v>
      </c>
      <c r="P474" s="41">
        <v>0</v>
      </c>
      <c r="Q474" s="41">
        <v>0</v>
      </c>
      <c r="R474" s="19">
        <f>SUMIFS([1]FIC!$J$2:$J$1000,[1]FIC!$G$2:$G$1000,"="&amp;B474)</f>
        <v>0</v>
      </c>
      <c r="S474" s="42">
        <v>0</v>
      </c>
      <c r="T474" s="42">
        <v>0</v>
      </c>
      <c r="U474" s="19">
        <f t="shared" ref="U474" si="21">SUM(C474:T474)</f>
        <v>20156.757752041507</v>
      </c>
    </row>
    <row r="475" spans="2:21" x14ac:dyDescent="0.25">
      <c r="B475" s="4">
        <f>WORKDAY($B474,1,Feriados!$A$2:$A$842)</f>
        <v>45502</v>
      </c>
      <c r="C475" s="19">
        <f t="shared" ref="C475" si="22">U474</f>
        <v>20156.757752041507</v>
      </c>
      <c r="D475" s="42">
        <v>0</v>
      </c>
      <c r="E475" s="42">
        <v>0</v>
      </c>
      <c r="F475" s="42">
        <v>0</v>
      </c>
      <c r="G475" s="42">
        <v>0</v>
      </c>
      <c r="H475" s="42">
        <v>0</v>
      </c>
      <c r="I475" s="42">
        <v>0</v>
      </c>
      <c r="J475" s="42">
        <v>0</v>
      </c>
      <c r="K475" s="19">
        <f>-Resumo_Master!N471</f>
        <v>0</v>
      </c>
      <c r="L475" s="42">
        <v>0</v>
      </c>
      <c r="M475" s="42">
        <v>0</v>
      </c>
      <c r="N475" s="42">
        <v>0</v>
      </c>
      <c r="O475" s="42">
        <v>0</v>
      </c>
      <c r="P475" s="41">
        <v>0</v>
      </c>
      <c r="Q475" s="41">
        <v>0</v>
      </c>
      <c r="R475" s="19">
        <f>SUMIFS([1]FIC!$J$2:$J$1000,[1]FIC!$G$2:$G$1000,"="&amp;B475)</f>
        <v>0</v>
      </c>
      <c r="S475" s="42">
        <v>0</v>
      </c>
      <c r="T475" s="42">
        <v>0</v>
      </c>
      <c r="U475" s="19">
        <f t="shared" ref="U475" si="23">SUM(C475:T475)</f>
        <v>20156.757752041507</v>
      </c>
    </row>
    <row r="476" spans="2:21" x14ac:dyDescent="0.25">
      <c r="B476" s="4">
        <f>WORKDAY($B475,1,Feriados!$A$2:$A$842)</f>
        <v>45503</v>
      </c>
      <c r="C476" s="19">
        <f t="shared" ref="C476" si="24">U475</f>
        <v>20156.757752041507</v>
      </c>
      <c r="D476" s="42">
        <v>0</v>
      </c>
      <c r="E476" s="42">
        <v>0</v>
      </c>
      <c r="F476" s="42">
        <v>0</v>
      </c>
      <c r="G476" s="42">
        <v>0</v>
      </c>
      <c r="H476" s="42">
        <v>0</v>
      </c>
      <c r="I476" s="42">
        <v>0</v>
      </c>
      <c r="J476" s="42">
        <v>0</v>
      </c>
      <c r="K476" s="19">
        <f>-Resumo_Master!N472</f>
        <v>0</v>
      </c>
      <c r="L476" s="42">
        <v>0</v>
      </c>
      <c r="M476" s="42">
        <v>0</v>
      </c>
      <c r="N476" s="42">
        <v>0</v>
      </c>
      <c r="O476" s="42">
        <v>0</v>
      </c>
      <c r="P476" s="41">
        <v>0</v>
      </c>
      <c r="Q476" s="41">
        <v>0</v>
      </c>
      <c r="R476" s="19">
        <f>SUMIFS([1]FIC!$J$2:$J$1000,[1]FIC!$G$2:$G$1000,"="&amp;B476)</f>
        <v>0</v>
      </c>
      <c r="S476" s="42">
        <v>0</v>
      </c>
      <c r="T476" s="42">
        <v>0</v>
      </c>
      <c r="U476" s="19">
        <f t="shared" ref="U476" si="25">SUM(C476:T476)</f>
        <v>20156.757752041507</v>
      </c>
    </row>
    <row r="477" spans="2:21" x14ac:dyDescent="0.25">
      <c r="B477" s="4">
        <f>WORKDAY($B476,1,Feriados!$A$2:$A$842)</f>
        <v>45504</v>
      </c>
      <c r="C477" s="19">
        <f t="shared" ref="C477" si="26">U476</f>
        <v>20156.757752041507</v>
      </c>
      <c r="D477" s="42">
        <v>0</v>
      </c>
      <c r="E477" s="42">
        <v>0</v>
      </c>
      <c r="F477" s="42">
        <v>0</v>
      </c>
      <c r="G477" s="42">
        <v>0</v>
      </c>
      <c r="H477" s="42">
        <v>0</v>
      </c>
      <c r="I477" s="42">
        <v>0</v>
      </c>
      <c r="J477" s="42">
        <v>0</v>
      </c>
      <c r="K477" s="19">
        <f>-Resumo_Master!N473</f>
        <v>0</v>
      </c>
      <c r="L477" s="42">
        <v>0</v>
      </c>
      <c r="M477" s="42">
        <v>0</v>
      </c>
      <c r="N477" s="42">
        <v>0</v>
      </c>
      <c r="O477" s="42">
        <v>0</v>
      </c>
      <c r="P477" s="41">
        <v>0</v>
      </c>
      <c r="Q477" s="41">
        <v>0</v>
      </c>
      <c r="R477" s="19">
        <f>SUMIFS([1]FIC!$J$2:$J$1000,[1]FIC!$G$2:$G$1000,"="&amp;B477)</f>
        <v>0</v>
      </c>
      <c r="S477" s="42">
        <v>0</v>
      </c>
      <c r="T477" s="42">
        <v>0</v>
      </c>
      <c r="U477" s="19">
        <f t="shared" ref="U477" si="27">SUM(C477:T477)</f>
        <v>20156.757752041507</v>
      </c>
    </row>
    <row r="478" spans="2:21" x14ac:dyDescent="0.25">
      <c r="B478" s="4">
        <f>WORKDAY($B477,1,Feriados!$A$2:$A$842)</f>
        <v>45505</v>
      </c>
      <c r="C478" s="19">
        <f t="shared" ref="C478" si="28">U477</f>
        <v>20156.757752041507</v>
      </c>
      <c r="D478" s="42">
        <v>0</v>
      </c>
      <c r="E478" s="42">
        <v>0</v>
      </c>
      <c r="F478" s="42">
        <v>0</v>
      </c>
      <c r="G478" s="42">
        <v>0</v>
      </c>
      <c r="H478" s="42">
        <v>0</v>
      </c>
      <c r="I478" s="42">
        <v>0</v>
      </c>
      <c r="J478" s="42">
        <v>0</v>
      </c>
      <c r="K478" s="19">
        <f>-Resumo_Master!N474</f>
        <v>0</v>
      </c>
      <c r="L478" s="42">
        <v>0</v>
      </c>
      <c r="M478" s="42">
        <v>0</v>
      </c>
      <c r="N478" s="42">
        <v>0</v>
      </c>
      <c r="O478" s="42">
        <v>0</v>
      </c>
      <c r="P478" s="41">
        <v>0</v>
      </c>
      <c r="Q478" s="41">
        <v>0</v>
      </c>
      <c r="R478" s="19">
        <f>SUMIFS([1]FIC!$J$2:$J$1000,[1]FIC!$G$2:$G$1000,"="&amp;B478)</f>
        <v>0</v>
      </c>
      <c r="S478" s="42">
        <v>0</v>
      </c>
      <c r="T478" s="42">
        <v>0</v>
      </c>
      <c r="U478" s="19">
        <f t="shared" ref="U478" si="29">SUM(C478:T478)</f>
        <v>20156.757752041507</v>
      </c>
    </row>
    <row r="479" spans="2:21" x14ac:dyDescent="0.25">
      <c r="B479" s="4">
        <f>WORKDAY($B478,1,Feriados!$A$2:$A$842)</f>
        <v>45506</v>
      </c>
      <c r="C479" s="19">
        <f t="shared" ref="C479" si="30">U478</f>
        <v>20156.757752041507</v>
      </c>
      <c r="D479" s="42">
        <v>0</v>
      </c>
      <c r="E479" s="42">
        <v>0</v>
      </c>
      <c r="F479" s="42">
        <v>0</v>
      </c>
      <c r="G479" s="42">
        <v>0</v>
      </c>
      <c r="H479" s="42">
        <v>0</v>
      </c>
      <c r="I479" s="42">
        <v>0</v>
      </c>
      <c r="J479" s="42">
        <v>0</v>
      </c>
      <c r="K479" s="19">
        <f>-Resumo_Master!N475</f>
        <v>0</v>
      </c>
      <c r="L479" s="42">
        <v>0</v>
      </c>
      <c r="M479" s="42">
        <v>0</v>
      </c>
      <c r="N479" s="42">
        <v>0</v>
      </c>
      <c r="O479" s="42">
        <v>0</v>
      </c>
      <c r="P479" s="41">
        <v>0</v>
      </c>
      <c r="Q479" s="41">
        <v>0</v>
      </c>
      <c r="R479" s="19">
        <f>SUMIFS([1]FIC!$J$2:$J$1000,[1]FIC!$G$2:$G$1000,"="&amp;B479)</f>
        <v>0</v>
      </c>
      <c r="S479" s="42">
        <v>0</v>
      </c>
      <c r="T479" s="42">
        <v>0</v>
      </c>
      <c r="U479" s="19">
        <f t="shared" ref="U479" si="31">SUM(C479:T479)</f>
        <v>20156.757752041507</v>
      </c>
    </row>
    <row r="480" spans="2:21" x14ac:dyDescent="0.25">
      <c r="B480" s="4">
        <f>WORKDAY($B479,1,Feriados!$A$2:$A$842)</f>
        <v>45509</v>
      </c>
      <c r="C480" s="19">
        <f t="shared" ref="C480" si="32">U479</f>
        <v>20156.757752041507</v>
      </c>
      <c r="D480" s="42">
        <v>0</v>
      </c>
      <c r="E480" s="42">
        <v>0</v>
      </c>
      <c r="F480" s="42">
        <v>0</v>
      </c>
      <c r="G480" s="42">
        <v>0</v>
      </c>
      <c r="H480" s="42">
        <v>0</v>
      </c>
      <c r="I480" s="42">
        <v>0</v>
      </c>
      <c r="J480" s="42">
        <v>0</v>
      </c>
      <c r="K480" s="19">
        <f>-Resumo_Master!N476</f>
        <v>0</v>
      </c>
      <c r="L480" s="42">
        <v>0</v>
      </c>
      <c r="M480" s="42">
        <v>0</v>
      </c>
      <c r="N480" s="42">
        <v>0</v>
      </c>
      <c r="O480" s="42">
        <v>0</v>
      </c>
      <c r="P480" s="41">
        <v>0</v>
      </c>
      <c r="Q480" s="41">
        <v>0</v>
      </c>
      <c r="R480" s="19">
        <f>SUMIFS([1]FIC!$J$2:$J$1000,[1]FIC!$G$2:$G$1000,"="&amp;B480)</f>
        <v>0</v>
      </c>
      <c r="S480" s="42">
        <v>0</v>
      </c>
      <c r="T480" s="42">
        <v>0</v>
      </c>
      <c r="U480" s="19">
        <f t="shared" ref="U480" si="33">SUM(C480:T480)</f>
        <v>20156.757752041507</v>
      </c>
    </row>
    <row r="481" spans="2:21" x14ac:dyDescent="0.25">
      <c r="B481" s="4">
        <f>WORKDAY($B480,1,Feriados!$A$2:$A$842)</f>
        <v>45510</v>
      </c>
      <c r="C481" s="19">
        <f t="shared" ref="C481" si="34">U480</f>
        <v>20156.757752041507</v>
      </c>
      <c r="D481" s="42">
        <v>0</v>
      </c>
      <c r="E481" s="42">
        <v>0</v>
      </c>
      <c r="F481" s="42">
        <v>0</v>
      </c>
      <c r="G481" s="42">
        <v>0</v>
      </c>
      <c r="H481" s="42">
        <v>0</v>
      </c>
      <c r="I481" s="42">
        <v>0</v>
      </c>
      <c r="J481" s="42">
        <v>0</v>
      </c>
      <c r="K481" s="19">
        <f>-Resumo_Master!N477</f>
        <v>0</v>
      </c>
      <c r="L481" s="42">
        <v>0</v>
      </c>
      <c r="M481" s="42">
        <v>0</v>
      </c>
      <c r="N481" s="42">
        <v>0</v>
      </c>
      <c r="O481" s="42">
        <v>0</v>
      </c>
      <c r="P481" s="41">
        <v>0</v>
      </c>
      <c r="Q481" s="41">
        <v>0</v>
      </c>
      <c r="R481" s="19">
        <f>SUMIFS([1]FIC!$J$2:$J$1000,[1]FIC!$G$2:$G$1000,"="&amp;B481)</f>
        <v>0</v>
      </c>
      <c r="S481" s="42">
        <v>0</v>
      </c>
      <c r="T481" s="42">
        <v>0</v>
      </c>
      <c r="U481" s="19">
        <f t="shared" ref="U481" si="35">SUM(C481:T481)</f>
        <v>20156.757752041507</v>
      </c>
    </row>
    <row r="482" spans="2:21" x14ac:dyDescent="0.25">
      <c r="B482" s="4">
        <f>WORKDAY($B481,1,Feriados!$A$2:$A$842)</f>
        <v>45511</v>
      </c>
      <c r="C482" s="19">
        <f t="shared" ref="C482" si="36">U481</f>
        <v>20156.757752041507</v>
      </c>
      <c r="D482" s="42">
        <v>-28847.544176953234</v>
      </c>
      <c r="E482" s="42">
        <v>0</v>
      </c>
      <c r="F482" s="42">
        <v>0</v>
      </c>
      <c r="G482" s="42">
        <v>0</v>
      </c>
      <c r="H482" s="42">
        <v>0</v>
      </c>
      <c r="I482" s="42">
        <v>0</v>
      </c>
      <c r="J482" s="42">
        <v>0</v>
      </c>
      <c r="K482" s="19">
        <f>-Resumo_Master!N478</f>
        <v>0</v>
      </c>
      <c r="L482" s="42">
        <v>0</v>
      </c>
      <c r="M482" s="42">
        <v>0</v>
      </c>
      <c r="N482" s="42">
        <v>0</v>
      </c>
      <c r="O482" s="42">
        <v>0</v>
      </c>
      <c r="P482" s="41">
        <v>0</v>
      </c>
      <c r="Q482" s="41">
        <v>0</v>
      </c>
      <c r="R482" s="19">
        <f>SUMIFS([1]FIC!$J$2:$J$1000,[1]FIC!$G$2:$G$1000,"="&amp;B482)</f>
        <v>0</v>
      </c>
      <c r="S482" s="42">
        <v>29000</v>
      </c>
      <c r="T482" s="42">
        <v>0</v>
      </c>
      <c r="U482" s="19">
        <f t="shared" ref="U482:U483" si="37">SUM(C482:T482)</f>
        <v>20309.213575088274</v>
      </c>
    </row>
    <row r="483" spans="2:21" x14ac:dyDescent="0.25">
      <c r="B483" s="4">
        <f>WORKDAY($B482,1,Feriados!$A$2:$A$842)</f>
        <v>45512</v>
      </c>
      <c r="C483" s="19">
        <f t="shared" ref="C483" si="38">U482</f>
        <v>20309.213575088274</v>
      </c>
      <c r="D483" s="42">
        <v>0</v>
      </c>
      <c r="E483" s="42">
        <v>0</v>
      </c>
      <c r="F483" s="42">
        <v>0</v>
      </c>
      <c r="G483" s="42">
        <v>0</v>
      </c>
      <c r="H483" s="42">
        <v>0</v>
      </c>
      <c r="I483" s="42">
        <v>0</v>
      </c>
      <c r="J483" s="42">
        <v>0</v>
      </c>
      <c r="K483" s="19">
        <f>-Resumo_Master!N479</f>
        <v>0</v>
      </c>
      <c r="L483" s="42">
        <v>0</v>
      </c>
      <c r="M483" s="42">
        <v>0</v>
      </c>
      <c r="N483" s="42">
        <v>0</v>
      </c>
      <c r="O483" s="42">
        <v>0</v>
      </c>
      <c r="P483" s="41">
        <v>0</v>
      </c>
      <c r="Q483" s="41">
        <v>0</v>
      </c>
      <c r="R483" s="19">
        <f>SUMIFS([1]FIC!$J$2:$J$1000,[1]FIC!$G$2:$G$1000,"="&amp;B483)</f>
        <v>0</v>
      </c>
      <c r="S483" s="42">
        <v>0</v>
      </c>
      <c r="T483" s="42">
        <v>0</v>
      </c>
      <c r="U483" s="19">
        <f t="shared" si="37"/>
        <v>20309.213575088274</v>
      </c>
    </row>
    <row r="484" spans="2:21" x14ac:dyDescent="0.25">
      <c r="B484" s="4">
        <f>WORKDAY($B483,1,Feriados!$A$2:$A$842)</f>
        <v>45513</v>
      </c>
      <c r="C484" s="19">
        <f t="shared" ref="C484" si="39">U483</f>
        <v>20309.213575088274</v>
      </c>
      <c r="D484" s="42">
        <v>0</v>
      </c>
      <c r="E484" s="42">
        <v>0</v>
      </c>
      <c r="F484" s="42">
        <v>0</v>
      </c>
      <c r="G484" s="42">
        <v>0</v>
      </c>
      <c r="H484" s="42">
        <v>0</v>
      </c>
      <c r="I484" s="42">
        <v>0</v>
      </c>
      <c r="J484" s="42">
        <v>0</v>
      </c>
      <c r="K484" s="19">
        <f>-Resumo_Master!N480</f>
        <v>0</v>
      </c>
      <c r="L484" s="42">
        <v>0</v>
      </c>
      <c r="M484" s="42">
        <v>0</v>
      </c>
      <c r="N484" s="42">
        <v>0</v>
      </c>
      <c r="O484" s="42">
        <v>0</v>
      </c>
      <c r="P484" s="41">
        <v>0</v>
      </c>
      <c r="Q484" s="41">
        <v>0</v>
      </c>
      <c r="R484" s="19">
        <f>SUMIFS([1]FIC!$J$2:$J$1000,[1]FIC!$G$2:$G$1000,"="&amp;B484)</f>
        <v>0</v>
      </c>
      <c r="S484" s="42">
        <v>0</v>
      </c>
      <c r="T484" s="42">
        <v>0</v>
      </c>
      <c r="U484" s="19">
        <f t="shared" ref="U484" si="40">SUM(C484:T484)</f>
        <v>20309.213575088274</v>
      </c>
    </row>
    <row r="485" spans="2:21" x14ac:dyDescent="0.25">
      <c r="B485" s="4">
        <f>WORKDAY($B484,1,Feriados!$A$2:$A$842)</f>
        <v>45516</v>
      </c>
      <c r="C485" s="19">
        <f t="shared" ref="C485:C486" si="41">U484</f>
        <v>20309.213575088274</v>
      </c>
      <c r="D485" s="42">
        <v>0</v>
      </c>
      <c r="E485" s="42">
        <v>0</v>
      </c>
      <c r="F485" s="42">
        <v>0</v>
      </c>
      <c r="G485" s="42">
        <v>0</v>
      </c>
      <c r="H485" s="42">
        <v>0</v>
      </c>
      <c r="I485" s="42">
        <v>0</v>
      </c>
      <c r="J485" s="42">
        <v>0</v>
      </c>
      <c r="K485" s="19">
        <f>-Resumo_Master!N481</f>
        <v>0</v>
      </c>
      <c r="L485" s="42">
        <v>0</v>
      </c>
      <c r="M485" s="42">
        <v>0</v>
      </c>
      <c r="N485" s="42">
        <v>0</v>
      </c>
      <c r="O485" s="42">
        <v>0</v>
      </c>
      <c r="P485" s="41">
        <v>0</v>
      </c>
      <c r="Q485" s="41">
        <v>0</v>
      </c>
      <c r="R485" s="19">
        <f>SUMIFS([1]FIC!$J$2:$J$1000,[1]FIC!$G$2:$G$1000,"="&amp;B485)</f>
        <v>0</v>
      </c>
      <c r="S485" s="42">
        <v>0</v>
      </c>
      <c r="T485" s="42">
        <v>0</v>
      </c>
      <c r="U485" s="19">
        <f t="shared" ref="U485:U486" si="42">SUM(C485:T485)</f>
        <v>20309.213575088274</v>
      </c>
    </row>
    <row r="486" spans="2:21" x14ac:dyDescent="0.25">
      <c r="B486" s="4">
        <f>WORKDAY($B485,1,Feriados!$A$2:$A$842)</f>
        <v>45517</v>
      </c>
      <c r="C486" s="19">
        <f t="shared" si="41"/>
        <v>20309.213575088274</v>
      </c>
      <c r="D486" s="42">
        <v>0</v>
      </c>
      <c r="E486" s="42">
        <v>0</v>
      </c>
      <c r="F486" s="42">
        <v>0</v>
      </c>
      <c r="G486" s="42">
        <v>0</v>
      </c>
      <c r="H486" s="42">
        <v>0</v>
      </c>
      <c r="I486" s="42">
        <v>0</v>
      </c>
      <c r="J486" s="42">
        <v>0</v>
      </c>
      <c r="K486" s="19">
        <f>-Resumo_Master!N482</f>
        <v>0</v>
      </c>
      <c r="L486" s="42">
        <v>0</v>
      </c>
      <c r="M486" s="42">
        <v>0</v>
      </c>
      <c r="N486" s="42">
        <v>0</v>
      </c>
      <c r="O486" s="42">
        <v>0</v>
      </c>
      <c r="P486" s="41">
        <v>0</v>
      </c>
      <c r="Q486" s="41">
        <v>0</v>
      </c>
      <c r="R486" s="19">
        <f>SUMIFS([1]FIC!$J$2:$J$1000,[1]FIC!$G$2:$G$1000,"="&amp;B486)</f>
        <v>0</v>
      </c>
      <c r="S486" s="42">
        <v>0</v>
      </c>
      <c r="T486" s="42">
        <v>0</v>
      </c>
      <c r="U486" s="19">
        <f t="shared" si="42"/>
        <v>20309.213575088274</v>
      </c>
    </row>
    <row r="487" spans="2:21" x14ac:dyDescent="0.25">
      <c r="B487" s="4">
        <f>WORKDAY($B486,1,Feriados!$A$2:$A$842)</f>
        <v>45518</v>
      </c>
      <c r="C487" s="19">
        <f t="shared" ref="C487" si="43">U486</f>
        <v>20309.213575088274</v>
      </c>
      <c r="D487" s="42">
        <v>0</v>
      </c>
      <c r="E487" s="42">
        <v>0</v>
      </c>
      <c r="F487" s="42">
        <v>0</v>
      </c>
      <c r="G487" s="42">
        <v>0</v>
      </c>
      <c r="H487" s="42">
        <v>0</v>
      </c>
      <c r="I487" s="42">
        <v>0</v>
      </c>
      <c r="J487" s="42">
        <v>0</v>
      </c>
      <c r="K487" s="19">
        <f>-Resumo_Master!N483</f>
        <v>0</v>
      </c>
      <c r="L487" s="42">
        <v>0</v>
      </c>
      <c r="M487" s="42">
        <v>0</v>
      </c>
      <c r="N487" s="42">
        <v>0</v>
      </c>
      <c r="O487" s="42">
        <v>0</v>
      </c>
      <c r="P487" s="41">
        <v>0</v>
      </c>
      <c r="Q487" s="41">
        <v>-614.66</v>
      </c>
      <c r="R487" s="19">
        <f>SUMIFS([1]FIC!$J$2:$J$1000,[1]FIC!$G$2:$G$1000,"="&amp;B487)</f>
        <v>0</v>
      </c>
      <c r="S487" s="42">
        <v>0</v>
      </c>
      <c r="T487" s="42">
        <v>0</v>
      </c>
      <c r="U487" s="19">
        <f t="shared" ref="U487" si="44">SUM(C487:T487)</f>
        <v>19694.553575088274</v>
      </c>
    </row>
    <row r="488" spans="2:21" x14ac:dyDescent="0.25">
      <c r="B488" s="4">
        <f>WORKDAY($B487,1,Feriados!$A$2:$A$842)</f>
        <v>45519</v>
      </c>
      <c r="C488" s="19">
        <f t="shared" ref="C488" si="45">U487</f>
        <v>19694.553575088274</v>
      </c>
      <c r="D488" s="42">
        <v>0</v>
      </c>
      <c r="E488" s="42">
        <v>0</v>
      </c>
      <c r="F488" s="42">
        <v>0</v>
      </c>
      <c r="G488" s="42">
        <v>0</v>
      </c>
      <c r="H488" s="42">
        <v>0</v>
      </c>
      <c r="I488" s="42">
        <v>0</v>
      </c>
      <c r="J488" s="42">
        <v>0</v>
      </c>
      <c r="K488" s="19">
        <f>-Resumo_Master!N484</f>
        <v>0</v>
      </c>
      <c r="L488" s="42">
        <v>0</v>
      </c>
      <c r="M488" s="42">
        <v>0</v>
      </c>
      <c r="N488" s="42">
        <v>0</v>
      </c>
      <c r="O488" s="42">
        <v>0</v>
      </c>
      <c r="P488" s="41">
        <v>0</v>
      </c>
      <c r="Q488" s="41">
        <v>0</v>
      </c>
      <c r="R488" s="19">
        <f>SUMIFS([1]FIC!$J$2:$J$1000,[1]FIC!$G$2:$G$1000,"="&amp;B488)</f>
        <v>0</v>
      </c>
      <c r="S488" s="42">
        <v>0</v>
      </c>
      <c r="T488" s="42">
        <v>0</v>
      </c>
      <c r="U488" s="19">
        <f t="shared" ref="U488" si="46">SUM(C488:T488)</f>
        <v>19694.553575088274</v>
      </c>
    </row>
    <row r="489" spans="2:21" x14ac:dyDescent="0.25">
      <c r="B489" s="4">
        <f>WORKDAY($B488,1,Feriados!$A$2:$A$842)</f>
        <v>45520</v>
      </c>
      <c r="C489" s="19">
        <f t="shared" ref="C489" si="47">U488</f>
        <v>19694.553575088274</v>
      </c>
      <c r="D489" s="42">
        <v>0</v>
      </c>
      <c r="E489" s="42">
        <v>0</v>
      </c>
      <c r="F489" s="42">
        <v>0</v>
      </c>
      <c r="G489" s="42">
        <v>0</v>
      </c>
      <c r="H489" s="42">
        <v>0</v>
      </c>
      <c r="I489" s="42">
        <v>0</v>
      </c>
      <c r="J489" s="42">
        <v>0</v>
      </c>
      <c r="K489" s="19">
        <f>-Resumo_Master!N485</f>
        <v>0</v>
      </c>
      <c r="L489" s="42">
        <v>0</v>
      </c>
      <c r="M489" s="42">
        <v>0</v>
      </c>
      <c r="N489" s="42">
        <v>0</v>
      </c>
      <c r="O489" s="42">
        <v>0</v>
      </c>
      <c r="P489" s="41">
        <v>0</v>
      </c>
      <c r="Q489" s="41">
        <v>-196</v>
      </c>
      <c r="R489" s="19">
        <f>SUMIFS([1]FIC!$J$2:$J$1000,[1]FIC!$G$2:$G$1000,"="&amp;B489)</f>
        <v>0</v>
      </c>
      <c r="S489" s="42">
        <v>0</v>
      </c>
      <c r="T489" s="42">
        <v>0</v>
      </c>
      <c r="U489" s="19">
        <f t="shared" ref="U489" si="48">SUM(C489:T489)</f>
        <v>19498.553575088274</v>
      </c>
    </row>
    <row r="490" spans="2:21" x14ac:dyDescent="0.25">
      <c r="B490" s="4">
        <f>WORKDAY($B489,1,Feriados!$A$2:$A$842)</f>
        <v>45523</v>
      </c>
      <c r="C490" s="19">
        <f t="shared" ref="C490" si="49">U489</f>
        <v>19498.553575088274</v>
      </c>
      <c r="D490" s="42">
        <v>0</v>
      </c>
      <c r="E490" s="42">
        <v>0</v>
      </c>
      <c r="F490" s="42">
        <v>0</v>
      </c>
      <c r="G490" s="42">
        <v>0</v>
      </c>
      <c r="H490" s="42">
        <v>0</v>
      </c>
      <c r="I490" s="42">
        <v>0</v>
      </c>
      <c r="J490" s="42">
        <v>0</v>
      </c>
      <c r="K490" s="19">
        <f>-Resumo_Master!N486</f>
        <v>0</v>
      </c>
      <c r="L490" s="42">
        <v>0</v>
      </c>
      <c r="M490" s="42">
        <v>0</v>
      </c>
      <c r="N490" s="42">
        <v>0</v>
      </c>
      <c r="O490" s="42">
        <v>0</v>
      </c>
      <c r="P490" s="41">
        <v>0</v>
      </c>
      <c r="Q490" s="41">
        <v>0</v>
      </c>
      <c r="R490" s="19">
        <f>SUMIFS([1]FIC!$J$2:$J$1000,[1]FIC!$G$2:$G$1000,"="&amp;B490)</f>
        <v>0</v>
      </c>
      <c r="S490" s="42">
        <v>0</v>
      </c>
      <c r="T490" s="42">
        <v>0</v>
      </c>
      <c r="U490" s="19">
        <f t="shared" ref="U490" si="50">SUM(C490:T490)</f>
        <v>19498.553575088274</v>
      </c>
    </row>
    <row r="491" spans="2:21" x14ac:dyDescent="0.25">
      <c r="B491" s="4">
        <f>WORKDAY($B490,1,Feriados!$A$2:$A$842)</f>
        <v>45524</v>
      </c>
      <c r="C491" s="19">
        <f t="shared" ref="C491" si="51">U490</f>
        <v>19498.553575088274</v>
      </c>
      <c r="D491" s="42">
        <v>0</v>
      </c>
      <c r="E491" s="42">
        <v>0</v>
      </c>
      <c r="F491" s="42">
        <v>0</v>
      </c>
      <c r="G491" s="42">
        <v>0</v>
      </c>
      <c r="H491" s="42">
        <v>0</v>
      </c>
      <c r="I491" s="42">
        <v>0</v>
      </c>
      <c r="J491" s="42">
        <v>0</v>
      </c>
      <c r="K491" s="19">
        <f>-Resumo_Master!N487</f>
        <v>-50000</v>
      </c>
      <c r="L491" s="42">
        <v>0</v>
      </c>
      <c r="M491" s="42">
        <v>0</v>
      </c>
      <c r="N491" s="42">
        <v>0</v>
      </c>
      <c r="O491" s="42">
        <v>0</v>
      </c>
      <c r="P491" s="41">
        <v>0</v>
      </c>
      <c r="Q491" s="41">
        <v>0</v>
      </c>
      <c r="R491" s="19">
        <f>SUMIFS([1]FIC!$J$2:$J$1000,[1]FIC!$G$2:$G$1000,"="&amp;B491)</f>
        <v>50000</v>
      </c>
      <c r="S491" s="42">
        <v>0</v>
      </c>
      <c r="T491" s="42">
        <v>0</v>
      </c>
      <c r="U491" s="19">
        <f t="shared" ref="U491" si="52">SUM(C491:T491)</f>
        <v>19498.553575088274</v>
      </c>
    </row>
    <row r="492" spans="2:21" x14ac:dyDescent="0.25">
      <c r="B492" s="4">
        <f>WORKDAY($B491,1,Feriados!$A$2:$A$842)</f>
        <v>45525</v>
      </c>
      <c r="C492" s="19">
        <f t="shared" ref="C492" si="53">U491</f>
        <v>19498.553575088274</v>
      </c>
      <c r="D492" s="42">
        <v>0</v>
      </c>
      <c r="E492" s="42">
        <v>0</v>
      </c>
      <c r="F492" s="42">
        <v>0</v>
      </c>
      <c r="G492" s="42">
        <v>0</v>
      </c>
      <c r="H492" s="42">
        <v>0</v>
      </c>
      <c r="I492" s="42">
        <v>0</v>
      </c>
      <c r="J492" s="42">
        <v>0</v>
      </c>
      <c r="K492" s="19">
        <f>-Resumo_Master!N488</f>
        <v>-100000</v>
      </c>
      <c r="L492" s="42">
        <v>0</v>
      </c>
      <c r="M492" s="42">
        <v>0</v>
      </c>
      <c r="N492" s="42">
        <v>0</v>
      </c>
      <c r="O492" s="42">
        <v>0</v>
      </c>
      <c r="P492" s="41">
        <v>0</v>
      </c>
      <c r="Q492" s="41">
        <v>0</v>
      </c>
      <c r="R492" s="19">
        <f>SUMIFS([1]FIC!$J$2:$J$1000,[1]FIC!$G$2:$G$1000,"="&amp;B492)</f>
        <v>100000</v>
      </c>
      <c r="S492" s="42">
        <v>0</v>
      </c>
      <c r="T492" s="42">
        <v>0</v>
      </c>
      <c r="U492" s="19">
        <f t="shared" ref="U492" si="54">SUM(C492:T492)</f>
        <v>19498.55357508827</v>
      </c>
    </row>
    <row r="493" spans="2:21" x14ac:dyDescent="0.25">
      <c r="B493" s="4">
        <f>WORKDAY($B492,1,Feriados!$A$2:$A$842)</f>
        <v>45526</v>
      </c>
      <c r="C493" s="19">
        <f t="shared" ref="C493" si="55">U492</f>
        <v>19498.55357508827</v>
      </c>
      <c r="D493" s="42">
        <v>0</v>
      </c>
      <c r="E493" s="42">
        <v>0</v>
      </c>
      <c r="F493" s="42">
        <v>0</v>
      </c>
      <c r="G493" s="42">
        <v>0</v>
      </c>
      <c r="H493" s="42">
        <v>0</v>
      </c>
      <c r="I493" s="42">
        <v>0</v>
      </c>
      <c r="J493" s="42">
        <v>0</v>
      </c>
      <c r="K493" s="19">
        <f>-Resumo_Master!N489</f>
        <v>0</v>
      </c>
      <c r="L493" s="42">
        <v>0</v>
      </c>
      <c r="M493" s="42">
        <v>0</v>
      </c>
      <c r="N493" s="42">
        <v>0</v>
      </c>
      <c r="O493" s="42">
        <v>0</v>
      </c>
      <c r="P493" s="41">
        <v>0</v>
      </c>
      <c r="Q493" s="41">
        <v>0</v>
      </c>
      <c r="R493" s="19">
        <f>SUMIFS([1]FIC!$J$2:$J$1000,[1]FIC!$G$2:$G$1000,"="&amp;B493)</f>
        <v>0</v>
      </c>
      <c r="S493" s="42">
        <v>0</v>
      </c>
      <c r="T493" s="42">
        <v>0</v>
      </c>
      <c r="U493" s="19">
        <f t="shared" ref="U493" si="56">SUM(C493:T493)</f>
        <v>19498.55357508827</v>
      </c>
    </row>
    <row r="494" spans="2:21" x14ac:dyDescent="0.25">
      <c r="B494" s="4">
        <f>WORKDAY($B493,1,Feriados!$A$2:$A$842)</f>
        <v>45527</v>
      </c>
      <c r="C494" s="19">
        <f t="shared" ref="C494" si="57">U493</f>
        <v>19498.55357508827</v>
      </c>
      <c r="D494" s="42">
        <v>0</v>
      </c>
      <c r="E494" s="42">
        <v>0</v>
      </c>
      <c r="F494" s="42">
        <v>0</v>
      </c>
      <c r="G494" s="42">
        <v>0</v>
      </c>
      <c r="H494" s="42">
        <v>0</v>
      </c>
      <c r="I494" s="42">
        <v>0</v>
      </c>
      <c r="J494" s="42">
        <v>0</v>
      </c>
      <c r="K494" s="19">
        <f>-Resumo_Master!N490</f>
        <v>0</v>
      </c>
      <c r="L494" s="42">
        <v>0</v>
      </c>
      <c r="M494" s="42">
        <v>0</v>
      </c>
      <c r="N494" s="42">
        <v>0</v>
      </c>
      <c r="O494" s="42">
        <v>0</v>
      </c>
      <c r="P494" s="41">
        <v>0</v>
      </c>
      <c r="Q494" s="41">
        <v>0</v>
      </c>
      <c r="R494" s="19">
        <f>SUMIFS([1]FIC!$J$2:$J$1000,[1]FIC!$G$2:$G$1000,"="&amp;B494)</f>
        <v>0</v>
      </c>
      <c r="S494" s="42">
        <v>0</v>
      </c>
      <c r="T494" s="42">
        <v>0</v>
      </c>
      <c r="U494" s="19">
        <f t="shared" ref="U494" si="58">SUM(C494:T494)</f>
        <v>19498.55357508827</v>
      </c>
    </row>
    <row r="495" spans="2:21" x14ac:dyDescent="0.25">
      <c r="B495" s="4">
        <f>WORKDAY($B494,1,Feriados!$A$2:$A$842)</f>
        <v>45530</v>
      </c>
      <c r="C495" s="19">
        <f t="shared" ref="C495" si="59">U494</f>
        <v>19498.55357508827</v>
      </c>
      <c r="D495" s="42">
        <v>0</v>
      </c>
      <c r="E495" s="42">
        <v>0</v>
      </c>
      <c r="F495" s="42">
        <v>0</v>
      </c>
      <c r="G495" s="42">
        <v>0</v>
      </c>
      <c r="H495" s="42">
        <v>0</v>
      </c>
      <c r="I495" s="42">
        <v>0</v>
      </c>
      <c r="J495" s="42">
        <v>0</v>
      </c>
      <c r="K495" s="19">
        <f>-Resumo_Master!N491</f>
        <v>0</v>
      </c>
      <c r="L495" s="42">
        <v>0</v>
      </c>
      <c r="M495" s="42">
        <v>0</v>
      </c>
      <c r="N495" s="42">
        <v>0</v>
      </c>
      <c r="O495" s="42">
        <v>0</v>
      </c>
      <c r="P495" s="41">
        <v>0</v>
      </c>
      <c r="Q495" s="41">
        <v>0</v>
      </c>
      <c r="R495" s="19">
        <f>SUMIFS([1]FIC!$J$2:$J$1000,[1]FIC!$G$2:$G$1000,"="&amp;B495)</f>
        <v>0</v>
      </c>
      <c r="S495" s="42">
        <v>0</v>
      </c>
      <c r="T495" s="42">
        <v>0</v>
      </c>
      <c r="U495" s="19">
        <f t="shared" ref="U495" si="60">SUM(C495:T495)</f>
        <v>19498.55357508827</v>
      </c>
    </row>
    <row r="496" spans="2:21" x14ac:dyDescent="0.25">
      <c r="B496" s="4">
        <f>WORKDAY($B495,1,Feriados!$A$2:$A$842)</f>
        <v>45531</v>
      </c>
      <c r="C496" s="19">
        <f t="shared" ref="C496" si="61">U495</f>
        <v>19498.55357508827</v>
      </c>
      <c r="D496" s="42">
        <v>0</v>
      </c>
      <c r="E496" s="42">
        <v>0</v>
      </c>
      <c r="F496" s="42">
        <v>0</v>
      </c>
      <c r="G496" s="42">
        <v>0</v>
      </c>
      <c r="H496" s="42">
        <v>0</v>
      </c>
      <c r="I496" s="42">
        <v>0</v>
      </c>
      <c r="J496" s="42">
        <v>0</v>
      </c>
      <c r="K496" s="19">
        <f>-Resumo_Master!N492</f>
        <v>0</v>
      </c>
      <c r="L496" s="42">
        <v>0</v>
      </c>
      <c r="M496" s="42">
        <v>0</v>
      </c>
      <c r="N496" s="42">
        <v>0</v>
      </c>
      <c r="O496" s="42">
        <v>0</v>
      </c>
      <c r="P496" s="41">
        <v>0</v>
      </c>
      <c r="Q496" s="41">
        <v>0</v>
      </c>
      <c r="R496" s="19">
        <f>SUMIFS([1]FIC!$J$2:$J$1000,[1]FIC!$G$2:$G$1000,"="&amp;B496)</f>
        <v>0</v>
      </c>
      <c r="S496" s="42">
        <v>0</v>
      </c>
      <c r="T496" s="42">
        <v>0</v>
      </c>
      <c r="U496" s="19">
        <f t="shared" ref="U496" si="62">SUM(C496:T496)</f>
        <v>19498.55357508827</v>
      </c>
    </row>
    <row r="497" spans="2:21" x14ac:dyDescent="0.25">
      <c r="B497" s="4">
        <f>WORKDAY($B496,1,Feriados!$A$2:$A$842)</f>
        <v>45532</v>
      </c>
      <c r="C497" s="19">
        <f t="shared" ref="C497" si="63">U496</f>
        <v>19498.55357508827</v>
      </c>
      <c r="D497" s="42">
        <v>0</v>
      </c>
      <c r="E497" s="42">
        <v>0</v>
      </c>
      <c r="F497" s="42">
        <v>0</v>
      </c>
      <c r="G497" s="42">
        <v>0</v>
      </c>
      <c r="H497" s="42">
        <v>0</v>
      </c>
      <c r="I497" s="42">
        <v>0</v>
      </c>
      <c r="J497" s="42">
        <v>0</v>
      </c>
      <c r="K497" s="19">
        <f>-Resumo_Master!N493</f>
        <v>0</v>
      </c>
      <c r="L497" s="42">
        <v>0</v>
      </c>
      <c r="M497" s="42">
        <v>0</v>
      </c>
      <c r="N497" s="42">
        <v>0</v>
      </c>
      <c r="O497" s="42">
        <v>0</v>
      </c>
      <c r="P497" s="41">
        <v>0</v>
      </c>
      <c r="Q497" s="41">
        <v>0</v>
      </c>
      <c r="R497" s="19">
        <f>SUMIFS([1]FIC!$J$2:$J$1000,[1]FIC!$G$2:$G$1000,"="&amp;B497)</f>
        <v>0</v>
      </c>
      <c r="S497" s="42">
        <v>0</v>
      </c>
      <c r="T497" s="42">
        <v>0</v>
      </c>
      <c r="U497" s="19">
        <f t="shared" ref="U497" si="64">SUM(C497:T497)</f>
        <v>19498.55357508827</v>
      </c>
    </row>
    <row r="498" spans="2:21" x14ac:dyDescent="0.25">
      <c r="B498" s="4">
        <f>WORKDAY($B497,1,Feriados!$A$2:$A$842)</f>
        <v>45533</v>
      </c>
      <c r="C498" s="19">
        <f t="shared" ref="C498" si="65">U497</f>
        <v>19498.55357508827</v>
      </c>
      <c r="D498" s="42">
        <v>0</v>
      </c>
      <c r="E498" s="42">
        <v>0</v>
      </c>
      <c r="F498" s="42">
        <v>0</v>
      </c>
      <c r="G498" s="42">
        <v>0</v>
      </c>
      <c r="H498" s="42">
        <v>0</v>
      </c>
      <c r="I498" s="42">
        <v>0</v>
      </c>
      <c r="J498" s="42">
        <v>0</v>
      </c>
      <c r="K498" s="19">
        <f>-Resumo_Master!N494</f>
        <v>0</v>
      </c>
      <c r="L498" s="42">
        <v>0</v>
      </c>
      <c r="M498" s="42">
        <v>0</v>
      </c>
      <c r="N498" s="42">
        <v>0</v>
      </c>
      <c r="O498" s="42">
        <v>0</v>
      </c>
      <c r="P498" s="41">
        <v>0</v>
      </c>
      <c r="Q498" s="41">
        <v>0</v>
      </c>
      <c r="R498" s="19">
        <f>SUMIFS([1]FIC!$J$2:$J$1000,[1]FIC!$G$2:$G$1000,"="&amp;B498)</f>
        <v>0</v>
      </c>
      <c r="S498" s="42">
        <v>0</v>
      </c>
      <c r="T498" s="42">
        <v>0</v>
      </c>
      <c r="U498" s="19">
        <f t="shared" ref="U498" si="66">SUM(C498:T498)</f>
        <v>19498.55357508827</v>
      </c>
    </row>
    <row r="499" spans="2:21" x14ac:dyDescent="0.25">
      <c r="B499" s="4">
        <f>WORKDAY($B498,1,Feriados!$A$2:$A$842)</f>
        <v>45534</v>
      </c>
      <c r="C499" s="19">
        <f t="shared" ref="C499" si="67">U498</f>
        <v>19498.55357508827</v>
      </c>
      <c r="D499" s="42">
        <v>0</v>
      </c>
      <c r="E499" s="42">
        <v>0</v>
      </c>
      <c r="F499" s="42">
        <v>0</v>
      </c>
      <c r="G499" s="42">
        <v>0</v>
      </c>
      <c r="H499" s="42">
        <v>0</v>
      </c>
      <c r="I499" s="42">
        <v>0</v>
      </c>
      <c r="J499" s="42">
        <v>0</v>
      </c>
      <c r="K499" s="19">
        <f>-Resumo_Master!N495</f>
        <v>0</v>
      </c>
      <c r="L499" s="42">
        <v>0</v>
      </c>
      <c r="M499" s="42">
        <v>0</v>
      </c>
      <c r="N499" s="42">
        <v>0</v>
      </c>
      <c r="O499" s="42">
        <v>0</v>
      </c>
      <c r="P499" s="41">
        <v>0</v>
      </c>
      <c r="Q499" s="41">
        <v>0</v>
      </c>
      <c r="R499" s="19">
        <f>SUMIFS([1]FIC!$J$2:$J$1000,[1]FIC!$G$2:$G$1000,"="&amp;B499)</f>
        <v>0</v>
      </c>
      <c r="S499" s="42">
        <v>0</v>
      </c>
      <c r="T499" s="42">
        <v>0</v>
      </c>
      <c r="U499" s="19">
        <f t="shared" ref="U499" si="68">SUM(C499:T499)</f>
        <v>19498.55357508827</v>
      </c>
    </row>
    <row r="500" spans="2:21" x14ac:dyDescent="0.25">
      <c r="B500" s="4">
        <f>WORKDAY($B499,1,Feriados!$A$2:$A$842)</f>
        <v>45537</v>
      </c>
      <c r="C500" s="19">
        <f t="shared" ref="C500" si="69">U499</f>
        <v>19498.55357508827</v>
      </c>
      <c r="D500" s="42">
        <v>0</v>
      </c>
      <c r="E500" s="42">
        <v>0</v>
      </c>
      <c r="F500" s="42">
        <v>0</v>
      </c>
      <c r="G500" s="42">
        <v>0</v>
      </c>
      <c r="H500" s="42">
        <v>0</v>
      </c>
      <c r="I500" s="42">
        <v>0</v>
      </c>
      <c r="J500" s="42">
        <v>0</v>
      </c>
      <c r="K500" s="19">
        <f>-Resumo_Master!N496</f>
        <v>0</v>
      </c>
      <c r="L500" s="42">
        <v>0</v>
      </c>
      <c r="M500" s="42">
        <v>0</v>
      </c>
      <c r="N500" s="42">
        <v>0</v>
      </c>
      <c r="O500" s="42">
        <v>0</v>
      </c>
      <c r="P500" s="41">
        <v>0</v>
      </c>
      <c r="Q500" s="41">
        <v>0</v>
      </c>
      <c r="R500" s="19">
        <f>SUMIFS([1]FIC!$J$2:$J$1000,[1]FIC!$G$2:$G$1000,"="&amp;B500)</f>
        <v>0</v>
      </c>
      <c r="S500" s="42">
        <v>0</v>
      </c>
      <c r="T500" s="42">
        <v>0</v>
      </c>
      <c r="U500" s="19">
        <f t="shared" ref="U500" si="70">SUM(C500:T500)</f>
        <v>19498.55357508827</v>
      </c>
    </row>
    <row r="501" spans="2:21" x14ac:dyDescent="0.25">
      <c r="B501" s="4">
        <f>WORKDAY($B500,1,Feriados!$A$2:$A$842)</f>
        <v>45538</v>
      </c>
      <c r="C501" s="19">
        <f t="shared" ref="C501" si="71">U500</f>
        <v>19498.55357508827</v>
      </c>
      <c r="D501" s="42">
        <v>0</v>
      </c>
      <c r="E501" s="42">
        <v>0</v>
      </c>
      <c r="F501" s="42">
        <v>0</v>
      </c>
      <c r="G501" s="42">
        <v>0</v>
      </c>
      <c r="H501" s="42">
        <v>0</v>
      </c>
      <c r="I501" s="42">
        <v>0</v>
      </c>
      <c r="J501" s="42">
        <v>0</v>
      </c>
      <c r="K501" s="19">
        <f>-Resumo_Master!N497</f>
        <v>0</v>
      </c>
      <c r="L501" s="42">
        <v>0</v>
      </c>
      <c r="M501" s="42">
        <v>0</v>
      </c>
      <c r="N501" s="42">
        <v>0</v>
      </c>
      <c r="O501" s="42">
        <v>0</v>
      </c>
      <c r="P501" s="41">
        <v>0</v>
      </c>
      <c r="Q501" s="41">
        <v>0</v>
      </c>
      <c r="R501" s="19">
        <f>SUMIFS([1]FIC!$J$2:$J$1000,[1]FIC!$G$2:$G$1000,"="&amp;B501)</f>
        <v>0</v>
      </c>
      <c r="S501" s="42">
        <v>0</v>
      </c>
      <c r="T501" s="42">
        <v>0</v>
      </c>
      <c r="U501" s="19">
        <f t="shared" ref="U501" si="72">SUM(C501:T501)</f>
        <v>19498.55357508827</v>
      </c>
    </row>
    <row r="502" spans="2:21" x14ac:dyDescent="0.25">
      <c r="B502" s="4">
        <f>WORKDAY($B501,1,Feriados!$A$2:$A$842)</f>
        <v>45539</v>
      </c>
      <c r="C502" s="19">
        <f t="shared" ref="C502" si="73">U501</f>
        <v>19498.55357508827</v>
      </c>
      <c r="D502" s="42">
        <v>0</v>
      </c>
      <c r="E502" s="42">
        <v>0</v>
      </c>
      <c r="F502" s="42">
        <v>0</v>
      </c>
      <c r="G502" s="42">
        <v>0</v>
      </c>
      <c r="H502" s="42">
        <v>0</v>
      </c>
      <c r="I502" s="42">
        <v>0</v>
      </c>
      <c r="J502" s="42">
        <v>0</v>
      </c>
      <c r="K502" s="19">
        <f>-Resumo_Master!N498</f>
        <v>0</v>
      </c>
      <c r="L502" s="42">
        <v>0</v>
      </c>
      <c r="M502" s="42">
        <v>0</v>
      </c>
      <c r="N502" s="42">
        <v>0</v>
      </c>
      <c r="O502" s="42">
        <v>0</v>
      </c>
      <c r="P502" s="41">
        <v>0</v>
      </c>
      <c r="Q502" s="41">
        <v>0</v>
      </c>
      <c r="R502" s="19">
        <f>SUMIFS([1]FIC!$J$2:$J$1000,[1]FIC!$G$2:$G$1000,"="&amp;B502)</f>
        <v>0</v>
      </c>
      <c r="S502" s="42">
        <v>0</v>
      </c>
      <c r="T502" s="42">
        <v>0</v>
      </c>
      <c r="U502" s="19">
        <f t="shared" ref="U502" si="74">SUM(C502:T502)</f>
        <v>19498.55357508827</v>
      </c>
    </row>
    <row r="503" spans="2:21" x14ac:dyDescent="0.25">
      <c r="B503" s="4">
        <f>WORKDAY($B502,1,Feriados!$A$2:$A$842)</f>
        <v>45540</v>
      </c>
      <c r="C503" s="19">
        <f t="shared" ref="C503" si="75">U502</f>
        <v>19498.55357508827</v>
      </c>
      <c r="D503" s="42">
        <v>0</v>
      </c>
      <c r="E503" s="42">
        <v>0</v>
      </c>
      <c r="F503" s="42">
        <v>0</v>
      </c>
      <c r="G503" s="42">
        <v>0</v>
      </c>
      <c r="H503" s="42">
        <v>0</v>
      </c>
      <c r="I503" s="42">
        <v>0</v>
      </c>
      <c r="J503" s="42">
        <v>0</v>
      </c>
      <c r="K503" s="19">
        <f>-Resumo_Master!N499</f>
        <v>0</v>
      </c>
      <c r="L503" s="42">
        <v>0</v>
      </c>
      <c r="M503" s="42">
        <v>0</v>
      </c>
      <c r="N503" s="42">
        <v>0</v>
      </c>
      <c r="O503" s="42">
        <v>0</v>
      </c>
      <c r="P503" s="41">
        <v>0</v>
      </c>
      <c r="Q503" s="41">
        <v>0</v>
      </c>
      <c r="R503" s="19">
        <f>SUMIFS([1]FIC!$J$2:$J$1000,[1]FIC!$G$2:$G$1000,"="&amp;B503)</f>
        <v>0</v>
      </c>
      <c r="S503" s="42">
        <v>0</v>
      </c>
      <c r="T503" s="42">
        <v>0</v>
      </c>
      <c r="U503" s="19">
        <f t="shared" ref="U503" si="76">SUM(C503:T503)</f>
        <v>19498.55357508827</v>
      </c>
    </row>
    <row r="504" spans="2:21" x14ac:dyDescent="0.25">
      <c r="B504" s="4">
        <f>WORKDAY($B503,1,Feriados!$A$2:$A$842)</f>
        <v>45541</v>
      </c>
      <c r="C504" s="19">
        <f t="shared" ref="C504" si="77">U503</f>
        <v>19498.55357508827</v>
      </c>
      <c r="D504" s="42">
        <v>-29123.539664863467</v>
      </c>
      <c r="E504" s="42">
        <v>0</v>
      </c>
      <c r="F504" s="42">
        <v>0</v>
      </c>
      <c r="G504" s="42">
        <v>0</v>
      </c>
      <c r="H504" s="42">
        <v>0</v>
      </c>
      <c r="I504" s="42">
        <v>0</v>
      </c>
      <c r="J504" s="42">
        <v>0</v>
      </c>
      <c r="K504" s="19">
        <f>-Resumo_Master!N500</f>
        <v>0</v>
      </c>
      <c r="L504" s="42">
        <v>0</v>
      </c>
      <c r="M504" s="42">
        <v>0</v>
      </c>
      <c r="N504" s="42">
        <v>0</v>
      </c>
      <c r="O504" s="42">
        <v>0</v>
      </c>
      <c r="P504" s="41">
        <v>0</v>
      </c>
      <c r="Q504" s="41">
        <v>0</v>
      </c>
      <c r="R504" s="19">
        <f>SUMIFS([1]FIC!$J$2:$J$1000,[1]FIC!$G$2:$G$1000,"="&amp;B504)</f>
        <v>0</v>
      </c>
      <c r="S504" s="42">
        <v>30000</v>
      </c>
      <c r="T504" s="42">
        <v>0</v>
      </c>
      <c r="U504" s="19">
        <f t="shared" ref="U504" si="78">SUM(C504:T504)</f>
        <v>20375.013910224803</v>
      </c>
    </row>
    <row r="505" spans="2:21" x14ac:dyDescent="0.25">
      <c r="B505" s="4">
        <f>WORKDAY($B504,1,Feriados!$A$2:$A$842)</f>
        <v>45544</v>
      </c>
      <c r="C505" s="19">
        <f t="shared" ref="C505" si="79">U504</f>
        <v>20375.013910224803</v>
      </c>
      <c r="D505" s="42">
        <v>0</v>
      </c>
      <c r="E505" s="42">
        <v>0</v>
      </c>
      <c r="F505" s="42">
        <v>0</v>
      </c>
      <c r="G505" s="42">
        <v>0</v>
      </c>
      <c r="H505" s="42">
        <v>0</v>
      </c>
      <c r="I505" s="42">
        <v>0</v>
      </c>
      <c r="J505" s="42">
        <v>0</v>
      </c>
      <c r="K505" s="19">
        <f>-Resumo_Master!N501</f>
        <v>0</v>
      </c>
      <c r="L505" s="42">
        <v>0</v>
      </c>
      <c r="M505" s="42">
        <v>0</v>
      </c>
      <c r="N505" s="42">
        <v>0</v>
      </c>
      <c r="O505" s="42">
        <v>0</v>
      </c>
      <c r="P505" s="41">
        <v>0</v>
      </c>
      <c r="Q505" s="41">
        <v>0</v>
      </c>
      <c r="R505" s="19">
        <f>SUMIFS([1]FIC!$J$2:$J$1000,[1]FIC!$G$2:$G$1000,"="&amp;B505)</f>
        <v>0</v>
      </c>
      <c r="S505" s="42">
        <v>0</v>
      </c>
      <c r="T505" s="42">
        <v>0</v>
      </c>
      <c r="U505" s="19">
        <f t="shared" ref="U505" si="80">SUM(C505:T505)</f>
        <v>20375.013910224803</v>
      </c>
    </row>
    <row r="506" spans="2:21" x14ac:dyDescent="0.25">
      <c r="B506" s="4">
        <f>WORKDAY($B505,1,Feriados!$A$2:$A$842)</f>
        <v>45545</v>
      </c>
      <c r="C506" s="19">
        <f t="shared" ref="C506" si="81">U505</f>
        <v>20375.013910224803</v>
      </c>
      <c r="D506" s="42">
        <v>0</v>
      </c>
      <c r="E506" s="42">
        <v>0</v>
      </c>
      <c r="F506" s="42">
        <v>0</v>
      </c>
      <c r="G506" s="42">
        <v>0</v>
      </c>
      <c r="H506" s="42">
        <v>0</v>
      </c>
      <c r="I506" s="42">
        <v>0</v>
      </c>
      <c r="J506" s="42">
        <v>0</v>
      </c>
      <c r="K506" s="19">
        <f>-Resumo_Master!N502</f>
        <v>0</v>
      </c>
      <c r="L506" s="42">
        <v>0</v>
      </c>
      <c r="M506" s="42">
        <v>0</v>
      </c>
      <c r="N506" s="42">
        <v>0</v>
      </c>
      <c r="O506" s="42">
        <v>0</v>
      </c>
      <c r="P506" s="41">
        <v>0</v>
      </c>
      <c r="Q506" s="41">
        <v>0</v>
      </c>
      <c r="R506" s="19">
        <f>SUMIFS([1]FIC!$J$2:$J$1000,[1]FIC!$G$2:$G$1000,"="&amp;B506)</f>
        <v>0</v>
      </c>
      <c r="S506" s="42">
        <v>0</v>
      </c>
      <c r="T506" s="42">
        <v>0</v>
      </c>
      <c r="U506" s="19">
        <f t="shared" ref="U506" si="82">SUM(C506:T506)</f>
        <v>20375.013910224803</v>
      </c>
    </row>
    <row r="507" spans="2:21" x14ac:dyDescent="0.25">
      <c r="B507" s="4">
        <f>WORKDAY($B506,1,Feriados!$A$2:$A$842)</f>
        <v>45546</v>
      </c>
      <c r="C507" s="19">
        <f t="shared" ref="C507" si="83">U506</f>
        <v>20375.013910224803</v>
      </c>
      <c r="D507" s="42">
        <v>0</v>
      </c>
      <c r="E507" s="42">
        <v>0</v>
      </c>
      <c r="F507" s="42">
        <v>0</v>
      </c>
      <c r="G507" s="42">
        <v>0</v>
      </c>
      <c r="H507" s="42">
        <v>0</v>
      </c>
      <c r="I507" s="42">
        <v>0</v>
      </c>
      <c r="J507" s="42">
        <v>0</v>
      </c>
      <c r="K507" s="19">
        <f>-Resumo_Master!N503</f>
        <v>0</v>
      </c>
      <c r="L507" s="42">
        <v>0</v>
      </c>
      <c r="M507" s="42">
        <v>0</v>
      </c>
      <c r="N507" s="42">
        <v>0</v>
      </c>
      <c r="O507" s="42">
        <v>0</v>
      </c>
      <c r="P507" s="41">
        <v>0</v>
      </c>
      <c r="Q507" s="41">
        <v>0</v>
      </c>
      <c r="R507" s="19">
        <f>SUMIFS([1]FIC!$J$2:$J$1000,[1]FIC!$G$2:$G$1000,"="&amp;B507)</f>
        <v>0</v>
      </c>
      <c r="S507" s="42">
        <v>0</v>
      </c>
      <c r="T507" s="42">
        <v>0</v>
      </c>
      <c r="U507" s="19">
        <f t="shared" ref="U507" si="84">SUM(C507:T507)</f>
        <v>20375.013910224803</v>
      </c>
    </row>
    <row r="508" spans="2:21" x14ac:dyDescent="0.25">
      <c r="B508" s="4">
        <f>WORKDAY($B507,1,Feriados!$A$2:$A$842)</f>
        <v>45547</v>
      </c>
      <c r="C508" s="19">
        <f t="shared" ref="C508" si="85">U507</f>
        <v>20375.013910224803</v>
      </c>
      <c r="D508" s="42">
        <v>0</v>
      </c>
      <c r="E508" s="42">
        <v>0</v>
      </c>
      <c r="F508" s="42">
        <v>0</v>
      </c>
      <c r="G508" s="42">
        <v>0</v>
      </c>
      <c r="H508" s="42">
        <v>0</v>
      </c>
      <c r="I508" s="42">
        <v>0</v>
      </c>
      <c r="J508" s="42">
        <v>0</v>
      </c>
      <c r="K508" s="19">
        <f>-Resumo_Master!N504</f>
        <v>0</v>
      </c>
      <c r="L508" s="42">
        <v>0</v>
      </c>
      <c r="M508" s="42">
        <v>0</v>
      </c>
      <c r="N508" s="42">
        <v>0</v>
      </c>
      <c r="O508" s="42">
        <v>0</v>
      </c>
      <c r="P508" s="41">
        <v>0</v>
      </c>
      <c r="Q508" s="41">
        <v>0</v>
      </c>
      <c r="R508" s="19">
        <f>SUMIFS([1]FIC!$J$2:$J$1000,[1]FIC!$G$2:$G$1000,"="&amp;B508)</f>
        <v>0</v>
      </c>
      <c r="S508" s="42">
        <v>0</v>
      </c>
      <c r="T508" s="42">
        <v>0</v>
      </c>
      <c r="U508" s="19">
        <f t="shared" ref="U508" si="86">SUM(C508:T508)</f>
        <v>20375.013910224803</v>
      </c>
    </row>
    <row r="509" spans="2:21" x14ac:dyDescent="0.25">
      <c r="B509" s="4">
        <f>WORKDAY($B508,1,Feriados!$A$2:$A$842)</f>
        <v>45548</v>
      </c>
      <c r="C509" s="19">
        <f t="shared" ref="C509" si="87">U508</f>
        <v>20375.013910224803</v>
      </c>
      <c r="D509" s="42">
        <v>0</v>
      </c>
      <c r="E509" s="42">
        <v>0</v>
      </c>
      <c r="F509" s="42">
        <v>0</v>
      </c>
      <c r="G509" s="42">
        <v>0</v>
      </c>
      <c r="H509" s="42">
        <v>0</v>
      </c>
      <c r="I509" s="42">
        <v>0</v>
      </c>
      <c r="J509" s="42">
        <v>0</v>
      </c>
      <c r="K509" s="19">
        <f>-Resumo_Master!N505</f>
        <v>0</v>
      </c>
      <c r="L509" s="42">
        <v>0</v>
      </c>
      <c r="M509" s="42">
        <v>0</v>
      </c>
      <c r="N509" s="42">
        <v>0</v>
      </c>
      <c r="O509" s="42">
        <v>0</v>
      </c>
      <c r="P509" s="41">
        <v>0</v>
      </c>
      <c r="Q509" s="41">
        <v>-614.66</v>
      </c>
      <c r="R509" s="19">
        <f>SUMIFS([1]FIC!$J$2:$J$1000,[1]FIC!$G$2:$G$1000,"="&amp;B509)</f>
        <v>0</v>
      </c>
      <c r="S509" s="42">
        <v>0</v>
      </c>
      <c r="T509" s="42">
        <v>0</v>
      </c>
      <c r="U509" s="19">
        <f t="shared" ref="U509" si="88">SUM(C509:T509)</f>
        <v>19760.353910224803</v>
      </c>
    </row>
    <row r="510" spans="2:21" x14ac:dyDescent="0.25">
      <c r="B510" s="4">
        <f>WORKDAY($B509,1,Feriados!$A$2:$A$842)</f>
        <v>45551</v>
      </c>
      <c r="C510" s="19">
        <f t="shared" ref="C510" si="89">U509</f>
        <v>19760.353910224803</v>
      </c>
      <c r="D510" s="42">
        <v>0</v>
      </c>
      <c r="E510" s="42">
        <v>0</v>
      </c>
      <c r="F510" s="42">
        <v>0</v>
      </c>
      <c r="G510" s="42">
        <v>0</v>
      </c>
      <c r="H510" s="42">
        <v>0</v>
      </c>
      <c r="I510" s="42">
        <v>0</v>
      </c>
      <c r="J510" s="42">
        <v>0</v>
      </c>
      <c r="K510" s="19">
        <f>-Resumo_Master!N506</f>
        <v>0</v>
      </c>
      <c r="L510" s="42">
        <v>0</v>
      </c>
      <c r="M510" s="42">
        <v>0</v>
      </c>
      <c r="N510" s="42">
        <v>0</v>
      </c>
      <c r="O510" s="42">
        <v>0</v>
      </c>
      <c r="P510" s="41">
        <v>0</v>
      </c>
      <c r="Q510" s="41">
        <v>0</v>
      </c>
      <c r="R510" s="19">
        <f>SUMIFS([1]FIC!$J$2:$J$1000,[1]FIC!$G$2:$G$1000,"="&amp;B510)</f>
        <v>0</v>
      </c>
      <c r="S510" s="42">
        <v>0</v>
      </c>
      <c r="T510" s="42">
        <v>0</v>
      </c>
      <c r="U510" s="19">
        <f t="shared" ref="U510" si="90">SUM(C510:T510)</f>
        <v>19760.353910224803</v>
      </c>
    </row>
    <row r="511" spans="2:21" x14ac:dyDescent="0.25">
      <c r="B511" s="4">
        <f>WORKDAY($B510,1,Feriados!$A$2:$A$842)</f>
        <v>45552</v>
      </c>
      <c r="C511" s="19">
        <f t="shared" ref="C511" si="91">U510</f>
        <v>19760.353910224803</v>
      </c>
      <c r="D511" s="42">
        <v>0</v>
      </c>
      <c r="E511" s="42">
        <v>0</v>
      </c>
      <c r="F511" s="42">
        <v>0</v>
      </c>
      <c r="G511" s="42">
        <v>0</v>
      </c>
      <c r="H511" s="42">
        <v>0</v>
      </c>
      <c r="I511" s="42">
        <v>0</v>
      </c>
      <c r="J511" s="42">
        <v>0</v>
      </c>
      <c r="K511" s="19">
        <f>-Resumo_Master!N507</f>
        <v>0</v>
      </c>
      <c r="L511" s="42">
        <v>0</v>
      </c>
      <c r="M511" s="42">
        <v>0</v>
      </c>
      <c r="N511" s="42">
        <v>0</v>
      </c>
      <c r="O511" s="42">
        <v>0</v>
      </c>
      <c r="P511" s="41">
        <v>0</v>
      </c>
      <c r="Q511" s="41">
        <v>0</v>
      </c>
      <c r="R511" s="19">
        <f>SUMIFS([1]FIC!$J$2:$J$1000,[1]FIC!$G$2:$G$1000,"="&amp;B511)</f>
        <v>0</v>
      </c>
      <c r="S511" s="42">
        <v>0</v>
      </c>
      <c r="T511" s="42">
        <v>0</v>
      </c>
      <c r="U511" s="19">
        <f t="shared" ref="U511" si="92">SUM(C511:T511)</f>
        <v>19760.353910224803</v>
      </c>
    </row>
    <row r="512" spans="2:21" x14ac:dyDescent="0.25">
      <c r="B512" s="4">
        <f>WORKDAY($B511,1,Feriados!$A$2:$A$842)</f>
        <v>45553</v>
      </c>
      <c r="C512" s="19">
        <f t="shared" ref="C512" si="93">U511</f>
        <v>19760.353910224803</v>
      </c>
      <c r="D512" s="42">
        <v>0</v>
      </c>
      <c r="E512" s="42">
        <v>0</v>
      </c>
      <c r="F512" s="42">
        <v>0</v>
      </c>
      <c r="G512" s="42">
        <v>0</v>
      </c>
      <c r="H512" s="42">
        <v>0</v>
      </c>
      <c r="I512" s="42">
        <v>0</v>
      </c>
      <c r="J512" s="42">
        <v>0</v>
      </c>
      <c r="K512" s="19">
        <f>-Resumo_Master!N508</f>
        <v>0</v>
      </c>
      <c r="L512" s="42">
        <v>0</v>
      </c>
      <c r="M512" s="42">
        <v>0</v>
      </c>
      <c r="N512" s="42">
        <v>0</v>
      </c>
      <c r="O512" s="42">
        <v>0</v>
      </c>
      <c r="P512" s="41">
        <v>0</v>
      </c>
      <c r="Q512" s="41">
        <v>0</v>
      </c>
      <c r="R512" s="19">
        <f>SUMIFS([1]FIC!$J$2:$J$1000,[1]FIC!$G$2:$G$1000,"="&amp;B512)</f>
        <v>0</v>
      </c>
      <c r="S512" s="42">
        <v>0</v>
      </c>
      <c r="T512" s="42">
        <v>0</v>
      </c>
      <c r="U512" s="19">
        <f t="shared" ref="U512" si="94">SUM(C512:T512)</f>
        <v>19760.353910224803</v>
      </c>
    </row>
    <row r="513" spans="2:21" x14ac:dyDescent="0.25">
      <c r="B513" s="4">
        <f>WORKDAY($B512,1,Feriados!$A$2:$A$842)</f>
        <v>45554</v>
      </c>
      <c r="C513" s="19">
        <f t="shared" ref="C513" si="95">U512</f>
        <v>19760.353910224803</v>
      </c>
      <c r="D513" s="42">
        <v>0</v>
      </c>
      <c r="E513" s="42">
        <v>0</v>
      </c>
      <c r="F513" s="42">
        <v>0</v>
      </c>
      <c r="G513" s="42">
        <v>0</v>
      </c>
      <c r="H513" s="42">
        <v>0</v>
      </c>
      <c r="I513" s="42">
        <v>0</v>
      </c>
      <c r="J513" s="42">
        <v>0</v>
      </c>
      <c r="K513" s="19">
        <f>-Resumo_Master!N509</f>
        <v>0</v>
      </c>
      <c r="L513" s="42">
        <v>0</v>
      </c>
      <c r="M513" s="42">
        <v>0</v>
      </c>
      <c r="N513" s="42">
        <v>0</v>
      </c>
      <c r="O513" s="42">
        <v>0</v>
      </c>
      <c r="P513" s="41">
        <v>0</v>
      </c>
      <c r="Q513" s="41">
        <v>0</v>
      </c>
      <c r="R513" s="19">
        <f>SUMIFS([1]FIC!$J$2:$J$1000,[1]FIC!$G$2:$G$1000,"="&amp;B513)</f>
        <v>0</v>
      </c>
      <c r="S513" s="42">
        <v>0</v>
      </c>
      <c r="T513" s="42">
        <v>0</v>
      </c>
      <c r="U513" s="19">
        <f t="shared" ref="U513" si="96">SUM(C513:T513)</f>
        <v>19760.353910224803</v>
      </c>
    </row>
    <row r="514" spans="2:21" x14ac:dyDescent="0.25">
      <c r="B514" s="4">
        <f>WORKDAY($B513,1,Feriados!$A$2:$A$842)</f>
        <v>45555</v>
      </c>
      <c r="C514" s="19">
        <f t="shared" ref="C514" si="97">U513</f>
        <v>19760.353910224803</v>
      </c>
      <c r="D514" s="42">
        <v>0</v>
      </c>
      <c r="E514" s="42">
        <v>0</v>
      </c>
      <c r="F514" s="42">
        <v>0</v>
      </c>
      <c r="G514" s="42">
        <v>0</v>
      </c>
      <c r="H514" s="42">
        <v>0</v>
      </c>
      <c r="I514" s="42">
        <v>0</v>
      </c>
      <c r="J514" s="42">
        <v>0</v>
      </c>
      <c r="K514" s="19">
        <f>-Resumo_Master!N510</f>
        <v>0</v>
      </c>
      <c r="L514" s="42">
        <v>0</v>
      </c>
      <c r="M514" s="42">
        <v>0</v>
      </c>
      <c r="N514" s="42">
        <v>0</v>
      </c>
      <c r="O514" s="42">
        <v>0</v>
      </c>
      <c r="P514" s="41">
        <v>0</v>
      </c>
      <c r="Q514" s="41">
        <v>0</v>
      </c>
      <c r="R514" s="19">
        <f>SUMIFS([1]FIC!$J$2:$J$1000,[1]FIC!$G$2:$G$1000,"="&amp;B514)</f>
        <v>0</v>
      </c>
      <c r="S514" s="42">
        <v>0</v>
      </c>
      <c r="T514" s="42">
        <v>0</v>
      </c>
      <c r="U514" s="19">
        <f t="shared" ref="U514" si="98">SUM(C514:T514)</f>
        <v>19760.353910224803</v>
      </c>
    </row>
    <row r="515" spans="2:21" x14ac:dyDescent="0.25">
      <c r="B515" s="4">
        <f>WORKDAY($B514,1,Feriados!$A$2:$A$842)</f>
        <v>45558</v>
      </c>
      <c r="C515" s="19">
        <f t="shared" ref="C515" si="99">U514</f>
        <v>19760.353910224803</v>
      </c>
      <c r="D515" s="42">
        <v>0</v>
      </c>
      <c r="E515" s="42">
        <v>0</v>
      </c>
      <c r="F515" s="42">
        <v>0</v>
      </c>
      <c r="G515" s="42">
        <v>0</v>
      </c>
      <c r="H515" s="42">
        <v>0</v>
      </c>
      <c r="I515" s="42">
        <v>0</v>
      </c>
      <c r="J515" s="42">
        <v>0</v>
      </c>
      <c r="K515" s="19">
        <f>-Resumo_Master!N511</f>
        <v>0</v>
      </c>
      <c r="L515" s="42">
        <v>0</v>
      </c>
      <c r="M515" s="42">
        <v>0</v>
      </c>
      <c r="N515" s="42">
        <v>0</v>
      </c>
      <c r="O515" s="42">
        <v>0</v>
      </c>
      <c r="P515" s="41">
        <v>0</v>
      </c>
      <c r="Q515" s="41">
        <v>0</v>
      </c>
      <c r="R515" s="19">
        <f>SUMIFS([1]FIC!$J$2:$J$1000,[1]FIC!$G$2:$G$1000,"="&amp;B515)</f>
        <v>0</v>
      </c>
      <c r="S515" s="42">
        <v>0</v>
      </c>
      <c r="T515" s="42">
        <v>0</v>
      </c>
      <c r="U515" s="19">
        <f t="shared" ref="U515" si="100">SUM(C515:T515)</f>
        <v>19760.353910224803</v>
      </c>
    </row>
    <row r="516" spans="2:21" x14ac:dyDescent="0.25">
      <c r="B516" s="4">
        <f>WORKDAY($B515,1,Feriados!$A$2:$A$842)</f>
        <v>45559</v>
      </c>
      <c r="C516" s="19">
        <f t="shared" ref="C516" si="101">U515</f>
        <v>19760.353910224803</v>
      </c>
      <c r="D516" s="42">
        <v>0</v>
      </c>
      <c r="E516" s="42">
        <v>0</v>
      </c>
      <c r="F516" s="42">
        <v>0</v>
      </c>
      <c r="G516" s="42">
        <v>0</v>
      </c>
      <c r="H516" s="42">
        <v>0</v>
      </c>
      <c r="I516" s="42">
        <v>0</v>
      </c>
      <c r="J516" s="42">
        <v>0</v>
      </c>
      <c r="K516" s="19">
        <f>-Resumo_Master!N512</f>
        <v>0</v>
      </c>
      <c r="L516" s="42">
        <v>0</v>
      </c>
      <c r="M516" s="42">
        <v>0</v>
      </c>
      <c r="N516" s="42">
        <v>0</v>
      </c>
      <c r="O516" s="42">
        <v>0</v>
      </c>
      <c r="P516" s="41">
        <v>0</v>
      </c>
      <c r="Q516" s="41">
        <v>0</v>
      </c>
      <c r="R516" s="19">
        <f>SUMIFS([1]FIC!$J$2:$J$1000,[1]FIC!$G$2:$G$1000,"="&amp;B516)</f>
        <v>0</v>
      </c>
      <c r="S516" s="42">
        <v>0</v>
      </c>
      <c r="T516" s="42">
        <v>0</v>
      </c>
      <c r="U516" s="19">
        <f t="shared" ref="U516" si="102">SUM(C516:T516)</f>
        <v>19760.353910224803</v>
      </c>
    </row>
    <row r="517" spans="2:21" x14ac:dyDescent="0.25">
      <c r="B517" s="4">
        <f>WORKDAY($B516,1,Feriados!$A$2:$A$842)</f>
        <v>45560</v>
      </c>
      <c r="C517" s="19">
        <f t="shared" ref="C517" si="103">U516</f>
        <v>19760.353910224803</v>
      </c>
      <c r="D517" s="42">
        <v>0</v>
      </c>
      <c r="E517" s="42">
        <v>0</v>
      </c>
      <c r="F517" s="42">
        <v>0</v>
      </c>
      <c r="G517" s="42">
        <v>0</v>
      </c>
      <c r="H517" s="42">
        <v>0</v>
      </c>
      <c r="I517" s="42">
        <v>0</v>
      </c>
      <c r="J517" s="42">
        <v>0</v>
      </c>
      <c r="K517" s="19">
        <f>-Resumo_Master!N513</f>
        <v>0</v>
      </c>
      <c r="L517" s="42">
        <v>0</v>
      </c>
      <c r="M517" s="42">
        <v>0</v>
      </c>
      <c r="N517" s="42">
        <v>0</v>
      </c>
      <c r="O517" s="42">
        <v>0</v>
      </c>
      <c r="P517" s="41">
        <v>0</v>
      </c>
      <c r="Q517" s="41">
        <v>0</v>
      </c>
      <c r="R517" s="19">
        <f>SUMIFS([1]FIC!$J$2:$J$1000,[1]FIC!$G$2:$G$1000,"="&amp;B517)</f>
        <v>-32000</v>
      </c>
      <c r="S517" s="42">
        <v>32000</v>
      </c>
      <c r="T517" s="42">
        <v>0</v>
      </c>
      <c r="U517" s="19">
        <f t="shared" ref="U517" si="104">SUM(C517:T517)</f>
        <v>19760.353910224803</v>
      </c>
    </row>
    <row r="518" spans="2:21" x14ac:dyDescent="0.25">
      <c r="B518" s="4">
        <f>WORKDAY($B517,1,Feriados!$A$2:$A$842)</f>
        <v>45561</v>
      </c>
      <c r="C518" s="19">
        <f t="shared" ref="C518" si="105">U517</f>
        <v>19760.353910224803</v>
      </c>
      <c r="D518" s="42">
        <v>0</v>
      </c>
      <c r="E518" s="42">
        <v>0</v>
      </c>
      <c r="F518" s="42">
        <v>0</v>
      </c>
      <c r="G518" s="42">
        <v>0</v>
      </c>
      <c r="H518" s="42">
        <v>0</v>
      </c>
      <c r="I518" s="42">
        <v>0</v>
      </c>
      <c r="J518" s="42">
        <v>0</v>
      </c>
      <c r="K518" s="19">
        <f>-Resumo_Master!N514</f>
        <v>0</v>
      </c>
      <c r="L518" s="42">
        <v>0</v>
      </c>
      <c r="M518" s="42">
        <v>0</v>
      </c>
      <c r="N518" s="42">
        <v>0</v>
      </c>
      <c r="O518" s="42">
        <v>0</v>
      </c>
      <c r="P518" s="41">
        <v>0</v>
      </c>
      <c r="Q518" s="41">
        <v>0</v>
      </c>
      <c r="R518" s="19">
        <f>SUMIFS([1]FIC!$J$2:$J$1000,[1]FIC!$G$2:$G$1000,"="&amp;B518)</f>
        <v>0</v>
      </c>
      <c r="S518" s="42">
        <v>0</v>
      </c>
      <c r="T518" s="42">
        <v>0</v>
      </c>
      <c r="U518" s="19">
        <f t="shared" ref="U518" si="106">SUM(C518:T518)</f>
        <v>19760.353910224803</v>
      </c>
    </row>
    <row r="519" spans="2:21" x14ac:dyDescent="0.25">
      <c r="B519" s="4">
        <f>WORKDAY($B518,1,Feriados!$A$2:$A$842)</f>
        <v>45562</v>
      </c>
      <c r="C519" s="19">
        <f t="shared" ref="C519" si="107">U518</f>
        <v>19760.353910224803</v>
      </c>
      <c r="D519" s="42">
        <v>0</v>
      </c>
      <c r="E519" s="42">
        <v>0</v>
      </c>
      <c r="F519" s="42">
        <v>0</v>
      </c>
      <c r="G519" s="42">
        <v>0</v>
      </c>
      <c r="H519" s="42">
        <v>0</v>
      </c>
      <c r="I519" s="42">
        <v>0</v>
      </c>
      <c r="J519" s="42">
        <v>0</v>
      </c>
      <c r="K519" s="19">
        <f>-Resumo_Master!N515</f>
        <v>0</v>
      </c>
      <c r="L519" s="42">
        <v>0</v>
      </c>
      <c r="M519" s="42">
        <v>0</v>
      </c>
      <c r="N519" s="42">
        <v>0</v>
      </c>
      <c r="O519" s="42">
        <v>0</v>
      </c>
      <c r="P519" s="41">
        <v>0</v>
      </c>
      <c r="Q519" s="41">
        <v>0</v>
      </c>
      <c r="R519" s="19">
        <f>SUMIFS([1]FIC!$J$2:$J$1000,[1]FIC!$G$2:$G$1000,"="&amp;B519)</f>
        <v>0</v>
      </c>
      <c r="S519" s="42">
        <v>0</v>
      </c>
      <c r="T519" s="42">
        <v>0</v>
      </c>
      <c r="U519" s="19">
        <f t="shared" ref="U519" si="108">SUM(C519:T519)</f>
        <v>19760.353910224803</v>
      </c>
    </row>
    <row r="520" spans="2:21" x14ac:dyDescent="0.25">
      <c r="B520" s="4">
        <f>WORKDAY($B519,1,Feriados!$A$2:$A$842)</f>
        <v>45565</v>
      </c>
      <c r="C520" s="19">
        <f t="shared" ref="C520" si="109">U519</f>
        <v>19760.353910224803</v>
      </c>
      <c r="D520" s="42">
        <v>0</v>
      </c>
      <c r="E520" s="42">
        <v>0</v>
      </c>
      <c r="F520" s="42">
        <v>0</v>
      </c>
      <c r="G520" s="42">
        <v>0</v>
      </c>
      <c r="H520" s="42">
        <v>0</v>
      </c>
      <c r="I520" s="42">
        <v>0</v>
      </c>
      <c r="J520" s="42">
        <v>0</v>
      </c>
      <c r="K520" s="19">
        <f>-Resumo_Master!N516</f>
        <v>0</v>
      </c>
      <c r="L520" s="42">
        <v>0</v>
      </c>
      <c r="M520" s="42">
        <v>0</v>
      </c>
      <c r="N520" s="42">
        <v>0</v>
      </c>
      <c r="O520" s="42">
        <v>0</v>
      </c>
      <c r="P520" s="41">
        <v>0</v>
      </c>
      <c r="Q520" s="41">
        <v>0</v>
      </c>
      <c r="R520" s="19">
        <f>SUMIFS([1]FIC!$J$2:$J$1000,[1]FIC!$G$2:$G$1000,"="&amp;B520)</f>
        <v>0</v>
      </c>
      <c r="S520" s="42">
        <v>0</v>
      </c>
      <c r="T520" s="42">
        <v>0</v>
      </c>
      <c r="U520" s="19">
        <f t="shared" ref="U520" si="110">SUM(C520:T520)</f>
        <v>19760.353910224803</v>
      </c>
    </row>
    <row r="521" spans="2:21" x14ac:dyDescent="0.25">
      <c r="B521" s="4">
        <f>WORKDAY($B520,1,Feriados!$A$2:$A$842)</f>
        <v>45566</v>
      </c>
      <c r="C521" s="19">
        <f t="shared" ref="C521" si="111">U520</f>
        <v>19760.353910224803</v>
      </c>
      <c r="D521" s="42">
        <v>0</v>
      </c>
      <c r="E521" s="42">
        <v>0</v>
      </c>
      <c r="F521" s="42">
        <v>0</v>
      </c>
      <c r="G521" s="42">
        <v>0</v>
      </c>
      <c r="H521" s="42">
        <v>0</v>
      </c>
      <c r="I521" s="42">
        <v>0</v>
      </c>
      <c r="J521" s="42">
        <v>0</v>
      </c>
      <c r="K521" s="19">
        <f>-Resumo_Master!N517</f>
        <v>0</v>
      </c>
      <c r="L521" s="42">
        <v>0</v>
      </c>
      <c r="M521" s="42">
        <v>0</v>
      </c>
      <c r="N521" s="42">
        <v>0</v>
      </c>
      <c r="O521" s="42">
        <v>0</v>
      </c>
      <c r="P521" s="41">
        <v>0</v>
      </c>
      <c r="Q521" s="41">
        <v>0</v>
      </c>
      <c r="R521" s="19">
        <f>SUMIFS([1]FIC!$J$2:$J$1000,[1]FIC!$G$2:$G$1000,"="&amp;B521)</f>
        <v>0</v>
      </c>
      <c r="S521" s="42">
        <v>0</v>
      </c>
      <c r="T521" s="42">
        <v>0</v>
      </c>
      <c r="U521" s="19">
        <f t="shared" ref="U521" si="112">SUM(C521:T521)</f>
        <v>19760.353910224803</v>
      </c>
    </row>
    <row r="522" spans="2:21" x14ac:dyDescent="0.25">
      <c r="B522" s="4">
        <f>WORKDAY($B521,1,Feriados!$A$2:$A$842)</f>
        <v>45567</v>
      </c>
      <c r="C522" s="19">
        <f t="shared" ref="C522" si="113">U521</f>
        <v>19760.353910224803</v>
      </c>
      <c r="D522" s="42">
        <v>0</v>
      </c>
      <c r="E522" s="42">
        <v>0</v>
      </c>
      <c r="F522" s="42">
        <v>0</v>
      </c>
      <c r="G522" s="42">
        <v>0</v>
      </c>
      <c r="H522" s="42">
        <v>0</v>
      </c>
      <c r="I522" s="42">
        <v>0</v>
      </c>
      <c r="J522" s="42">
        <v>0</v>
      </c>
      <c r="K522" s="19">
        <f>-Resumo_Master!N518</f>
        <v>0</v>
      </c>
      <c r="L522" s="42">
        <v>0</v>
      </c>
      <c r="M522" s="42">
        <v>0</v>
      </c>
      <c r="N522" s="42">
        <v>0</v>
      </c>
      <c r="O522" s="42">
        <v>0</v>
      </c>
      <c r="P522" s="41">
        <v>0</v>
      </c>
      <c r="Q522" s="41">
        <v>0</v>
      </c>
      <c r="R522" s="19">
        <f>SUMIFS([1]FIC!$J$2:$J$1000,[1]FIC!$G$2:$G$1000,"="&amp;B522)</f>
        <v>0</v>
      </c>
      <c r="S522" s="42">
        <v>0</v>
      </c>
      <c r="T522" s="42">
        <v>0</v>
      </c>
      <c r="U522" s="19">
        <f t="shared" ref="U522" si="114">SUM(C522:T522)</f>
        <v>19760.353910224803</v>
      </c>
    </row>
    <row r="523" spans="2:21" x14ac:dyDescent="0.25">
      <c r="B523" s="4">
        <f>WORKDAY($B522,1,Feriados!$A$2:$A$842)</f>
        <v>45568</v>
      </c>
      <c r="C523" s="19">
        <f t="shared" ref="C523" si="115">U522</f>
        <v>19760.353910224803</v>
      </c>
      <c r="D523" s="42">
        <v>0</v>
      </c>
      <c r="E523" s="42">
        <v>0</v>
      </c>
      <c r="F523" s="42">
        <v>0</v>
      </c>
      <c r="G523" s="42">
        <v>0</v>
      </c>
      <c r="H523" s="42">
        <v>0</v>
      </c>
      <c r="I523" s="42">
        <v>0</v>
      </c>
      <c r="J523" s="42">
        <v>0</v>
      </c>
      <c r="K523" s="19">
        <f>-Resumo_Master!N519</f>
        <v>0</v>
      </c>
      <c r="L523" s="42">
        <v>0</v>
      </c>
      <c r="M523" s="42">
        <v>0</v>
      </c>
      <c r="N523" s="42">
        <v>0</v>
      </c>
      <c r="O523" s="42">
        <v>0</v>
      </c>
      <c r="P523" s="41">
        <v>0</v>
      </c>
      <c r="Q523" s="41">
        <v>0</v>
      </c>
      <c r="R523" s="19">
        <f>SUMIFS([1]FIC!$J$2:$J$1000,[1]FIC!$G$2:$G$1000,"="&amp;B523)</f>
        <v>0</v>
      </c>
      <c r="S523" s="42">
        <v>0</v>
      </c>
      <c r="T523" s="42">
        <v>0</v>
      </c>
      <c r="U523" s="19">
        <f t="shared" ref="U523" si="116">SUM(C523:T523)</f>
        <v>19760.353910224803</v>
      </c>
    </row>
    <row r="524" spans="2:21" x14ac:dyDescent="0.25">
      <c r="B524" s="4">
        <f>WORKDAY($B523,1,Feriados!$A$2:$A$842)</f>
        <v>45569</v>
      </c>
      <c r="C524" s="19">
        <f t="shared" ref="C524" si="117">U523</f>
        <v>19760.353910224803</v>
      </c>
      <c r="D524" s="42">
        <v>0</v>
      </c>
      <c r="E524" s="42">
        <v>0</v>
      </c>
      <c r="F524" s="42">
        <v>0</v>
      </c>
      <c r="G524" s="42">
        <v>0</v>
      </c>
      <c r="H524" s="42">
        <v>0</v>
      </c>
      <c r="I524" s="42">
        <v>0</v>
      </c>
      <c r="J524" s="42">
        <v>0</v>
      </c>
      <c r="K524" s="19">
        <f>-Resumo_Master!N520</f>
        <v>0</v>
      </c>
      <c r="L524" s="42">
        <v>0</v>
      </c>
      <c r="M524" s="42">
        <v>0</v>
      </c>
      <c r="N524" s="42">
        <v>0</v>
      </c>
      <c r="O524" s="42">
        <v>0</v>
      </c>
      <c r="P524" s="41">
        <v>0</v>
      </c>
      <c r="Q524" s="41">
        <v>0</v>
      </c>
      <c r="R524" s="19">
        <f>SUMIFS([1]FIC!$J$2:$J$1000,[1]FIC!$G$2:$G$1000,"="&amp;B524)</f>
        <v>0</v>
      </c>
      <c r="S524" s="42">
        <v>0</v>
      </c>
      <c r="T524" s="42">
        <v>0</v>
      </c>
      <c r="U524" s="19">
        <f t="shared" ref="U524" si="118">SUM(C524:T524)</f>
        <v>19760.353910224803</v>
      </c>
    </row>
    <row r="525" spans="2:21" x14ac:dyDescent="0.25">
      <c r="B525" s="4">
        <f>WORKDAY($B524,1,Feriados!$A$2:$A$842)</f>
        <v>45572</v>
      </c>
      <c r="C525" s="19">
        <f t="shared" ref="C525" si="119">U524</f>
        <v>19760.353910224803</v>
      </c>
      <c r="D525" s="42">
        <v>-27594.530113144199</v>
      </c>
      <c r="E525" s="42">
        <v>0</v>
      </c>
      <c r="F525" s="42">
        <v>0</v>
      </c>
      <c r="G525" s="42">
        <v>0</v>
      </c>
      <c r="H525" s="42">
        <v>0</v>
      </c>
      <c r="I525" s="42">
        <v>0</v>
      </c>
      <c r="J525" s="42">
        <v>0</v>
      </c>
      <c r="K525" s="19">
        <f>-Resumo_Master!N521</f>
        <v>0</v>
      </c>
      <c r="L525" s="42">
        <v>0</v>
      </c>
      <c r="M525" s="42">
        <v>0</v>
      </c>
      <c r="N525" s="42">
        <v>0</v>
      </c>
      <c r="O525" s="42">
        <v>0</v>
      </c>
      <c r="P525" s="41">
        <v>0</v>
      </c>
      <c r="Q525" s="41">
        <v>0</v>
      </c>
      <c r="R525" s="19">
        <f>SUMIFS([1]FIC!$J$2:$J$1000,[1]FIC!$G$2:$G$1000,"="&amp;B525)</f>
        <v>0</v>
      </c>
      <c r="S525" s="42">
        <v>28000</v>
      </c>
      <c r="T525" s="42">
        <v>0</v>
      </c>
      <c r="U525" s="19">
        <f t="shared" ref="U525" si="120">SUM(C525:T525)</f>
        <v>20165.823797080604</v>
      </c>
    </row>
    <row r="526" spans="2:21" x14ac:dyDescent="0.25">
      <c r="B526" s="4">
        <f>WORKDAY($B525,1,Feriados!$A$2:$A$842)</f>
        <v>45573</v>
      </c>
      <c r="C526" s="19">
        <f t="shared" ref="C526" si="121">U525</f>
        <v>20165.823797080604</v>
      </c>
      <c r="D526" s="42">
        <v>0</v>
      </c>
      <c r="E526" s="42">
        <v>0</v>
      </c>
      <c r="F526" s="42">
        <v>0</v>
      </c>
      <c r="G526" s="42">
        <v>0</v>
      </c>
      <c r="H526" s="42">
        <v>0</v>
      </c>
      <c r="I526" s="42">
        <v>0</v>
      </c>
      <c r="J526" s="42">
        <v>0</v>
      </c>
      <c r="K526" s="19">
        <f>-Resumo_Master!N522</f>
        <v>0</v>
      </c>
      <c r="L526" s="42">
        <v>0</v>
      </c>
      <c r="M526" s="42">
        <v>0</v>
      </c>
      <c r="N526" s="42">
        <v>0</v>
      </c>
      <c r="O526" s="42">
        <v>0</v>
      </c>
      <c r="P526" s="41">
        <v>0</v>
      </c>
      <c r="Q526" s="41">
        <v>0</v>
      </c>
      <c r="R526" s="19">
        <f>SUMIFS([1]FIC!$J$2:$J$1000,[1]FIC!$G$2:$G$1000,"="&amp;B526)</f>
        <v>0</v>
      </c>
      <c r="S526" s="42">
        <v>0</v>
      </c>
      <c r="T526" s="42">
        <v>0</v>
      </c>
      <c r="U526" s="19">
        <f t="shared" ref="U526" si="122">SUM(C526:T526)</f>
        <v>20165.823797080604</v>
      </c>
    </row>
    <row r="527" spans="2:21" x14ac:dyDescent="0.25">
      <c r="B527" s="4">
        <f>WORKDAY($B526,1,Feriados!$A$2:$A$842)</f>
        <v>45574</v>
      </c>
      <c r="C527" s="19">
        <f t="shared" ref="C527" si="123">U526</f>
        <v>20165.823797080604</v>
      </c>
      <c r="D527" s="42">
        <v>0</v>
      </c>
      <c r="E527" s="42">
        <v>0</v>
      </c>
      <c r="F527" s="42">
        <v>0</v>
      </c>
      <c r="G527" s="42">
        <v>0</v>
      </c>
      <c r="H527" s="42">
        <v>0</v>
      </c>
      <c r="I527" s="42">
        <v>0</v>
      </c>
      <c r="J527" s="42">
        <v>0</v>
      </c>
      <c r="K527" s="19">
        <f>-Resumo_Master!N523</f>
        <v>0</v>
      </c>
      <c r="L527" s="42">
        <v>0</v>
      </c>
      <c r="M527" s="42">
        <v>0</v>
      </c>
      <c r="N527" s="42">
        <v>0</v>
      </c>
      <c r="O527" s="42">
        <v>0</v>
      </c>
      <c r="P527" s="41">
        <v>0</v>
      </c>
      <c r="Q527" s="41">
        <v>0</v>
      </c>
      <c r="R527" s="19">
        <f>SUMIFS([1]FIC!$J$2:$J$1000,[1]FIC!$G$2:$G$1000,"="&amp;B527)</f>
        <v>0</v>
      </c>
      <c r="S527" s="42">
        <v>0</v>
      </c>
      <c r="T527" s="42">
        <v>0</v>
      </c>
      <c r="U527" s="19">
        <f t="shared" ref="U527" si="124">SUM(C527:T527)</f>
        <v>20165.823797080604</v>
      </c>
    </row>
    <row r="528" spans="2:21" x14ac:dyDescent="0.25">
      <c r="B528" s="4">
        <f>WORKDAY($B527,1,Feriados!$A$2:$A$842)</f>
        <v>45575</v>
      </c>
      <c r="C528" s="19">
        <f t="shared" ref="C528" si="125">U527</f>
        <v>20165.823797080604</v>
      </c>
      <c r="D528" s="42">
        <v>0</v>
      </c>
      <c r="E528" s="42">
        <v>0</v>
      </c>
      <c r="F528" s="42">
        <v>0</v>
      </c>
      <c r="G528" s="42">
        <v>0</v>
      </c>
      <c r="H528" s="42">
        <v>0</v>
      </c>
      <c r="I528" s="42">
        <v>0</v>
      </c>
      <c r="J528" s="42">
        <v>0</v>
      </c>
      <c r="K528" s="19">
        <f>-Resumo_Master!N524</f>
        <v>0</v>
      </c>
      <c r="L528" s="42">
        <v>0</v>
      </c>
      <c r="M528" s="42">
        <v>0</v>
      </c>
      <c r="N528" s="42">
        <v>0</v>
      </c>
      <c r="O528" s="42">
        <v>0</v>
      </c>
      <c r="P528" s="41">
        <v>0</v>
      </c>
      <c r="Q528" s="41">
        <v>0</v>
      </c>
      <c r="R528" s="19">
        <f>SUMIFS([1]FIC!$J$2:$J$1000,[1]FIC!$G$2:$G$1000,"="&amp;B528)</f>
        <v>0</v>
      </c>
      <c r="S528" s="42">
        <v>0</v>
      </c>
      <c r="T528" s="42">
        <v>0</v>
      </c>
      <c r="U528" s="19">
        <f t="shared" ref="U528" si="126">SUM(C528:T528)</f>
        <v>20165.823797080604</v>
      </c>
    </row>
    <row r="529" spans="2:21" x14ac:dyDescent="0.25">
      <c r="B529" s="4">
        <f>WORKDAY($B528,1,Feriados!$A$2:$A$842)</f>
        <v>45576</v>
      </c>
      <c r="C529" s="19">
        <f t="shared" ref="C529" si="127">U528</f>
        <v>20165.823797080604</v>
      </c>
      <c r="D529" s="42">
        <v>0</v>
      </c>
      <c r="E529" s="42">
        <v>0</v>
      </c>
      <c r="F529" s="42">
        <v>0</v>
      </c>
      <c r="G529" s="42">
        <v>0</v>
      </c>
      <c r="H529" s="42">
        <v>0</v>
      </c>
      <c r="I529" s="42">
        <v>0</v>
      </c>
      <c r="J529" s="42">
        <v>0</v>
      </c>
      <c r="K529" s="19">
        <f>-Resumo_Master!N525</f>
        <v>0</v>
      </c>
      <c r="L529" s="42">
        <v>0</v>
      </c>
      <c r="M529" s="42">
        <v>0</v>
      </c>
      <c r="N529" s="42">
        <v>0</v>
      </c>
      <c r="O529" s="42">
        <v>0</v>
      </c>
      <c r="P529" s="41">
        <v>0</v>
      </c>
      <c r="Q529" s="41">
        <v>0</v>
      </c>
      <c r="R529" s="19">
        <f>SUMIFS([1]FIC!$J$2:$J$1000,[1]FIC!$G$2:$G$1000,"="&amp;B529)</f>
        <v>0</v>
      </c>
      <c r="S529" s="42">
        <v>0</v>
      </c>
      <c r="T529" s="42">
        <v>0</v>
      </c>
      <c r="U529" s="19">
        <f t="shared" ref="U529" si="128">SUM(C529:T529)</f>
        <v>20165.823797080604</v>
      </c>
    </row>
    <row r="530" spans="2:21" x14ac:dyDescent="0.25">
      <c r="B530" s="4">
        <f>WORKDAY($B529,1,Feriados!$A$2:$A$842)</f>
        <v>45579</v>
      </c>
      <c r="C530" s="19">
        <f t="shared" ref="C530" si="129">U529</f>
        <v>20165.823797080604</v>
      </c>
      <c r="D530" s="42">
        <v>0</v>
      </c>
      <c r="E530" s="42">
        <v>0</v>
      </c>
      <c r="F530" s="42">
        <v>0</v>
      </c>
      <c r="G530" s="42">
        <v>0</v>
      </c>
      <c r="H530" s="42">
        <v>0</v>
      </c>
      <c r="I530" s="42">
        <v>0</v>
      </c>
      <c r="J530" s="42">
        <v>0</v>
      </c>
      <c r="K530" s="19">
        <f>-Resumo_Master!N526</f>
        <v>0</v>
      </c>
      <c r="L530" s="42">
        <v>0</v>
      </c>
      <c r="M530" s="42">
        <v>0</v>
      </c>
      <c r="N530" s="42">
        <v>0</v>
      </c>
      <c r="O530" s="42">
        <v>0</v>
      </c>
      <c r="P530" s="41">
        <v>0</v>
      </c>
      <c r="Q530" s="41">
        <v>-614.66</v>
      </c>
      <c r="R530" s="19">
        <f>SUMIFS([1]FIC!$J$2:$J$1000,[1]FIC!$G$2:$G$1000,"="&amp;B530)</f>
        <v>0</v>
      </c>
      <c r="S530" s="42">
        <v>0</v>
      </c>
      <c r="T530" s="42">
        <v>0</v>
      </c>
      <c r="U530" s="19">
        <f t="shared" ref="U530" si="130">SUM(C530:T530)</f>
        <v>19551.163797080604</v>
      </c>
    </row>
    <row r="531" spans="2:21" x14ac:dyDescent="0.25">
      <c r="B531" s="4">
        <f>WORKDAY($B530,1,Feriados!$A$2:$A$842)</f>
        <v>45580</v>
      </c>
      <c r="C531" s="19">
        <f t="shared" ref="C531" si="131">U530</f>
        <v>19551.163797080604</v>
      </c>
      <c r="D531" s="42">
        <v>0</v>
      </c>
      <c r="E531" s="42">
        <v>0</v>
      </c>
      <c r="F531" s="42">
        <v>0</v>
      </c>
      <c r="G531" s="42">
        <v>0</v>
      </c>
      <c r="H531" s="42">
        <v>0</v>
      </c>
      <c r="I531" s="42">
        <v>0</v>
      </c>
      <c r="J531" s="42">
        <v>0</v>
      </c>
      <c r="K531" s="19">
        <f>-Resumo_Master!N527</f>
        <v>0</v>
      </c>
      <c r="L531" s="42">
        <v>0</v>
      </c>
      <c r="M531" s="42">
        <v>0</v>
      </c>
      <c r="N531" s="42">
        <v>0</v>
      </c>
      <c r="O531" s="42">
        <v>0</v>
      </c>
      <c r="P531" s="41">
        <v>0</v>
      </c>
      <c r="Q531" s="41">
        <v>0</v>
      </c>
      <c r="R531" s="19">
        <f>SUMIFS([1]FIC!$J$2:$J$1000,[1]FIC!$G$2:$G$1000,"="&amp;B531)</f>
        <v>0</v>
      </c>
      <c r="S531" s="42">
        <v>0</v>
      </c>
      <c r="T531" s="42">
        <v>0</v>
      </c>
      <c r="U531" s="19">
        <f t="shared" ref="U531" si="132">SUM(C531:T531)</f>
        <v>19551.163797080604</v>
      </c>
    </row>
    <row r="532" spans="2:21" x14ac:dyDescent="0.25">
      <c r="B532" s="4">
        <f>WORKDAY($B531,1,Feriados!$A$2:$A$842)</f>
        <v>45581</v>
      </c>
      <c r="C532" s="19">
        <f t="shared" ref="C532" si="133">U531</f>
        <v>19551.163797080604</v>
      </c>
      <c r="D532" s="42">
        <v>0</v>
      </c>
      <c r="E532" s="42">
        <v>0</v>
      </c>
      <c r="F532" s="42">
        <v>0</v>
      </c>
      <c r="G532" s="42">
        <v>0</v>
      </c>
      <c r="H532" s="42">
        <v>0</v>
      </c>
      <c r="I532" s="42">
        <v>0</v>
      </c>
      <c r="J532" s="42">
        <v>0</v>
      </c>
      <c r="K532" s="19">
        <f>-Resumo_Master!N528</f>
        <v>0</v>
      </c>
      <c r="L532" s="42">
        <v>0</v>
      </c>
      <c r="M532" s="42">
        <v>0</v>
      </c>
      <c r="N532" s="42">
        <v>0</v>
      </c>
      <c r="O532" s="42">
        <v>0</v>
      </c>
      <c r="P532" s="41">
        <v>0</v>
      </c>
      <c r="Q532" s="41">
        <v>0</v>
      </c>
      <c r="R532" s="19">
        <f>SUMIFS([1]FIC!$J$2:$J$1000,[1]FIC!$G$2:$G$1000,"="&amp;B532)</f>
        <v>0</v>
      </c>
      <c r="S532" s="42">
        <v>0</v>
      </c>
      <c r="T532" s="42">
        <v>0</v>
      </c>
      <c r="U532" s="19">
        <f t="shared" ref="U532" si="134">SUM(C532:T532)</f>
        <v>19551.163797080604</v>
      </c>
    </row>
    <row r="533" spans="2:21" x14ac:dyDescent="0.25">
      <c r="B533" s="4">
        <f>WORKDAY($B532,1,Feriados!$A$2:$A$842)</f>
        <v>45582</v>
      </c>
      <c r="C533" s="19">
        <f t="shared" ref="C533" si="135">U532</f>
        <v>19551.163797080604</v>
      </c>
      <c r="D533" s="42">
        <v>0</v>
      </c>
      <c r="E533" s="42">
        <v>0</v>
      </c>
      <c r="F533" s="42">
        <v>0</v>
      </c>
      <c r="G533" s="42">
        <v>0</v>
      </c>
      <c r="H533" s="42">
        <v>0</v>
      </c>
      <c r="I533" s="42">
        <v>0</v>
      </c>
      <c r="J533" s="42">
        <v>0</v>
      </c>
      <c r="K533" s="19">
        <f>-Resumo_Master!N529</f>
        <v>0</v>
      </c>
      <c r="L533" s="42">
        <v>0</v>
      </c>
      <c r="M533" s="42">
        <v>0</v>
      </c>
      <c r="N533" s="42">
        <v>0</v>
      </c>
      <c r="O533" s="42">
        <v>0</v>
      </c>
      <c r="P533" s="41">
        <v>0</v>
      </c>
      <c r="Q533" s="41">
        <v>-196</v>
      </c>
      <c r="R533" s="19">
        <f>SUMIFS([1]FIC!$J$2:$J$1000,[1]FIC!$G$2:$G$1000,"="&amp;B533)</f>
        <v>0</v>
      </c>
      <c r="S533" s="42">
        <v>0</v>
      </c>
      <c r="T533" s="42">
        <v>0</v>
      </c>
      <c r="U533" s="19">
        <f t="shared" ref="U533" si="136">SUM(C533:T533)</f>
        <v>19355.163797080604</v>
      </c>
    </row>
    <row r="534" spans="2:21" x14ac:dyDescent="0.25">
      <c r="B534" s="4">
        <f>WORKDAY($B533,1,Feriados!$A$2:$A$842)</f>
        <v>45583</v>
      </c>
      <c r="C534" s="19">
        <f t="shared" ref="C534" si="137">U533</f>
        <v>19355.163797080604</v>
      </c>
      <c r="D534" s="42">
        <v>0</v>
      </c>
      <c r="E534" s="42">
        <v>0</v>
      </c>
      <c r="F534" s="42">
        <v>0</v>
      </c>
      <c r="G534" s="42">
        <v>0</v>
      </c>
      <c r="H534" s="42">
        <v>0</v>
      </c>
      <c r="I534" s="42">
        <v>0</v>
      </c>
      <c r="J534" s="42">
        <v>0</v>
      </c>
      <c r="K534" s="19">
        <f>-Resumo_Master!N530</f>
        <v>0</v>
      </c>
      <c r="L534" s="42">
        <v>0</v>
      </c>
      <c r="M534" s="42">
        <v>0</v>
      </c>
      <c r="N534" s="42">
        <v>0</v>
      </c>
      <c r="O534" s="42">
        <v>0</v>
      </c>
      <c r="P534" s="41">
        <v>0</v>
      </c>
      <c r="Q534" s="41">
        <v>0</v>
      </c>
      <c r="R534" s="19">
        <f>SUMIFS([1]FIC!$J$2:$J$1000,[1]FIC!$G$2:$G$1000,"="&amp;B534)</f>
        <v>0</v>
      </c>
      <c r="S534" s="42">
        <v>0</v>
      </c>
      <c r="T534" s="42">
        <v>0</v>
      </c>
      <c r="U534" s="19">
        <f t="shared" ref="U534" si="138">SUM(C534:T534)</f>
        <v>19355.163797080604</v>
      </c>
    </row>
    <row r="535" spans="2:21" x14ac:dyDescent="0.25">
      <c r="B535" s="4">
        <f>WORKDAY($B534,1,Feriados!$A$2:$A$842)</f>
        <v>45586</v>
      </c>
      <c r="C535" s="19">
        <f t="shared" ref="C535" si="139">U534</f>
        <v>19355.163797080604</v>
      </c>
      <c r="D535" s="42">
        <v>0</v>
      </c>
      <c r="E535" s="42">
        <v>0</v>
      </c>
      <c r="F535" s="42">
        <v>0</v>
      </c>
      <c r="G535" s="42">
        <v>0</v>
      </c>
      <c r="H535" s="42">
        <v>0</v>
      </c>
      <c r="I535" s="42">
        <v>0</v>
      </c>
      <c r="J535" s="42">
        <v>0</v>
      </c>
      <c r="K535" s="19">
        <f>-Resumo_Master!N531</f>
        <v>0</v>
      </c>
      <c r="L535" s="42">
        <v>0</v>
      </c>
      <c r="M535" s="42">
        <v>0</v>
      </c>
      <c r="N535" s="42">
        <v>0</v>
      </c>
      <c r="O535" s="42">
        <v>0</v>
      </c>
      <c r="P535" s="41">
        <v>0</v>
      </c>
      <c r="Q535" s="41">
        <v>0</v>
      </c>
      <c r="R535" s="19">
        <f>SUMIFS([1]FIC!$J$2:$J$1000,[1]FIC!$G$2:$G$1000,"="&amp;B535)</f>
        <v>0</v>
      </c>
      <c r="S535" s="42">
        <v>0</v>
      </c>
      <c r="T535" s="42">
        <v>0</v>
      </c>
      <c r="U535" s="19">
        <f t="shared" ref="U535" si="140">SUM(C535:T535)</f>
        <v>19355.163797080604</v>
      </c>
    </row>
    <row r="536" spans="2:21" x14ac:dyDescent="0.25">
      <c r="B536" s="4">
        <f>WORKDAY($B535,1,Feriados!$A$2:$A$842)</f>
        <v>45587</v>
      </c>
      <c r="C536" s="19">
        <f t="shared" ref="C536" si="141">U535</f>
        <v>19355.163797080604</v>
      </c>
      <c r="D536" s="42">
        <v>0</v>
      </c>
      <c r="E536" s="42">
        <v>0</v>
      </c>
      <c r="F536" s="42">
        <v>0</v>
      </c>
      <c r="G536" s="42">
        <v>0</v>
      </c>
      <c r="H536" s="42">
        <v>0</v>
      </c>
      <c r="I536" s="42">
        <v>0</v>
      </c>
      <c r="J536" s="42">
        <v>0</v>
      </c>
      <c r="K536" s="19">
        <f>-Resumo_Master!N532</f>
        <v>0</v>
      </c>
      <c r="L536" s="42">
        <v>0</v>
      </c>
      <c r="M536" s="42">
        <v>0</v>
      </c>
      <c r="N536" s="42">
        <v>0</v>
      </c>
      <c r="O536" s="42">
        <v>0</v>
      </c>
      <c r="P536" s="41">
        <v>0</v>
      </c>
      <c r="Q536" s="41">
        <v>0</v>
      </c>
      <c r="R536" s="19">
        <f>SUMIFS([1]FIC!$J$2:$J$1000,[1]FIC!$G$2:$G$1000,"="&amp;B536)</f>
        <v>-38258.960893832882</v>
      </c>
      <c r="S536" s="42">
        <v>42000</v>
      </c>
      <c r="T536" s="42">
        <v>0</v>
      </c>
      <c r="U536" s="19">
        <f t="shared" ref="U536" si="142">SUM(C536:T536)</f>
        <v>23096.202903247722</v>
      </c>
    </row>
    <row r="537" spans="2:21" x14ac:dyDescent="0.25">
      <c r="B537" s="4">
        <f>WORKDAY($B536,1,Feriados!$A$2:$A$842)</f>
        <v>45588</v>
      </c>
      <c r="C537" s="19">
        <f t="shared" ref="C537" si="143">U536</f>
        <v>23096.202903247722</v>
      </c>
      <c r="D537" s="42">
        <v>0</v>
      </c>
      <c r="E537" s="42">
        <v>0</v>
      </c>
      <c r="F537" s="42">
        <v>0</v>
      </c>
      <c r="G537" s="42">
        <v>0</v>
      </c>
      <c r="H537" s="42">
        <v>0</v>
      </c>
      <c r="I537" s="42">
        <v>0</v>
      </c>
      <c r="J537" s="42">
        <v>0</v>
      </c>
      <c r="K537" s="19">
        <f>-Resumo_Master!N533</f>
        <v>0</v>
      </c>
      <c r="L537" s="42">
        <v>0</v>
      </c>
      <c r="M537" s="42">
        <v>0</v>
      </c>
      <c r="N537" s="42">
        <v>0</v>
      </c>
      <c r="O537" s="42">
        <v>0</v>
      </c>
      <c r="P537" s="41">
        <v>0</v>
      </c>
      <c r="Q537" s="41">
        <v>0</v>
      </c>
      <c r="R537" s="19">
        <f>SUMIFS([1]FIC!$J$2:$J$1000,[1]FIC!$G$2:$G$1000,"="&amp;B537)</f>
        <v>0</v>
      </c>
      <c r="S537" s="42">
        <v>0</v>
      </c>
      <c r="T537" s="42">
        <v>0</v>
      </c>
      <c r="U537" s="19">
        <f t="shared" ref="U537" si="144">SUM(C537:T537)</f>
        <v>23096.202903247722</v>
      </c>
    </row>
    <row r="538" spans="2:21" x14ac:dyDescent="0.25">
      <c r="B538" s="4">
        <f>WORKDAY($B537,1,Feriados!$A$2:$A$842)</f>
        <v>45589</v>
      </c>
      <c r="C538" s="19">
        <f t="shared" ref="C538" si="145">U537</f>
        <v>23096.202903247722</v>
      </c>
      <c r="D538" s="42">
        <v>0</v>
      </c>
      <c r="E538" s="42">
        <v>0</v>
      </c>
      <c r="F538" s="42">
        <v>0</v>
      </c>
      <c r="G538" s="42">
        <v>0</v>
      </c>
      <c r="H538" s="42">
        <v>0</v>
      </c>
      <c r="I538" s="42">
        <v>0</v>
      </c>
      <c r="J538" s="42">
        <v>0</v>
      </c>
      <c r="K538" s="19">
        <f>-Resumo_Master!N534</f>
        <v>0</v>
      </c>
      <c r="L538" s="42">
        <v>0</v>
      </c>
      <c r="M538" s="42">
        <v>0</v>
      </c>
      <c r="N538" s="42">
        <v>0</v>
      </c>
      <c r="O538" s="42">
        <v>0</v>
      </c>
      <c r="P538" s="41">
        <v>0</v>
      </c>
      <c r="Q538" s="41">
        <v>0</v>
      </c>
      <c r="R538" s="19">
        <f>SUMIFS([1]FIC!$J$2:$J$1000,[1]FIC!$G$2:$G$1000,"="&amp;B538)</f>
        <v>0</v>
      </c>
      <c r="S538" s="42">
        <v>0</v>
      </c>
      <c r="T538" s="42">
        <v>0</v>
      </c>
      <c r="U538" s="19">
        <f t="shared" ref="U538" si="146">SUM(C538:T538)</f>
        <v>23096.202903247722</v>
      </c>
    </row>
    <row r="539" spans="2:21" x14ac:dyDescent="0.25">
      <c r="B539" s="4">
        <f>WORKDAY($B538,1,Feriados!$A$2:$A$842)</f>
        <v>45590</v>
      </c>
      <c r="C539" s="19">
        <f t="shared" ref="C539" si="147">U538</f>
        <v>23096.202903247722</v>
      </c>
      <c r="D539" s="42">
        <v>0</v>
      </c>
      <c r="E539" s="42">
        <v>0</v>
      </c>
      <c r="F539" s="42">
        <v>0</v>
      </c>
      <c r="G539" s="42">
        <v>0</v>
      </c>
      <c r="H539" s="42">
        <v>0</v>
      </c>
      <c r="I539" s="42">
        <v>0</v>
      </c>
      <c r="J539" s="42">
        <v>0</v>
      </c>
      <c r="K539" s="19">
        <f>-Resumo_Master!N535</f>
        <v>0</v>
      </c>
      <c r="L539" s="42">
        <v>0</v>
      </c>
      <c r="M539" s="42">
        <v>0</v>
      </c>
      <c r="N539" s="42">
        <v>0</v>
      </c>
      <c r="O539" s="42">
        <v>0</v>
      </c>
      <c r="P539" s="41">
        <v>0</v>
      </c>
      <c r="Q539" s="41">
        <v>0</v>
      </c>
      <c r="R539" s="19">
        <f>SUMIFS([1]FIC!$J$2:$J$1000,[1]FIC!$G$2:$G$1000,"="&amp;B539)</f>
        <v>0</v>
      </c>
      <c r="S539" s="42">
        <v>0</v>
      </c>
      <c r="T539" s="42">
        <v>0</v>
      </c>
      <c r="U539" s="19">
        <f t="shared" ref="U539" si="148">SUM(C539:T539)</f>
        <v>23096.202903247722</v>
      </c>
    </row>
    <row r="540" spans="2:21" x14ac:dyDescent="0.25">
      <c r="B540" s="4">
        <f>WORKDAY($B539,1,Feriados!$A$2:$A$842)</f>
        <v>45593</v>
      </c>
      <c r="C540" s="19">
        <f t="shared" ref="C540" si="149">U539</f>
        <v>23096.202903247722</v>
      </c>
      <c r="D540" s="42">
        <v>0</v>
      </c>
      <c r="E540" s="42">
        <v>0</v>
      </c>
      <c r="F540" s="42">
        <v>0</v>
      </c>
      <c r="G540" s="42">
        <v>0</v>
      </c>
      <c r="H540" s="42">
        <v>0</v>
      </c>
      <c r="I540" s="42">
        <v>0</v>
      </c>
      <c r="J540" s="42">
        <v>0</v>
      </c>
      <c r="K540" s="19">
        <f>-Resumo_Master!N536</f>
        <v>0</v>
      </c>
      <c r="L540" s="42">
        <v>0</v>
      </c>
      <c r="M540" s="42">
        <v>0</v>
      </c>
      <c r="N540" s="42">
        <v>0</v>
      </c>
      <c r="O540" s="42">
        <v>0</v>
      </c>
      <c r="P540" s="41">
        <v>0</v>
      </c>
      <c r="Q540" s="41">
        <v>0</v>
      </c>
      <c r="R540" s="19">
        <f>SUMIFS([1]FIC!$J$2:$J$1000,[1]FIC!$G$2:$G$1000,"="&amp;B540)</f>
        <v>0</v>
      </c>
      <c r="S540" s="42">
        <v>0</v>
      </c>
      <c r="T540" s="42">
        <v>0</v>
      </c>
      <c r="U540" s="19">
        <f t="shared" ref="U540" si="150">SUM(C540:T540)</f>
        <v>23096.202903247722</v>
      </c>
    </row>
    <row r="541" spans="2:21" x14ac:dyDescent="0.25">
      <c r="B541" s="4">
        <f>WORKDAY($B540,1,Feriados!$A$2:$A$842)</f>
        <v>45594</v>
      </c>
      <c r="C541" s="19">
        <f t="shared" ref="C541" si="151">U540</f>
        <v>23096.202903247722</v>
      </c>
      <c r="D541" s="42">
        <v>0</v>
      </c>
      <c r="E541" s="42">
        <v>0</v>
      </c>
      <c r="F541" s="42">
        <v>0</v>
      </c>
      <c r="G541" s="42">
        <v>0</v>
      </c>
      <c r="H541" s="42">
        <v>0</v>
      </c>
      <c r="I541" s="42">
        <v>0</v>
      </c>
      <c r="J541" s="42">
        <v>0</v>
      </c>
      <c r="K541" s="19">
        <f>-Resumo_Master!N537</f>
        <v>0</v>
      </c>
      <c r="L541" s="42">
        <v>0</v>
      </c>
      <c r="M541" s="42">
        <v>0</v>
      </c>
      <c r="N541" s="42">
        <v>0</v>
      </c>
      <c r="O541" s="42">
        <v>0</v>
      </c>
      <c r="P541" s="41">
        <v>0</v>
      </c>
      <c r="Q541" s="41">
        <v>0</v>
      </c>
      <c r="R541" s="19">
        <f>SUMIFS([1]FIC!$J$2:$J$1000,[1]FIC!$G$2:$G$1000,"="&amp;B541)</f>
        <v>0</v>
      </c>
      <c r="S541" s="42">
        <v>0</v>
      </c>
      <c r="T541" s="42">
        <v>0</v>
      </c>
      <c r="U541" s="19">
        <f t="shared" ref="U541" si="152">SUM(C541:T541)</f>
        <v>23096.202903247722</v>
      </c>
    </row>
    <row r="542" spans="2:21" x14ac:dyDescent="0.25">
      <c r="B542" s="4">
        <f>WORKDAY($B541,1,Feriados!$A$2:$A$842)</f>
        <v>45595</v>
      </c>
      <c r="C542" s="19">
        <f t="shared" ref="C542" si="153">U541</f>
        <v>23096.202903247722</v>
      </c>
      <c r="D542" s="42">
        <v>0</v>
      </c>
      <c r="E542" s="42">
        <v>0</v>
      </c>
      <c r="F542" s="42">
        <v>0</v>
      </c>
      <c r="G542" s="42">
        <v>0</v>
      </c>
      <c r="H542" s="42">
        <v>0</v>
      </c>
      <c r="I542" s="42">
        <v>0</v>
      </c>
      <c r="J542" s="42">
        <v>0</v>
      </c>
      <c r="K542" s="19">
        <f>-Resumo_Master!N538</f>
        <v>0</v>
      </c>
      <c r="L542" s="42">
        <v>0</v>
      </c>
      <c r="M542" s="42">
        <v>0</v>
      </c>
      <c r="N542" s="42">
        <v>0</v>
      </c>
      <c r="O542" s="42">
        <v>0</v>
      </c>
      <c r="P542" s="41">
        <v>0</v>
      </c>
      <c r="Q542" s="41">
        <v>0</v>
      </c>
      <c r="R542" s="19">
        <f>SUMIFS([1]FIC!$J$2:$J$1000,[1]FIC!$G$2:$G$1000,"="&amp;B542)</f>
        <v>0</v>
      </c>
      <c r="S542" s="42">
        <v>0</v>
      </c>
      <c r="T542" s="42">
        <v>0</v>
      </c>
      <c r="U542" s="19">
        <f t="shared" ref="U542" si="154">SUM(C542:T542)</f>
        <v>23096.202903247722</v>
      </c>
    </row>
    <row r="543" spans="2:21" x14ac:dyDescent="0.25">
      <c r="B543" s="4">
        <f>WORKDAY($B542,1,Feriados!$A$2:$A$842)</f>
        <v>45596</v>
      </c>
      <c r="C543" s="19">
        <f t="shared" ref="C543" si="155">U542</f>
        <v>23096.202903247722</v>
      </c>
      <c r="D543" s="42">
        <v>0</v>
      </c>
      <c r="E543" s="42">
        <v>0</v>
      </c>
      <c r="F543" s="42">
        <v>0</v>
      </c>
      <c r="G543" s="42">
        <v>0</v>
      </c>
      <c r="H543" s="42">
        <v>0</v>
      </c>
      <c r="I543" s="42">
        <v>0</v>
      </c>
      <c r="J543" s="42">
        <v>0</v>
      </c>
      <c r="K543" s="19">
        <f>-Resumo_Master!N539</f>
        <v>0</v>
      </c>
      <c r="L543" s="42">
        <v>0</v>
      </c>
      <c r="M543" s="42">
        <v>0</v>
      </c>
      <c r="N543" s="42">
        <v>0</v>
      </c>
      <c r="O543" s="42">
        <v>0</v>
      </c>
      <c r="P543" s="41">
        <v>0</v>
      </c>
      <c r="Q543" s="41">
        <v>0</v>
      </c>
      <c r="R543" s="19">
        <f>SUMIFS([1]FIC!$J$2:$J$1000,[1]FIC!$G$2:$G$1000,"="&amp;B543)</f>
        <v>0</v>
      </c>
      <c r="S543" s="42">
        <v>0</v>
      </c>
      <c r="T543" s="42">
        <v>0</v>
      </c>
      <c r="U543" s="19">
        <f t="shared" ref="U543" si="156">SUM(C543:T543)</f>
        <v>23096.202903247722</v>
      </c>
    </row>
    <row r="544" spans="2:21" x14ac:dyDescent="0.25">
      <c r="B544" s="4">
        <f>WORKDAY($B543,1,Feriados!$A$2:$A$842)</f>
        <v>45597</v>
      </c>
      <c r="C544" s="19">
        <f t="shared" ref="C544" si="157">U543</f>
        <v>23096.202903247722</v>
      </c>
      <c r="D544" s="42">
        <v>0</v>
      </c>
      <c r="E544" s="42">
        <v>0</v>
      </c>
      <c r="F544" s="42">
        <v>0</v>
      </c>
      <c r="G544" s="42">
        <v>0</v>
      </c>
      <c r="H544" s="42">
        <v>0</v>
      </c>
      <c r="I544" s="42">
        <v>0</v>
      </c>
      <c r="J544" s="42">
        <v>0</v>
      </c>
      <c r="K544" s="19">
        <f>-Resumo_Master!N540</f>
        <v>0</v>
      </c>
      <c r="L544" s="42">
        <v>0</v>
      </c>
      <c r="M544" s="42">
        <v>0</v>
      </c>
      <c r="N544" s="42">
        <v>0</v>
      </c>
      <c r="O544" s="42">
        <v>0</v>
      </c>
      <c r="P544" s="41">
        <v>0</v>
      </c>
      <c r="Q544" s="41">
        <v>0</v>
      </c>
      <c r="R544" s="19">
        <f>SUMIFS([1]FIC!$J$2:$J$1000,[1]FIC!$G$2:$G$1000,"="&amp;B544)</f>
        <v>0</v>
      </c>
      <c r="S544" s="42">
        <v>0</v>
      </c>
      <c r="T544" s="42">
        <v>0</v>
      </c>
      <c r="U544" s="19">
        <f t="shared" ref="U544" si="158">SUM(C544:T544)</f>
        <v>23096.202903247722</v>
      </c>
    </row>
    <row r="545" spans="2:21" x14ac:dyDescent="0.25">
      <c r="B545" s="4">
        <f>WORKDAY($B544,1,Feriados!$A$2:$A$842)</f>
        <v>45600</v>
      </c>
      <c r="C545" s="19">
        <f t="shared" ref="C545" si="159">U544</f>
        <v>23096.202903247722</v>
      </c>
      <c r="D545" s="42">
        <v>0</v>
      </c>
      <c r="E545" s="42">
        <v>0</v>
      </c>
      <c r="F545" s="42">
        <v>0</v>
      </c>
      <c r="G545" s="42">
        <v>0</v>
      </c>
      <c r="H545" s="42">
        <v>0</v>
      </c>
      <c r="I545" s="42">
        <v>0</v>
      </c>
      <c r="J545" s="42">
        <v>0</v>
      </c>
      <c r="K545" s="19">
        <f>-Resumo_Master!N541</f>
        <v>0</v>
      </c>
      <c r="L545" s="42">
        <v>0</v>
      </c>
      <c r="M545" s="42">
        <v>0</v>
      </c>
      <c r="N545" s="42">
        <v>0</v>
      </c>
      <c r="O545" s="42">
        <v>0</v>
      </c>
      <c r="P545" s="41">
        <v>0</v>
      </c>
      <c r="Q545" s="41">
        <v>0</v>
      </c>
      <c r="R545" s="19">
        <f>SUMIFS([1]FIC!$J$2:$J$1000,[1]FIC!$G$2:$G$1000,"="&amp;B545)</f>
        <v>0</v>
      </c>
      <c r="S545" s="42">
        <v>0</v>
      </c>
      <c r="T545" s="42">
        <v>0</v>
      </c>
      <c r="U545" s="19">
        <f t="shared" ref="U545" si="160">SUM(C545:T545)</f>
        <v>23096.202903247722</v>
      </c>
    </row>
    <row r="546" spans="2:21" x14ac:dyDescent="0.25">
      <c r="B546" s="4">
        <f>WORKDAY($B545,1,Feriados!$A$2:$A$842)</f>
        <v>45601</v>
      </c>
      <c r="C546" s="19">
        <f t="shared" ref="C546" si="161">U545</f>
        <v>23096.202903247722</v>
      </c>
      <c r="D546" s="42">
        <v>0</v>
      </c>
      <c r="E546" s="42">
        <v>0</v>
      </c>
      <c r="F546" s="42">
        <v>0</v>
      </c>
      <c r="G546" s="42">
        <v>0</v>
      </c>
      <c r="H546" s="42">
        <v>0</v>
      </c>
      <c r="I546" s="42">
        <v>0</v>
      </c>
      <c r="J546" s="42">
        <v>0</v>
      </c>
      <c r="K546" s="19">
        <f>-Resumo_Master!N542</f>
        <v>0</v>
      </c>
      <c r="L546" s="42">
        <v>0</v>
      </c>
      <c r="M546" s="42">
        <v>0</v>
      </c>
      <c r="N546" s="42">
        <v>0</v>
      </c>
      <c r="O546" s="42">
        <v>0</v>
      </c>
      <c r="P546" s="41">
        <v>0</v>
      </c>
      <c r="Q546" s="41">
        <v>0</v>
      </c>
      <c r="R546" s="19">
        <f>SUMIFS([1]FIC!$J$2:$J$1000,[1]FIC!$G$2:$G$1000,"="&amp;B546)</f>
        <v>0</v>
      </c>
      <c r="S546" s="42">
        <v>0</v>
      </c>
      <c r="T546" s="42">
        <v>0</v>
      </c>
      <c r="U546" s="19">
        <f t="shared" ref="U546" si="162">SUM(C546:T546)</f>
        <v>23096.202903247722</v>
      </c>
    </row>
    <row r="547" spans="2:21" x14ac:dyDescent="0.25">
      <c r="B547" s="4">
        <f>WORKDAY($B546,1,Feriados!$A$2:$A$842)</f>
        <v>45602</v>
      </c>
      <c r="C547" s="19">
        <f t="shared" ref="C547" si="163">U546</f>
        <v>23096.202903247722</v>
      </c>
      <c r="D547" s="42">
        <v>0</v>
      </c>
      <c r="E547" s="42">
        <v>0</v>
      </c>
      <c r="F547" s="42">
        <v>0</v>
      </c>
      <c r="G547" s="42">
        <v>0</v>
      </c>
      <c r="H547" s="42">
        <v>0</v>
      </c>
      <c r="I547" s="42">
        <v>0</v>
      </c>
      <c r="J547" s="42">
        <v>0</v>
      </c>
      <c r="K547" s="19">
        <f>-Resumo_Master!N543</f>
        <v>0</v>
      </c>
      <c r="L547" s="42">
        <v>0</v>
      </c>
      <c r="M547" s="42">
        <v>0</v>
      </c>
      <c r="N547" s="42">
        <v>0</v>
      </c>
      <c r="O547" s="42">
        <v>0</v>
      </c>
      <c r="P547" s="41">
        <v>0</v>
      </c>
      <c r="Q547" s="41">
        <v>0</v>
      </c>
      <c r="R547" s="19">
        <f>SUMIFS([1]FIC!$J$2:$J$1000,[1]FIC!$G$2:$G$1000,"="&amp;B547)</f>
        <v>0</v>
      </c>
      <c r="S547" s="42">
        <v>0</v>
      </c>
      <c r="T547" s="42">
        <v>0</v>
      </c>
      <c r="U547" s="19">
        <f t="shared" ref="U547" si="164">SUM(C547:T547)</f>
        <v>23096.202903247722</v>
      </c>
    </row>
    <row r="548" spans="2:21" x14ac:dyDescent="0.25">
      <c r="B548" s="4">
        <f>WORKDAY($B547,1,Feriados!$A$2:$A$842)</f>
        <v>45603</v>
      </c>
      <c r="C548" s="19">
        <f t="shared" ref="C548:C549" si="165">U547</f>
        <v>23096.202903247722</v>
      </c>
      <c r="D548" s="42">
        <v>-28560.517196854482</v>
      </c>
      <c r="E548" s="42">
        <v>0</v>
      </c>
      <c r="F548" s="42">
        <v>0</v>
      </c>
      <c r="G548" s="42">
        <v>0</v>
      </c>
      <c r="H548" s="42">
        <v>0</v>
      </c>
      <c r="I548" s="42">
        <v>0</v>
      </c>
      <c r="J548" s="42">
        <v>0</v>
      </c>
      <c r="K548" s="19">
        <f>-Resumo_Master!N544</f>
        <v>0</v>
      </c>
      <c r="L548" s="42">
        <v>0</v>
      </c>
      <c r="M548" s="42">
        <v>0</v>
      </c>
      <c r="N548" s="42">
        <v>0</v>
      </c>
      <c r="O548" s="42">
        <v>0</v>
      </c>
      <c r="P548" s="41">
        <v>0</v>
      </c>
      <c r="Q548" s="41">
        <v>0</v>
      </c>
      <c r="R548" s="19">
        <f>SUMIFS([1]FIC!$J$2:$J$1000,[1]FIC!$G$2:$G$1000,"="&amp;B548)</f>
        <v>0</v>
      </c>
      <c r="S548" s="42">
        <v>29000</v>
      </c>
      <c r="T548" s="42">
        <v>0</v>
      </c>
      <c r="U548" s="19">
        <f t="shared" ref="U548:U549" si="166">SUM(C548:T548)</f>
        <v>23535.68570639324</v>
      </c>
    </row>
    <row r="549" spans="2:21" x14ac:dyDescent="0.25">
      <c r="B549" s="4">
        <f>WORKDAY($B548,1,Feriados!$A$2:$A$842)</f>
        <v>45604</v>
      </c>
      <c r="C549" s="19">
        <f t="shared" si="165"/>
        <v>23535.68570639324</v>
      </c>
      <c r="D549" s="42">
        <v>0</v>
      </c>
      <c r="E549" s="42">
        <v>0</v>
      </c>
      <c r="F549" s="42">
        <v>0</v>
      </c>
      <c r="G549" s="42">
        <v>0</v>
      </c>
      <c r="H549" s="42">
        <v>0</v>
      </c>
      <c r="I549" s="42">
        <v>0</v>
      </c>
      <c r="J549" s="42">
        <v>0</v>
      </c>
      <c r="K549" s="19">
        <f>-Resumo_Master!N545</f>
        <v>0</v>
      </c>
      <c r="L549" s="42">
        <v>0</v>
      </c>
      <c r="M549" s="42">
        <v>0</v>
      </c>
      <c r="N549" s="42">
        <v>0</v>
      </c>
      <c r="O549" s="42">
        <v>0</v>
      </c>
      <c r="P549" s="41">
        <v>0</v>
      </c>
      <c r="Q549" s="41">
        <v>0</v>
      </c>
      <c r="R549" s="19">
        <f>SUMIFS([1]FIC!$J$2:$J$1000,[1]FIC!$G$2:$G$1000,"="&amp;B549)</f>
        <v>0</v>
      </c>
      <c r="S549" s="42">
        <v>0</v>
      </c>
      <c r="T549" s="42">
        <v>0</v>
      </c>
      <c r="U549" s="19">
        <f t="shared" si="166"/>
        <v>23535.68570639324</v>
      </c>
    </row>
    <row r="550" spans="2:21" x14ac:dyDescent="0.25">
      <c r="B550" s="4">
        <f>WORKDAY($B549,1,Feriados!$A$2:$A$842)</f>
        <v>45607</v>
      </c>
      <c r="C550" s="19">
        <f t="shared" ref="C550" si="167">U549</f>
        <v>23535.68570639324</v>
      </c>
      <c r="D550" s="42">
        <v>0</v>
      </c>
      <c r="E550" s="42">
        <v>0</v>
      </c>
      <c r="F550" s="42">
        <v>0</v>
      </c>
      <c r="G550" s="42">
        <v>0</v>
      </c>
      <c r="H550" s="42">
        <v>0</v>
      </c>
      <c r="I550" s="42">
        <v>0</v>
      </c>
      <c r="J550" s="42">
        <v>0</v>
      </c>
      <c r="K550" s="19">
        <f>-Resumo_Master!N546</f>
        <v>0</v>
      </c>
      <c r="L550" s="42">
        <v>0</v>
      </c>
      <c r="M550" s="42">
        <v>0</v>
      </c>
      <c r="N550" s="42">
        <v>0</v>
      </c>
      <c r="O550" s="42">
        <v>0</v>
      </c>
      <c r="P550" s="41">
        <v>0</v>
      </c>
      <c r="Q550" s="41">
        <v>0</v>
      </c>
      <c r="R550" s="19">
        <f>SUMIFS([1]FIC!$J$2:$J$1000,[1]FIC!$G$2:$G$1000,"="&amp;B550)</f>
        <v>0</v>
      </c>
      <c r="S550" s="42">
        <v>0</v>
      </c>
      <c r="T550" s="42">
        <v>0</v>
      </c>
      <c r="U550" s="19">
        <f t="shared" ref="U550" si="168">SUM(C550:T550)</f>
        <v>23535.68570639324</v>
      </c>
    </row>
    <row r="551" spans="2:21" x14ac:dyDescent="0.25">
      <c r="B551" s="4">
        <f>WORKDAY($B550,1,Feriados!$A$2:$A$842)</f>
        <v>45608</v>
      </c>
      <c r="C551" s="19">
        <f t="shared" ref="C551" si="169">U550</f>
        <v>23535.68570639324</v>
      </c>
      <c r="D551" s="42">
        <v>0</v>
      </c>
      <c r="E551" s="42">
        <v>0</v>
      </c>
      <c r="F551" s="42">
        <v>0</v>
      </c>
      <c r="G551" s="42">
        <v>0</v>
      </c>
      <c r="H551" s="42">
        <v>0</v>
      </c>
      <c r="I551" s="42">
        <v>0</v>
      </c>
      <c r="J551" s="42">
        <v>0</v>
      </c>
      <c r="K551" s="19">
        <f>-Resumo_Master!N547</f>
        <v>0</v>
      </c>
      <c r="L551" s="42">
        <v>0</v>
      </c>
      <c r="M551" s="42">
        <v>0</v>
      </c>
      <c r="N551" s="42">
        <v>0</v>
      </c>
      <c r="O551" s="42">
        <v>0</v>
      </c>
      <c r="P551" s="41">
        <v>0</v>
      </c>
      <c r="Q551" s="41">
        <v>0</v>
      </c>
      <c r="R551" s="19">
        <f>SUMIFS([1]FIC!$J$2:$J$1000,[1]FIC!$G$2:$G$1000,"="&amp;B551)</f>
        <v>0</v>
      </c>
      <c r="S551" s="42">
        <v>0</v>
      </c>
      <c r="T551" s="42">
        <v>0</v>
      </c>
      <c r="U551" s="19">
        <f t="shared" ref="U551" si="170">SUM(C551:T551)</f>
        <v>23535.68570639324</v>
      </c>
    </row>
    <row r="552" spans="2:21" x14ac:dyDescent="0.25">
      <c r="B552" s="4">
        <f>WORKDAY($B551,1,Feriados!$A$2:$A$842)</f>
        <v>45609</v>
      </c>
      <c r="C552" s="19">
        <f t="shared" ref="C552" si="171">U551</f>
        <v>23535.68570639324</v>
      </c>
      <c r="D552" s="42">
        <v>0</v>
      </c>
      <c r="E552" s="42">
        <v>0</v>
      </c>
      <c r="F552" s="42">
        <v>0</v>
      </c>
      <c r="G552" s="42">
        <v>0</v>
      </c>
      <c r="H552" s="42">
        <v>0</v>
      </c>
      <c r="I552" s="42">
        <v>0</v>
      </c>
      <c r="J552" s="42">
        <v>0</v>
      </c>
      <c r="K552" s="19">
        <f>-Resumo_Master!N548</f>
        <v>0</v>
      </c>
      <c r="L552" s="42">
        <v>0</v>
      </c>
      <c r="M552" s="42">
        <v>0</v>
      </c>
      <c r="N552" s="42">
        <v>0</v>
      </c>
      <c r="O552" s="42">
        <v>0</v>
      </c>
      <c r="P552" s="41">
        <v>0</v>
      </c>
      <c r="Q552" s="41">
        <v>0</v>
      </c>
      <c r="R552" s="19">
        <f>SUMIFS([1]FIC!$J$2:$J$1000,[1]FIC!$G$2:$G$1000,"="&amp;B552)</f>
        <v>0</v>
      </c>
      <c r="S552" s="42">
        <v>0</v>
      </c>
      <c r="T552" s="42">
        <v>0</v>
      </c>
      <c r="U552" s="19">
        <f t="shared" ref="U552" si="172">SUM(C552:T552)</f>
        <v>23535.68570639324</v>
      </c>
    </row>
    <row r="553" spans="2:21" x14ac:dyDescent="0.25">
      <c r="B553" s="4">
        <f>WORKDAY($B552,1,Feriados!$A$2:$A$842)</f>
        <v>45610</v>
      </c>
      <c r="C553" s="19">
        <f t="shared" ref="C553" si="173">U552</f>
        <v>23535.68570639324</v>
      </c>
      <c r="D553" s="42">
        <v>0</v>
      </c>
      <c r="E553" s="42">
        <v>0</v>
      </c>
      <c r="F553" s="42">
        <v>0</v>
      </c>
      <c r="G553" s="42">
        <v>0</v>
      </c>
      <c r="H553" s="42">
        <v>0</v>
      </c>
      <c r="I553" s="42">
        <v>0</v>
      </c>
      <c r="J553" s="42">
        <v>0</v>
      </c>
      <c r="K553" s="19">
        <f>-Resumo_Master!N549</f>
        <v>0</v>
      </c>
      <c r="L553" s="42">
        <v>0</v>
      </c>
      <c r="M553" s="42">
        <v>0</v>
      </c>
      <c r="N553" s="42">
        <v>0</v>
      </c>
      <c r="O553" s="42">
        <v>0</v>
      </c>
      <c r="P553" s="41">
        <v>0</v>
      </c>
      <c r="Q553" s="41">
        <f>-614.66</f>
        <v>-614.66</v>
      </c>
      <c r="R553" s="19">
        <f>SUMIFS([1]FIC!$J$2:$J$1000,[1]FIC!$G$2:$G$1000,"="&amp;B553)</f>
        <v>0</v>
      </c>
      <c r="S553" s="42">
        <v>0</v>
      </c>
      <c r="T553" s="42">
        <v>0</v>
      </c>
      <c r="U553" s="19">
        <f t="shared" ref="U553" si="174">SUM(C553:T553)</f>
        <v>22921.02570639324</v>
      </c>
    </row>
    <row r="554" spans="2:21" x14ac:dyDescent="0.25">
      <c r="B554" s="4">
        <f>WORKDAY($B553,1,Feriados!$A$2:$A$842)</f>
        <v>45614</v>
      </c>
      <c r="C554" s="19">
        <f t="shared" ref="C554" si="175">U553</f>
        <v>22921.02570639324</v>
      </c>
      <c r="D554" s="42">
        <v>0</v>
      </c>
      <c r="E554" s="42">
        <v>0</v>
      </c>
      <c r="F554" s="42">
        <v>0</v>
      </c>
      <c r="G554" s="42">
        <v>0</v>
      </c>
      <c r="H554" s="42">
        <v>0</v>
      </c>
      <c r="I554" s="42">
        <v>0</v>
      </c>
      <c r="J554" s="42">
        <v>0</v>
      </c>
      <c r="K554" s="19">
        <f>-Resumo_Master!N550</f>
        <v>0</v>
      </c>
      <c r="L554" s="42">
        <v>0</v>
      </c>
      <c r="M554" s="42">
        <v>0</v>
      </c>
      <c r="N554" s="42">
        <v>0</v>
      </c>
      <c r="O554" s="42">
        <v>0</v>
      </c>
      <c r="P554" s="41">
        <v>0</v>
      </c>
      <c r="Q554" s="41">
        <v>0</v>
      </c>
      <c r="R554" s="19">
        <f>SUMIFS([1]FIC!$J$2:$J$1000,[1]FIC!$G$2:$G$1000,"="&amp;B554)</f>
        <v>0</v>
      </c>
      <c r="S554" s="42">
        <v>0</v>
      </c>
      <c r="T554" s="42">
        <v>0</v>
      </c>
      <c r="U554" s="19">
        <f t="shared" ref="U554" si="176">SUM(C554:T554)</f>
        <v>22921.02570639324</v>
      </c>
    </row>
    <row r="555" spans="2:21" x14ac:dyDescent="0.25">
      <c r="B555" s="4">
        <f>WORKDAY($B554,1,Feriados!$A$2:$A$842)</f>
        <v>45615</v>
      </c>
      <c r="C555" s="19">
        <f t="shared" ref="C555" si="177">U554</f>
        <v>22921.02570639324</v>
      </c>
      <c r="D555" s="42">
        <v>0</v>
      </c>
      <c r="E555" s="42">
        <v>0</v>
      </c>
      <c r="F555" s="42">
        <v>0</v>
      </c>
      <c r="G555" s="42">
        <v>0</v>
      </c>
      <c r="H555" s="42">
        <v>0</v>
      </c>
      <c r="I555" s="42">
        <v>0</v>
      </c>
      <c r="J555" s="42">
        <v>0</v>
      </c>
      <c r="K555" s="19">
        <f>-Resumo_Master!N551</f>
        <v>0</v>
      </c>
      <c r="L555" s="42">
        <v>0</v>
      </c>
      <c r="M555" s="42">
        <v>0</v>
      </c>
      <c r="N555" s="42">
        <v>0</v>
      </c>
      <c r="O555" s="42">
        <v>0</v>
      </c>
      <c r="P555" s="41">
        <v>0</v>
      </c>
      <c r="Q555" s="41">
        <v>0</v>
      </c>
      <c r="R555" s="19">
        <f>SUMIFS([1]FIC!$J$2:$J$1000,[1]FIC!$G$2:$G$1000,"="&amp;B555)</f>
        <v>0</v>
      </c>
      <c r="S555" s="42">
        <v>0</v>
      </c>
      <c r="T555" s="42">
        <v>0</v>
      </c>
      <c r="U555" s="19">
        <f t="shared" ref="U555" si="178">SUM(C555:T555)</f>
        <v>22921.02570639324</v>
      </c>
    </row>
    <row r="556" spans="2:21" x14ac:dyDescent="0.25">
      <c r="B556" s="4">
        <f>WORKDAY($B555,1,Feriados!$A$2:$A$842)</f>
        <v>45617</v>
      </c>
      <c r="C556" s="19">
        <f t="shared" ref="C556" si="179">U555</f>
        <v>22921.02570639324</v>
      </c>
      <c r="D556" s="42">
        <v>0</v>
      </c>
      <c r="E556" s="42">
        <v>0</v>
      </c>
      <c r="F556" s="42">
        <v>0</v>
      </c>
      <c r="G556" s="42">
        <v>0</v>
      </c>
      <c r="H556" s="42">
        <v>0</v>
      </c>
      <c r="I556" s="42">
        <v>0</v>
      </c>
      <c r="J556" s="42">
        <v>0</v>
      </c>
      <c r="K556" s="19">
        <f>-Resumo_Master!N552</f>
        <v>0</v>
      </c>
      <c r="L556" s="42">
        <v>0</v>
      </c>
      <c r="M556" s="42">
        <v>0</v>
      </c>
      <c r="N556" s="42">
        <v>0</v>
      </c>
      <c r="O556" s="42">
        <v>0</v>
      </c>
      <c r="P556" s="41">
        <v>0</v>
      </c>
      <c r="Q556" s="41">
        <v>0</v>
      </c>
      <c r="R556" s="19">
        <f>SUMIFS([1]FIC!$J$2:$J$1000,[1]FIC!$G$2:$G$1000,"="&amp;B556)</f>
        <v>0</v>
      </c>
      <c r="S556" s="42">
        <v>0</v>
      </c>
      <c r="T556" s="42">
        <v>0</v>
      </c>
      <c r="U556" s="19">
        <f t="shared" ref="U556" si="180">SUM(C556:T556)</f>
        <v>22921.02570639324</v>
      </c>
    </row>
    <row r="557" spans="2:21" x14ac:dyDescent="0.25">
      <c r="B557" s="4">
        <f>WORKDAY($B556,1,Feriados!$A$2:$A$842)</f>
        <v>45618</v>
      </c>
      <c r="C557" s="19">
        <f t="shared" ref="C557" si="181">U556</f>
        <v>22921.02570639324</v>
      </c>
      <c r="D557" s="42">
        <v>0</v>
      </c>
      <c r="E557" s="42">
        <v>0</v>
      </c>
      <c r="F557" s="42">
        <v>0</v>
      </c>
      <c r="G557" s="42">
        <v>0</v>
      </c>
      <c r="H557" s="42">
        <v>0</v>
      </c>
      <c r="I557" s="42">
        <v>0</v>
      </c>
      <c r="J557" s="42">
        <v>0</v>
      </c>
      <c r="K557" s="19">
        <f>-Resumo_Master!N553</f>
        <v>0</v>
      </c>
      <c r="L557" s="42">
        <v>0</v>
      </c>
      <c r="M557" s="42">
        <v>0</v>
      </c>
      <c r="N557" s="42">
        <v>0</v>
      </c>
      <c r="O557" s="42">
        <v>0</v>
      </c>
      <c r="P557" s="41">
        <v>0</v>
      </c>
      <c r="Q557" s="41">
        <v>0</v>
      </c>
      <c r="R557" s="19">
        <f>SUMIFS([1]FIC!$J$2:$J$1000,[1]FIC!$G$2:$G$1000,"="&amp;B557)</f>
        <v>0</v>
      </c>
      <c r="S557" s="42">
        <v>0</v>
      </c>
      <c r="T557" s="42">
        <v>0</v>
      </c>
      <c r="U557" s="19">
        <f t="shared" ref="U557" si="182">SUM(C557:T557)</f>
        <v>22921.02570639324</v>
      </c>
    </row>
    <row r="558" spans="2:21" x14ac:dyDescent="0.25">
      <c r="B558" s="4">
        <f>WORKDAY($B557,1,Feriados!$A$2:$A$842)</f>
        <v>45621</v>
      </c>
      <c r="C558" s="19">
        <f t="shared" ref="C558" si="183">U557</f>
        <v>22921.02570639324</v>
      </c>
      <c r="D558" s="42">
        <v>0</v>
      </c>
      <c r="E558" s="42">
        <v>0</v>
      </c>
      <c r="F558" s="42">
        <v>0</v>
      </c>
      <c r="G558" s="42">
        <v>0</v>
      </c>
      <c r="H558" s="42">
        <v>0</v>
      </c>
      <c r="I558" s="42">
        <v>0</v>
      </c>
      <c r="J558" s="42">
        <v>0</v>
      </c>
      <c r="K558" s="19">
        <f>-Resumo_Master!N554</f>
        <v>0</v>
      </c>
      <c r="L558" s="42">
        <v>0</v>
      </c>
      <c r="M558" s="42">
        <v>0</v>
      </c>
      <c r="N558" s="42">
        <v>0</v>
      </c>
      <c r="O558" s="42">
        <v>0</v>
      </c>
      <c r="P558" s="41">
        <v>0</v>
      </c>
      <c r="Q558" s="41">
        <v>0</v>
      </c>
      <c r="R558" s="19">
        <f>SUMIFS([1]FIC!$J$2:$J$1000,[1]FIC!$G$2:$G$1000,"="&amp;B558)</f>
        <v>0</v>
      </c>
      <c r="S558" s="42">
        <v>0</v>
      </c>
      <c r="T558" s="42">
        <v>0</v>
      </c>
      <c r="U558" s="19">
        <f t="shared" ref="U558" si="184">SUM(C558:T558)</f>
        <v>22921.02570639324</v>
      </c>
    </row>
    <row r="559" spans="2:21" x14ac:dyDescent="0.25">
      <c r="B559" s="4">
        <f>WORKDAY($B558,1,Feriados!$A$2:$A$842)</f>
        <v>45622</v>
      </c>
      <c r="C559" s="19">
        <f t="shared" ref="C559" si="185">U558</f>
        <v>22921.02570639324</v>
      </c>
      <c r="D559" s="42">
        <v>0</v>
      </c>
      <c r="E559" s="42">
        <v>0</v>
      </c>
      <c r="F559" s="42">
        <v>0</v>
      </c>
      <c r="G559" s="42">
        <v>0</v>
      </c>
      <c r="H559" s="42">
        <v>0</v>
      </c>
      <c r="I559" s="42">
        <v>0</v>
      </c>
      <c r="J559" s="42">
        <v>0</v>
      </c>
      <c r="K559" s="19">
        <f>-Resumo_Master!N555</f>
        <v>0</v>
      </c>
      <c r="L559" s="42">
        <v>0</v>
      </c>
      <c r="M559" s="42">
        <v>0</v>
      </c>
      <c r="N559" s="42">
        <v>0</v>
      </c>
      <c r="O559" s="42">
        <v>0</v>
      </c>
      <c r="P559" s="41">
        <v>0</v>
      </c>
      <c r="Q559" s="41">
        <v>0</v>
      </c>
      <c r="R559" s="19">
        <f>SUMIFS([1]FIC!$J$2:$J$1000,[1]FIC!$G$2:$G$1000,"="&amp;B559)</f>
        <v>0</v>
      </c>
      <c r="S559" s="42">
        <v>0</v>
      </c>
      <c r="T559" s="42">
        <v>0</v>
      </c>
      <c r="U559" s="19">
        <f t="shared" ref="U559" si="186">SUM(C559:T559)</f>
        <v>22921.02570639324</v>
      </c>
    </row>
    <row r="560" spans="2:21" x14ac:dyDescent="0.25">
      <c r="B560" s="4">
        <f>WORKDAY($B559,1,Feriados!$A$2:$A$842)</f>
        <v>45623</v>
      </c>
      <c r="C560" s="19">
        <f t="shared" ref="C560" si="187">U559</f>
        <v>22921.02570639324</v>
      </c>
      <c r="D560" s="42">
        <v>0</v>
      </c>
      <c r="E560" s="42">
        <v>0</v>
      </c>
      <c r="F560" s="42">
        <v>0</v>
      </c>
      <c r="G560" s="42">
        <v>0</v>
      </c>
      <c r="H560" s="42">
        <v>0</v>
      </c>
      <c r="I560" s="42">
        <v>0</v>
      </c>
      <c r="J560" s="42">
        <v>0</v>
      </c>
      <c r="K560" s="19">
        <f>-Resumo_Master!N556</f>
        <v>0</v>
      </c>
      <c r="L560" s="42">
        <v>0</v>
      </c>
      <c r="M560" s="42">
        <v>0</v>
      </c>
      <c r="N560" s="42">
        <v>0</v>
      </c>
      <c r="O560" s="42">
        <v>0</v>
      </c>
      <c r="P560" s="41">
        <v>0</v>
      </c>
      <c r="Q560" s="41">
        <v>-500</v>
      </c>
      <c r="R560" s="19">
        <f>SUMIFS([1]FIC!$J$2:$J$1000,[1]FIC!$G$2:$G$1000,"="&amp;B560)</f>
        <v>0</v>
      </c>
      <c r="S560" s="42">
        <v>0</v>
      </c>
      <c r="T560" s="42">
        <v>0</v>
      </c>
      <c r="U560" s="19">
        <f t="shared" ref="U560" si="188">SUM(C560:T560)</f>
        <v>22421.02570639324</v>
      </c>
    </row>
    <row r="561" spans="2:21" x14ac:dyDescent="0.25">
      <c r="B561" s="4">
        <f>WORKDAY($B560,1,Feriados!$A$2:$A$842)</f>
        <v>45624</v>
      </c>
      <c r="C561" s="19">
        <f t="shared" ref="C561" si="189">U560</f>
        <v>22421.02570639324</v>
      </c>
      <c r="D561" s="42">
        <v>0</v>
      </c>
      <c r="E561" s="42">
        <v>0</v>
      </c>
      <c r="F561" s="42">
        <v>0</v>
      </c>
      <c r="G561" s="42">
        <v>0</v>
      </c>
      <c r="H561" s="42">
        <v>0</v>
      </c>
      <c r="I561" s="42">
        <v>0</v>
      </c>
      <c r="J561" s="42">
        <v>0</v>
      </c>
      <c r="K561" s="19">
        <f>-Resumo_Master!N557</f>
        <v>0</v>
      </c>
      <c r="L561" s="42">
        <v>0</v>
      </c>
      <c r="M561" s="42">
        <v>0</v>
      </c>
      <c r="N561" s="42">
        <v>0</v>
      </c>
      <c r="O561" s="42">
        <v>0</v>
      </c>
      <c r="P561" s="41">
        <v>0</v>
      </c>
      <c r="Q561" s="41">
        <v>0</v>
      </c>
      <c r="R561" s="19">
        <f>SUMIFS([1]FIC!$J$2:$J$1000,[1]FIC!$G$2:$G$1000,"="&amp;B561)</f>
        <v>0</v>
      </c>
      <c r="S561" s="42">
        <v>0</v>
      </c>
      <c r="T561" s="42">
        <v>0</v>
      </c>
      <c r="U561" s="19">
        <f t="shared" ref="U561" si="190">SUM(C561:T561)</f>
        <v>22421.02570639324</v>
      </c>
    </row>
    <row r="562" spans="2:21" x14ac:dyDescent="0.25">
      <c r="B562" s="4">
        <f>WORKDAY($B561,1,Feriados!$A$2:$A$842)</f>
        <v>45625</v>
      </c>
      <c r="C562" s="19">
        <f t="shared" ref="C562" si="191">U561</f>
        <v>22421.02570639324</v>
      </c>
      <c r="D562" s="42">
        <v>0</v>
      </c>
      <c r="E562" s="42">
        <v>0</v>
      </c>
      <c r="F562" s="42">
        <v>0</v>
      </c>
      <c r="G562" s="42">
        <v>0</v>
      </c>
      <c r="H562" s="42">
        <v>0</v>
      </c>
      <c r="I562" s="42">
        <v>0</v>
      </c>
      <c r="J562" s="42">
        <v>0</v>
      </c>
      <c r="K562" s="19">
        <f>-Resumo_Master!N558</f>
        <v>0</v>
      </c>
      <c r="L562" s="42">
        <v>0</v>
      </c>
      <c r="M562" s="42">
        <v>0</v>
      </c>
      <c r="N562" s="42">
        <v>0</v>
      </c>
      <c r="O562" s="42">
        <v>0</v>
      </c>
      <c r="P562" s="41">
        <v>0</v>
      </c>
      <c r="Q562" s="41">
        <v>0</v>
      </c>
      <c r="R562" s="19">
        <f>SUMIFS([1]FIC!$J$2:$J$1000,[1]FIC!$G$2:$G$1000,"="&amp;B562)</f>
        <v>0</v>
      </c>
      <c r="S562" s="42">
        <v>0</v>
      </c>
      <c r="T562" s="42">
        <v>0</v>
      </c>
      <c r="U562" s="19">
        <f t="shared" ref="U562" si="192">SUM(C562:T562)</f>
        <v>22421.02570639324</v>
      </c>
    </row>
    <row r="563" spans="2:21" x14ac:dyDescent="0.25">
      <c r="B563" s="4">
        <f>WORKDAY($B562,1,Feriados!$A$2:$A$842)</f>
        <v>45628</v>
      </c>
      <c r="C563" s="19">
        <f t="shared" ref="C563" si="193">U562</f>
        <v>22421.02570639324</v>
      </c>
      <c r="D563" s="42">
        <v>0</v>
      </c>
      <c r="E563" s="42">
        <v>0</v>
      </c>
      <c r="F563" s="42">
        <v>0</v>
      </c>
      <c r="G563" s="42">
        <v>0</v>
      </c>
      <c r="H563" s="42">
        <v>0</v>
      </c>
      <c r="I563" s="42">
        <v>0</v>
      </c>
      <c r="J563" s="42">
        <v>0</v>
      </c>
      <c r="K563" s="19">
        <f>-Resumo_Master!N559</f>
        <v>0</v>
      </c>
      <c r="L563" s="42">
        <v>0</v>
      </c>
      <c r="M563" s="42">
        <v>0</v>
      </c>
      <c r="N563" s="42">
        <v>0</v>
      </c>
      <c r="O563" s="42">
        <v>0</v>
      </c>
      <c r="P563" s="41">
        <v>0</v>
      </c>
      <c r="Q563" s="41">
        <v>0</v>
      </c>
      <c r="R563" s="19">
        <f>SUMIFS([1]FIC!$J$2:$J$1000,[1]FIC!$G$2:$G$1000,"="&amp;B563)</f>
        <v>0</v>
      </c>
      <c r="S563" s="42">
        <v>0</v>
      </c>
      <c r="T563" s="42">
        <v>0</v>
      </c>
      <c r="U563" s="19">
        <f t="shared" ref="U563" si="194">SUM(C563:T563)</f>
        <v>22421.02570639324</v>
      </c>
    </row>
    <row r="564" spans="2:21" x14ac:dyDescent="0.25">
      <c r="B564" s="4">
        <f>WORKDAY($B563,1,Feriados!$A$2:$A$842)</f>
        <v>45629</v>
      </c>
      <c r="C564" s="19">
        <f t="shared" ref="C564" si="195">U563</f>
        <v>22421.02570639324</v>
      </c>
      <c r="D564" s="42">
        <v>0</v>
      </c>
      <c r="E564" s="42">
        <v>0</v>
      </c>
      <c r="F564" s="42">
        <v>0</v>
      </c>
      <c r="G564" s="42">
        <v>0</v>
      </c>
      <c r="H564" s="42">
        <v>0</v>
      </c>
      <c r="I564" s="42">
        <v>0</v>
      </c>
      <c r="J564" s="42">
        <v>0</v>
      </c>
      <c r="K564" s="19">
        <f>-Resumo_Master!N560</f>
        <v>0</v>
      </c>
      <c r="L564" s="42">
        <v>0</v>
      </c>
      <c r="M564" s="42">
        <v>0</v>
      </c>
      <c r="N564" s="42">
        <v>0</v>
      </c>
      <c r="O564" s="42">
        <v>0</v>
      </c>
      <c r="P564" s="41">
        <v>0</v>
      </c>
      <c r="Q564" s="41">
        <v>0</v>
      </c>
      <c r="R564" s="19">
        <f>SUMIFS([1]FIC!$J$2:$J$1000,[1]FIC!$G$2:$G$1000,"="&amp;B564)</f>
        <v>0</v>
      </c>
      <c r="S564" s="42">
        <v>0</v>
      </c>
      <c r="T564" s="42">
        <v>0</v>
      </c>
      <c r="U564" s="19">
        <f t="shared" ref="U564" si="196">SUM(C564:T564)</f>
        <v>22421.02570639324</v>
      </c>
    </row>
    <row r="565" spans="2:21" x14ac:dyDescent="0.25">
      <c r="B565" s="4">
        <f>WORKDAY($B564,1,Feriados!$A$2:$A$842)</f>
        <v>45630</v>
      </c>
      <c r="C565" s="19">
        <f t="shared" ref="C565" si="197">U564</f>
        <v>22421.02570639324</v>
      </c>
      <c r="D565" s="42">
        <v>0</v>
      </c>
      <c r="E565" s="42">
        <v>0</v>
      </c>
      <c r="F565" s="42">
        <v>0</v>
      </c>
      <c r="G565" s="42">
        <v>0</v>
      </c>
      <c r="H565" s="42">
        <v>0</v>
      </c>
      <c r="I565" s="42">
        <v>0</v>
      </c>
      <c r="J565" s="42">
        <v>0</v>
      </c>
      <c r="K565" s="19">
        <f>-Resumo_Master!N561</f>
        <v>0</v>
      </c>
      <c r="L565" s="42">
        <v>0</v>
      </c>
      <c r="M565" s="42">
        <v>0</v>
      </c>
      <c r="N565" s="42">
        <v>0</v>
      </c>
      <c r="O565" s="42">
        <v>0</v>
      </c>
      <c r="P565" s="41">
        <v>0</v>
      </c>
      <c r="Q565" s="41">
        <v>0</v>
      </c>
      <c r="R565" s="19">
        <f>SUMIFS([1]FIC!$J$2:$J$1000,[1]FIC!$G$2:$G$1000,"="&amp;B565)</f>
        <v>0</v>
      </c>
      <c r="S565" s="42">
        <v>0</v>
      </c>
      <c r="T565" s="42">
        <v>0</v>
      </c>
      <c r="U565" s="19">
        <f t="shared" ref="U565" si="198">SUM(C565:T565)</f>
        <v>22421.02570639324</v>
      </c>
    </row>
    <row r="566" spans="2:21" x14ac:dyDescent="0.25">
      <c r="B566" s="4">
        <f>WORKDAY($B565,1,Feriados!$A$2:$A$842)</f>
        <v>45631</v>
      </c>
      <c r="C566" s="19">
        <f t="shared" ref="C566" si="199">U565</f>
        <v>22421.02570639324</v>
      </c>
      <c r="D566" s="42">
        <v>0</v>
      </c>
      <c r="E566" s="42">
        <v>0</v>
      </c>
      <c r="F566" s="42">
        <v>0</v>
      </c>
      <c r="G566" s="42">
        <v>0</v>
      </c>
      <c r="H566" s="42">
        <v>0</v>
      </c>
      <c r="I566" s="42">
        <v>0</v>
      </c>
      <c r="J566" s="42">
        <v>0</v>
      </c>
      <c r="K566" s="19">
        <f>-Resumo_Master!N562</f>
        <v>0</v>
      </c>
      <c r="L566" s="42">
        <v>0</v>
      </c>
      <c r="M566" s="42">
        <v>0</v>
      </c>
      <c r="N566" s="42">
        <v>0</v>
      </c>
      <c r="O566" s="42">
        <v>0</v>
      </c>
      <c r="P566" s="41">
        <v>0</v>
      </c>
      <c r="Q566" s="41">
        <v>0</v>
      </c>
      <c r="R566" s="19">
        <f>SUMIFS([1]FIC!$J$2:$J$1000,[1]FIC!$G$2:$G$1000,"="&amp;B566)</f>
        <v>0</v>
      </c>
      <c r="S566" s="42">
        <v>0</v>
      </c>
      <c r="T566" s="42">
        <v>0</v>
      </c>
      <c r="U566" s="19">
        <f t="shared" ref="U566" si="200">SUM(C566:T566)</f>
        <v>22421.02570639324</v>
      </c>
    </row>
    <row r="567" spans="2:21" x14ac:dyDescent="0.25">
      <c r="B567" s="4">
        <f>WORKDAY($B566,1,Feriados!$A$2:$A$842)</f>
        <v>45632</v>
      </c>
      <c r="C567" s="19">
        <f t="shared" ref="C567" si="201">U566</f>
        <v>22421.02570639324</v>
      </c>
      <c r="D567" s="42">
        <v>-23136.224132903801</v>
      </c>
      <c r="E567" s="42">
        <v>0</v>
      </c>
      <c r="F567" s="42">
        <v>0</v>
      </c>
      <c r="G567" s="42">
        <v>0</v>
      </c>
      <c r="H567" s="42">
        <v>0</v>
      </c>
      <c r="I567" s="42">
        <v>0</v>
      </c>
      <c r="J567" s="42">
        <v>0</v>
      </c>
      <c r="K567" s="19">
        <f>-Resumo_Master!N563</f>
        <v>0</v>
      </c>
      <c r="L567" s="42">
        <v>0</v>
      </c>
      <c r="M567" s="42">
        <v>0</v>
      </c>
      <c r="N567" s="42">
        <v>0</v>
      </c>
      <c r="O567" s="42">
        <v>0</v>
      </c>
      <c r="P567" s="41">
        <v>0</v>
      </c>
      <c r="Q567" s="41">
        <v>0</v>
      </c>
      <c r="R567" s="19">
        <f>SUMIFS([1]FIC!$J$2:$J$1000,[1]FIC!$G$2:$G$1000,"="&amp;B567)</f>
        <v>0</v>
      </c>
      <c r="S567" s="42">
        <v>23500</v>
      </c>
      <c r="T567" s="42">
        <v>0</v>
      </c>
      <c r="U567" s="19">
        <f t="shared" ref="U567" si="202">SUM(C567:T567)</f>
        <v>22784.80157348944</v>
      </c>
    </row>
    <row r="568" spans="2:21" x14ac:dyDescent="0.25">
      <c r="B568" s="4">
        <f>WORKDAY($B567,1,Feriados!$A$2:$A$842)</f>
        <v>45635</v>
      </c>
      <c r="C568" s="19">
        <f t="shared" ref="C568" si="203">U567</f>
        <v>22784.80157348944</v>
      </c>
      <c r="D568" s="42">
        <v>0</v>
      </c>
      <c r="E568" s="42">
        <v>0</v>
      </c>
      <c r="F568" s="42">
        <v>0</v>
      </c>
      <c r="G568" s="42">
        <v>0</v>
      </c>
      <c r="H568" s="42">
        <v>0</v>
      </c>
      <c r="I568" s="42">
        <v>0</v>
      </c>
      <c r="J568" s="42">
        <v>0</v>
      </c>
      <c r="K568" s="19">
        <f>-Resumo_Master!N564</f>
        <v>0</v>
      </c>
      <c r="L568" s="42">
        <v>0</v>
      </c>
      <c r="M568" s="42">
        <v>0</v>
      </c>
      <c r="N568" s="42">
        <v>0</v>
      </c>
      <c r="O568" s="42">
        <v>0</v>
      </c>
      <c r="P568" s="41">
        <v>0</v>
      </c>
      <c r="Q568" s="41">
        <v>0</v>
      </c>
      <c r="R568" s="19">
        <f>SUMIFS([1]FIC!$J$2:$J$1000,[1]FIC!$G$2:$G$1000,"="&amp;B568)</f>
        <v>0</v>
      </c>
      <c r="S568" s="42">
        <v>0</v>
      </c>
      <c r="T568" s="42">
        <v>0</v>
      </c>
      <c r="U568" s="19">
        <f t="shared" ref="U568" si="204">SUM(C568:T568)</f>
        <v>22784.80157348944</v>
      </c>
    </row>
    <row r="569" spans="2:21" x14ac:dyDescent="0.25">
      <c r="B569" s="4">
        <f>WORKDAY($B568,1,Feriados!$A$2:$A$842)</f>
        <v>45636</v>
      </c>
      <c r="C569" s="19">
        <f t="shared" ref="C569" si="205">U568</f>
        <v>22784.80157348944</v>
      </c>
      <c r="D569" s="42">
        <v>0</v>
      </c>
      <c r="E569" s="42">
        <v>0</v>
      </c>
      <c r="F569" s="42">
        <v>0</v>
      </c>
      <c r="G569" s="42">
        <v>0</v>
      </c>
      <c r="H569" s="42">
        <v>0</v>
      </c>
      <c r="I569" s="42">
        <v>0</v>
      </c>
      <c r="J569" s="42">
        <v>0</v>
      </c>
      <c r="K569" s="19">
        <f>-Resumo_Master!N565</f>
        <v>0</v>
      </c>
      <c r="L569" s="42">
        <v>0</v>
      </c>
      <c r="M569" s="42">
        <v>0</v>
      </c>
      <c r="N569" s="42">
        <v>0</v>
      </c>
      <c r="O569" s="42">
        <v>0</v>
      </c>
      <c r="P569" s="41">
        <v>0</v>
      </c>
      <c r="Q569" s="41">
        <v>0</v>
      </c>
      <c r="R569" s="19">
        <f>SUMIFS([1]FIC!$J$2:$J$1000,[1]FIC!$G$2:$G$1000,"="&amp;B569)</f>
        <v>0</v>
      </c>
      <c r="S569" s="42">
        <v>0</v>
      </c>
      <c r="T569" s="42">
        <v>0</v>
      </c>
      <c r="U569" s="19">
        <f t="shared" ref="U569" si="206">SUM(C569:T569)</f>
        <v>22784.80157348944</v>
      </c>
    </row>
    <row r="570" spans="2:21" x14ac:dyDescent="0.25">
      <c r="B570" s="4">
        <f>WORKDAY($B569,1,Feriados!$A$2:$A$842)</f>
        <v>45637</v>
      </c>
      <c r="C570" s="19">
        <f t="shared" ref="C570" si="207">U569</f>
        <v>22784.80157348944</v>
      </c>
      <c r="D570" s="42">
        <v>0</v>
      </c>
      <c r="E570" s="42">
        <v>0</v>
      </c>
      <c r="F570" s="42">
        <v>0</v>
      </c>
      <c r="G570" s="42">
        <v>0</v>
      </c>
      <c r="H570" s="42">
        <v>0</v>
      </c>
      <c r="I570" s="42">
        <v>0</v>
      </c>
      <c r="J570" s="42">
        <v>0</v>
      </c>
      <c r="K570" s="19">
        <f>-Resumo_Master!N566</f>
        <v>0</v>
      </c>
      <c r="L570" s="42">
        <v>0</v>
      </c>
      <c r="M570" s="42">
        <v>0</v>
      </c>
      <c r="N570" s="42">
        <v>0</v>
      </c>
      <c r="O570" s="42">
        <v>0</v>
      </c>
      <c r="P570" s="41">
        <v>0</v>
      </c>
      <c r="Q570" s="41">
        <v>0</v>
      </c>
      <c r="R570" s="19">
        <f>SUMIFS([1]FIC!$J$2:$J$1000,[1]FIC!$G$2:$G$1000,"="&amp;B570)</f>
        <v>0</v>
      </c>
      <c r="S570" s="42">
        <v>0</v>
      </c>
      <c r="T570" s="42">
        <v>0</v>
      </c>
      <c r="U570" s="19">
        <f t="shared" ref="U570" si="208">SUM(C570:T570)</f>
        <v>22784.80157348944</v>
      </c>
    </row>
    <row r="571" spans="2:21" x14ac:dyDescent="0.25">
      <c r="B571" s="4">
        <f>WORKDAY($B570,1,Feriados!$A$2:$A$842)</f>
        <v>45638</v>
      </c>
      <c r="C571" s="19">
        <f t="shared" ref="C571" si="209">U570</f>
        <v>22784.80157348944</v>
      </c>
      <c r="D571" s="42">
        <v>0</v>
      </c>
      <c r="E571" s="42">
        <v>0</v>
      </c>
      <c r="F571" s="42">
        <v>0</v>
      </c>
      <c r="G571" s="42">
        <v>0</v>
      </c>
      <c r="H571" s="42">
        <v>0</v>
      </c>
      <c r="I571" s="42">
        <v>0</v>
      </c>
      <c r="J571" s="42">
        <v>0</v>
      </c>
      <c r="K571" s="19">
        <f>-Resumo_Master!N567</f>
        <v>0</v>
      </c>
      <c r="L571" s="42">
        <v>0</v>
      </c>
      <c r="M571" s="42">
        <v>0</v>
      </c>
      <c r="N571" s="42">
        <v>0</v>
      </c>
      <c r="O571" s="42">
        <v>0</v>
      </c>
      <c r="P571" s="41">
        <v>0</v>
      </c>
      <c r="Q571" s="42">
        <v>-4592.7</v>
      </c>
      <c r="R571" s="19">
        <f>SUMIFS([1]FIC!$J$2:$J$1000,[1]FIC!$G$2:$G$1000,"="&amp;B571)</f>
        <v>0</v>
      </c>
      <c r="S571" s="42">
        <v>0</v>
      </c>
      <c r="T571" s="42">
        <v>0</v>
      </c>
      <c r="U571" s="19">
        <f t="shared" ref="U571" si="210">SUM(C571:T571)</f>
        <v>18192.101573489439</v>
      </c>
    </row>
  </sheetData>
  <hyperlinks>
    <hyperlink ref="R6" r:id="rId1" xr:uid="{A1EC240C-8091-4C7F-9F17-0114D474B34C}"/>
  </hyperlinks>
  <pageMargins left="0.7" right="0.7" top="0.75" bottom="0.75" header="0.3" footer="0.3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CD8C6-7349-423A-9488-193028EAA3A5}">
  <sheetPr codeName="Sheet2"/>
  <dimension ref="A1:W37"/>
  <sheetViews>
    <sheetView showGridLines="0" topLeftCell="A5" zoomScale="85" zoomScaleNormal="85" workbookViewId="0">
      <selection activeCell="A31" sqref="A31"/>
    </sheetView>
  </sheetViews>
  <sheetFormatPr defaultRowHeight="15" x14ac:dyDescent="0.25"/>
  <cols>
    <col min="1" max="1" width="35.7109375" customWidth="1"/>
    <col min="2" max="2" width="11.140625" bestFit="1" customWidth="1"/>
    <col min="3" max="3" width="15" bestFit="1" customWidth="1"/>
    <col min="4" max="4" width="15.42578125" bestFit="1" customWidth="1"/>
    <col min="5" max="5" width="12.5703125" bestFit="1" customWidth="1"/>
    <col min="6" max="6" width="11.140625" bestFit="1" customWidth="1"/>
    <col min="7" max="7" width="15.85546875" bestFit="1" customWidth="1"/>
    <col min="8" max="8" width="12" bestFit="1" customWidth="1"/>
    <col min="9" max="9" width="11.7109375" bestFit="1" customWidth="1"/>
    <col min="10" max="10" width="9" bestFit="1" customWidth="1"/>
    <col min="11" max="11" width="1.7109375" style="29" customWidth="1"/>
    <col min="12" max="14" width="15.140625" customWidth="1"/>
    <col min="15" max="15" width="1.7109375" style="29" customWidth="1"/>
    <col min="16" max="18" width="15.140625" customWidth="1"/>
    <col min="19" max="19" width="1.7109375" style="29" customWidth="1"/>
    <col min="20" max="22" width="15.140625" customWidth="1"/>
    <col min="23" max="23" width="1.7109375" style="29" customWidth="1"/>
  </cols>
  <sheetData>
    <row r="1" spans="1:23" x14ac:dyDescent="0.25">
      <c r="A1" s="17" t="s">
        <v>35</v>
      </c>
      <c r="B1" s="60">
        <f>Controle!C1</f>
        <v>45638</v>
      </c>
      <c r="R1" s="19"/>
      <c r="U1" s="17" t="s">
        <v>148</v>
      </c>
      <c r="V1" s="59">
        <f>-SUM(V4:V235)</f>
        <v>0</v>
      </c>
    </row>
    <row r="3" spans="1:23" ht="30" x14ac:dyDescent="0.25">
      <c r="A3" s="58" t="s">
        <v>147</v>
      </c>
      <c r="B3" s="58" t="s">
        <v>146</v>
      </c>
      <c r="C3" s="58" t="s">
        <v>145</v>
      </c>
      <c r="D3" s="58" t="s">
        <v>163</v>
      </c>
      <c r="E3" s="58" t="s">
        <v>144</v>
      </c>
      <c r="F3" s="58" t="s">
        <v>143</v>
      </c>
      <c r="G3" s="58" t="s">
        <v>142</v>
      </c>
      <c r="H3" s="58" t="s">
        <v>141</v>
      </c>
      <c r="I3" s="58" t="s">
        <v>140</v>
      </c>
      <c r="J3" s="58" t="s">
        <v>139</v>
      </c>
      <c r="L3" s="57" t="s">
        <v>138</v>
      </c>
      <c r="M3" s="57" t="s">
        <v>137</v>
      </c>
      <c r="N3" s="57" t="s">
        <v>136</v>
      </c>
      <c r="P3" s="57" t="s">
        <v>135</v>
      </c>
      <c r="Q3" s="57" t="s">
        <v>134</v>
      </c>
      <c r="R3" s="57" t="s">
        <v>133</v>
      </c>
      <c r="T3" s="57" t="s">
        <v>132</v>
      </c>
      <c r="U3" s="57" t="s">
        <v>131</v>
      </c>
      <c r="V3" s="57" t="s">
        <v>130</v>
      </c>
    </row>
    <row r="4" spans="1:23" x14ac:dyDescent="0.25">
      <c r="A4" t="s">
        <v>129</v>
      </c>
      <c r="B4">
        <v>1072917</v>
      </c>
      <c r="C4" s="75">
        <v>44833</v>
      </c>
      <c r="D4" s="71">
        <v>45289</v>
      </c>
      <c r="E4" s="56">
        <v>44833</v>
      </c>
      <c r="F4" t="s">
        <v>113</v>
      </c>
      <c r="G4" t="s">
        <v>112</v>
      </c>
      <c r="H4" s="55">
        <v>1000000</v>
      </c>
      <c r="I4" s="55">
        <v>1000000</v>
      </c>
      <c r="J4" s="54">
        <v>16706323</v>
      </c>
      <c r="K4" s="49"/>
      <c r="L4" s="53">
        <f>VLOOKUP($B$1,Resumo_Master!$C$14:$R$10000,3,FALSE)/VLOOKUP($D4,Resumo_Master!$C$14:$R$10000,3,FALSE)-1</f>
        <v>-0.22601028488404884</v>
      </c>
      <c r="M4" s="53">
        <f>VLOOKUP($B$1,Resumo_Master!$C$14:$R$10000,16,FALSE)/VLOOKUP($D4,Resumo_Master!$C$14:$R$10000,3,FALSE)-1</f>
        <v>-0.22601028488404884</v>
      </c>
      <c r="N4" s="53">
        <f>VLOOKUP($B$1,[2]Índices!$C$13:$E$10000,2,FALSE)/VLOOKUP($D4,[2]Índices!$C$13:$E$10000,2,FALSE)-1</f>
        <v>0.10791616362048084</v>
      </c>
      <c r="O4" s="49"/>
      <c r="P4" s="50">
        <f t="shared" ref="P4:P25" si="0">1+L4</f>
        <v>0.77398971511595116</v>
      </c>
      <c r="Q4" s="50">
        <f t="shared" ref="Q4:Q25" si="1">1+M4</f>
        <v>0.77398971511595116</v>
      </c>
      <c r="R4" s="74">
        <f t="shared" ref="R4:R25" si="2">1+N4</f>
        <v>1.1079161636204808</v>
      </c>
      <c r="S4" s="49"/>
      <c r="T4" s="50">
        <f t="shared" ref="T4:T25" si="3">P4-R4</f>
        <v>-0.33392644850452968</v>
      </c>
      <c r="U4" s="52">
        <f t="shared" ref="U4:U25" si="4">Q4-R4</f>
        <v>-0.33392644850452968</v>
      </c>
      <c r="V4" s="51">
        <f t="shared" ref="V4:V25" si="5">IF(U4&lt;0,0,H4*U4*15%)</f>
        <v>0</v>
      </c>
      <c r="W4" s="49"/>
    </row>
    <row r="5" spans="1:23" x14ac:dyDescent="0.25">
      <c r="A5" t="s">
        <v>128</v>
      </c>
      <c r="B5">
        <v>830278</v>
      </c>
      <c r="C5" s="75">
        <v>44833</v>
      </c>
      <c r="D5" s="71">
        <v>45289</v>
      </c>
      <c r="E5" s="56">
        <v>44833</v>
      </c>
      <c r="F5" t="s">
        <v>113</v>
      </c>
      <c r="G5" t="s">
        <v>112</v>
      </c>
      <c r="H5" s="55">
        <v>250000</v>
      </c>
      <c r="I5" s="55">
        <v>250000</v>
      </c>
      <c r="J5" s="54">
        <v>0</v>
      </c>
      <c r="K5" s="49"/>
      <c r="L5" s="53">
        <f>VLOOKUP($B$1,Resumo_Master!$C$14:$R$10000,3,FALSE)/VLOOKUP($D5,Resumo_Master!$C$14:$R$10000,3,FALSE)-1</f>
        <v>-0.22601028488404884</v>
      </c>
      <c r="M5" s="53">
        <f>VLOOKUP($B$1,Resumo_Master!$C$14:$R$10000,16,FALSE)/VLOOKUP($D5,Resumo_Master!$C$14:$R$10000,3,FALSE)-1</f>
        <v>-0.22601028488404884</v>
      </c>
      <c r="N5" s="53">
        <f>VLOOKUP($B$1,[2]Índices!$C$13:$E$10000,2,FALSE)/VLOOKUP($D5,[2]Índices!$C$13:$E$10000,2,FALSE)-1</f>
        <v>0.10791616362048084</v>
      </c>
      <c r="O5" s="49"/>
      <c r="P5" s="50">
        <f t="shared" si="0"/>
        <v>0.77398971511595116</v>
      </c>
      <c r="Q5" s="50">
        <f t="shared" si="1"/>
        <v>0.77398971511595116</v>
      </c>
      <c r="R5" s="74">
        <f t="shared" si="2"/>
        <v>1.1079161636204808</v>
      </c>
      <c r="S5" s="49"/>
      <c r="T5" s="50">
        <f t="shared" si="3"/>
        <v>-0.33392644850452968</v>
      </c>
      <c r="U5" s="52">
        <f t="shared" si="4"/>
        <v>-0.33392644850452968</v>
      </c>
      <c r="V5" s="51">
        <f t="shared" si="5"/>
        <v>0</v>
      </c>
      <c r="W5" s="49"/>
    </row>
    <row r="6" spans="1:23" x14ac:dyDescent="0.25">
      <c r="A6" t="s">
        <v>127</v>
      </c>
      <c r="B6">
        <v>4082992</v>
      </c>
      <c r="C6" s="75">
        <v>44833</v>
      </c>
      <c r="D6" s="71">
        <v>45289</v>
      </c>
      <c r="E6" s="56">
        <v>44833</v>
      </c>
      <c r="F6" t="s">
        <v>113</v>
      </c>
      <c r="G6" t="s">
        <v>112</v>
      </c>
      <c r="H6" s="55">
        <v>100000</v>
      </c>
      <c r="I6" s="55">
        <v>100000</v>
      </c>
      <c r="J6" s="54">
        <v>16703990</v>
      </c>
      <c r="K6" s="49"/>
      <c r="L6" s="53">
        <f>VLOOKUP($B$1,Resumo_Master!$C$14:$R$10000,3,FALSE)/VLOOKUP($D6,Resumo_Master!$C$14:$R$10000,3,FALSE)-1</f>
        <v>-0.22601028488404884</v>
      </c>
      <c r="M6" s="53">
        <f>VLOOKUP($B$1,Resumo_Master!$C$14:$R$10000,16,FALSE)/VLOOKUP($D6,Resumo_Master!$C$14:$R$10000,3,FALSE)-1</f>
        <v>-0.22601028488404884</v>
      </c>
      <c r="N6" s="53">
        <f>VLOOKUP($B$1,[2]Índices!$C$13:$E$10000,2,FALSE)/VLOOKUP($D6,[2]Índices!$C$13:$E$10000,2,FALSE)-1</f>
        <v>0.10791616362048084</v>
      </c>
      <c r="O6" s="49"/>
      <c r="P6" s="50">
        <f t="shared" si="0"/>
        <v>0.77398971511595116</v>
      </c>
      <c r="Q6" s="50">
        <f t="shared" si="1"/>
        <v>0.77398971511595116</v>
      </c>
      <c r="R6" s="74">
        <f t="shared" si="2"/>
        <v>1.1079161636204808</v>
      </c>
      <c r="S6" s="49"/>
      <c r="T6" s="50">
        <f t="shared" si="3"/>
        <v>-0.33392644850452968</v>
      </c>
      <c r="U6" s="52">
        <f t="shared" si="4"/>
        <v>-0.33392644850452968</v>
      </c>
      <c r="V6" s="51">
        <f t="shared" si="5"/>
        <v>0</v>
      </c>
      <c r="W6" s="49"/>
    </row>
    <row r="7" spans="1:23" x14ac:dyDescent="0.25">
      <c r="A7" s="76" t="s">
        <v>126</v>
      </c>
      <c r="B7" s="76">
        <v>92024</v>
      </c>
      <c r="C7" s="77">
        <v>44833</v>
      </c>
      <c r="D7" s="78">
        <v>45289</v>
      </c>
      <c r="E7" s="78">
        <v>44833</v>
      </c>
      <c r="F7" s="76" t="s">
        <v>113</v>
      </c>
      <c r="G7" s="76" t="s">
        <v>112</v>
      </c>
      <c r="H7" s="79">
        <v>160187.95988899999</v>
      </c>
      <c r="I7" s="79">
        <v>160187.95988899999</v>
      </c>
      <c r="J7" s="80">
        <v>16704645</v>
      </c>
      <c r="K7" s="49"/>
      <c r="L7" s="53">
        <f>VLOOKUP($B$1,Resumo_Master!$C$14:$R$10000,3,FALSE)/VLOOKUP($D7,Resumo_Master!$C$14:$R$10000,3,FALSE)-1</f>
        <v>-0.22601028488404884</v>
      </c>
      <c r="M7" s="53">
        <f>VLOOKUP($B$1,Resumo_Master!$C$14:$R$10000,16,FALSE)/VLOOKUP($D7,Resumo_Master!$C$14:$R$10000,3,FALSE)-1</f>
        <v>-0.22601028488404884</v>
      </c>
      <c r="N7" s="53">
        <f>VLOOKUP($B$1,[2]Índices!$C$13:$E$10000,2,FALSE)/VLOOKUP($D7,[2]Índices!$C$13:$E$10000,2,FALSE)-1</f>
        <v>0.10791616362048084</v>
      </c>
      <c r="O7" s="49"/>
      <c r="P7" s="50">
        <f t="shared" si="0"/>
        <v>0.77398971511595116</v>
      </c>
      <c r="Q7" s="50">
        <f t="shared" si="1"/>
        <v>0.77398971511595116</v>
      </c>
      <c r="R7" s="74">
        <f t="shared" si="2"/>
        <v>1.1079161636204808</v>
      </c>
      <c r="S7" s="49"/>
      <c r="T7" s="50">
        <f t="shared" si="3"/>
        <v>-0.33392644850452968</v>
      </c>
      <c r="U7" s="52">
        <f t="shared" si="4"/>
        <v>-0.33392644850452968</v>
      </c>
      <c r="V7" s="51">
        <f t="shared" si="5"/>
        <v>0</v>
      </c>
      <c r="W7" s="49"/>
    </row>
    <row r="8" spans="1:23" x14ac:dyDescent="0.25">
      <c r="A8" t="s">
        <v>125</v>
      </c>
      <c r="B8">
        <v>350722</v>
      </c>
      <c r="C8" s="75">
        <v>44833</v>
      </c>
      <c r="D8" s="71">
        <v>45289</v>
      </c>
      <c r="E8" s="56">
        <v>44833</v>
      </c>
      <c r="F8" t="s">
        <v>113</v>
      </c>
      <c r="G8" t="s">
        <v>112</v>
      </c>
      <c r="H8" s="55">
        <v>100000</v>
      </c>
      <c r="I8" s="55">
        <v>100000</v>
      </c>
      <c r="J8" s="54">
        <v>16704404</v>
      </c>
      <c r="K8" s="49"/>
      <c r="L8" s="53">
        <f>VLOOKUP($B$1,Resumo_Master!$C$14:$R$10000,3,FALSE)/VLOOKUP($D8,Resumo_Master!$C$14:$R$10000,3,FALSE)-1</f>
        <v>-0.22601028488404884</v>
      </c>
      <c r="M8" s="53">
        <f>VLOOKUP($B$1,Resumo_Master!$C$14:$R$10000,16,FALSE)/VLOOKUP($D8,Resumo_Master!$C$14:$R$10000,3,FALSE)-1</f>
        <v>-0.22601028488404884</v>
      </c>
      <c r="N8" s="53">
        <f>VLOOKUP($B$1,[2]Índices!$C$13:$E$10000,2,FALSE)/VLOOKUP($D8,[2]Índices!$C$13:$E$10000,2,FALSE)-1</f>
        <v>0.10791616362048084</v>
      </c>
      <c r="O8" s="49"/>
      <c r="P8" s="50">
        <f t="shared" si="0"/>
        <v>0.77398971511595116</v>
      </c>
      <c r="Q8" s="50">
        <f t="shared" si="1"/>
        <v>0.77398971511595116</v>
      </c>
      <c r="R8" s="74">
        <f t="shared" si="2"/>
        <v>1.1079161636204808</v>
      </c>
      <c r="S8" s="49"/>
      <c r="T8" s="50">
        <f t="shared" si="3"/>
        <v>-0.33392644850452968</v>
      </c>
      <c r="U8" s="52">
        <f t="shared" si="4"/>
        <v>-0.33392644850452968</v>
      </c>
      <c r="V8" s="51">
        <f t="shared" si="5"/>
        <v>0</v>
      </c>
      <c r="W8" s="49"/>
    </row>
    <row r="9" spans="1:23" x14ac:dyDescent="0.25">
      <c r="A9" t="s">
        <v>116</v>
      </c>
      <c r="B9">
        <v>3976798</v>
      </c>
      <c r="C9" s="75">
        <v>44833</v>
      </c>
      <c r="D9" s="71">
        <v>45289</v>
      </c>
      <c r="E9" s="56">
        <v>44833</v>
      </c>
      <c r="F9" t="s">
        <v>113</v>
      </c>
      <c r="G9" t="s">
        <v>112</v>
      </c>
      <c r="H9" s="55">
        <v>4041299.02</v>
      </c>
      <c r="I9" s="55">
        <v>4041299.02</v>
      </c>
      <c r="J9" s="54">
        <v>16704129</v>
      </c>
      <c r="K9" s="49"/>
      <c r="L9" s="53">
        <f>VLOOKUP($B$1,Resumo_Master!$C$14:$R$10000,3,FALSE)/VLOOKUP($D9,Resumo_Master!$C$14:$R$10000,3,FALSE)-1</f>
        <v>-0.22601028488404884</v>
      </c>
      <c r="M9" s="53">
        <f>VLOOKUP($B$1,Resumo_Master!$C$14:$R$10000,16,FALSE)/VLOOKUP($D9,Resumo_Master!$C$14:$R$10000,3,FALSE)-1</f>
        <v>-0.22601028488404884</v>
      </c>
      <c r="N9" s="53">
        <f>VLOOKUP($B$1,[2]Índices!$C$13:$E$10000,2,FALSE)/VLOOKUP($D9,[2]Índices!$C$13:$E$10000,2,FALSE)-1</f>
        <v>0.10791616362048084</v>
      </c>
      <c r="O9" s="49"/>
      <c r="P9" s="50">
        <f t="shared" si="0"/>
        <v>0.77398971511595116</v>
      </c>
      <c r="Q9" s="50">
        <f t="shared" si="1"/>
        <v>0.77398971511595116</v>
      </c>
      <c r="R9" s="74">
        <f t="shared" si="2"/>
        <v>1.1079161636204808</v>
      </c>
      <c r="S9" s="49"/>
      <c r="T9" s="50">
        <f t="shared" si="3"/>
        <v>-0.33392644850452968</v>
      </c>
      <c r="U9" s="52">
        <f t="shared" si="4"/>
        <v>-0.33392644850452968</v>
      </c>
      <c r="V9" s="51">
        <f t="shared" si="5"/>
        <v>0</v>
      </c>
      <c r="W9" s="49"/>
    </row>
    <row r="10" spans="1:23" x14ac:dyDescent="0.25">
      <c r="A10" t="s">
        <v>124</v>
      </c>
      <c r="B10">
        <v>4103202</v>
      </c>
      <c r="C10" s="75">
        <v>44833</v>
      </c>
      <c r="D10" s="71">
        <v>45289</v>
      </c>
      <c r="E10" s="56">
        <v>44833</v>
      </c>
      <c r="F10" t="s">
        <v>113</v>
      </c>
      <c r="G10" t="s">
        <v>112</v>
      </c>
      <c r="H10" s="55">
        <v>100000</v>
      </c>
      <c r="I10" s="55">
        <v>100000</v>
      </c>
      <c r="J10" s="54">
        <v>16722186</v>
      </c>
      <c r="K10" s="49"/>
      <c r="L10" s="53">
        <f>VLOOKUP($B$1,Resumo_Master!$C$14:$R$10000,3,FALSE)/VLOOKUP($D10,Resumo_Master!$C$14:$R$10000,3,FALSE)-1</f>
        <v>-0.22601028488404884</v>
      </c>
      <c r="M10" s="53">
        <f>VLOOKUP($B$1,Resumo_Master!$C$14:$R$10000,16,FALSE)/VLOOKUP($D10,Resumo_Master!$C$14:$R$10000,3,FALSE)-1</f>
        <v>-0.22601028488404884</v>
      </c>
      <c r="N10" s="53">
        <f>VLOOKUP($B$1,[2]Índices!$C$13:$E$10000,2,FALSE)/VLOOKUP($D10,[2]Índices!$C$13:$E$10000,2,FALSE)-1</f>
        <v>0.10791616362048084</v>
      </c>
      <c r="O10" s="49"/>
      <c r="P10" s="50">
        <f t="shared" si="0"/>
        <v>0.77398971511595116</v>
      </c>
      <c r="Q10" s="50">
        <f t="shared" si="1"/>
        <v>0.77398971511595116</v>
      </c>
      <c r="R10" s="74">
        <f t="shared" si="2"/>
        <v>1.1079161636204808</v>
      </c>
      <c r="S10" s="49"/>
      <c r="T10" s="50">
        <f t="shared" si="3"/>
        <v>-0.33392644850452968</v>
      </c>
      <c r="U10" s="52">
        <f t="shared" si="4"/>
        <v>-0.33392644850452968</v>
      </c>
      <c r="V10" s="51">
        <f t="shared" si="5"/>
        <v>0</v>
      </c>
      <c r="W10" s="49"/>
    </row>
    <row r="11" spans="1:23" x14ac:dyDescent="0.25">
      <c r="A11" t="s">
        <v>123</v>
      </c>
      <c r="B11">
        <v>4102622</v>
      </c>
      <c r="C11" s="75">
        <v>44834</v>
      </c>
      <c r="D11" s="71">
        <v>45289</v>
      </c>
      <c r="E11" s="56">
        <v>44834</v>
      </c>
      <c r="F11" t="s">
        <v>113</v>
      </c>
      <c r="G11" t="s">
        <v>112</v>
      </c>
      <c r="H11" s="55">
        <v>100000</v>
      </c>
      <c r="I11" s="55">
        <v>95509.651918999996</v>
      </c>
      <c r="J11" s="54">
        <v>16765247</v>
      </c>
      <c r="K11" s="49"/>
      <c r="L11" s="53">
        <f>VLOOKUP($B$1,Resumo_Master!$C$14:$R$10000,3,FALSE)/VLOOKUP($D11,Resumo_Master!$C$14:$R$10000,3,FALSE)-1</f>
        <v>-0.22601028488404884</v>
      </c>
      <c r="M11" s="53">
        <f>VLOOKUP($B$1,Resumo_Master!$C$14:$R$10000,16,FALSE)/VLOOKUP($D11,Resumo_Master!$C$14:$R$10000,3,FALSE)-1</f>
        <v>-0.22601028488404884</v>
      </c>
      <c r="N11" s="53">
        <f>VLOOKUP($B$1,[2]Índices!$C$13:$E$10000,2,FALSE)/VLOOKUP($D11,[2]Índices!$C$13:$E$10000,2,FALSE)-1</f>
        <v>0.10791616362048084</v>
      </c>
      <c r="O11" s="49"/>
      <c r="P11" s="50">
        <f t="shared" si="0"/>
        <v>0.77398971511595116</v>
      </c>
      <c r="Q11" s="50">
        <f t="shared" si="1"/>
        <v>0.77398971511595116</v>
      </c>
      <c r="R11" s="74">
        <f t="shared" si="2"/>
        <v>1.1079161636204808</v>
      </c>
      <c r="S11" s="49"/>
      <c r="T11" s="50">
        <f t="shared" si="3"/>
        <v>-0.33392644850452968</v>
      </c>
      <c r="U11" s="52">
        <f t="shared" si="4"/>
        <v>-0.33392644850452968</v>
      </c>
      <c r="V11" s="51">
        <f t="shared" si="5"/>
        <v>0</v>
      </c>
      <c r="W11" s="49"/>
    </row>
    <row r="12" spans="1:23" x14ac:dyDescent="0.25">
      <c r="A12" t="s">
        <v>122</v>
      </c>
      <c r="B12">
        <v>4110463</v>
      </c>
      <c r="C12" s="75">
        <v>44841</v>
      </c>
      <c r="D12" s="71">
        <v>45289</v>
      </c>
      <c r="E12" s="56">
        <v>44841</v>
      </c>
      <c r="F12" t="s">
        <v>113</v>
      </c>
      <c r="G12" t="s">
        <v>112</v>
      </c>
      <c r="H12" s="55">
        <v>100000</v>
      </c>
      <c r="I12" s="55">
        <v>95304.109217999998</v>
      </c>
      <c r="J12" s="54">
        <v>16914365</v>
      </c>
      <c r="K12" s="49"/>
      <c r="L12" s="53">
        <f>VLOOKUP($B$1,Resumo_Master!$C$14:$R$10000,3,FALSE)/VLOOKUP($D12,Resumo_Master!$C$14:$R$10000,3,FALSE)-1</f>
        <v>-0.22601028488404884</v>
      </c>
      <c r="M12" s="53">
        <f>VLOOKUP($B$1,Resumo_Master!$C$14:$R$10000,16,FALSE)/VLOOKUP($D12,Resumo_Master!$C$14:$R$10000,3,FALSE)-1</f>
        <v>-0.22601028488404884</v>
      </c>
      <c r="N12" s="53">
        <f>VLOOKUP($B$1,[2]Índices!$C$13:$E$10000,2,FALSE)/VLOOKUP($D12,[2]Índices!$C$13:$E$10000,2,FALSE)-1</f>
        <v>0.10791616362048084</v>
      </c>
      <c r="O12" s="49"/>
      <c r="P12" s="50">
        <f t="shared" si="0"/>
        <v>0.77398971511595116</v>
      </c>
      <c r="Q12" s="50">
        <f t="shared" si="1"/>
        <v>0.77398971511595116</v>
      </c>
      <c r="R12" s="74">
        <f t="shared" si="2"/>
        <v>1.1079161636204808</v>
      </c>
      <c r="S12" s="49"/>
      <c r="T12" s="50">
        <f t="shared" si="3"/>
        <v>-0.33392644850452968</v>
      </c>
      <c r="U12" s="52">
        <f t="shared" si="4"/>
        <v>-0.33392644850452968</v>
      </c>
      <c r="V12" s="51">
        <f t="shared" si="5"/>
        <v>0</v>
      </c>
      <c r="W12" s="49"/>
    </row>
    <row r="13" spans="1:23" x14ac:dyDescent="0.25">
      <c r="A13" t="s">
        <v>121</v>
      </c>
      <c r="B13">
        <v>4114865</v>
      </c>
      <c r="C13" s="75">
        <v>44848</v>
      </c>
      <c r="D13" s="71">
        <v>45289</v>
      </c>
      <c r="E13" s="56">
        <v>44848</v>
      </c>
      <c r="F13" t="s">
        <v>113</v>
      </c>
      <c r="G13" t="s">
        <v>112</v>
      </c>
      <c r="H13" s="55">
        <v>500000</v>
      </c>
      <c r="I13" s="55">
        <v>486772.303396</v>
      </c>
      <c r="J13" s="54">
        <v>17075747</v>
      </c>
      <c r="K13" s="49"/>
      <c r="L13" s="53">
        <f>VLOOKUP($B$1,Resumo_Master!$C$14:$R$10000,3,FALSE)/VLOOKUP($D13,Resumo_Master!$C$14:$R$10000,3,FALSE)-1</f>
        <v>-0.22601028488404884</v>
      </c>
      <c r="M13" s="53">
        <f>VLOOKUP($B$1,Resumo_Master!$C$14:$R$10000,16,FALSE)/VLOOKUP($D13,Resumo_Master!$C$14:$R$10000,3,FALSE)-1</f>
        <v>-0.22601028488404884</v>
      </c>
      <c r="N13" s="53">
        <f>VLOOKUP($B$1,[2]Índices!$C$13:$E$10000,2,FALSE)/VLOOKUP($D13,[2]Índices!$C$13:$E$10000,2,FALSE)-1</f>
        <v>0.10791616362048084</v>
      </c>
      <c r="O13" s="49"/>
      <c r="P13" s="50">
        <f t="shared" si="0"/>
        <v>0.77398971511595116</v>
      </c>
      <c r="Q13" s="50">
        <f t="shared" si="1"/>
        <v>0.77398971511595116</v>
      </c>
      <c r="R13" s="74">
        <f t="shared" si="2"/>
        <v>1.1079161636204808</v>
      </c>
      <c r="S13" s="49"/>
      <c r="T13" s="50">
        <f t="shared" si="3"/>
        <v>-0.33392644850452968</v>
      </c>
      <c r="U13" s="52">
        <f t="shared" si="4"/>
        <v>-0.33392644850452968</v>
      </c>
      <c r="V13" s="51">
        <f t="shared" si="5"/>
        <v>0</v>
      </c>
      <c r="W13" s="49"/>
    </row>
    <row r="14" spans="1:23" x14ac:dyDescent="0.25">
      <c r="A14" t="s">
        <v>120</v>
      </c>
      <c r="B14">
        <v>4140827</v>
      </c>
      <c r="C14" s="75">
        <v>44852</v>
      </c>
      <c r="D14" s="71">
        <v>45289</v>
      </c>
      <c r="E14" s="56">
        <v>44852</v>
      </c>
      <c r="F14" t="s">
        <v>113</v>
      </c>
      <c r="G14" t="s">
        <v>112</v>
      </c>
      <c r="H14" s="55">
        <v>100000</v>
      </c>
      <c r="I14" s="55">
        <v>96522.720725000006</v>
      </c>
      <c r="J14" s="54">
        <v>17178389</v>
      </c>
      <c r="K14" s="49"/>
      <c r="L14" s="53">
        <f>VLOOKUP($B$1,Resumo_Master!$C$14:$R$10000,3,FALSE)/VLOOKUP($D14,Resumo_Master!$C$14:$R$10000,3,FALSE)-1</f>
        <v>-0.22601028488404884</v>
      </c>
      <c r="M14" s="53">
        <f>VLOOKUP($B$1,Resumo_Master!$C$14:$R$10000,16,FALSE)/VLOOKUP($D14,Resumo_Master!$C$14:$R$10000,3,FALSE)-1</f>
        <v>-0.22601028488404884</v>
      </c>
      <c r="N14" s="53">
        <f>VLOOKUP($B$1,[2]Índices!$C$13:$E$10000,2,FALSE)/VLOOKUP($D14,[2]Índices!$C$13:$E$10000,2,FALSE)-1</f>
        <v>0.10791616362048084</v>
      </c>
      <c r="O14" s="49"/>
      <c r="P14" s="50">
        <f t="shared" si="0"/>
        <v>0.77398971511595116</v>
      </c>
      <c r="Q14" s="50">
        <f t="shared" si="1"/>
        <v>0.77398971511595116</v>
      </c>
      <c r="R14" s="74">
        <f t="shared" si="2"/>
        <v>1.1079161636204808</v>
      </c>
      <c r="S14" s="49"/>
      <c r="T14" s="50">
        <f t="shared" si="3"/>
        <v>-0.33392644850452968</v>
      </c>
      <c r="U14" s="52">
        <f t="shared" si="4"/>
        <v>-0.33392644850452968</v>
      </c>
      <c r="V14" s="51">
        <f t="shared" si="5"/>
        <v>0</v>
      </c>
      <c r="W14" s="49"/>
    </row>
    <row r="15" spans="1:23" x14ac:dyDescent="0.25">
      <c r="A15" t="s">
        <v>116</v>
      </c>
      <c r="B15">
        <v>3976798</v>
      </c>
      <c r="C15" s="75">
        <v>44854</v>
      </c>
      <c r="D15" s="71">
        <v>45289</v>
      </c>
      <c r="E15" s="56">
        <v>44854</v>
      </c>
      <c r="F15" t="s">
        <v>113</v>
      </c>
      <c r="G15" t="s">
        <v>112</v>
      </c>
      <c r="H15" s="55">
        <v>1100000</v>
      </c>
      <c r="I15" s="55">
        <v>1047610.1678760001</v>
      </c>
      <c r="J15" s="54">
        <v>17220136</v>
      </c>
      <c r="K15" s="49"/>
      <c r="L15" s="53">
        <f>VLOOKUP($B$1,Resumo_Master!$C$14:$R$10000,3,FALSE)/VLOOKUP($D15,Resumo_Master!$C$14:$R$10000,3,FALSE)-1</f>
        <v>-0.22601028488404884</v>
      </c>
      <c r="M15" s="53">
        <f>VLOOKUP($B$1,Resumo_Master!$C$14:$R$10000,16,FALSE)/VLOOKUP($D15,Resumo_Master!$C$14:$R$10000,3,FALSE)-1</f>
        <v>-0.22601028488404884</v>
      </c>
      <c r="N15" s="53">
        <f>VLOOKUP($B$1,[2]Índices!$C$13:$E$10000,2,FALSE)/VLOOKUP($D15,[2]Índices!$C$13:$E$10000,2,FALSE)-1</f>
        <v>0.10791616362048084</v>
      </c>
      <c r="O15" s="49"/>
      <c r="P15" s="50">
        <f t="shared" si="0"/>
        <v>0.77398971511595116</v>
      </c>
      <c r="Q15" s="50">
        <f t="shared" si="1"/>
        <v>0.77398971511595116</v>
      </c>
      <c r="R15" s="74">
        <f t="shared" si="2"/>
        <v>1.1079161636204808</v>
      </c>
      <c r="S15" s="49"/>
      <c r="T15" s="50">
        <f t="shared" si="3"/>
        <v>-0.33392644850452968</v>
      </c>
      <c r="U15" s="52">
        <f t="shared" si="4"/>
        <v>-0.33392644850452968</v>
      </c>
      <c r="V15" s="51">
        <f t="shared" si="5"/>
        <v>0</v>
      </c>
      <c r="W15" s="49"/>
    </row>
    <row r="16" spans="1:23" x14ac:dyDescent="0.25">
      <c r="A16" t="s">
        <v>119</v>
      </c>
      <c r="B16">
        <v>4101924</v>
      </c>
      <c r="C16" s="75">
        <v>44854</v>
      </c>
      <c r="D16" s="71">
        <v>45289</v>
      </c>
      <c r="E16" s="56">
        <v>44854</v>
      </c>
      <c r="F16" t="s">
        <v>113</v>
      </c>
      <c r="G16" t="s">
        <v>112</v>
      </c>
      <c r="H16" s="55">
        <v>1000000</v>
      </c>
      <c r="I16" s="55">
        <v>952372.87988699996</v>
      </c>
      <c r="J16" s="54">
        <v>17234038</v>
      </c>
      <c r="K16" s="49"/>
      <c r="L16" s="53">
        <f>VLOOKUP($B$1,Resumo_Master!$C$14:$R$10000,3,FALSE)/VLOOKUP($D16,Resumo_Master!$C$14:$R$10000,3,FALSE)-1</f>
        <v>-0.22601028488404884</v>
      </c>
      <c r="M16" s="53">
        <f>VLOOKUP($B$1,Resumo_Master!$C$14:$R$10000,16,FALSE)/VLOOKUP($D16,Resumo_Master!$C$14:$R$10000,3,FALSE)-1</f>
        <v>-0.22601028488404884</v>
      </c>
      <c r="N16" s="53">
        <f>VLOOKUP($B$1,[2]Índices!$C$13:$E$10000,2,FALSE)/VLOOKUP($D16,[2]Índices!$C$13:$E$10000,2,FALSE)-1</f>
        <v>0.10791616362048084</v>
      </c>
      <c r="O16" s="49"/>
      <c r="P16" s="50">
        <f t="shared" si="0"/>
        <v>0.77398971511595116</v>
      </c>
      <c r="Q16" s="50">
        <f t="shared" si="1"/>
        <v>0.77398971511595116</v>
      </c>
      <c r="R16" s="74">
        <f t="shared" si="2"/>
        <v>1.1079161636204808</v>
      </c>
      <c r="S16" s="49"/>
      <c r="T16" s="50">
        <f t="shared" si="3"/>
        <v>-0.33392644850452968</v>
      </c>
      <c r="U16" s="52">
        <f t="shared" si="4"/>
        <v>-0.33392644850452968</v>
      </c>
      <c r="V16" s="51">
        <f t="shared" si="5"/>
        <v>0</v>
      </c>
      <c r="W16" s="49"/>
    </row>
    <row r="17" spans="1:23" x14ac:dyDescent="0.25">
      <c r="A17" t="s">
        <v>118</v>
      </c>
      <c r="B17">
        <v>4195545</v>
      </c>
      <c r="C17" s="75">
        <v>44879</v>
      </c>
      <c r="D17" s="71">
        <v>45289</v>
      </c>
      <c r="E17" s="56">
        <v>44879</v>
      </c>
      <c r="F17" t="s">
        <v>113</v>
      </c>
      <c r="G17" t="s">
        <v>112</v>
      </c>
      <c r="H17" s="55">
        <v>100000</v>
      </c>
      <c r="I17" s="55">
        <v>101959.61277778259</v>
      </c>
      <c r="J17" s="54">
        <v>17789707</v>
      </c>
      <c r="K17" s="49"/>
      <c r="L17" s="53">
        <f>VLOOKUP($B$1,Resumo_Master!$C$14:$R$10000,3,FALSE)/VLOOKUP($D17,Resumo_Master!$C$14:$R$10000,3,FALSE)-1</f>
        <v>-0.22601028488404884</v>
      </c>
      <c r="M17" s="53">
        <f>VLOOKUP($B$1,Resumo_Master!$C$14:$R$10000,16,FALSE)/VLOOKUP($D17,Resumo_Master!$C$14:$R$10000,3,FALSE)-1</f>
        <v>-0.22601028488404884</v>
      </c>
      <c r="N17" s="53">
        <f>VLOOKUP($B$1,[2]Índices!$C$13:$E$10000,2,FALSE)/VLOOKUP($D17,[2]Índices!$C$13:$E$10000,2,FALSE)-1</f>
        <v>0.10791616362048084</v>
      </c>
      <c r="O17" s="49"/>
      <c r="P17" s="50">
        <f t="shared" si="0"/>
        <v>0.77398971511595116</v>
      </c>
      <c r="Q17" s="50">
        <f t="shared" si="1"/>
        <v>0.77398971511595116</v>
      </c>
      <c r="R17" s="74">
        <f t="shared" si="2"/>
        <v>1.1079161636204808</v>
      </c>
      <c r="S17" s="49"/>
      <c r="T17" s="50">
        <f t="shared" si="3"/>
        <v>-0.33392644850452968</v>
      </c>
      <c r="U17" s="52">
        <f t="shared" si="4"/>
        <v>-0.33392644850452968</v>
      </c>
      <c r="V17" s="51">
        <f t="shared" si="5"/>
        <v>0</v>
      </c>
      <c r="W17" s="49"/>
    </row>
    <row r="18" spans="1:23" x14ac:dyDescent="0.25">
      <c r="A18" t="s">
        <v>117</v>
      </c>
      <c r="B18">
        <v>4193383</v>
      </c>
      <c r="C18" s="75">
        <v>44879</v>
      </c>
      <c r="D18" s="71">
        <v>45289</v>
      </c>
      <c r="E18" s="56">
        <v>44879</v>
      </c>
      <c r="F18" t="s">
        <v>113</v>
      </c>
      <c r="G18" t="s">
        <v>112</v>
      </c>
      <c r="H18" s="55">
        <v>100000</v>
      </c>
      <c r="I18" s="55">
        <v>101959.61277778259</v>
      </c>
      <c r="J18" s="54">
        <v>17803909</v>
      </c>
      <c r="K18" s="49"/>
      <c r="L18" s="53">
        <f>VLOOKUP($B$1,Resumo_Master!$C$14:$R$10000,3,FALSE)/VLOOKUP($D18,Resumo_Master!$C$14:$R$10000,3,FALSE)-1</f>
        <v>-0.22601028488404884</v>
      </c>
      <c r="M18" s="53">
        <f>VLOOKUP($B$1,Resumo_Master!$C$14:$R$10000,16,FALSE)/VLOOKUP($D18,Resumo_Master!$C$14:$R$10000,3,FALSE)-1</f>
        <v>-0.22601028488404884</v>
      </c>
      <c r="N18" s="53">
        <f>VLOOKUP($B$1,[2]Índices!$C$13:$E$10000,2,FALSE)/VLOOKUP($D18,[2]Índices!$C$13:$E$10000,2,FALSE)-1</f>
        <v>0.10791616362048084</v>
      </c>
      <c r="O18" s="49"/>
      <c r="P18" s="50">
        <f t="shared" si="0"/>
        <v>0.77398971511595116</v>
      </c>
      <c r="Q18" s="50">
        <f t="shared" si="1"/>
        <v>0.77398971511595116</v>
      </c>
      <c r="R18" s="74">
        <f t="shared" si="2"/>
        <v>1.1079161636204808</v>
      </c>
      <c r="S18" s="49"/>
      <c r="T18" s="50">
        <f t="shared" si="3"/>
        <v>-0.33392644850452968</v>
      </c>
      <c r="U18" s="52">
        <f t="shared" si="4"/>
        <v>-0.33392644850452968</v>
      </c>
      <c r="V18" s="51">
        <f t="shared" si="5"/>
        <v>0</v>
      </c>
      <c r="W18" s="49"/>
    </row>
    <row r="19" spans="1:23" x14ac:dyDescent="0.25">
      <c r="A19" t="s">
        <v>115</v>
      </c>
      <c r="B19">
        <v>4203372</v>
      </c>
      <c r="C19" s="75">
        <v>44881</v>
      </c>
      <c r="D19" s="71">
        <v>45289</v>
      </c>
      <c r="E19" s="56">
        <v>44881</v>
      </c>
      <c r="F19" t="s">
        <v>113</v>
      </c>
      <c r="G19" t="s">
        <v>112</v>
      </c>
      <c r="H19" s="55">
        <v>1000000</v>
      </c>
      <c r="I19" s="55">
        <v>1020900.5915404297</v>
      </c>
      <c r="J19" s="54">
        <v>10177301</v>
      </c>
      <c r="K19" s="49"/>
      <c r="L19" s="53">
        <f>VLOOKUP($B$1,Resumo_Master!$C$14:$R$10000,3,FALSE)/VLOOKUP($D19,Resumo_Master!$C$14:$R$10000,3,FALSE)-1</f>
        <v>-0.22601028488404884</v>
      </c>
      <c r="M19" s="53">
        <f>VLOOKUP($B$1,Resumo_Master!$C$14:$R$10000,16,FALSE)/VLOOKUP($D19,Resumo_Master!$C$14:$R$10000,3,FALSE)-1</f>
        <v>-0.22601028488404884</v>
      </c>
      <c r="N19" s="53">
        <f>VLOOKUP($B$1,[2]Índices!$C$13:$E$10000,2,FALSE)/VLOOKUP($D19,[2]Índices!$C$13:$E$10000,2,FALSE)-1</f>
        <v>0.10791616362048084</v>
      </c>
      <c r="O19" s="49"/>
      <c r="P19" s="50">
        <f t="shared" si="0"/>
        <v>0.77398971511595116</v>
      </c>
      <c r="Q19" s="50">
        <f t="shared" si="1"/>
        <v>0.77398971511595116</v>
      </c>
      <c r="R19" s="74">
        <f t="shared" si="2"/>
        <v>1.1079161636204808</v>
      </c>
      <c r="S19" s="49"/>
      <c r="T19" s="50">
        <f t="shared" si="3"/>
        <v>-0.33392644850452968</v>
      </c>
      <c r="U19" s="52">
        <f t="shared" si="4"/>
        <v>-0.33392644850452968</v>
      </c>
      <c r="V19" s="51">
        <f t="shared" si="5"/>
        <v>0</v>
      </c>
      <c r="W19" s="49"/>
    </row>
    <row r="20" spans="1:23" x14ac:dyDescent="0.25">
      <c r="A20" t="s">
        <v>115</v>
      </c>
      <c r="B20">
        <v>4203372</v>
      </c>
      <c r="C20" s="75">
        <v>44897</v>
      </c>
      <c r="D20" s="71">
        <v>45289</v>
      </c>
      <c r="E20" s="56">
        <v>44897</v>
      </c>
      <c r="F20" t="s">
        <v>113</v>
      </c>
      <c r="G20" t="s">
        <v>112</v>
      </c>
      <c r="H20" s="55">
        <v>1000000</v>
      </c>
      <c r="I20" s="55">
        <v>1037198.7171096508</v>
      </c>
      <c r="J20" s="54">
        <v>19249734</v>
      </c>
      <c r="K20" s="49"/>
      <c r="L20" s="53">
        <f>VLOOKUP($B$1,Resumo_Master!$C$14:$R$10000,3,FALSE)/VLOOKUP($D20,Resumo_Master!$C$14:$R$10000,3,FALSE)-1</f>
        <v>-0.22601028488404884</v>
      </c>
      <c r="M20" s="53">
        <f>VLOOKUP($B$1,Resumo_Master!$C$14:$R$10000,16,FALSE)/VLOOKUP($D20,Resumo_Master!$C$14:$R$10000,3,FALSE)-1</f>
        <v>-0.22601028488404884</v>
      </c>
      <c r="N20" s="53">
        <f>VLOOKUP($B$1,[2]Índices!$C$13:$E$10000,2,FALSE)/VLOOKUP($D20,[2]Índices!$C$13:$E$10000,2,FALSE)-1</f>
        <v>0.10791616362048084</v>
      </c>
      <c r="O20" s="49"/>
      <c r="P20" s="50">
        <f t="shared" si="0"/>
        <v>0.77398971511595116</v>
      </c>
      <c r="Q20" s="50">
        <f t="shared" si="1"/>
        <v>0.77398971511595116</v>
      </c>
      <c r="R20" s="74">
        <f t="shared" si="2"/>
        <v>1.1079161636204808</v>
      </c>
      <c r="S20" s="49"/>
      <c r="T20" s="50">
        <f t="shared" si="3"/>
        <v>-0.33392644850452968</v>
      </c>
      <c r="U20" s="52">
        <f t="shared" si="4"/>
        <v>-0.33392644850452968</v>
      </c>
      <c r="V20" s="51">
        <f t="shared" si="5"/>
        <v>0</v>
      </c>
      <c r="W20" s="49"/>
    </row>
    <row r="21" spans="1:23" x14ac:dyDescent="0.25">
      <c r="A21" t="s">
        <v>115</v>
      </c>
      <c r="B21">
        <v>4203372</v>
      </c>
      <c r="C21" s="75">
        <v>44904</v>
      </c>
      <c r="D21" s="71">
        <v>45289</v>
      </c>
      <c r="E21" s="56">
        <v>44904</v>
      </c>
      <c r="F21" t="s">
        <v>113</v>
      </c>
      <c r="G21" t="s">
        <v>112</v>
      </c>
      <c r="H21" s="55">
        <v>1000000</v>
      </c>
      <c r="I21" s="55">
        <v>1108066.882030546</v>
      </c>
      <c r="J21" s="54">
        <v>19479677</v>
      </c>
      <c r="K21" s="49"/>
      <c r="L21" s="53">
        <f>VLOOKUP($B$1,Resumo_Master!$C$14:$R$10000,3,FALSE)/VLOOKUP($D21,Resumo_Master!$C$14:$R$10000,3,FALSE)-1</f>
        <v>-0.22601028488404884</v>
      </c>
      <c r="M21" s="53">
        <f>VLOOKUP($B$1,Resumo_Master!$C$14:$R$10000,16,FALSE)/VLOOKUP($D21,Resumo_Master!$C$14:$R$10000,3,FALSE)-1</f>
        <v>-0.22601028488404884</v>
      </c>
      <c r="N21" s="53">
        <f>VLOOKUP($B$1,[2]Índices!$C$13:$E$10000,2,FALSE)/VLOOKUP($D21,[2]Índices!$C$13:$E$10000,2,FALSE)-1</f>
        <v>0.10791616362048084</v>
      </c>
      <c r="O21" s="49"/>
      <c r="P21" s="50">
        <f t="shared" si="0"/>
        <v>0.77398971511595116</v>
      </c>
      <c r="Q21" s="50">
        <f t="shared" si="1"/>
        <v>0.77398971511595116</v>
      </c>
      <c r="R21" s="74">
        <f t="shared" si="2"/>
        <v>1.1079161636204808</v>
      </c>
      <c r="S21" s="49"/>
      <c r="T21" s="50">
        <f t="shared" si="3"/>
        <v>-0.33392644850452968</v>
      </c>
      <c r="U21" s="52">
        <f t="shared" si="4"/>
        <v>-0.33392644850452968</v>
      </c>
      <c r="V21" s="51">
        <f t="shared" si="5"/>
        <v>0</v>
      </c>
      <c r="W21" s="49"/>
    </row>
    <row r="22" spans="1:23" x14ac:dyDescent="0.25">
      <c r="A22" t="s">
        <v>116</v>
      </c>
      <c r="B22">
        <v>3976798</v>
      </c>
      <c r="C22" s="75">
        <v>44907</v>
      </c>
      <c r="D22" s="71">
        <v>45289</v>
      </c>
      <c r="E22" s="56">
        <v>44907</v>
      </c>
      <c r="F22" t="s">
        <v>113</v>
      </c>
      <c r="G22" t="s">
        <v>112</v>
      </c>
      <c r="H22" s="55">
        <v>100000</v>
      </c>
      <c r="I22" s="55">
        <v>113700.99231404031</v>
      </c>
      <c r="J22" s="54">
        <v>19520346</v>
      </c>
      <c r="K22" s="49"/>
      <c r="L22" s="53">
        <f>VLOOKUP($B$1,Resumo_Master!$C$14:$R$10000,3,FALSE)/VLOOKUP($D22,Resumo_Master!$C$14:$R$10000,3,FALSE)-1</f>
        <v>-0.22601028488404884</v>
      </c>
      <c r="M22" s="53">
        <f>VLOOKUP($B$1,Resumo_Master!$C$14:$R$10000,16,FALSE)/VLOOKUP($D22,Resumo_Master!$C$14:$R$10000,3,FALSE)-1</f>
        <v>-0.22601028488404884</v>
      </c>
      <c r="N22" s="53">
        <f>VLOOKUP($B$1,[2]Índices!$C$13:$E$10000,2,FALSE)/VLOOKUP($D22,[2]Índices!$C$13:$E$10000,2,FALSE)-1</f>
        <v>0.10791616362048084</v>
      </c>
      <c r="O22" s="49"/>
      <c r="P22" s="50">
        <f t="shared" si="0"/>
        <v>0.77398971511595116</v>
      </c>
      <c r="Q22" s="50">
        <f t="shared" si="1"/>
        <v>0.77398971511595116</v>
      </c>
      <c r="R22" s="74">
        <f t="shared" si="2"/>
        <v>1.1079161636204808</v>
      </c>
      <c r="S22" s="49"/>
      <c r="T22" s="50">
        <f t="shared" si="3"/>
        <v>-0.33392644850452968</v>
      </c>
      <c r="U22" s="52">
        <f t="shared" si="4"/>
        <v>-0.33392644850452968</v>
      </c>
      <c r="V22" s="51">
        <f t="shared" si="5"/>
        <v>0</v>
      </c>
      <c r="W22" s="49"/>
    </row>
    <row r="23" spans="1:23" x14ac:dyDescent="0.25">
      <c r="A23" t="s">
        <v>115</v>
      </c>
      <c r="B23">
        <v>4203372</v>
      </c>
      <c r="C23" s="75">
        <v>44914</v>
      </c>
      <c r="D23" s="71">
        <v>45289</v>
      </c>
      <c r="E23" s="56">
        <v>44914</v>
      </c>
      <c r="F23" t="s">
        <v>113</v>
      </c>
      <c r="G23" t="s">
        <v>112</v>
      </c>
      <c r="H23" s="55">
        <v>1000000</v>
      </c>
      <c r="I23" s="55">
        <v>1083176.8233088388</v>
      </c>
      <c r="J23" s="54">
        <v>10898478</v>
      </c>
      <c r="K23" s="49"/>
      <c r="L23" s="53">
        <f>VLOOKUP($B$1,Resumo_Master!$C$14:$R$10000,3,FALSE)/VLOOKUP($D23,Resumo_Master!$C$14:$R$10000,3,FALSE)-1</f>
        <v>-0.22601028488404884</v>
      </c>
      <c r="M23" s="53">
        <f>VLOOKUP($B$1,Resumo_Master!$C$14:$R$10000,16,FALSE)/VLOOKUP($D23,Resumo_Master!$C$14:$R$10000,3,FALSE)-1</f>
        <v>-0.22601028488404884</v>
      </c>
      <c r="N23" s="53">
        <f>VLOOKUP($B$1,[2]Índices!$C$13:$E$10000,2,FALSE)/VLOOKUP($D23,[2]Índices!$C$13:$E$10000,2,FALSE)-1</f>
        <v>0.10791616362048084</v>
      </c>
      <c r="O23" s="49"/>
      <c r="P23" s="50">
        <f t="shared" si="0"/>
        <v>0.77398971511595116</v>
      </c>
      <c r="Q23" s="50">
        <f t="shared" si="1"/>
        <v>0.77398971511595116</v>
      </c>
      <c r="R23" s="74">
        <f t="shared" si="2"/>
        <v>1.1079161636204808</v>
      </c>
      <c r="S23" s="49"/>
      <c r="T23" s="50">
        <f t="shared" si="3"/>
        <v>-0.33392644850452968</v>
      </c>
      <c r="U23" s="52">
        <f t="shared" si="4"/>
        <v>-0.33392644850452968</v>
      </c>
      <c r="V23" s="51">
        <f t="shared" si="5"/>
        <v>0</v>
      </c>
      <c r="W23" s="49"/>
    </row>
    <row r="24" spans="1:23" x14ac:dyDescent="0.25">
      <c r="A24" t="s">
        <v>115</v>
      </c>
      <c r="B24">
        <v>4203372</v>
      </c>
      <c r="C24" s="75">
        <v>44918</v>
      </c>
      <c r="D24" s="71">
        <v>45289</v>
      </c>
      <c r="E24" s="56">
        <v>44918</v>
      </c>
      <c r="F24" t="s">
        <v>113</v>
      </c>
      <c r="G24" t="s">
        <v>112</v>
      </c>
      <c r="H24" s="55">
        <v>1000000</v>
      </c>
      <c r="I24" s="55">
        <v>1054533.9582079756</v>
      </c>
      <c r="J24" s="54">
        <v>19887892</v>
      </c>
      <c r="K24" s="49"/>
      <c r="L24" s="53">
        <f>VLOOKUP($B$1,Resumo_Master!$C$14:$R$10000,3,FALSE)/VLOOKUP($D24,Resumo_Master!$C$14:$R$10000,3,FALSE)-1</f>
        <v>-0.22601028488404884</v>
      </c>
      <c r="M24" s="53">
        <f>VLOOKUP($B$1,Resumo_Master!$C$14:$R$10000,16,FALSE)/VLOOKUP($D24,Resumo_Master!$C$14:$R$10000,3,FALSE)-1</f>
        <v>-0.22601028488404884</v>
      </c>
      <c r="N24" s="53">
        <f>VLOOKUP($B$1,[2]Índices!$C$13:$E$10000,2,FALSE)/VLOOKUP($D24,[2]Índices!$C$13:$E$10000,2,FALSE)-1</f>
        <v>0.10791616362048084</v>
      </c>
      <c r="O24" s="49"/>
      <c r="P24" s="50">
        <f t="shared" si="0"/>
        <v>0.77398971511595116</v>
      </c>
      <c r="Q24" s="50">
        <f t="shared" si="1"/>
        <v>0.77398971511595116</v>
      </c>
      <c r="R24" s="74">
        <f t="shared" si="2"/>
        <v>1.1079161636204808</v>
      </c>
      <c r="S24" s="49"/>
      <c r="T24" s="50">
        <f t="shared" si="3"/>
        <v>-0.33392644850452968</v>
      </c>
      <c r="U24" s="52">
        <f t="shared" si="4"/>
        <v>-0.33392644850452968</v>
      </c>
      <c r="V24" s="51">
        <f t="shared" si="5"/>
        <v>0</v>
      </c>
      <c r="W24" s="49"/>
    </row>
    <row r="25" spans="1:23" x14ac:dyDescent="0.25">
      <c r="A25" t="s">
        <v>114</v>
      </c>
      <c r="B25">
        <v>4307379</v>
      </c>
      <c r="C25" s="75">
        <v>44936</v>
      </c>
      <c r="D25" s="71">
        <v>45289</v>
      </c>
      <c r="E25" s="56">
        <v>44936</v>
      </c>
      <c r="F25" t="s">
        <v>113</v>
      </c>
      <c r="G25" t="s">
        <v>112</v>
      </c>
      <c r="H25" s="55">
        <v>300000</v>
      </c>
      <c r="I25" s="55">
        <v>310022.82077983761</v>
      </c>
      <c r="J25" s="54">
        <v>20276224</v>
      </c>
      <c r="K25" s="49"/>
      <c r="L25" s="53">
        <f>VLOOKUP($B$1,Resumo_Master!$C$14:$R$10000,3,FALSE)/VLOOKUP($D25,Resumo_Master!$C$14:$R$10000,3,FALSE)-1</f>
        <v>-0.22601028488404884</v>
      </c>
      <c r="M25" s="53">
        <f>VLOOKUP($B$1,Resumo_Master!$C$14:$R$10000,16,FALSE)/VLOOKUP($D25,Resumo_Master!$C$14:$R$10000,3,FALSE)-1</f>
        <v>-0.22601028488404884</v>
      </c>
      <c r="N25" s="53">
        <f>VLOOKUP($B$1,[2]Índices!$C$13:$E$10000,2,FALSE)/VLOOKUP($D25,[2]Índices!$C$13:$E$10000,2,FALSE)-1</f>
        <v>0.10791616362048084</v>
      </c>
      <c r="O25" s="49"/>
      <c r="P25" s="50">
        <f t="shared" si="0"/>
        <v>0.77398971511595116</v>
      </c>
      <c r="Q25" s="50">
        <f t="shared" si="1"/>
        <v>0.77398971511595116</v>
      </c>
      <c r="R25" s="74">
        <f t="shared" si="2"/>
        <v>1.1079161636204808</v>
      </c>
      <c r="S25" s="49"/>
      <c r="T25" s="50">
        <f t="shared" si="3"/>
        <v>-0.33392644850452968</v>
      </c>
      <c r="U25" s="52">
        <f t="shared" si="4"/>
        <v>-0.33392644850452968</v>
      </c>
      <c r="V25" s="51">
        <f t="shared" si="5"/>
        <v>0</v>
      </c>
      <c r="W25" s="49"/>
    </row>
    <row r="26" spans="1:23" x14ac:dyDescent="0.25">
      <c r="A26" t="s">
        <v>122</v>
      </c>
      <c r="B26">
        <v>4110463</v>
      </c>
      <c r="C26" s="75">
        <v>44991</v>
      </c>
      <c r="D26" s="71">
        <v>45289</v>
      </c>
      <c r="E26" s="56">
        <v>44991</v>
      </c>
      <c r="F26" t="s">
        <v>113</v>
      </c>
      <c r="G26" t="s">
        <v>112</v>
      </c>
      <c r="H26" s="55">
        <v>200000</v>
      </c>
      <c r="I26" s="55">
        <v>222857.01805721273</v>
      </c>
      <c r="J26" s="54">
        <v>21895022</v>
      </c>
      <c r="L26" s="53">
        <f>VLOOKUP($B$1,Resumo_Master!$C$14:$R$10000,3,FALSE)/VLOOKUP($D26,Resumo_Master!$C$14:$R$10000,3,FALSE)-1</f>
        <v>-0.22601028488404884</v>
      </c>
      <c r="M26" s="53">
        <f>VLOOKUP($B$1,Resumo_Master!$C$14:$R$10000,16,FALSE)/VLOOKUP($D26,Resumo_Master!$C$14:$R$10000,3,FALSE)-1</f>
        <v>-0.22601028488404884</v>
      </c>
      <c r="N26" s="53">
        <f>VLOOKUP($B$1,[2]Índices!$C$13:$E$10000,2,FALSE)/VLOOKUP($D26,[2]Índices!$C$13:$E$10000,2,FALSE)-1</f>
        <v>0.10791616362048084</v>
      </c>
      <c r="O26" s="49"/>
      <c r="P26" s="50">
        <f t="shared" ref="P26" si="6">1+L26</f>
        <v>0.77398971511595116</v>
      </c>
      <c r="Q26" s="50">
        <f t="shared" ref="Q26" si="7">1+M26</f>
        <v>0.77398971511595116</v>
      </c>
      <c r="R26" s="74">
        <f t="shared" ref="R26" si="8">1+N26</f>
        <v>1.1079161636204808</v>
      </c>
      <c r="S26" s="49"/>
      <c r="T26" s="50">
        <f t="shared" ref="T26" si="9">P26-R26</f>
        <v>-0.33392644850452968</v>
      </c>
      <c r="U26" s="52">
        <f t="shared" ref="U26" si="10">Q26-R26</f>
        <v>-0.33392644850452968</v>
      </c>
      <c r="V26" s="51">
        <f t="shared" ref="V26" si="11">IF(U26&lt;0,0,H26*U26*15%)</f>
        <v>0</v>
      </c>
    </row>
    <row r="27" spans="1:23" x14ac:dyDescent="0.25">
      <c r="A27" t="s">
        <v>157</v>
      </c>
      <c r="B27">
        <v>4855659</v>
      </c>
      <c r="C27" s="75">
        <v>45119</v>
      </c>
      <c r="D27" s="71">
        <v>45289</v>
      </c>
      <c r="E27" s="56">
        <v>45119</v>
      </c>
      <c r="F27" t="s">
        <v>113</v>
      </c>
      <c r="G27" t="s">
        <v>112</v>
      </c>
      <c r="H27" s="55">
        <v>100000</v>
      </c>
      <c r="I27" s="55">
        <v>96716.195030141607</v>
      </c>
      <c r="J27">
        <v>27202501</v>
      </c>
      <c r="L27" s="53">
        <f>VLOOKUP($B$1,Resumo_Master!$C$14:$R$10000,3,FALSE)/VLOOKUP($D27,Resumo_Master!$C$14:$R$10000,3,FALSE)-1</f>
        <v>-0.22601028488404884</v>
      </c>
      <c r="M27" s="53">
        <f>VLOOKUP($B$1,Resumo_Master!$C$14:$R$10000,16,FALSE)/VLOOKUP($D27,Resumo_Master!$C$14:$R$10000,3,FALSE)-1</f>
        <v>-0.22601028488404884</v>
      </c>
      <c r="N27" s="53">
        <f>VLOOKUP($B$1,[2]Índices!$C$13:$E$10000,2,FALSE)/VLOOKUP($D27,[2]Índices!$C$13:$E$10000,2,FALSE)-1</f>
        <v>0.10791616362048084</v>
      </c>
      <c r="P27" s="50">
        <f t="shared" ref="P27" si="12">1+L27</f>
        <v>0.77398971511595116</v>
      </c>
      <c r="Q27" s="50">
        <f t="shared" ref="Q27" si="13">1+M27</f>
        <v>0.77398971511595116</v>
      </c>
      <c r="R27" s="74">
        <f t="shared" ref="R27" si="14">1+N27</f>
        <v>1.1079161636204808</v>
      </c>
      <c r="T27" s="50">
        <f t="shared" ref="T27" si="15">P27-R27</f>
        <v>-0.33392644850452968</v>
      </c>
      <c r="U27" s="52">
        <f t="shared" ref="U27" si="16">Q27-R27</f>
        <v>-0.33392644850452968</v>
      </c>
      <c r="V27" s="51">
        <f t="shared" ref="V27" si="17">IF(U27&lt;0,0,H27*U27*15%)</f>
        <v>0</v>
      </c>
    </row>
    <row r="28" spans="1:23" x14ac:dyDescent="0.25">
      <c r="A28" t="s">
        <v>159</v>
      </c>
      <c r="B28">
        <v>4884056</v>
      </c>
      <c r="C28" s="75">
        <v>45149</v>
      </c>
      <c r="D28" s="71">
        <v>45289</v>
      </c>
      <c r="E28" s="56">
        <v>45149</v>
      </c>
      <c r="F28" t="s">
        <v>113</v>
      </c>
      <c r="G28" t="s">
        <v>112</v>
      </c>
      <c r="H28" s="55">
        <v>100000</v>
      </c>
      <c r="I28" s="55">
        <v>97947.126182344247</v>
      </c>
      <c r="J28">
        <v>28208258</v>
      </c>
      <c r="L28" s="53">
        <f>VLOOKUP($B$1,Resumo_Master!$C$14:$R$10000,3,FALSE)/VLOOKUP($D28,Resumo_Master!$C$14:$R$10000,3,FALSE)-1</f>
        <v>-0.22601028488404884</v>
      </c>
      <c r="M28" s="53">
        <f>VLOOKUP($B$1,Resumo_Master!$C$14:$R$10000,16,FALSE)/VLOOKUP($D28,Resumo_Master!$C$14:$R$10000,3,FALSE)-1</f>
        <v>-0.22601028488404884</v>
      </c>
      <c r="N28" s="53">
        <f>VLOOKUP($B$1,[2]Índices!$C$13:$E$10000,2,FALSE)/VLOOKUP($D28,[2]Índices!$C$13:$E$10000,2,FALSE)-1</f>
        <v>0.10791616362048084</v>
      </c>
      <c r="P28" s="50">
        <f t="shared" ref="P28" si="18">1+L28</f>
        <v>0.77398971511595116</v>
      </c>
      <c r="Q28" s="50">
        <f t="shared" ref="Q28" si="19">1+M28</f>
        <v>0.77398971511595116</v>
      </c>
      <c r="R28" s="74">
        <f t="shared" ref="R28" si="20">1+N28</f>
        <v>1.1079161636204808</v>
      </c>
      <c r="T28" s="50">
        <f t="shared" ref="T28" si="21">P28-R28</f>
        <v>-0.33392644850452968</v>
      </c>
      <c r="U28" s="52">
        <f t="shared" ref="U28" si="22">Q28-R28</f>
        <v>-0.33392644850452968</v>
      </c>
      <c r="V28" s="51">
        <f t="shared" ref="V28" si="23">IF(U28&lt;0,0,H28*U28*15%)</f>
        <v>0</v>
      </c>
    </row>
    <row r="29" spans="1:23" x14ac:dyDescent="0.25">
      <c r="A29" t="s">
        <v>173</v>
      </c>
      <c r="B29">
        <v>4476617</v>
      </c>
      <c r="C29" s="75">
        <v>45317</v>
      </c>
      <c r="D29" s="71">
        <v>45320</v>
      </c>
      <c r="E29" s="56">
        <v>45317</v>
      </c>
      <c r="F29" t="s">
        <v>113</v>
      </c>
      <c r="G29" t="s">
        <v>112</v>
      </c>
      <c r="H29" s="55">
        <v>1000000</v>
      </c>
      <c r="I29" s="55">
        <v>872689.67408269621</v>
      </c>
      <c r="J29">
        <v>33881506</v>
      </c>
      <c r="L29" s="53">
        <f>VLOOKUP($B$1,Resumo_Master!$C$14:$R$10000,3,FALSE)/VLOOKUP($D29,Resumo_Master!$C$14:$R$10000,3,FALSE)-1</f>
        <v>-0.19759107978504264</v>
      </c>
      <c r="M29" s="53">
        <f>VLOOKUP($B$1,Resumo_Master!$C$14:$R$10000,16,FALSE)/VLOOKUP($D29,Resumo_Master!$C$14:$R$10000,3,FALSE)-1</f>
        <v>-0.19759107978504264</v>
      </c>
      <c r="N29" s="53">
        <f>VLOOKUP($B$1,[2]Índices!$C$13:$E$10000,2,FALSE)/VLOOKUP($D29,[2]Índices!$C$13:$E$10000,2,FALSE)-1</f>
        <v>9.7732133284363476E-2</v>
      </c>
      <c r="P29" s="50">
        <f t="shared" ref="P29" si="24">1+L29</f>
        <v>0.80240892021495736</v>
      </c>
      <c r="Q29" s="50">
        <f t="shared" ref="Q29" si="25">1+M29</f>
        <v>0.80240892021495736</v>
      </c>
      <c r="R29" s="74">
        <f t="shared" ref="R29" si="26">1+N29</f>
        <v>1.0977321332843635</v>
      </c>
      <c r="T29" s="50">
        <f t="shared" ref="T29" si="27">P29-R29</f>
        <v>-0.29532321306940612</v>
      </c>
      <c r="U29" s="52">
        <f t="shared" ref="U29" si="28">Q29-R29</f>
        <v>-0.29532321306940612</v>
      </c>
      <c r="V29" s="51">
        <f t="shared" ref="V29" si="29">IF(U29&lt;0,0,H29*U29*15%)</f>
        <v>0</v>
      </c>
    </row>
    <row r="30" spans="1:23" x14ac:dyDescent="0.25">
      <c r="A30" t="s">
        <v>174</v>
      </c>
      <c r="B30" t="s">
        <v>175</v>
      </c>
      <c r="C30" s="75">
        <v>45320</v>
      </c>
      <c r="D30" s="71">
        <v>45321</v>
      </c>
      <c r="E30" s="56">
        <v>45320</v>
      </c>
      <c r="F30" t="s">
        <v>113</v>
      </c>
      <c r="G30" t="s">
        <v>112</v>
      </c>
      <c r="H30" s="55">
        <v>43647.02</v>
      </c>
      <c r="I30" s="55">
        <v>38507.956119283466</v>
      </c>
      <c r="J30" t="s">
        <v>176</v>
      </c>
      <c r="L30" s="53">
        <f>VLOOKUP($B$1,Resumo_Master!$C$14:$R$10000,3,FALSE)/VLOOKUP($D30,Resumo_Master!$C$14:$R$10000,3,FALSE)-1</f>
        <v>-0.18879282857910684</v>
      </c>
      <c r="M30" s="53">
        <f>VLOOKUP($B$1,Resumo_Master!$C$14:$R$10000,16,FALSE)/VLOOKUP($D30,Resumo_Master!$C$14:$R$10000,3,FALSE)-1</f>
        <v>-0.18879282857910684</v>
      </c>
      <c r="N30" s="53">
        <f>VLOOKUP($B$1,[2]Índices!$C$13:$E$10000,2,FALSE)/VLOOKUP($D30,[2]Índices!$C$13:$E$10000,2,FALSE)-1</f>
        <v>9.7272916776971252E-2</v>
      </c>
      <c r="P30" s="50">
        <f t="shared" ref="P30" si="30">1+L30</f>
        <v>0.81120717142089316</v>
      </c>
      <c r="Q30" s="50">
        <f t="shared" ref="Q30" si="31">1+M30</f>
        <v>0.81120717142089316</v>
      </c>
      <c r="R30" s="74">
        <f t="shared" ref="R30" si="32">1+N30</f>
        <v>1.0972729167769713</v>
      </c>
      <c r="T30" s="50">
        <f t="shared" ref="T30" si="33">P30-R30</f>
        <v>-0.28606574535607809</v>
      </c>
      <c r="U30" s="52">
        <f t="shared" ref="U30" si="34">Q30-R30</f>
        <v>-0.28606574535607809</v>
      </c>
      <c r="V30" s="51">
        <f t="shared" ref="V30" si="35">IF(U30&lt;0,0,H30*U30*15%)</f>
        <v>0</v>
      </c>
    </row>
    <row r="31" spans="1:23" x14ac:dyDescent="0.25">
      <c r="A31" t="s">
        <v>173</v>
      </c>
      <c r="B31" t="s">
        <v>177</v>
      </c>
      <c r="C31" s="75" t="s">
        <v>178</v>
      </c>
      <c r="D31" s="71">
        <v>45322</v>
      </c>
      <c r="E31" s="56">
        <v>45321</v>
      </c>
      <c r="F31" t="s">
        <v>113</v>
      </c>
      <c r="G31" t="s">
        <v>112</v>
      </c>
      <c r="H31" s="55">
        <v>1000000</v>
      </c>
      <c r="I31" s="55">
        <v>876416.43137076532</v>
      </c>
      <c r="J31" t="s">
        <v>179</v>
      </c>
      <c r="L31" s="53">
        <f>VLOOKUP($B$1,Resumo_Master!$C$14:$R$10000,3,FALSE)/VLOOKUP($D31,Resumo_Master!$C$14:$R$10000,3,FALSE)-1</f>
        <v>-0.19416445130503224</v>
      </c>
      <c r="M31" s="53">
        <f>VLOOKUP($B$1,Resumo_Master!$C$14:$R$10000,16,FALSE)/VLOOKUP($D31,Resumo_Master!$C$14:$R$10000,3,FALSE)-1</f>
        <v>-0.19416445130503224</v>
      </c>
      <c r="N31" s="53">
        <f>VLOOKUP($B$1,[2]Índices!$C$13:$E$10000,2,FALSE)/VLOOKUP($D31,[2]Índices!$C$13:$E$10000,2,FALSE)-1</f>
        <v>9.6814984027355999E-2</v>
      </c>
      <c r="P31" s="50">
        <f t="shared" ref="P31" si="36">1+L31</f>
        <v>0.80583554869496776</v>
      </c>
      <c r="Q31" s="50">
        <f t="shared" ref="Q31" si="37">1+M31</f>
        <v>0.80583554869496776</v>
      </c>
      <c r="R31" s="74">
        <f t="shared" ref="R31" si="38">1+N31</f>
        <v>1.096814984027356</v>
      </c>
      <c r="T31" s="50">
        <f t="shared" ref="T31" si="39">P31-R31</f>
        <v>-0.29097943533238824</v>
      </c>
      <c r="U31" s="52">
        <f t="shared" ref="U31" si="40">Q31-R31</f>
        <v>-0.29097943533238824</v>
      </c>
      <c r="V31" s="51">
        <f t="shared" ref="V31" si="41">IF(U31&lt;0,0,H31*U31*15%)</f>
        <v>0</v>
      </c>
    </row>
    <row r="32" spans="1:23" x14ac:dyDescent="0.25">
      <c r="A32" t="s">
        <v>122</v>
      </c>
      <c r="B32" t="s">
        <v>180</v>
      </c>
      <c r="C32" s="75">
        <v>45345</v>
      </c>
      <c r="D32" s="71">
        <v>45348</v>
      </c>
      <c r="E32" s="56">
        <v>45345</v>
      </c>
      <c r="F32" t="s">
        <v>113</v>
      </c>
      <c r="G32" t="s">
        <v>112</v>
      </c>
      <c r="H32" s="55">
        <v>400000</v>
      </c>
      <c r="I32" s="55">
        <v>350658.70799974364</v>
      </c>
      <c r="J32" t="s">
        <v>181</v>
      </c>
      <c r="L32" s="53">
        <f>VLOOKUP($B$1,Resumo_Master!$C$14:$R$10000,3,FALSE)/VLOOKUP($D32,Resumo_Master!$C$14:$R$10000,3,FALSE)-1</f>
        <v>-0.19439546924471851</v>
      </c>
      <c r="M32" s="53">
        <f>VLOOKUP($B$1,Resumo_Master!$C$14:$R$10000,16,FALSE)/VLOOKUP($D32,Resumo_Master!$C$14:$R$10000,3,FALSE)-1</f>
        <v>-0.19439546924471851</v>
      </c>
      <c r="N32" s="53">
        <f>VLOOKUP($B$1,[2]Índices!$C$13:$E$10000,2,FALSE)/VLOOKUP($D32,[2]Índices!$C$13:$E$10000,2,FALSE)-1</f>
        <v>8.803589147699542E-2</v>
      </c>
      <c r="P32" s="50">
        <f t="shared" ref="P32" si="42">1+L32</f>
        <v>0.80560453075528149</v>
      </c>
      <c r="Q32" s="50">
        <f t="shared" ref="Q32" si="43">1+M32</f>
        <v>0.80560453075528149</v>
      </c>
      <c r="R32" s="74">
        <f t="shared" ref="R32" si="44">1+N32</f>
        <v>1.0880358914769954</v>
      </c>
      <c r="T32" s="50">
        <f t="shared" ref="T32" si="45">P32-R32</f>
        <v>-0.28243136072171393</v>
      </c>
      <c r="U32" s="52">
        <f t="shared" ref="U32" si="46">Q32-R32</f>
        <v>-0.28243136072171393</v>
      </c>
      <c r="V32" s="51">
        <f t="shared" ref="V32" si="47">IF(U32&lt;0,0,H32*U32*15%)</f>
        <v>0</v>
      </c>
    </row>
    <row r="33" spans="1:22" x14ac:dyDescent="0.25">
      <c r="A33" t="s">
        <v>116</v>
      </c>
      <c r="B33">
        <v>3976798</v>
      </c>
      <c r="C33" s="75">
        <v>45440</v>
      </c>
      <c r="D33" s="71">
        <v>45441</v>
      </c>
      <c r="E33" s="56">
        <v>45440</v>
      </c>
      <c r="F33" t="s">
        <v>113</v>
      </c>
      <c r="G33" t="s">
        <v>112</v>
      </c>
      <c r="H33" s="55">
        <v>50000</v>
      </c>
      <c r="I33" s="55">
        <v>49501.745134522971</v>
      </c>
      <c r="J33">
        <v>37239939</v>
      </c>
      <c r="L33" s="53">
        <f>VLOOKUP($B$1,Resumo_Master!$C$14:$R$10000,3,FALSE)/VLOOKUP($D33,Resumo_Master!$C$14:$R$10000,3,FALSE)-1</f>
        <v>-8.9696073145362654E-2</v>
      </c>
      <c r="M33" s="53">
        <f>VLOOKUP($B$1,Resumo_Master!$C$14:$R$10000,16,FALSE)/VLOOKUP($D33,Resumo_Master!$C$14:$R$10000,3,FALSE)-1</f>
        <v>-8.9696073145362654E-2</v>
      </c>
      <c r="N33" s="53">
        <f>VLOOKUP($B$1,[2]Índices!$C$13:$E$10000,2,FALSE)/VLOOKUP($D33,[2]Índices!$C$13:$E$10000,2,FALSE)-1</f>
        <v>5.8035303420145734E-2</v>
      </c>
      <c r="P33" s="50">
        <f t="shared" ref="P33" si="48">1+L33</f>
        <v>0.91030392685463735</v>
      </c>
      <c r="Q33" s="50">
        <f t="shared" ref="Q33" si="49">1+M33</f>
        <v>0.91030392685463735</v>
      </c>
      <c r="R33" s="74">
        <f t="shared" ref="R33" si="50">1+N33</f>
        <v>1.0580353034201457</v>
      </c>
      <c r="T33" s="50">
        <f t="shared" ref="T33" si="51">P33-R33</f>
        <v>-0.14773137656550839</v>
      </c>
      <c r="U33" s="52">
        <f t="shared" ref="U33" si="52">Q33-R33</f>
        <v>-0.14773137656550839</v>
      </c>
      <c r="V33" s="51">
        <f t="shared" ref="V33" si="53">IF(U33&lt;0,0,H33*U33*15%)</f>
        <v>0</v>
      </c>
    </row>
    <row r="34" spans="1:22" x14ac:dyDescent="0.25">
      <c r="A34" t="s">
        <v>114</v>
      </c>
      <c r="B34" t="s">
        <v>189</v>
      </c>
      <c r="C34" s="75">
        <v>45524</v>
      </c>
      <c r="D34" s="71">
        <v>45525</v>
      </c>
      <c r="E34" s="56">
        <v>45524</v>
      </c>
      <c r="F34" t="s">
        <v>113</v>
      </c>
      <c r="G34" t="s">
        <v>112</v>
      </c>
      <c r="H34" s="55">
        <v>50000</v>
      </c>
      <c r="I34" s="55">
        <v>45903.717503</v>
      </c>
      <c r="J34" t="s">
        <v>190</v>
      </c>
      <c r="L34" s="53">
        <f>VLOOKUP($B$1,Resumo_Master!$C$14:$R$10000,3,FALSE)/VLOOKUP($D34,Resumo_Master!$C$14:$R$10000,3,FALSE)-1</f>
        <v>-0.15586139060354587</v>
      </c>
      <c r="M34" s="53">
        <f>VLOOKUP($B$1,Resumo_Master!$C$14:$R$10000,16,FALSE)/VLOOKUP($D34,Resumo_Master!$C$14:$R$10000,3,FALSE)-1</f>
        <v>-0.15586139060354587</v>
      </c>
      <c r="N34" s="53">
        <f>VLOOKUP($B$1,[2]Índices!$C$13:$E$10000,2,FALSE)/VLOOKUP($D34,[2]Índices!$C$13:$E$10000,2,FALSE)-1</f>
        <v>3.4449411656419349E-2</v>
      </c>
      <c r="P34" s="50">
        <f t="shared" ref="P34:P35" si="54">1+L34</f>
        <v>0.84413860939645413</v>
      </c>
      <c r="Q34" s="50">
        <f t="shared" ref="Q34:Q35" si="55">1+M34</f>
        <v>0.84413860939645413</v>
      </c>
      <c r="R34" s="74">
        <f t="shared" ref="R34:R35" si="56">1+N34</f>
        <v>1.0344494116564193</v>
      </c>
      <c r="T34" s="50">
        <f t="shared" ref="T34:T35" si="57">P34-R34</f>
        <v>-0.19031080225996522</v>
      </c>
      <c r="U34" s="52">
        <f t="shared" ref="U34:U35" si="58">Q34-R34</f>
        <v>-0.19031080225996522</v>
      </c>
      <c r="V34" s="51">
        <f t="shared" ref="V34:V35" si="59">IF(U34&lt;0,0,H34*U34*15%)</f>
        <v>0</v>
      </c>
    </row>
    <row r="35" spans="1:22" x14ac:dyDescent="0.25">
      <c r="A35" t="s">
        <v>114</v>
      </c>
      <c r="B35" t="s">
        <v>189</v>
      </c>
      <c r="C35" s="75">
        <v>45525</v>
      </c>
      <c r="D35" s="71">
        <v>45526</v>
      </c>
      <c r="E35" s="56">
        <v>45525</v>
      </c>
      <c r="F35" t="s">
        <v>113</v>
      </c>
      <c r="G35" t="s">
        <v>112</v>
      </c>
      <c r="H35" s="55">
        <v>100000</v>
      </c>
      <c r="I35" s="55">
        <v>93277.961047999997</v>
      </c>
      <c r="J35" t="s">
        <v>191</v>
      </c>
      <c r="L35" s="53">
        <f>VLOOKUP($B$1,Resumo_Master!$C$14:$R$10000,3,FALSE)/VLOOKUP($D35,Resumo_Master!$C$14:$R$10000,3,FALSE)-1</f>
        <v>-0.14234039627835871</v>
      </c>
      <c r="M35" s="53">
        <f>VLOOKUP($B$1,Resumo_Master!$C$14:$R$10000,16,FALSE)/VLOOKUP($D35,Resumo_Master!$C$14:$R$10000,3,FALSE)-1</f>
        <v>-0.14234039627835871</v>
      </c>
      <c r="N35" s="53">
        <f>VLOOKUP($B$1,[2]Índices!$C$13:$E$10000,2,FALSE)/VLOOKUP($D35,[2]Índices!$C$13:$E$10000,2,FALSE)-1</f>
        <v>3.4215540122504828E-2</v>
      </c>
      <c r="P35" s="50">
        <f t="shared" si="54"/>
        <v>0.85765960372164129</v>
      </c>
      <c r="Q35" s="50">
        <f t="shared" si="55"/>
        <v>0.85765960372164129</v>
      </c>
      <c r="R35" s="74">
        <f t="shared" si="56"/>
        <v>1.0342155401225048</v>
      </c>
      <c r="T35" s="50">
        <f t="shared" si="57"/>
        <v>-0.17655593640086353</v>
      </c>
      <c r="U35" s="52">
        <f t="shared" si="58"/>
        <v>-0.17655593640086353</v>
      </c>
      <c r="V35" s="51">
        <f t="shared" si="59"/>
        <v>0</v>
      </c>
    </row>
    <row r="37" spans="1:22" x14ac:dyDescent="0.25">
      <c r="G37" s="46"/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82122-FEA4-4E59-BCA4-69729F72D948}">
  <sheetPr codeName="Planilha4"/>
  <dimension ref="A7:N40"/>
  <sheetViews>
    <sheetView workbookViewId="0">
      <selection sqref="A1:XFD1048576"/>
    </sheetView>
  </sheetViews>
  <sheetFormatPr defaultColWidth="9.140625" defaultRowHeight="15" x14ac:dyDescent="0.25"/>
  <cols>
    <col min="1" max="3" width="9.140625" style="3" customWidth="1"/>
    <col min="4" max="4" width="9.140625" customWidth="1"/>
    <col min="5" max="5" width="9.140625" style="3" customWidth="1"/>
    <col min="6" max="16384" width="9.140625" style="3"/>
  </cols>
  <sheetData>
    <row r="7" spans="1:4" s="1" customFormat="1" ht="18" customHeight="1" x14ac:dyDescent="0.25">
      <c r="A7" s="1" t="s">
        <v>0</v>
      </c>
    </row>
    <row r="8" spans="1:4" s="2" customFormat="1" ht="11.25" x14ac:dyDescent="0.2">
      <c r="A8" s="2" t="s">
        <v>1</v>
      </c>
      <c r="B8" s="81" t="s">
        <v>211</v>
      </c>
    </row>
    <row r="11" spans="1:4" ht="12" thickBot="1" x14ac:dyDescent="0.25">
      <c r="A11" s="94" t="s">
        <v>2</v>
      </c>
      <c r="B11" s="94"/>
      <c r="C11" s="94"/>
      <c r="D11" s="94"/>
    </row>
    <row r="12" spans="1:4" ht="11.25" x14ac:dyDescent="0.2">
      <c r="A12" s="82" t="s">
        <v>3</v>
      </c>
      <c r="B12" s="82" t="s">
        <v>4</v>
      </c>
      <c r="C12" s="82" t="s">
        <v>5</v>
      </c>
      <c r="D12" s="82" t="s">
        <v>6</v>
      </c>
    </row>
    <row r="13" spans="1:4" ht="11.25" x14ac:dyDescent="0.2">
      <c r="A13" s="83" t="s">
        <v>7</v>
      </c>
      <c r="B13" s="84">
        <v>15736900.512399999</v>
      </c>
      <c r="C13" s="84">
        <v>-554932.62</v>
      </c>
      <c r="D13" s="85">
        <v>0.99906160448332404</v>
      </c>
    </row>
    <row r="14" spans="1:4" ht="11.25" x14ac:dyDescent="0.2">
      <c r="A14" s="83" t="s">
        <v>58</v>
      </c>
      <c r="B14" s="84">
        <v>-10457.030000000001</v>
      </c>
      <c r="C14" s="84">
        <v>-1186.3</v>
      </c>
      <c r="D14" s="85">
        <v>-6.6386752344899796E-4</v>
      </c>
    </row>
    <row r="15" spans="1:4" ht="11.25" x14ac:dyDescent="0.2">
      <c r="A15" s="83" t="s">
        <v>78</v>
      </c>
      <c r="B15" s="84">
        <v>7045.6610000000001</v>
      </c>
      <c r="C15" s="84">
        <v>-85.12</v>
      </c>
      <c r="D15" s="85">
        <v>4.47295792316861E-4</v>
      </c>
    </row>
    <row r="16" spans="1:4" ht="11.25" x14ac:dyDescent="0.2">
      <c r="A16" s="83" t="s">
        <v>8</v>
      </c>
      <c r="B16" s="84">
        <v>18192.68</v>
      </c>
      <c r="C16" s="84">
        <v>0</v>
      </c>
      <c r="D16" s="85">
        <v>1.15496746365843E-3</v>
      </c>
    </row>
    <row r="17" spans="1:14" ht="11.25" x14ac:dyDescent="0.2">
      <c r="A17" s="83"/>
      <c r="B17" s="84"/>
      <c r="C17" s="84"/>
      <c r="D17" s="85"/>
    </row>
    <row r="19" spans="1:14" customFormat="1" ht="15.75" thickBot="1" x14ac:dyDescent="0.3">
      <c r="A19" s="95" t="s">
        <v>9</v>
      </c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</row>
    <row r="20" spans="1:14" ht="11.25" x14ac:dyDescent="0.2">
      <c r="A20" s="82" t="s">
        <v>10</v>
      </c>
      <c r="B20" s="82" t="s">
        <v>11</v>
      </c>
      <c r="C20" s="82" t="s">
        <v>12</v>
      </c>
      <c r="D20" s="82" t="s">
        <v>13</v>
      </c>
      <c r="E20" s="82" t="s">
        <v>14</v>
      </c>
      <c r="F20" s="82" t="s">
        <v>15</v>
      </c>
      <c r="G20" s="82" t="s">
        <v>16</v>
      </c>
      <c r="H20" s="82" t="s">
        <v>17</v>
      </c>
      <c r="I20" s="82" t="s">
        <v>18</v>
      </c>
      <c r="J20" s="82" t="s">
        <v>19</v>
      </c>
      <c r="K20" s="82" t="s">
        <v>20</v>
      </c>
      <c r="L20" s="82" t="s">
        <v>21</v>
      </c>
      <c r="M20" s="82" t="s">
        <v>22</v>
      </c>
      <c r="N20" s="82" t="s">
        <v>23</v>
      </c>
    </row>
    <row r="21" spans="1:14" ht="11.25" x14ac:dyDescent="0.2">
      <c r="A21" s="84">
        <v>15751681.821</v>
      </c>
      <c r="B21" s="86">
        <v>0.91946649999999996</v>
      </c>
      <c r="C21" s="87">
        <v>-3.4106000000000001</v>
      </c>
      <c r="D21" s="87">
        <v>-1.5350999999999999</v>
      </c>
      <c r="E21" s="87">
        <v>-5.9672000000000001</v>
      </c>
      <c r="F21" s="87">
        <v>-22.600999999999999</v>
      </c>
      <c r="G21" s="87">
        <v>-8128.8116</v>
      </c>
      <c r="H21" s="87">
        <v>-405.83100000000002</v>
      </c>
      <c r="I21" s="87">
        <v>-124.35850000000001</v>
      </c>
      <c r="J21" s="87">
        <v>-220.06389999999999</v>
      </c>
      <c r="K21" s="84"/>
      <c r="L21" s="84"/>
      <c r="M21" s="88">
        <v>17131328.431657001</v>
      </c>
      <c r="N21" s="86">
        <v>0.91946649999999996</v>
      </c>
    </row>
    <row r="22" spans="1:14" ht="11.25" x14ac:dyDescent="0.2">
      <c r="A22" s="84"/>
      <c r="B22" s="86"/>
      <c r="C22" s="87"/>
      <c r="D22" s="87"/>
      <c r="E22" s="87"/>
      <c r="F22" s="87"/>
      <c r="G22" s="87"/>
      <c r="H22" s="87"/>
      <c r="I22" s="87"/>
      <c r="J22" s="87"/>
      <c r="K22" s="84"/>
      <c r="L22" s="84"/>
      <c r="M22" s="88"/>
      <c r="N22" s="86"/>
    </row>
    <row r="24" spans="1:14" ht="12" thickBot="1" x14ac:dyDescent="0.25">
      <c r="A24" s="94" t="s">
        <v>24</v>
      </c>
      <c r="B24" s="94"/>
      <c r="C24" s="94"/>
      <c r="D24" s="94"/>
      <c r="E24" s="94"/>
      <c r="F24" s="94"/>
      <c r="G24" s="94"/>
      <c r="H24" s="94"/>
    </row>
    <row r="25" spans="1:14" ht="11.25" x14ac:dyDescent="0.2">
      <c r="A25" s="82" t="s">
        <v>25</v>
      </c>
      <c r="B25" s="82" t="s">
        <v>26</v>
      </c>
      <c r="C25" s="82" t="s">
        <v>27</v>
      </c>
      <c r="D25" s="82" t="s">
        <v>28</v>
      </c>
      <c r="E25" s="82" t="s">
        <v>29</v>
      </c>
      <c r="F25" s="82" t="s">
        <v>4</v>
      </c>
      <c r="G25" s="82" t="s">
        <v>30</v>
      </c>
      <c r="H25" s="82" t="s">
        <v>31</v>
      </c>
    </row>
    <row r="26" spans="1:14" ht="11.25" x14ac:dyDescent="0.2">
      <c r="A26" s="83" t="s">
        <v>32</v>
      </c>
      <c r="B26" s="83" t="s">
        <v>33</v>
      </c>
      <c r="C26" s="83" t="s">
        <v>34</v>
      </c>
      <c r="D26" s="87">
        <v>16151058.885157</v>
      </c>
      <c r="E26" s="87">
        <v>0.97435720000000003</v>
      </c>
      <c r="F26" s="84">
        <v>15736900.512399999</v>
      </c>
      <c r="G26" s="89">
        <v>0.999</v>
      </c>
      <c r="H26" s="90">
        <v>-3.4062012096366799E-2</v>
      </c>
    </row>
    <row r="27" spans="1:14" ht="11.25" x14ac:dyDescent="0.2">
      <c r="A27" s="83"/>
      <c r="B27" s="83"/>
      <c r="C27" s="83"/>
      <c r="D27" s="87"/>
      <c r="E27" s="87"/>
      <c r="F27" s="84"/>
      <c r="G27" s="89"/>
      <c r="H27" s="90"/>
    </row>
    <row r="29" spans="1:14" ht="12" thickBot="1" x14ac:dyDescent="0.25">
      <c r="A29" s="94" t="s">
        <v>80</v>
      </c>
      <c r="B29" s="94"/>
      <c r="C29" s="94"/>
      <c r="D29" s="94"/>
    </row>
    <row r="30" spans="1:14" ht="11.25" x14ac:dyDescent="0.2">
      <c r="A30" s="82" t="s">
        <v>81</v>
      </c>
      <c r="B30" s="82" t="s">
        <v>82</v>
      </c>
      <c r="C30" s="82" t="s">
        <v>83</v>
      </c>
      <c r="D30" s="82" t="s">
        <v>84</v>
      </c>
    </row>
    <row r="31" spans="1:14" ht="11.25" x14ac:dyDescent="0.2">
      <c r="A31" s="83" t="s">
        <v>167</v>
      </c>
      <c r="B31" s="91" t="s">
        <v>166</v>
      </c>
      <c r="C31" s="91" t="s">
        <v>168</v>
      </c>
      <c r="D31" s="84">
        <v>345.79559999999998</v>
      </c>
    </row>
    <row r="32" spans="1:14" ht="11.25" x14ac:dyDescent="0.2">
      <c r="A32" s="83" t="s">
        <v>183</v>
      </c>
      <c r="B32" s="91" t="s">
        <v>182</v>
      </c>
      <c r="C32" s="91" t="s">
        <v>184</v>
      </c>
      <c r="D32" s="84">
        <v>312.06900000000002</v>
      </c>
    </row>
    <row r="33" spans="1:4" ht="11.25" x14ac:dyDescent="0.2">
      <c r="A33" s="83" t="s">
        <v>186</v>
      </c>
      <c r="B33" s="91" t="s">
        <v>185</v>
      </c>
      <c r="C33" s="91" t="s">
        <v>187</v>
      </c>
      <c r="D33" s="84">
        <v>2795.2408999999998</v>
      </c>
    </row>
    <row r="34" spans="1:4" ht="11.25" x14ac:dyDescent="0.2">
      <c r="A34" s="83" t="s">
        <v>192</v>
      </c>
      <c r="B34" s="91" t="s">
        <v>193</v>
      </c>
      <c r="C34" s="91" t="s">
        <v>194</v>
      </c>
      <c r="D34" s="84">
        <v>-614.66120000000001</v>
      </c>
    </row>
    <row r="35" spans="1:4" ht="11.25" x14ac:dyDescent="0.2">
      <c r="A35" s="83" t="s">
        <v>196</v>
      </c>
      <c r="B35" s="91" t="s">
        <v>195</v>
      </c>
      <c r="C35" s="91" t="s">
        <v>197</v>
      </c>
      <c r="D35" s="84">
        <v>14.340999999999999</v>
      </c>
    </row>
    <row r="36" spans="1:4" ht="11.25" x14ac:dyDescent="0.2">
      <c r="A36" s="83" t="s">
        <v>202</v>
      </c>
      <c r="B36" s="91" t="s">
        <v>203</v>
      </c>
      <c r="C36" s="91" t="s">
        <v>204</v>
      </c>
      <c r="D36" s="84">
        <v>-614.65949999999998</v>
      </c>
    </row>
    <row r="37" spans="1:4" ht="11.25" x14ac:dyDescent="0.2">
      <c r="A37" s="83" t="s">
        <v>206</v>
      </c>
      <c r="B37" s="91" t="s">
        <v>205</v>
      </c>
      <c r="C37" s="91" t="s">
        <v>207</v>
      </c>
      <c r="D37" s="84">
        <v>478.26069999999999</v>
      </c>
    </row>
    <row r="38" spans="1:4" ht="11.25" x14ac:dyDescent="0.2">
      <c r="A38" s="83" t="s">
        <v>208</v>
      </c>
      <c r="B38" s="91" t="s">
        <v>209</v>
      </c>
      <c r="C38" s="91" t="s">
        <v>210</v>
      </c>
      <c r="D38" s="84">
        <v>-263.4255</v>
      </c>
    </row>
    <row r="39" spans="1:4" ht="11.25" x14ac:dyDescent="0.2">
      <c r="A39" s="83" t="s">
        <v>212</v>
      </c>
      <c r="B39" s="91" t="s">
        <v>211</v>
      </c>
      <c r="C39" s="91" t="s">
        <v>213</v>
      </c>
      <c r="D39" s="84">
        <v>4592.7</v>
      </c>
    </row>
    <row r="40" spans="1:4" ht="11.25" x14ac:dyDescent="0.2">
      <c r="A40" s="83"/>
      <c r="B40" s="91"/>
      <c r="C40" s="91"/>
      <c r="D40" s="84"/>
    </row>
  </sheetData>
  <mergeCells count="4">
    <mergeCell ref="A11:D11"/>
    <mergeCell ref="A19:N19"/>
    <mergeCell ref="A24:H24"/>
    <mergeCell ref="A29:D29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2247A-B11F-4AC8-BE3A-2E2DB08E2C20}">
  <sheetPr codeName="Planilha5"/>
  <dimension ref="A1:I842"/>
  <sheetViews>
    <sheetView topLeftCell="A181" workbookViewId="0">
      <selection activeCell="A194" sqref="A194"/>
    </sheetView>
  </sheetViews>
  <sheetFormatPr defaultRowHeight="15" x14ac:dyDescent="0.25"/>
  <cols>
    <col min="1" max="1" width="10.140625" bestFit="1" customWidth="1"/>
  </cols>
  <sheetData>
    <row r="1" spans="1:9" x14ac:dyDescent="0.25">
      <c r="A1" t="s">
        <v>92</v>
      </c>
    </row>
    <row r="2" spans="1:9" x14ac:dyDescent="0.25">
      <c r="A2" s="39">
        <v>39814</v>
      </c>
    </row>
    <row r="3" spans="1:9" x14ac:dyDescent="0.25">
      <c r="A3" s="39">
        <v>39867</v>
      </c>
    </row>
    <row r="4" spans="1:9" x14ac:dyDescent="0.25">
      <c r="A4" s="39">
        <v>39868</v>
      </c>
    </row>
    <row r="5" spans="1:9" x14ac:dyDescent="0.25">
      <c r="A5" s="39">
        <v>39913</v>
      </c>
    </row>
    <row r="6" spans="1:9" x14ac:dyDescent="0.25">
      <c r="A6" s="39">
        <v>39924</v>
      </c>
    </row>
    <row r="7" spans="1:9" x14ac:dyDescent="0.25">
      <c r="A7" s="39">
        <v>39934</v>
      </c>
    </row>
    <row r="8" spans="1:9" x14ac:dyDescent="0.25">
      <c r="A8" s="39">
        <v>39975</v>
      </c>
      <c r="I8" s="70"/>
    </row>
    <row r="9" spans="1:9" x14ac:dyDescent="0.25">
      <c r="A9" s="39">
        <v>40063</v>
      </c>
    </row>
    <row r="10" spans="1:9" x14ac:dyDescent="0.25">
      <c r="A10" s="39">
        <v>40098</v>
      </c>
    </row>
    <row r="11" spans="1:9" x14ac:dyDescent="0.25">
      <c r="A11" s="39">
        <v>40119</v>
      </c>
    </row>
    <row r="12" spans="1:9" x14ac:dyDescent="0.25">
      <c r="A12" s="39">
        <v>40132</v>
      </c>
    </row>
    <row r="13" spans="1:9" x14ac:dyDescent="0.25">
      <c r="A13" s="39">
        <v>40172</v>
      </c>
    </row>
    <row r="14" spans="1:9" x14ac:dyDescent="0.25">
      <c r="A14" s="39">
        <v>40179</v>
      </c>
    </row>
    <row r="15" spans="1:9" x14ac:dyDescent="0.25">
      <c r="A15" s="39">
        <v>40224</v>
      </c>
    </row>
    <row r="16" spans="1:9" x14ac:dyDescent="0.25">
      <c r="A16" s="39">
        <v>40225</v>
      </c>
    </row>
    <row r="17" spans="1:1" x14ac:dyDescent="0.25">
      <c r="A17" s="39">
        <v>40270</v>
      </c>
    </row>
    <row r="18" spans="1:1" x14ac:dyDescent="0.25">
      <c r="A18" s="39">
        <v>40289</v>
      </c>
    </row>
    <row r="19" spans="1:1" x14ac:dyDescent="0.25">
      <c r="A19" s="39">
        <v>40299</v>
      </c>
    </row>
    <row r="20" spans="1:1" x14ac:dyDescent="0.25">
      <c r="A20" s="39">
        <v>40332</v>
      </c>
    </row>
    <row r="21" spans="1:1" x14ac:dyDescent="0.25">
      <c r="A21" s="39">
        <v>40428</v>
      </c>
    </row>
    <row r="22" spans="1:1" x14ac:dyDescent="0.25">
      <c r="A22" s="39">
        <v>40463</v>
      </c>
    </row>
    <row r="23" spans="1:1" x14ac:dyDescent="0.25">
      <c r="A23" s="39">
        <v>40484</v>
      </c>
    </row>
    <row r="24" spans="1:1" x14ac:dyDescent="0.25">
      <c r="A24" s="39">
        <v>40497</v>
      </c>
    </row>
    <row r="25" spans="1:1" x14ac:dyDescent="0.25">
      <c r="A25" s="39">
        <v>40537</v>
      </c>
    </row>
    <row r="26" spans="1:1" x14ac:dyDescent="0.25">
      <c r="A26" s="39">
        <v>40544</v>
      </c>
    </row>
    <row r="27" spans="1:1" x14ac:dyDescent="0.25">
      <c r="A27" s="39">
        <v>40609</v>
      </c>
    </row>
    <row r="28" spans="1:1" x14ac:dyDescent="0.25">
      <c r="A28" s="39">
        <v>40610</v>
      </c>
    </row>
    <row r="29" spans="1:1" x14ac:dyDescent="0.25">
      <c r="A29" s="39">
        <v>40654</v>
      </c>
    </row>
    <row r="30" spans="1:1" x14ac:dyDescent="0.25">
      <c r="A30" s="39">
        <v>40655</v>
      </c>
    </row>
    <row r="31" spans="1:1" x14ac:dyDescent="0.25">
      <c r="A31" s="39">
        <v>40664</v>
      </c>
    </row>
    <row r="32" spans="1:1" x14ac:dyDescent="0.25">
      <c r="A32" s="39">
        <v>40717</v>
      </c>
    </row>
    <row r="33" spans="1:1" x14ac:dyDescent="0.25">
      <c r="A33" s="39">
        <v>40793</v>
      </c>
    </row>
    <row r="34" spans="1:1" x14ac:dyDescent="0.25">
      <c r="A34" s="39">
        <v>40828</v>
      </c>
    </row>
    <row r="35" spans="1:1" x14ac:dyDescent="0.25">
      <c r="A35" s="39">
        <v>40849</v>
      </c>
    </row>
    <row r="36" spans="1:1" x14ac:dyDescent="0.25">
      <c r="A36" s="39">
        <v>40862</v>
      </c>
    </row>
    <row r="37" spans="1:1" x14ac:dyDescent="0.25">
      <c r="A37" s="39">
        <v>40902</v>
      </c>
    </row>
    <row r="38" spans="1:1" x14ac:dyDescent="0.25">
      <c r="A38" s="39">
        <v>40909</v>
      </c>
    </row>
    <row r="39" spans="1:1" x14ac:dyDescent="0.25">
      <c r="A39" s="39">
        <v>40959</v>
      </c>
    </row>
    <row r="40" spans="1:1" x14ac:dyDescent="0.25">
      <c r="A40" s="39">
        <v>40960</v>
      </c>
    </row>
    <row r="41" spans="1:1" x14ac:dyDescent="0.25">
      <c r="A41" s="39">
        <v>41005</v>
      </c>
    </row>
    <row r="42" spans="1:1" x14ac:dyDescent="0.25">
      <c r="A42" s="39">
        <v>41020</v>
      </c>
    </row>
    <row r="43" spans="1:1" x14ac:dyDescent="0.25">
      <c r="A43" s="39">
        <v>41030</v>
      </c>
    </row>
    <row r="44" spans="1:1" x14ac:dyDescent="0.25">
      <c r="A44" s="39">
        <v>41067</v>
      </c>
    </row>
    <row r="45" spans="1:1" x14ac:dyDescent="0.25">
      <c r="A45" s="39">
        <v>41159</v>
      </c>
    </row>
    <row r="46" spans="1:1" x14ac:dyDescent="0.25">
      <c r="A46" s="39">
        <v>41194</v>
      </c>
    </row>
    <row r="47" spans="1:1" x14ac:dyDescent="0.25">
      <c r="A47" s="39">
        <v>41215</v>
      </c>
    </row>
    <row r="48" spans="1:1" x14ac:dyDescent="0.25">
      <c r="A48" s="39">
        <v>41228</v>
      </c>
    </row>
    <row r="49" spans="1:1" x14ac:dyDescent="0.25">
      <c r="A49" s="39">
        <v>41268</v>
      </c>
    </row>
    <row r="50" spans="1:1" x14ac:dyDescent="0.25">
      <c r="A50" s="39">
        <v>41275</v>
      </c>
    </row>
    <row r="51" spans="1:1" x14ac:dyDescent="0.25">
      <c r="A51" s="39">
        <v>41316</v>
      </c>
    </row>
    <row r="52" spans="1:1" x14ac:dyDescent="0.25">
      <c r="A52" s="39">
        <v>41317</v>
      </c>
    </row>
    <row r="53" spans="1:1" x14ac:dyDescent="0.25">
      <c r="A53" s="39">
        <v>41362</v>
      </c>
    </row>
    <row r="54" spans="1:1" x14ac:dyDescent="0.25">
      <c r="A54" s="39">
        <v>41385</v>
      </c>
    </row>
    <row r="55" spans="1:1" x14ac:dyDescent="0.25">
      <c r="A55" s="39">
        <v>41395</v>
      </c>
    </row>
    <row r="56" spans="1:1" x14ac:dyDescent="0.25">
      <c r="A56" s="39">
        <v>41424</v>
      </c>
    </row>
    <row r="57" spans="1:1" x14ac:dyDescent="0.25">
      <c r="A57" s="39">
        <v>41524</v>
      </c>
    </row>
    <row r="58" spans="1:1" x14ac:dyDescent="0.25">
      <c r="A58" s="39">
        <v>41559</v>
      </c>
    </row>
    <row r="59" spans="1:1" x14ac:dyDescent="0.25">
      <c r="A59" s="39">
        <v>41580</v>
      </c>
    </row>
    <row r="60" spans="1:1" x14ac:dyDescent="0.25">
      <c r="A60" s="39">
        <v>41593</v>
      </c>
    </row>
    <row r="61" spans="1:1" x14ac:dyDescent="0.25">
      <c r="A61" s="39">
        <v>41633</v>
      </c>
    </row>
    <row r="62" spans="1:1" x14ac:dyDescent="0.25">
      <c r="A62" s="39">
        <v>41640</v>
      </c>
    </row>
    <row r="63" spans="1:1" x14ac:dyDescent="0.25">
      <c r="A63" s="39">
        <v>41701</v>
      </c>
    </row>
    <row r="64" spans="1:1" x14ac:dyDescent="0.25">
      <c r="A64" s="39">
        <v>41702</v>
      </c>
    </row>
    <row r="65" spans="1:1" x14ac:dyDescent="0.25">
      <c r="A65" s="39">
        <v>41747</v>
      </c>
    </row>
    <row r="66" spans="1:1" x14ac:dyDescent="0.25">
      <c r="A66" s="39">
        <v>41750</v>
      </c>
    </row>
    <row r="67" spans="1:1" x14ac:dyDescent="0.25">
      <c r="A67" s="39">
        <v>41760</v>
      </c>
    </row>
    <row r="68" spans="1:1" x14ac:dyDescent="0.25">
      <c r="A68" s="39">
        <v>41809</v>
      </c>
    </row>
    <row r="69" spans="1:1" x14ac:dyDescent="0.25">
      <c r="A69" s="39">
        <v>41889</v>
      </c>
    </row>
    <row r="70" spans="1:1" x14ac:dyDescent="0.25">
      <c r="A70" s="39">
        <v>41924</v>
      </c>
    </row>
    <row r="71" spans="1:1" x14ac:dyDescent="0.25">
      <c r="A71" s="39">
        <v>41945</v>
      </c>
    </row>
    <row r="72" spans="1:1" x14ac:dyDescent="0.25">
      <c r="A72" s="39">
        <v>41958</v>
      </c>
    </row>
    <row r="73" spans="1:1" x14ac:dyDescent="0.25">
      <c r="A73" s="39">
        <v>41998</v>
      </c>
    </row>
    <row r="74" spans="1:1" x14ac:dyDescent="0.25">
      <c r="A74" s="39">
        <v>42005</v>
      </c>
    </row>
    <row r="75" spans="1:1" x14ac:dyDescent="0.25">
      <c r="A75" s="39">
        <v>42051</v>
      </c>
    </row>
    <row r="76" spans="1:1" x14ac:dyDescent="0.25">
      <c r="A76" s="39">
        <v>42052</v>
      </c>
    </row>
    <row r="77" spans="1:1" x14ac:dyDescent="0.25">
      <c r="A77" s="39">
        <v>42097</v>
      </c>
    </row>
    <row r="78" spans="1:1" x14ac:dyDescent="0.25">
      <c r="A78" s="39">
        <v>42115</v>
      </c>
    </row>
    <row r="79" spans="1:1" x14ac:dyDescent="0.25">
      <c r="A79" s="39">
        <v>42125</v>
      </c>
    </row>
    <row r="80" spans="1:1" x14ac:dyDescent="0.25">
      <c r="A80" s="39">
        <v>42159</v>
      </c>
    </row>
    <row r="81" spans="1:1" x14ac:dyDescent="0.25">
      <c r="A81" s="39">
        <v>42254</v>
      </c>
    </row>
    <row r="82" spans="1:1" x14ac:dyDescent="0.25">
      <c r="A82" s="39">
        <v>42289</v>
      </c>
    </row>
    <row r="83" spans="1:1" x14ac:dyDescent="0.25">
      <c r="A83" s="39">
        <v>42310</v>
      </c>
    </row>
    <row r="84" spans="1:1" x14ac:dyDescent="0.25">
      <c r="A84" s="39">
        <v>42323</v>
      </c>
    </row>
    <row r="85" spans="1:1" x14ac:dyDescent="0.25">
      <c r="A85" s="39">
        <v>42363</v>
      </c>
    </row>
    <row r="86" spans="1:1" x14ac:dyDescent="0.25">
      <c r="A86" s="39">
        <v>42370</v>
      </c>
    </row>
    <row r="87" spans="1:1" x14ac:dyDescent="0.25">
      <c r="A87" s="39">
        <v>42408</v>
      </c>
    </row>
    <row r="88" spans="1:1" x14ac:dyDescent="0.25">
      <c r="A88" s="39">
        <v>42409</v>
      </c>
    </row>
    <row r="89" spans="1:1" x14ac:dyDescent="0.25">
      <c r="A89" s="39">
        <v>42454</v>
      </c>
    </row>
    <row r="90" spans="1:1" x14ac:dyDescent="0.25">
      <c r="A90" s="39">
        <v>42481</v>
      </c>
    </row>
    <row r="91" spans="1:1" x14ac:dyDescent="0.25">
      <c r="A91" s="39">
        <v>42491</v>
      </c>
    </row>
    <row r="92" spans="1:1" x14ac:dyDescent="0.25">
      <c r="A92" s="39">
        <v>42516</v>
      </c>
    </row>
    <row r="93" spans="1:1" x14ac:dyDescent="0.25">
      <c r="A93" s="39">
        <v>42620</v>
      </c>
    </row>
    <row r="94" spans="1:1" x14ac:dyDescent="0.25">
      <c r="A94" s="39">
        <v>42655</v>
      </c>
    </row>
    <row r="95" spans="1:1" x14ac:dyDescent="0.25">
      <c r="A95" s="39">
        <v>42676</v>
      </c>
    </row>
    <row r="96" spans="1:1" x14ac:dyDescent="0.25">
      <c r="A96" s="39">
        <v>42689</v>
      </c>
    </row>
    <row r="97" spans="1:1" x14ac:dyDescent="0.25">
      <c r="A97" s="39">
        <v>42729</v>
      </c>
    </row>
    <row r="98" spans="1:1" x14ac:dyDescent="0.25">
      <c r="A98" s="39">
        <v>42736</v>
      </c>
    </row>
    <row r="99" spans="1:1" x14ac:dyDescent="0.25">
      <c r="A99" s="39">
        <v>42793</v>
      </c>
    </row>
    <row r="100" spans="1:1" x14ac:dyDescent="0.25">
      <c r="A100" s="39">
        <v>42794</v>
      </c>
    </row>
    <row r="101" spans="1:1" x14ac:dyDescent="0.25">
      <c r="A101" s="39">
        <v>42839</v>
      </c>
    </row>
    <row r="102" spans="1:1" x14ac:dyDescent="0.25">
      <c r="A102" s="39">
        <v>42846</v>
      </c>
    </row>
    <row r="103" spans="1:1" x14ac:dyDescent="0.25">
      <c r="A103" s="39">
        <v>42856</v>
      </c>
    </row>
    <row r="104" spans="1:1" x14ac:dyDescent="0.25">
      <c r="A104" s="39">
        <v>42901</v>
      </c>
    </row>
    <row r="105" spans="1:1" x14ac:dyDescent="0.25">
      <c r="A105" s="39">
        <v>42985</v>
      </c>
    </row>
    <row r="106" spans="1:1" x14ac:dyDescent="0.25">
      <c r="A106" s="39">
        <v>43020</v>
      </c>
    </row>
    <row r="107" spans="1:1" x14ac:dyDescent="0.25">
      <c r="A107" s="39">
        <v>43041</v>
      </c>
    </row>
    <row r="108" spans="1:1" x14ac:dyDescent="0.25">
      <c r="A108" s="39">
        <v>43054</v>
      </c>
    </row>
    <row r="109" spans="1:1" x14ac:dyDescent="0.25">
      <c r="A109" s="39">
        <v>43094</v>
      </c>
    </row>
    <row r="110" spans="1:1" x14ac:dyDescent="0.25">
      <c r="A110" s="39">
        <v>43101</v>
      </c>
    </row>
    <row r="111" spans="1:1" x14ac:dyDescent="0.25">
      <c r="A111" s="39">
        <v>43143</v>
      </c>
    </row>
    <row r="112" spans="1:1" x14ac:dyDescent="0.25">
      <c r="A112" s="39">
        <v>43144</v>
      </c>
    </row>
    <row r="113" spans="1:1" x14ac:dyDescent="0.25">
      <c r="A113" s="39">
        <v>43189</v>
      </c>
    </row>
    <row r="114" spans="1:1" x14ac:dyDescent="0.25">
      <c r="A114" s="39">
        <v>43211</v>
      </c>
    </row>
    <row r="115" spans="1:1" x14ac:dyDescent="0.25">
      <c r="A115" s="39">
        <v>43221</v>
      </c>
    </row>
    <row r="116" spans="1:1" x14ac:dyDescent="0.25">
      <c r="A116" s="39">
        <v>43251</v>
      </c>
    </row>
    <row r="117" spans="1:1" x14ac:dyDescent="0.25">
      <c r="A117" s="39">
        <v>43350</v>
      </c>
    </row>
    <row r="118" spans="1:1" x14ac:dyDescent="0.25">
      <c r="A118" s="39">
        <v>43385</v>
      </c>
    </row>
    <row r="119" spans="1:1" x14ac:dyDescent="0.25">
      <c r="A119" s="39">
        <v>43406</v>
      </c>
    </row>
    <row r="120" spans="1:1" x14ac:dyDescent="0.25">
      <c r="A120" s="39">
        <v>43419</v>
      </c>
    </row>
    <row r="121" spans="1:1" x14ac:dyDescent="0.25">
      <c r="A121" s="39">
        <v>43459</v>
      </c>
    </row>
    <row r="122" spans="1:1" x14ac:dyDescent="0.25">
      <c r="A122" s="39">
        <v>43466</v>
      </c>
    </row>
    <row r="123" spans="1:1" x14ac:dyDescent="0.25">
      <c r="A123" s="39">
        <v>43528</v>
      </c>
    </row>
    <row r="124" spans="1:1" x14ac:dyDescent="0.25">
      <c r="A124" s="39">
        <v>43529</v>
      </c>
    </row>
    <row r="125" spans="1:1" x14ac:dyDescent="0.25">
      <c r="A125" s="39">
        <v>43574</v>
      </c>
    </row>
    <row r="126" spans="1:1" x14ac:dyDescent="0.25">
      <c r="A126" s="39">
        <v>43576</v>
      </c>
    </row>
    <row r="127" spans="1:1" x14ac:dyDescent="0.25">
      <c r="A127" s="39">
        <v>43586</v>
      </c>
    </row>
    <row r="128" spans="1:1" x14ac:dyDescent="0.25">
      <c r="A128" s="39">
        <v>43636</v>
      </c>
    </row>
    <row r="129" spans="1:1" x14ac:dyDescent="0.25">
      <c r="A129" s="39">
        <v>43715</v>
      </c>
    </row>
    <row r="130" spans="1:1" x14ac:dyDescent="0.25">
      <c r="A130" s="39">
        <v>43750</v>
      </c>
    </row>
    <row r="131" spans="1:1" x14ac:dyDescent="0.25">
      <c r="A131" s="39">
        <v>43771</v>
      </c>
    </row>
    <row r="132" spans="1:1" x14ac:dyDescent="0.25">
      <c r="A132" s="39">
        <v>43784</v>
      </c>
    </row>
    <row r="133" spans="1:1" x14ac:dyDescent="0.25">
      <c r="A133" s="39">
        <v>43824</v>
      </c>
    </row>
    <row r="134" spans="1:1" x14ac:dyDescent="0.25">
      <c r="A134" s="39">
        <v>43831</v>
      </c>
    </row>
    <row r="135" spans="1:1" x14ac:dyDescent="0.25">
      <c r="A135" s="39">
        <v>43885</v>
      </c>
    </row>
    <row r="136" spans="1:1" x14ac:dyDescent="0.25">
      <c r="A136" s="39">
        <v>43886</v>
      </c>
    </row>
    <row r="137" spans="1:1" x14ac:dyDescent="0.25">
      <c r="A137" s="39">
        <v>43931</v>
      </c>
    </row>
    <row r="138" spans="1:1" x14ac:dyDescent="0.25">
      <c r="A138" s="39">
        <v>43942</v>
      </c>
    </row>
    <row r="139" spans="1:1" x14ac:dyDescent="0.25">
      <c r="A139" s="39">
        <v>43952</v>
      </c>
    </row>
    <row r="140" spans="1:1" x14ac:dyDescent="0.25">
      <c r="A140" s="39">
        <v>43993</v>
      </c>
    </row>
    <row r="141" spans="1:1" x14ac:dyDescent="0.25">
      <c r="A141" s="39">
        <v>44081</v>
      </c>
    </row>
    <row r="142" spans="1:1" x14ac:dyDescent="0.25">
      <c r="A142" s="39">
        <v>44116</v>
      </c>
    </row>
    <row r="143" spans="1:1" x14ac:dyDescent="0.25">
      <c r="A143" s="39">
        <v>44137</v>
      </c>
    </row>
    <row r="144" spans="1:1" x14ac:dyDescent="0.25">
      <c r="A144" s="39">
        <v>44150</v>
      </c>
    </row>
    <row r="145" spans="1:1" x14ac:dyDescent="0.25">
      <c r="A145" s="39">
        <v>44190</v>
      </c>
    </row>
    <row r="146" spans="1:1" x14ac:dyDescent="0.25">
      <c r="A146" s="39">
        <v>44197</v>
      </c>
    </row>
    <row r="147" spans="1:1" x14ac:dyDescent="0.25">
      <c r="A147" s="39">
        <v>44242</v>
      </c>
    </row>
    <row r="148" spans="1:1" x14ac:dyDescent="0.25">
      <c r="A148" s="39">
        <v>44243</v>
      </c>
    </row>
    <row r="149" spans="1:1" x14ac:dyDescent="0.25">
      <c r="A149" s="39">
        <v>44288</v>
      </c>
    </row>
    <row r="150" spans="1:1" x14ac:dyDescent="0.25">
      <c r="A150" s="39">
        <v>44307</v>
      </c>
    </row>
    <row r="151" spans="1:1" x14ac:dyDescent="0.25">
      <c r="A151" s="39">
        <v>44317</v>
      </c>
    </row>
    <row r="152" spans="1:1" x14ac:dyDescent="0.25">
      <c r="A152" s="39">
        <v>44350</v>
      </c>
    </row>
    <row r="153" spans="1:1" x14ac:dyDescent="0.25">
      <c r="A153" s="39">
        <v>44446</v>
      </c>
    </row>
    <row r="154" spans="1:1" x14ac:dyDescent="0.25">
      <c r="A154" s="39">
        <v>44481</v>
      </c>
    </row>
    <row r="155" spans="1:1" x14ac:dyDescent="0.25">
      <c r="A155" s="39">
        <v>44502</v>
      </c>
    </row>
    <row r="156" spans="1:1" x14ac:dyDescent="0.25">
      <c r="A156" s="39">
        <v>44515</v>
      </c>
    </row>
    <row r="157" spans="1:1" x14ac:dyDescent="0.25">
      <c r="A157" s="39">
        <v>44555</v>
      </c>
    </row>
    <row r="158" spans="1:1" x14ac:dyDescent="0.25">
      <c r="A158" s="39">
        <v>44562</v>
      </c>
    </row>
    <row r="159" spans="1:1" x14ac:dyDescent="0.25">
      <c r="A159" s="39">
        <v>44620</v>
      </c>
    </row>
    <row r="160" spans="1:1" x14ac:dyDescent="0.25">
      <c r="A160" s="39">
        <v>44621</v>
      </c>
    </row>
    <row r="161" spans="1:1" x14ac:dyDescent="0.25">
      <c r="A161" s="39">
        <v>44666</v>
      </c>
    </row>
    <row r="162" spans="1:1" x14ac:dyDescent="0.25">
      <c r="A162" s="39">
        <v>44672</v>
      </c>
    </row>
    <row r="163" spans="1:1" x14ac:dyDescent="0.25">
      <c r="A163" s="39">
        <v>44682</v>
      </c>
    </row>
    <row r="164" spans="1:1" x14ac:dyDescent="0.25">
      <c r="A164" s="39">
        <v>44728</v>
      </c>
    </row>
    <row r="165" spans="1:1" x14ac:dyDescent="0.25">
      <c r="A165" s="39">
        <v>44811</v>
      </c>
    </row>
    <row r="166" spans="1:1" x14ac:dyDescent="0.25">
      <c r="A166" s="39">
        <v>44846</v>
      </c>
    </row>
    <row r="167" spans="1:1" x14ac:dyDescent="0.25">
      <c r="A167" s="39">
        <v>44867</v>
      </c>
    </row>
    <row r="168" spans="1:1" x14ac:dyDescent="0.25">
      <c r="A168" s="39">
        <v>44880</v>
      </c>
    </row>
    <row r="169" spans="1:1" x14ac:dyDescent="0.25">
      <c r="A169" s="39">
        <v>44920</v>
      </c>
    </row>
    <row r="170" spans="1:1" x14ac:dyDescent="0.25">
      <c r="A170" s="39">
        <v>44927</v>
      </c>
    </row>
    <row r="171" spans="1:1" x14ac:dyDescent="0.25">
      <c r="A171" s="39">
        <v>44977</v>
      </c>
    </row>
    <row r="172" spans="1:1" x14ac:dyDescent="0.25">
      <c r="A172" s="39">
        <v>44978</v>
      </c>
    </row>
    <row r="173" spans="1:1" x14ac:dyDescent="0.25">
      <c r="A173" s="39">
        <v>45023</v>
      </c>
    </row>
    <row r="174" spans="1:1" x14ac:dyDescent="0.25">
      <c r="A174" s="39">
        <v>45037</v>
      </c>
    </row>
    <row r="175" spans="1:1" x14ac:dyDescent="0.25">
      <c r="A175" s="39">
        <v>45047</v>
      </c>
    </row>
    <row r="176" spans="1:1" x14ac:dyDescent="0.25">
      <c r="A176" s="39">
        <v>45085</v>
      </c>
    </row>
    <row r="177" spans="1:1" x14ac:dyDescent="0.25">
      <c r="A177" s="39">
        <v>45176</v>
      </c>
    </row>
    <row r="178" spans="1:1" x14ac:dyDescent="0.25">
      <c r="A178" s="39">
        <v>45211</v>
      </c>
    </row>
    <row r="179" spans="1:1" x14ac:dyDescent="0.25">
      <c r="A179" s="39">
        <v>45232</v>
      </c>
    </row>
    <row r="180" spans="1:1" x14ac:dyDescent="0.25">
      <c r="A180" s="39">
        <v>45245</v>
      </c>
    </row>
    <row r="181" spans="1:1" x14ac:dyDescent="0.25">
      <c r="A181" s="39">
        <v>45285</v>
      </c>
    </row>
    <row r="182" spans="1:1" x14ac:dyDescent="0.25">
      <c r="A182" s="39">
        <v>45292</v>
      </c>
    </row>
    <row r="183" spans="1:1" x14ac:dyDescent="0.25">
      <c r="A183" s="39">
        <v>45334</v>
      </c>
    </row>
    <row r="184" spans="1:1" x14ac:dyDescent="0.25">
      <c r="A184" s="39">
        <v>45335</v>
      </c>
    </row>
    <row r="185" spans="1:1" x14ac:dyDescent="0.25">
      <c r="A185" s="39">
        <v>45380</v>
      </c>
    </row>
    <row r="186" spans="1:1" x14ac:dyDescent="0.25">
      <c r="A186" s="39">
        <v>45403</v>
      </c>
    </row>
    <row r="187" spans="1:1" x14ac:dyDescent="0.25">
      <c r="A187" s="39">
        <v>45413</v>
      </c>
    </row>
    <row r="188" spans="1:1" x14ac:dyDescent="0.25">
      <c r="A188" s="39">
        <v>45442</v>
      </c>
    </row>
    <row r="189" spans="1:1" x14ac:dyDescent="0.25">
      <c r="A189" s="39">
        <v>45542</v>
      </c>
    </row>
    <row r="190" spans="1:1" x14ac:dyDescent="0.25">
      <c r="A190" s="39">
        <v>45577</v>
      </c>
    </row>
    <row r="191" spans="1:1" x14ac:dyDescent="0.25">
      <c r="A191" s="39">
        <v>45598</v>
      </c>
    </row>
    <row r="192" spans="1:1" x14ac:dyDescent="0.25">
      <c r="A192" s="39">
        <v>45611</v>
      </c>
    </row>
    <row r="193" spans="1:1" x14ac:dyDescent="0.25">
      <c r="A193" s="39">
        <v>45616</v>
      </c>
    </row>
    <row r="194" spans="1:1" x14ac:dyDescent="0.25">
      <c r="A194" s="39">
        <v>45651</v>
      </c>
    </row>
    <row r="195" spans="1:1" x14ac:dyDescent="0.25">
      <c r="A195" s="39">
        <v>45658</v>
      </c>
    </row>
    <row r="196" spans="1:1" x14ac:dyDescent="0.25">
      <c r="A196" s="39">
        <v>45719</v>
      </c>
    </row>
    <row r="197" spans="1:1" x14ac:dyDescent="0.25">
      <c r="A197" s="39">
        <v>45720</v>
      </c>
    </row>
    <row r="198" spans="1:1" x14ac:dyDescent="0.25">
      <c r="A198" s="39">
        <v>45765</v>
      </c>
    </row>
    <row r="199" spans="1:1" x14ac:dyDescent="0.25">
      <c r="A199" s="39">
        <v>45768</v>
      </c>
    </row>
    <row r="200" spans="1:1" x14ac:dyDescent="0.25">
      <c r="A200" s="39">
        <v>45778</v>
      </c>
    </row>
    <row r="201" spans="1:1" x14ac:dyDescent="0.25">
      <c r="A201" s="39">
        <v>45827</v>
      </c>
    </row>
    <row r="202" spans="1:1" x14ac:dyDescent="0.25">
      <c r="A202" s="39">
        <v>45907</v>
      </c>
    </row>
    <row r="203" spans="1:1" x14ac:dyDescent="0.25">
      <c r="A203" s="39">
        <v>45942</v>
      </c>
    </row>
    <row r="204" spans="1:1" x14ac:dyDescent="0.25">
      <c r="A204" s="39">
        <v>45963</v>
      </c>
    </row>
    <row r="205" spans="1:1" x14ac:dyDescent="0.25">
      <c r="A205" s="39">
        <v>45976</v>
      </c>
    </row>
    <row r="206" spans="1:1" x14ac:dyDescent="0.25">
      <c r="A206" s="39">
        <v>46016</v>
      </c>
    </row>
    <row r="207" spans="1:1" x14ac:dyDescent="0.25">
      <c r="A207" s="39">
        <v>46023</v>
      </c>
    </row>
    <row r="208" spans="1:1" x14ac:dyDescent="0.25">
      <c r="A208" s="39">
        <v>46069</v>
      </c>
    </row>
    <row r="209" spans="1:1" x14ac:dyDescent="0.25">
      <c r="A209" s="39">
        <v>46070</v>
      </c>
    </row>
    <row r="210" spans="1:1" x14ac:dyDescent="0.25">
      <c r="A210" s="39">
        <v>46115</v>
      </c>
    </row>
    <row r="211" spans="1:1" x14ac:dyDescent="0.25">
      <c r="A211" s="39">
        <v>46133</v>
      </c>
    </row>
    <row r="212" spans="1:1" x14ac:dyDescent="0.25">
      <c r="A212" s="39">
        <v>46143</v>
      </c>
    </row>
    <row r="213" spans="1:1" x14ac:dyDescent="0.25">
      <c r="A213" s="39">
        <v>46177</v>
      </c>
    </row>
    <row r="214" spans="1:1" x14ac:dyDescent="0.25">
      <c r="A214" s="39">
        <v>46272</v>
      </c>
    </row>
    <row r="215" spans="1:1" x14ac:dyDescent="0.25">
      <c r="A215" s="39">
        <v>46307</v>
      </c>
    </row>
    <row r="216" spans="1:1" x14ac:dyDescent="0.25">
      <c r="A216" s="39">
        <v>46328</v>
      </c>
    </row>
    <row r="217" spans="1:1" x14ac:dyDescent="0.25">
      <c r="A217" s="39">
        <v>46341</v>
      </c>
    </row>
    <row r="218" spans="1:1" x14ac:dyDescent="0.25">
      <c r="A218" s="39">
        <v>46381</v>
      </c>
    </row>
    <row r="219" spans="1:1" x14ac:dyDescent="0.25">
      <c r="A219" s="39">
        <v>46388</v>
      </c>
    </row>
    <row r="220" spans="1:1" x14ac:dyDescent="0.25">
      <c r="A220" s="39">
        <v>46426</v>
      </c>
    </row>
    <row r="221" spans="1:1" x14ac:dyDescent="0.25">
      <c r="A221" s="39">
        <v>46427</v>
      </c>
    </row>
    <row r="222" spans="1:1" x14ac:dyDescent="0.25">
      <c r="A222" s="39">
        <v>46472</v>
      </c>
    </row>
    <row r="223" spans="1:1" x14ac:dyDescent="0.25">
      <c r="A223" s="39">
        <v>46498</v>
      </c>
    </row>
    <row r="224" spans="1:1" x14ac:dyDescent="0.25">
      <c r="A224" s="39">
        <v>46508</v>
      </c>
    </row>
    <row r="225" spans="1:1" x14ac:dyDescent="0.25">
      <c r="A225" s="39">
        <v>46534</v>
      </c>
    </row>
    <row r="226" spans="1:1" x14ac:dyDescent="0.25">
      <c r="A226" s="39">
        <v>46637</v>
      </c>
    </row>
    <row r="227" spans="1:1" x14ac:dyDescent="0.25">
      <c r="A227" s="39">
        <v>46672</v>
      </c>
    </row>
    <row r="228" spans="1:1" x14ac:dyDescent="0.25">
      <c r="A228" s="39">
        <v>46693</v>
      </c>
    </row>
    <row r="229" spans="1:1" x14ac:dyDescent="0.25">
      <c r="A229" s="39">
        <v>46706</v>
      </c>
    </row>
    <row r="230" spans="1:1" x14ac:dyDescent="0.25">
      <c r="A230" s="39">
        <v>46746</v>
      </c>
    </row>
    <row r="231" spans="1:1" x14ac:dyDescent="0.25">
      <c r="A231" s="39">
        <v>46753</v>
      </c>
    </row>
    <row r="232" spans="1:1" x14ac:dyDescent="0.25">
      <c r="A232" s="39">
        <v>46811</v>
      </c>
    </row>
    <row r="233" spans="1:1" x14ac:dyDescent="0.25">
      <c r="A233" s="39">
        <v>46812</v>
      </c>
    </row>
    <row r="234" spans="1:1" x14ac:dyDescent="0.25">
      <c r="A234" s="39">
        <v>46857</v>
      </c>
    </row>
    <row r="235" spans="1:1" x14ac:dyDescent="0.25">
      <c r="A235" s="39">
        <v>46864</v>
      </c>
    </row>
    <row r="236" spans="1:1" x14ac:dyDescent="0.25">
      <c r="A236" s="39">
        <v>46874</v>
      </c>
    </row>
    <row r="237" spans="1:1" x14ac:dyDescent="0.25">
      <c r="A237" s="39">
        <v>46919</v>
      </c>
    </row>
    <row r="238" spans="1:1" x14ac:dyDescent="0.25">
      <c r="A238" s="39">
        <v>47003</v>
      </c>
    </row>
    <row r="239" spans="1:1" x14ac:dyDescent="0.25">
      <c r="A239" s="39">
        <v>47038</v>
      </c>
    </row>
    <row r="240" spans="1:1" x14ac:dyDescent="0.25">
      <c r="A240" s="39">
        <v>47059</v>
      </c>
    </row>
    <row r="241" spans="1:1" x14ac:dyDescent="0.25">
      <c r="A241" s="39">
        <v>47072</v>
      </c>
    </row>
    <row r="242" spans="1:1" x14ac:dyDescent="0.25">
      <c r="A242" s="39">
        <v>47112</v>
      </c>
    </row>
    <row r="243" spans="1:1" x14ac:dyDescent="0.25">
      <c r="A243" s="39">
        <v>47119</v>
      </c>
    </row>
    <row r="244" spans="1:1" x14ac:dyDescent="0.25">
      <c r="A244" s="39">
        <v>47161</v>
      </c>
    </row>
    <row r="245" spans="1:1" x14ac:dyDescent="0.25">
      <c r="A245" s="39">
        <v>47162</v>
      </c>
    </row>
    <row r="246" spans="1:1" x14ac:dyDescent="0.25">
      <c r="A246" s="39">
        <v>47207</v>
      </c>
    </row>
    <row r="247" spans="1:1" x14ac:dyDescent="0.25">
      <c r="A247" s="39">
        <v>47229</v>
      </c>
    </row>
    <row r="248" spans="1:1" x14ac:dyDescent="0.25">
      <c r="A248" s="39">
        <v>47239</v>
      </c>
    </row>
    <row r="249" spans="1:1" x14ac:dyDescent="0.25">
      <c r="A249" s="39">
        <v>47269</v>
      </c>
    </row>
    <row r="250" spans="1:1" x14ac:dyDescent="0.25">
      <c r="A250" s="39">
        <v>47368</v>
      </c>
    </row>
    <row r="251" spans="1:1" x14ac:dyDescent="0.25">
      <c r="A251" s="39">
        <v>47403</v>
      </c>
    </row>
    <row r="252" spans="1:1" x14ac:dyDescent="0.25">
      <c r="A252" s="39">
        <v>47424</v>
      </c>
    </row>
    <row r="253" spans="1:1" x14ac:dyDescent="0.25">
      <c r="A253" s="39">
        <v>47437</v>
      </c>
    </row>
    <row r="254" spans="1:1" x14ac:dyDescent="0.25">
      <c r="A254" s="39">
        <v>47477</v>
      </c>
    </row>
    <row r="255" spans="1:1" x14ac:dyDescent="0.25">
      <c r="A255" s="39">
        <v>47484</v>
      </c>
    </row>
    <row r="256" spans="1:1" x14ac:dyDescent="0.25">
      <c r="A256" s="39">
        <v>47546</v>
      </c>
    </row>
    <row r="257" spans="1:1" x14ac:dyDescent="0.25">
      <c r="A257" s="39">
        <v>47547</v>
      </c>
    </row>
    <row r="258" spans="1:1" x14ac:dyDescent="0.25">
      <c r="A258" s="39">
        <v>47592</v>
      </c>
    </row>
    <row r="259" spans="1:1" x14ac:dyDescent="0.25">
      <c r="A259" s="39">
        <v>47594</v>
      </c>
    </row>
    <row r="260" spans="1:1" x14ac:dyDescent="0.25">
      <c r="A260" s="39">
        <v>47604</v>
      </c>
    </row>
    <row r="261" spans="1:1" x14ac:dyDescent="0.25">
      <c r="A261" s="39">
        <v>47654</v>
      </c>
    </row>
    <row r="262" spans="1:1" x14ac:dyDescent="0.25">
      <c r="A262" s="39">
        <v>47733</v>
      </c>
    </row>
    <row r="263" spans="1:1" x14ac:dyDescent="0.25">
      <c r="A263" s="39">
        <v>47768</v>
      </c>
    </row>
    <row r="264" spans="1:1" x14ac:dyDescent="0.25">
      <c r="A264" s="39">
        <v>47789</v>
      </c>
    </row>
    <row r="265" spans="1:1" x14ac:dyDescent="0.25">
      <c r="A265" s="39">
        <v>47802</v>
      </c>
    </row>
    <row r="266" spans="1:1" x14ac:dyDescent="0.25">
      <c r="A266" s="39">
        <v>47842</v>
      </c>
    </row>
    <row r="267" spans="1:1" x14ac:dyDescent="0.25">
      <c r="A267" s="39">
        <v>47849</v>
      </c>
    </row>
    <row r="268" spans="1:1" x14ac:dyDescent="0.25">
      <c r="A268" s="39">
        <v>47903</v>
      </c>
    </row>
    <row r="269" spans="1:1" x14ac:dyDescent="0.25">
      <c r="A269" s="39">
        <v>47904</v>
      </c>
    </row>
    <row r="270" spans="1:1" x14ac:dyDescent="0.25">
      <c r="A270" s="39">
        <v>47949</v>
      </c>
    </row>
    <row r="271" spans="1:1" x14ac:dyDescent="0.25">
      <c r="A271" s="39">
        <v>47959</v>
      </c>
    </row>
    <row r="272" spans="1:1" x14ac:dyDescent="0.25">
      <c r="A272" s="39">
        <v>47969</v>
      </c>
    </row>
    <row r="273" spans="1:1" x14ac:dyDescent="0.25">
      <c r="A273" s="39">
        <v>48011</v>
      </c>
    </row>
    <row r="274" spans="1:1" x14ac:dyDescent="0.25">
      <c r="A274" s="39">
        <v>48098</v>
      </c>
    </row>
    <row r="275" spans="1:1" x14ac:dyDescent="0.25">
      <c r="A275" s="39">
        <v>48133</v>
      </c>
    </row>
    <row r="276" spans="1:1" x14ac:dyDescent="0.25">
      <c r="A276" s="39">
        <v>48154</v>
      </c>
    </row>
    <row r="277" spans="1:1" x14ac:dyDescent="0.25">
      <c r="A277" s="39">
        <v>48167</v>
      </c>
    </row>
    <row r="278" spans="1:1" x14ac:dyDescent="0.25">
      <c r="A278" s="39">
        <v>48207</v>
      </c>
    </row>
    <row r="279" spans="1:1" x14ac:dyDescent="0.25">
      <c r="A279" s="39">
        <v>48214</v>
      </c>
    </row>
    <row r="280" spans="1:1" x14ac:dyDescent="0.25">
      <c r="A280" s="39">
        <v>48253</v>
      </c>
    </row>
    <row r="281" spans="1:1" x14ac:dyDescent="0.25">
      <c r="A281" s="39">
        <v>48254</v>
      </c>
    </row>
    <row r="282" spans="1:1" x14ac:dyDescent="0.25">
      <c r="A282" s="39">
        <v>48299</v>
      </c>
    </row>
    <row r="283" spans="1:1" x14ac:dyDescent="0.25">
      <c r="A283" s="39">
        <v>48325</v>
      </c>
    </row>
    <row r="284" spans="1:1" x14ac:dyDescent="0.25">
      <c r="A284" s="39">
        <v>48335</v>
      </c>
    </row>
    <row r="285" spans="1:1" x14ac:dyDescent="0.25">
      <c r="A285" s="39">
        <v>48361</v>
      </c>
    </row>
    <row r="286" spans="1:1" x14ac:dyDescent="0.25">
      <c r="A286" s="39">
        <v>48464</v>
      </c>
    </row>
    <row r="287" spans="1:1" x14ac:dyDescent="0.25">
      <c r="A287" s="39">
        <v>48499</v>
      </c>
    </row>
    <row r="288" spans="1:1" x14ac:dyDescent="0.25">
      <c r="A288" s="39">
        <v>48520</v>
      </c>
    </row>
    <row r="289" spans="1:1" x14ac:dyDescent="0.25">
      <c r="A289" s="39">
        <v>48533</v>
      </c>
    </row>
    <row r="290" spans="1:1" x14ac:dyDescent="0.25">
      <c r="A290" s="39">
        <v>48573</v>
      </c>
    </row>
    <row r="291" spans="1:1" x14ac:dyDescent="0.25">
      <c r="A291" s="39">
        <v>48580</v>
      </c>
    </row>
    <row r="292" spans="1:1" x14ac:dyDescent="0.25">
      <c r="A292" s="39">
        <v>48638</v>
      </c>
    </row>
    <row r="293" spans="1:1" x14ac:dyDescent="0.25">
      <c r="A293" s="39">
        <v>48639</v>
      </c>
    </row>
    <row r="294" spans="1:1" x14ac:dyDescent="0.25">
      <c r="A294" s="39">
        <v>48684</v>
      </c>
    </row>
    <row r="295" spans="1:1" x14ac:dyDescent="0.25">
      <c r="A295" s="39">
        <v>48690</v>
      </c>
    </row>
    <row r="296" spans="1:1" x14ac:dyDescent="0.25">
      <c r="A296" s="39">
        <v>48700</v>
      </c>
    </row>
    <row r="297" spans="1:1" x14ac:dyDescent="0.25">
      <c r="A297" s="39">
        <v>48746</v>
      </c>
    </row>
    <row r="298" spans="1:1" x14ac:dyDescent="0.25">
      <c r="A298" s="39">
        <v>48829</v>
      </c>
    </row>
    <row r="299" spans="1:1" x14ac:dyDescent="0.25">
      <c r="A299" s="39">
        <v>48864</v>
      </c>
    </row>
    <row r="300" spans="1:1" x14ac:dyDescent="0.25">
      <c r="A300" s="39">
        <v>48885</v>
      </c>
    </row>
    <row r="301" spans="1:1" x14ac:dyDescent="0.25">
      <c r="A301" s="39">
        <v>48898</v>
      </c>
    </row>
    <row r="302" spans="1:1" x14ac:dyDescent="0.25">
      <c r="A302" s="39">
        <v>48938</v>
      </c>
    </row>
    <row r="303" spans="1:1" x14ac:dyDescent="0.25">
      <c r="A303" s="39">
        <v>48945</v>
      </c>
    </row>
    <row r="304" spans="1:1" x14ac:dyDescent="0.25">
      <c r="A304" s="39">
        <v>48995</v>
      </c>
    </row>
    <row r="305" spans="1:1" x14ac:dyDescent="0.25">
      <c r="A305" s="39">
        <v>48996</v>
      </c>
    </row>
    <row r="306" spans="1:1" x14ac:dyDescent="0.25">
      <c r="A306" s="39">
        <v>49041</v>
      </c>
    </row>
    <row r="307" spans="1:1" x14ac:dyDescent="0.25">
      <c r="A307" s="39">
        <v>49055</v>
      </c>
    </row>
    <row r="308" spans="1:1" x14ac:dyDescent="0.25">
      <c r="A308" s="39">
        <v>49065</v>
      </c>
    </row>
    <row r="309" spans="1:1" x14ac:dyDescent="0.25">
      <c r="A309" s="39">
        <v>49103</v>
      </c>
    </row>
    <row r="310" spans="1:1" x14ac:dyDescent="0.25">
      <c r="A310" s="39">
        <v>49194</v>
      </c>
    </row>
    <row r="311" spans="1:1" x14ac:dyDescent="0.25">
      <c r="A311" s="39">
        <v>49229</v>
      </c>
    </row>
    <row r="312" spans="1:1" x14ac:dyDescent="0.25">
      <c r="A312" s="39">
        <v>49250</v>
      </c>
    </row>
    <row r="313" spans="1:1" x14ac:dyDescent="0.25">
      <c r="A313" s="39">
        <v>49263</v>
      </c>
    </row>
    <row r="314" spans="1:1" x14ac:dyDescent="0.25">
      <c r="A314" s="39">
        <v>49303</v>
      </c>
    </row>
    <row r="315" spans="1:1" x14ac:dyDescent="0.25">
      <c r="A315" s="39">
        <v>49310</v>
      </c>
    </row>
    <row r="316" spans="1:1" x14ac:dyDescent="0.25">
      <c r="A316" s="39">
        <v>49345</v>
      </c>
    </row>
    <row r="317" spans="1:1" x14ac:dyDescent="0.25">
      <c r="A317" s="39">
        <v>49346</v>
      </c>
    </row>
    <row r="318" spans="1:1" x14ac:dyDescent="0.25">
      <c r="A318" s="39">
        <v>49391</v>
      </c>
    </row>
    <row r="319" spans="1:1" x14ac:dyDescent="0.25">
      <c r="A319" s="39">
        <v>49420</v>
      </c>
    </row>
    <row r="320" spans="1:1" x14ac:dyDescent="0.25">
      <c r="A320" s="39">
        <v>49430</v>
      </c>
    </row>
    <row r="321" spans="1:1" x14ac:dyDescent="0.25">
      <c r="A321" s="39">
        <v>49453</v>
      </c>
    </row>
    <row r="322" spans="1:1" x14ac:dyDescent="0.25">
      <c r="A322" s="39">
        <v>49559</v>
      </c>
    </row>
    <row r="323" spans="1:1" x14ac:dyDescent="0.25">
      <c r="A323" s="39">
        <v>49594</v>
      </c>
    </row>
    <row r="324" spans="1:1" x14ac:dyDescent="0.25">
      <c r="A324" s="39">
        <v>49615</v>
      </c>
    </row>
    <row r="325" spans="1:1" x14ac:dyDescent="0.25">
      <c r="A325" s="39">
        <v>49628</v>
      </c>
    </row>
    <row r="326" spans="1:1" x14ac:dyDescent="0.25">
      <c r="A326" s="39">
        <v>49668</v>
      </c>
    </row>
    <row r="327" spans="1:1" x14ac:dyDescent="0.25">
      <c r="A327" s="39">
        <v>49675</v>
      </c>
    </row>
    <row r="328" spans="1:1" x14ac:dyDescent="0.25">
      <c r="A328" s="39">
        <v>49730</v>
      </c>
    </row>
    <row r="329" spans="1:1" x14ac:dyDescent="0.25">
      <c r="A329" s="39">
        <v>49731</v>
      </c>
    </row>
    <row r="330" spans="1:1" x14ac:dyDescent="0.25">
      <c r="A330" s="39">
        <v>49776</v>
      </c>
    </row>
    <row r="331" spans="1:1" x14ac:dyDescent="0.25">
      <c r="A331" s="39">
        <v>49786</v>
      </c>
    </row>
    <row r="332" spans="1:1" x14ac:dyDescent="0.25">
      <c r="A332" s="39">
        <v>49796</v>
      </c>
    </row>
    <row r="333" spans="1:1" x14ac:dyDescent="0.25">
      <c r="A333" s="39">
        <v>49838</v>
      </c>
    </row>
    <row r="334" spans="1:1" x14ac:dyDescent="0.25">
      <c r="A334" s="39">
        <v>49925</v>
      </c>
    </row>
    <row r="335" spans="1:1" x14ac:dyDescent="0.25">
      <c r="A335" s="39">
        <v>49960</v>
      </c>
    </row>
    <row r="336" spans="1:1" x14ac:dyDescent="0.25">
      <c r="A336" s="39">
        <v>49981</v>
      </c>
    </row>
    <row r="337" spans="1:1" x14ac:dyDescent="0.25">
      <c r="A337" s="39">
        <v>49994</v>
      </c>
    </row>
    <row r="338" spans="1:1" x14ac:dyDescent="0.25">
      <c r="A338" s="39">
        <v>50034</v>
      </c>
    </row>
    <row r="339" spans="1:1" x14ac:dyDescent="0.25">
      <c r="A339" s="39">
        <v>50041</v>
      </c>
    </row>
    <row r="340" spans="1:1" x14ac:dyDescent="0.25">
      <c r="A340" s="39">
        <v>50087</v>
      </c>
    </row>
    <row r="341" spans="1:1" x14ac:dyDescent="0.25">
      <c r="A341" s="39">
        <v>50088</v>
      </c>
    </row>
    <row r="342" spans="1:1" x14ac:dyDescent="0.25">
      <c r="A342" s="39">
        <v>50133</v>
      </c>
    </row>
    <row r="343" spans="1:1" x14ac:dyDescent="0.25">
      <c r="A343" s="39">
        <v>50151</v>
      </c>
    </row>
    <row r="344" spans="1:1" x14ac:dyDescent="0.25">
      <c r="A344" s="39">
        <v>50161</v>
      </c>
    </row>
    <row r="345" spans="1:1" x14ac:dyDescent="0.25">
      <c r="A345" s="39">
        <v>50195</v>
      </c>
    </row>
    <row r="346" spans="1:1" x14ac:dyDescent="0.25">
      <c r="A346" s="39">
        <v>50290</v>
      </c>
    </row>
    <row r="347" spans="1:1" x14ac:dyDescent="0.25">
      <c r="A347" s="39">
        <v>50325</v>
      </c>
    </row>
    <row r="348" spans="1:1" x14ac:dyDescent="0.25">
      <c r="A348" s="39">
        <v>50346</v>
      </c>
    </row>
    <row r="349" spans="1:1" x14ac:dyDescent="0.25">
      <c r="A349" s="39">
        <v>50359</v>
      </c>
    </row>
    <row r="350" spans="1:1" x14ac:dyDescent="0.25">
      <c r="A350" s="39">
        <v>50399</v>
      </c>
    </row>
    <row r="351" spans="1:1" x14ac:dyDescent="0.25">
      <c r="A351" s="39">
        <v>50406</v>
      </c>
    </row>
    <row r="352" spans="1:1" x14ac:dyDescent="0.25">
      <c r="A352" s="39">
        <v>50472</v>
      </c>
    </row>
    <row r="353" spans="1:1" x14ac:dyDescent="0.25">
      <c r="A353" s="39">
        <v>50473</v>
      </c>
    </row>
    <row r="354" spans="1:1" x14ac:dyDescent="0.25">
      <c r="A354" s="39">
        <v>50516</v>
      </c>
    </row>
    <row r="355" spans="1:1" x14ac:dyDescent="0.25">
      <c r="A355" s="39">
        <v>50518</v>
      </c>
    </row>
    <row r="356" spans="1:1" x14ac:dyDescent="0.25">
      <c r="A356" s="39">
        <v>50526</v>
      </c>
    </row>
    <row r="357" spans="1:1" x14ac:dyDescent="0.25">
      <c r="A357" s="39">
        <v>50580</v>
      </c>
    </row>
    <row r="358" spans="1:1" x14ac:dyDescent="0.25">
      <c r="A358" s="39">
        <v>50655</v>
      </c>
    </row>
    <row r="359" spans="1:1" x14ac:dyDescent="0.25">
      <c r="A359" s="39">
        <v>50690</v>
      </c>
    </row>
    <row r="360" spans="1:1" x14ac:dyDescent="0.25">
      <c r="A360" s="39">
        <v>50711</v>
      </c>
    </row>
    <row r="361" spans="1:1" x14ac:dyDescent="0.25">
      <c r="A361" s="39">
        <v>50724</v>
      </c>
    </row>
    <row r="362" spans="1:1" x14ac:dyDescent="0.25">
      <c r="A362" s="39">
        <v>50764</v>
      </c>
    </row>
    <row r="363" spans="1:1" x14ac:dyDescent="0.25">
      <c r="A363" s="39">
        <v>50771</v>
      </c>
    </row>
    <row r="364" spans="1:1" x14ac:dyDescent="0.25">
      <c r="A364" s="39">
        <v>50822</v>
      </c>
    </row>
    <row r="365" spans="1:1" x14ac:dyDescent="0.25">
      <c r="A365" s="39">
        <v>50823</v>
      </c>
    </row>
    <row r="366" spans="1:1" x14ac:dyDescent="0.25">
      <c r="A366" s="39">
        <v>50868</v>
      </c>
    </row>
    <row r="367" spans="1:1" x14ac:dyDescent="0.25">
      <c r="A367" s="39">
        <v>50881</v>
      </c>
    </row>
    <row r="368" spans="1:1" x14ac:dyDescent="0.25">
      <c r="A368" s="39">
        <v>50891</v>
      </c>
    </row>
    <row r="369" spans="1:1" x14ac:dyDescent="0.25">
      <c r="A369" s="39">
        <v>50930</v>
      </c>
    </row>
    <row r="370" spans="1:1" x14ac:dyDescent="0.25">
      <c r="A370" s="39">
        <v>51020</v>
      </c>
    </row>
    <row r="371" spans="1:1" x14ac:dyDescent="0.25">
      <c r="A371" s="39">
        <v>51055</v>
      </c>
    </row>
    <row r="372" spans="1:1" x14ac:dyDescent="0.25">
      <c r="A372" s="39">
        <v>51076</v>
      </c>
    </row>
    <row r="373" spans="1:1" x14ac:dyDescent="0.25">
      <c r="A373" s="39">
        <v>51089</v>
      </c>
    </row>
    <row r="374" spans="1:1" x14ac:dyDescent="0.25">
      <c r="A374" s="39">
        <v>51129</v>
      </c>
    </row>
    <row r="375" spans="1:1" x14ac:dyDescent="0.25">
      <c r="A375" s="39">
        <v>51136</v>
      </c>
    </row>
    <row r="376" spans="1:1" x14ac:dyDescent="0.25">
      <c r="A376" s="39">
        <v>51179</v>
      </c>
    </row>
    <row r="377" spans="1:1" x14ac:dyDescent="0.25">
      <c r="A377" s="39">
        <v>51180</v>
      </c>
    </row>
    <row r="378" spans="1:1" x14ac:dyDescent="0.25">
      <c r="A378" s="39">
        <v>51225</v>
      </c>
    </row>
    <row r="379" spans="1:1" x14ac:dyDescent="0.25">
      <c r="A379" s="39">
        <v>51247</v>
      </c>
    </row>
    <row r="380" spans="1:1" x14ac:dyDescent="0.25">
      <c r="A380" s="39">
        <v>51257</v>
      </c>
    </row>
    <row r="381" spans="1:1" x14ac:dyDescent="0.25">
      <c r="A381" s="39">
        <v>51287</v>
      </c>
    </row>
    <row r="382" spans="1:1" x14ac:dyDescent="0.25">
      <c r="A382" s="39">
        <v>51386</v>
      </c>
    </row>
    <row r="383" spans="1:1" x14ac:dyDescent="0.25">
      <c r="A383" s="39">
        <v>51421</v>
      </c>
    </row>
    <row r="384" spans="1:1" x14ac:dyDescent="0.25">
      <c r="A384" s="39">
        <v>51442</v>
      </c>
    </row>
    <row r="385" spans="1:1" x14ac:dyDescent="0.25">
      <c r="A385" s="39">
        <v>51455</v>
      </c>
    </row>
    <row r="386" spans="1:1" x14ac:dyDescent="0.25">
      <c r="A386" s="39">
        <v>51495</v>
      </c>
    </row>
    <row r="387" spans="1:1" x14ac:dyDescent="0.25">
      <c r="A387" s="39">
        <v>51502</v>
      </c>
    </row>
    <row r="388" spans="1:1" x14ac:dyDescent="0.25">
      <c r="A388" s="39">
        <v>51564</v>
      </c>
    </row>
    <row r="389" spans="1:1" x14ac:dyDescent="0.25">
      <c r="A389" s="39">
        <v>51565</v>
      </c>
    </row>
    <row r="390" spans="1:1" x14ac:dyDescent="0.25">
      <c r="A390" s="39">
        <v>51610</v>
      </c>
    </row>
    <row r="391" spans="1:1" x14ac:dyDescent="0.25">
      <c r="A391" s="39">
        <v>51612</v>
      </c>
    </row>
    <row r="392" spans="1:1" x14ac:dyDescent="0.25">
      <c r="A392" s="39">
        <v>51622</v>
      </c>
    </row>
    <row r="393" spans="1:1" x14ac:dyDescent="0.25">
      <c r="A393" s="39">
        <v>51672</v>
      </c>
    </row>
    <row r="394" spans="1:1" x14ac:dyDescent="0.25">
      <c r="A394" s="39">
        <v>51751</v>
      </c>
    </row>
    <row r="395" spans="1:1" x14ac:dyDescent="0.25">
      <c r="A395" s="39">
        <v>51786</v>
      </c>
    </row>
    <row r="396" spans="1:1" x14ac:dyDescent="0.25">
      <c r="A396" s="39">
        <v>51807</v>
      </c>
    </row>
    <row r="397" spans="1:1" x14ac:dyDescent="0.25">
      <c r="A397" s="39">
        <v>51820</v>
      </c>
    </row>
    <row r="398" spans="1:1" x14ac:dyDescent="0.25">
      <c r="A398" s="39">
        <v>51860</v>
      </c>
    </row>
    <row r="399" spans="1:1" x14ac:dyDescent="0.25">
      <c r="A399" s="39">
        <v>51867</v>
      </c>
    </row>
    <row r="400" spans="1:1" x14ac:dyDescent="0.25">
      <c r="A400" s="39">
        <v>51914</v>
      </c>
    </row>
    <row r="401" spans="1:1" x14ac:dyDescent="0.25">
      <c r="A401" s="39">
        <v>51915</v>
      </c>
    </row>
    <row r="402" spans="1:1" x14ac:dyDescent="0.25">
      <c r="A402" s="39">
        <v>51960</v>
      </c>
    </row>
    <row r="403" spans="1:1" x14ac:dyDescent="0.25">
      <c r="A403" s="39">
        <v>51977</v>
      </c>
    </row>
    <row r="404" spans="1:1" x14ac:dyDescent="0.25">
      <c r="A404" s="39">
        <v>51987</v>
      </c>
    </row>
    <row r="405" spans="1:1" x14ac:dyDescent="0.25">
      <c r="A405" s="39">
        <v>52022</v>
      </c>
    </row>
    <row r="406" spans="1:1" x14ac:dyDescent="0.25">
      <c r="A406" s="39">
        <v>52116</v>
      </c>
    </row>
    <row r="407" spans="1:1" x14ac:dyDescent="0.25">
      <c r="A407" s="39">
        <v>52151</v>
      </c>
    </row>
    <row r="408" spans="1:1" x14ac:dyDescent="0.25">
      <c r="A408" s="39">
        <v>52172</v>
      </c>
    </row>
    <row r="409" spans="1:1" x14ac:dyDescent="0.25">
      <c r="A409" s="39">
        <v>52185</v>
      </c>
    </row>
    <row r="410" spans="1:1" x14ac:dyDescent="0.25">
      <c r="A410" s="39">
        <v>52225</v>
      </c>
    </row>
    <row r="411" spans="1:1" x14ac:dyDescent="0.25">
      <c r="A411" s="39">
        <v>52232</v>
      </c>
    </row>
    <row r="412" spans="1:1" x14ac:dyDescent="0.25">
      <c r="A412" s="39">
        <v>52271</v>
      </c>
    </row>
    <row r="413" spans="1:1" x14ac:dyDescent="0.25">
      <c r="A413" s="39">
        <v>52272</v>
      </c>
    </row>
    <row r="414" spans="1:1" x14ac:dyDescent="0.25">
      <c r="A414" s="39">
        <v>52317</v>
      </c>
    </row>
    <row r="415" spans="1:1" x14ac:dyDescent="0.25">
      <c r="A415" s="39">
        <v>52342</v>
      </c>
    </row>
    <row r="416" spans="1:1" x14ac:dyDescent="0.25">
      <c r="A416" s="39">
        <v>52352</v>
      </c>
    </row>
    <row r="417" spans="1:1" x14ac:dyDescent="0.25">
      <c r="A417" s="39">
        <v>52379</v>
      </c>
    </row>
    <row r="418" spans="1:1" x14ac:dyDescent="0.25">
      <c r="A418" s="39">
        <v>52481</v>
      </c>
    </row>
    <row r="419" spans="1:1" x14ac:dyDescent="0.25">
      <c r="A419" s="39">
        <v>52516</v>
      </c>
    </row>
    <row r="420" spans="1:1" x14ac:dyDescent="0.25">
      <c r="A420" s="39">
        <v>52537</v>
      </c>
    </row>
    <row r="421" spans="1:1" x14ac:dyDescent="0.25">
      <c r="A421" s="39">
        <v>52550</v>
      </c>
    </row>
    <row r="422" spans="1:1" x14ac:dyDescent="0.25">
      <c r="A422" s="39">
        <v>52590</v>
      </c>
    </row>
    <row r="423" spans="1:1" x14ac:dyDescent="0.25">
      <c r="A423" s="39">
        <v>52597</v>
      </c>
    </row>
    <row r="424" spans="1:1" x14ac:dyDescent="0.25">
      <c r="A424" s="39">
        <v>52656</v>
      </c>
    </row>
    <row r="425" spans="1:1" x14ac:dyDescent="0.25">
      <c r="A425" s="39">
        <v>52657</v>
      </c>
    </row>
    <row r="426" spans="1:1" x14ac:dyDescent="0.25">
      <c r="A426" s="39">
        <v>52702</v>
      </c>
    </row>
    <row r="427" spans="1:1" x14ac:dyDescent="0.25">
      <c r="A427" s="39">
        <v>52708</v>
      </c>
    </row>
    <row r="428" spans="1:1" x14ac:dyDescent="0.25">
      <c r="A428" s="39">
        <v>52718</v>
      </c>
    </row>
    <row r="429" spans="1:1" x14ac:dyDescent="0.25">
      <c r="A429" s="39">
        <v>52764</v>
      </c>
    </row>
    <row r="430" spans="1:1" x14ac:dyDescent="0.25">
      <c r="A430" s="39">
        <v>52847</v>
      </c>
    </row>
    <row r="431" spans="1:1" x14ac:dyDescent="0.25">
      <c r="A431" s="39">
        <v>52882</v>
      </c>
    </row>
    <row r="432" spans="1:1" x14ac:dyDescent="0.25">
      <c r="A432" s="39">
        <v>52903</v>
      </c>
    </row>
    <row r="433" spans="1:1" x14ac:dyDescent="0.25">
      <c r="A433" s="39">
        <v>52916</v>
      </c>
    </row>
    <row r="434" spans="1:1" x14ac:dyDescent="0.25">
      <c r="A434" s="39">
        <v>52956</v>
      </c>
    </row>
    <row r="435" spans="1:1" x14ac:dyDescent="0.25">
      <c r="A435" s="39">
        <v>52963</v>
      </c>
    </row>
    <row r="436" spans="1:1" x14ac:dyDescent="0.25">
      <c r="A436" s="39">
        <v>53013</v>
      </c>
    </row>
    <row r="437" spans="1:1" x14ac:dyDescent="0.25">
      <c r="A437" s="39">
        <v>53014</v>
      </c>
    </row>
    <row r="438" spans="1:1" x14ac:dyDescent="0.25">
      <c r="A438" s="39">
        <v>53059</v>
      </c>
    </row>
    <row r="439" spans="1:1" x14ac:dyDescent="0.25">
      <c r="A439" s="39">
        <v>53073</v>
      </c>
    </row>
    <row r="440" spans="1:1" x14ac:dyDescent="0.25">
      <c r="A440" s="39">
        <v>53083</v>
      </c>
    </row>
    <row r="441" spans="1:1" x14ac:dyDescent="0.25">
      <c r="A441" s="39">
        <v>53121</v>
      </c>
    </row>
    <row r="442" spans="1:1" x14ac:dyDescent="0.25">
      <c r="A442" s="39">
        <v>53212</v>
      </c>
    </row>
    <row r="443" spans="1:1" x14ac:dyDescent="0.25">
      <c r="A443" s="39">
        <v>53247</v>
      </c>
    </row>
    <row r="444" spans="1:1" x14ac:dyDescent="0.25">
      <c r="A444" s="39">
        <v>53268</v>
      </c>
    </row>
    <row r="445" spans="1:1" x14ac:dyDescent="0.25">
      <c r="A445" s="39">
        <v>53281</v>
      </c>
    </row>
    <row r="446" spans="1:1" x14ac:dyDescent="0.25">
      <c r="A446" s="39">
        <v>53321</v>
      </c>
    </row>
    <row r="447" spans="1:1" x14ac:dyDescent="0.25">
      <c r="A447" s="39">
        <v>53328</v>
      </c>
    </row>
    <row r="448" spans="1:1" x14ac:dyDescent="0.25">
      <c r="A448" s="39">
        <v>53363</v>
      </c>
    </row>
    <row r="449" spans="1:1" x14ac:dyDescent="0.25">
      <c r="A449" s="39">
        <v>53364</v>
      </c>
    </row>
    <row r="450" spans="1:1" x14ac:dyDescent="0.25">
      <c r="A450" s="39">
        <v>53409</v>
      </c>
    </row>
    <row r="451" spans="1:1" x14ac:dyDescent="0.25">
      <c r="A451" s="39">
        <v>53438</v>
      </c>
    </row>
    <row r="452" spans="1:1" x14ac:dyDescent="0.25">
      <c r="A452" s="39">
        <v>53448</v>
      </c>
    </row>
    <row r="453" spans="1:1" x14ac:dyDescent="0.25">
      <c r="A453" s="39">
        <v>53471</v>
      </c>
    </row>
    <row r="454" spans="1:1" x14ac:dyDescent="0.25">
      <c r="A454" s="39">
        <v>53577</v>
      </c>
    </row>
    <row r="455" spans="1:1" x14ac:dyDescent="0.25">
      <c r="A455" s="39">
        <v>53612</v>
      </c>
    </row>
    <row r="456" spans="1:1" x14ac:dyDescent="0.25">
      <c r="A456" s="39">
        <v>53633</v>
      </c>
    </row>
    <row r="457" spans="1:1" x14ac:dyDescent="0.25">
      <c r="A457" s="39">
        <v>53646</v>
      </c>
    </row>
    <row r="458" spans="1:1" x14ac:dyDescent="0.25">
      <c r="A458" s="39">
        <v>53686</v>
      </c>
    </row>
    <row r="459" spans="1:1" x14ac:dyDescent="0.25">
      <c r="A459" s="39">
        <v>53693</v>
      </c>
    </row>
    <row r="460" spans="1:1" x14ac:dyDescent="0.25">
      <c r="A460" s="39">
        <v>53748</v>
      </c>
    </row>
    <row r="461" spans="1:1" x14ac:dyDescent="0.25">
      <c r="A461" s="39">
        <v>53749</v>
      </c>
    </row>
    <row r="462" spans="1:1" x14ac:dyDescent="0.25">
      <c r="A462" s="39">
        <v>53794</v>
      </c>
    </row>
    <row r="463" spans="1:1" x14ac:dyDescent="0.25">
      <c r="A463" s="39">
        <v>53803</v>
      </c>
    </row>
    <row r="464" spans="1:1" x14ac:dyDescent="0.25">
      <c r="A464" s="39">
        <v>53813</v>
      </c>
    </row>
    <row r="465" spans="1:1" x14ac:dyDescent="0.25">
      <c r="A465" s="39">
        <v>53856</v>
      </c>
    </row>
    <row r="466" spans="1:1" x14ac:dyDescent="0.25">
      <c r="A466" s="39">
        <v>53942</v>
      </c>
    </row>
    <row r="467" spans="1:1" x14ac:dyDescent="0.25">
      <c r="A467" s="39">
        <v>53977</v>
      </c>
    </row>
    <row r="468" spans="1:1" x14ac:dyDescent="0.25">
      <c r="A468" s="39">
        <v>53998</v>
      </c>
    </row>
    <row r="469" spans="1:1" x14ac:dyDescent="0.25">
      <c r="A469" s="39">
        <v>54011</v>
      </c>
    </row>
    <row r="470" spans="1:1" x14ac:dyDescent="0.25">
      <c r="A470" s="39">
        <v>54051</v>
      </c>
    </row>
    <row r="471" spans="1:1" x14ac:dyDescent="0.25">
      <c r="A471" s="39">
        <v>54058</v>
      </c>
    </row>
    <row r="472" spans="1:1" x14ac:dyDescent="0.25">
      <c r="A472" s="39">
        <v>54105</v>
      </c>
    </row>
    <row r="473" spans="1:1" x14ac:dyDescent="0.25">
      <c r="A473" s="39">
        <v>54106</v>
      </c>
    </row>
    <row r="474" spans="1:1" x14ac:dyDescent="0.25">
      <c r="A474" s="39">
        <v>54151</v>
      </c>
    </row>
    <row r="475" spans="1:1" x14ac:dyDescent="0.25">
      <c r="A475" s="39">
        <v>54169</v>
      </c>
    </row>
    <row r="476" spans="1:1" x14ac:dyDescent="0.25">
      <c r="A476" s="39">
        <v>54179</v>
      </c>
    </row>
    <row r="477" spans="1:1" x14ac:dyDescent="0.25">
      <c r="A477" s="39">
        <v>54213</v>
      </c>
    </row>
    <row r="478" spans="1:1" x14ac:dyDescent="0.25">
      <c r="A478" s="39">
        <v>54308</v>
      </c>
    </row>
    <row r="479" spans="1:1" x14ac:dyDescent="0.25">
      <c r="A479" s="39">
        <v>54343</v>
      </c>
    </row>
    <row r="480" spans="1:1" x14ac:dyDescent="0.25">
      <c r="A480" s="39">
        <v>54364</v>
      </c>
    </row>
    <row r="481" spans="1:1" x14ac:dyDescent="0.25">
      <c r="A481" s="39">
        <v>54377</v>
      </c>
    </row>
    <row r="482" spans="1:1" x14ac:dyDescent="0.25">
      <c r="A482" s="39">
        <v>54417</v>
      </c>
    </row>
    <row r="483" spans="1:1" x14ac:dyDescent="0.25">
      <c r="A483" s="39">
        <v>54424</v>
      </c>
    </row>
    <row r="484" spans="1:1" x14ac:dyDescent="0.25">
      <c r="A484" s="39">
        <v>54483</v>
      </c>
    </row>
    <row r="485" spans="1:1" x14ac:dyDescent="0.25">
      <c r="A485" s="39">
        <v>54484</v>
      </c>
    </row>
    <row r="486" spans="1:1" x14ac:dyDescent="0.25">
      <c r="A486" s="39">
        <v>54529</v>
      </c>
    </row>
    <row r="487" spans="1:1" x14ac:dyDescent="0.25">
      <c r="A487" s="39">
        <v>54534</v>
      </c>
    </row>
    <row r="488" spans="1:1" x14ac:dyDescent="0.25">
      <c r="A488" s="39">
        <v>54544</v>
      </c>
    </row>
    <row r="489" spans="1:1" x14ac:dyDescent="0.25">
      <c r="A489" s="39">
        <v>54591</v>
      </c>
    </row>
    <row r="490" spans="1:1" x14ac:dyDescent="0.25">
      <c r="A490" s="39">
        <v>54673</v>
      </c>
    </row>
    <row r="491" spans="1:1" x14ac:dyDescent="0.25">
      <c r="A491" s="39">
        <v>54708</v>
      </c>
    </row>
    <row r="492" spans="1:1" x14ac:dyDescent="0.25">
      <c r="A492" s="39">
        <v>54729</v>
      </c>
    </row>
    <row r="493" spans="1:1" x14ac:dyDescent="0.25">
      <c r="A493" s="39">
        <v>54742</v>
      </c>
    </row>
    <row r="494" spans="1:1" x14ac:dyDescent="0.25">
      <c r="A494" s="39">
        <v>54782</v>
      </c>
    </row>
    <row r="495" spans="1:1" x14ac:dyDescent="0.25">
      <c r="A495" s="39">
        <v>54789</v>
      </c>
    </row>
    <row r="496" spans="1:1" x14ac:dyDescent="0.25">
      <c r="A496" s="39">
        <v>54840</v>
      </c>
    </row>
    <row r="497" spans="1:1" x14ac:dyDescent="0.25">
      <c r="A497" s="39">
        <v>54841</v>
      </c>
    </row>
    <row r="498" spans="1:1" x14ac:dyDescent="0.25">
      <c r="A498" s="39">
        <v>54886</v>
      </c>
    </row>
    <row r="499" spans="1:1" x14ac:dyDescent="0.25">
      <c r="A499" s="39">
        <v>54899</v>
      </c>
    </row>
    <row r="500" spans="1:1" x14ac:dyDescent="0.25">
      <c r="A500" s="39">
        <v>54909</v>
      </c>
    </row>
    <row r="501" spans="1:1" x14ac:dyDescent="0.25">
      <c r="A501" s="39">
        <v>54948</v>
      </c>
    </row>
    <row r="502" spans="1:1" x14ac:dyDescent="0.25">
      <c r="A502" s="39">
        <v>55038</v>
      </c>
    </row>
    <row r="503" spans="1:1" x14ac:dyDescent="0.25">
      <c r="A503" s="39">
        <v>55073</v>
      </c>
    </row>
    <row r="504" spans="1:1" x14ac:dyDescent="0.25">
      <c r="A504" s="39">
        <v>55094</v>
      </c>
    </row>
    <row r="505" spans="1:1" x14ac:dyDescent="0.25">
      <c r="A505" s="39">
        <v>55107</v>
      </c>
    </row>
    <row r="506" spans="1:1" x14ac:dyDescent="0.25">
      <c r="A506" s="39">
        <v>55147</v>
      </c>
    </row>
    <row r="507" spans="1:1" x14ac:dyDescent="0.25">
      <c r="A507" s="39">
        <v>55154</v>
      </c>
    </row>
    <row r="508" spans="1:1" x14ac:dyDescent="0.25">
      <c r="A508" s="39">
        <v>55197</v>
      </c>
    </row>
    <row r="509" spans="1:1" x14ac:dyDescent="0.25">
      <c r="A509" s="39">
        <v>55198</v>
      </c>
    </row>
    <row r="510" spans="1:1" x14ac:dyDescent="0.25">
      <c r="A510" s="39">
        <v>55243</v>
      </c>
    </row>
    <row r="511" spans="1:1" x14ac:dyDescent="0.25">
      <c r="A511" s="39">
        <v>55264</v>
      </c>
    </row>
    <row r="512" spans="1:1" x14ac:dyDescent="0.25">
      <c r="A512" s="39">
        <v>55274</v>
      </c>
    </row>
    <row r="513" spans="1:1" x14ac:dyDescent="0.25">
      <c r="A513" s="39">
        <v>55305</v>
      </c>
    </row>
    <row r="514" spans="1:1" x14ac:dyDescent="0.25">
      <c r="A514" s="39">
        <v>55403</v>
      </c>
    </row>
    <row r="515" spans="1:1" x14ac:dyDescent="0.25">
      <c r="A515" s="39">
        <v>55438</v>
      </c>
    </row>
    <row r="516" spans="1:1" x14ac:dyDescent="0.25">
      <c r="A516" s="39">
        <v>55459</v>
      </c>
    </row>
    <row r="517" spans="1:1" x14ac:dyDescent="0.25">
      <c r="A517" s="39">
        <v>55472</v>
      </c>
    </row>
    <row r="518" spans="1:1" x14ac:dyDescent="0.25">
      <c r="A518" s="39">
        <v>55512</v>
      </c>
    </row>
    <row r="519" spans="1:1" x14ac:dyDescent="0.25">
      <c r="A519" s="39">
        <v>55519</v>
      </c>
    </row>
    <row r="520" spans="1:1" x14ac:dyDescent="0.25">
      <c r="A520" s="39">
        <v>55582</v>
      </c>
    </row>
    <row r="521" spans="1:1" x14ac:dyDescent="0.25">
      <c r="A521" s="39">
        <v>55583</v>
      </c>
    </row>
    <row r="522" spans="1:1" x14ac:dyDescent="0.25">
      <c r="A522" s="39">
        <v>55628</v>
      </c>
    </row>
    <row r="523" spans="1:1" x14ac:dyDescent="0.25">
      <c r="A523" s="39">
        <v>55630</v>
      </c>
    </row>
    <row r="524" spans="1:1" x14ac:dyDescent="0.25">
      <c r="A524" s="39">
        <v>55640</v>
      </c>
    </row>
    <row r="525" spans="1:1" x14ac:dyDescent="0.25">
      <c r="A525" s="39">
        <v>55690</v>
      </c>
    </row>
    <row r="526" spans="1:1" x14ac:dyDescent="0.25">
      <c r="A526" s="39">
        <v>55769</v>
      </c>
    </row>
    <row r="527" spans="1:1" x14ac:dyDescent="0.25">
      <c r="A527" s="39">
        <v>55804</v>
      </c>
    </row>
    <row r="528" spans="1:1" x14ac:dyDescent="0.25">
      <c r="A528" s="39">
        <v>55825</v>
      </c>
    </row>
    <row r="529" spans="1:1" x14ac:dyDescent="0.25">
      <c r="A529" s="39">
        <v>55838</v>
      </c>
    </row>
    <row r="530" spans="1:1" x14ac:dyDescent="0.25">
      <c r="A530" s="39">
        <v>55878</v>
      </c>
    </row>
    <row r="531" spans="1:1" x14ac:dyDescent="0.25">
      <c r="A531" s="39">
        <v>55885</v>
      </c>
    </row>
    <row r="532" spans="1:1" x14ac:dyDescent="0.25">
      <c r="A532" s="39">
        <v>55932</v>
      </c>
    </row>
    <row r="533" spans="1:1" x14ac:dyDescent="0.25">
      <c r="A533" s="39">
        <v>55933</v>
      </c>
    </row>
    <row r="534" spans="1:1" x14ac:dyDescent="0.25">
      <c r="A534" s="39">
        <v>55978</v>
      </c>
    </row>
    <row r="535" spans="1:1" x14ac:dyDescent="0.25">
      <c r="A535" s="39">
        <v>55995</v>
      </c>
    </row>
    <row r="536" spans="1:1" x14ac:dyDescent="0.25">
      <c r="A536" s="39">
        <v>56005</v>
      </c>
    </row>
    <row r="537" spans="1:1" x14ac:dyDescent="0.25">
      <c r="A537" s="39">
        <v>56040</v>
      </c>
    </row>
    <row r="538" spans="1:1" x14ac:dyDescent="0.25">
      <c r="A538" s="39">
        <v>56134</v>
      </c>
    </row>
    <row r="539" spans="1:1" x14ac:dyDescent="0.25">
      <c r="A539" s="39">
        <v>56169</v>
      </c>
    </row>
    <row r="540" spans="1:1" x14ac:dyDescent="0.25">
      <c r="A540" s="39">
        <v>56190</v>
      </c>
    </row>
    <row r="541" spans="1:1" x14ac:dyDescent="0.25">
      <c r="A541" s="39">
        <v>56203</v>
      </c>
    </row>
    <row r="542" spans="1:1" x14ac:dyDescent="0.25">
      <c r="A542" s="39">
        <v>56243</v>
      </c>
    </row>
    <row r="543" spans="1:1" x14ac:dyDescent="0.25">
      <c r="A543" s="39">
        <v>56250</v>
      </c>
    </row>
    <row r="544" spans="1:1" x14ac:dyDescent="0.25">
      <c r="A544" s="39">
        <v>56289</v>
      </c>
    </row>
    <row r="545" spans="1:1" x14ac:dyDescent="0.25">
      <c r="A545" s="39">
        <v>56290</v>
      </c>
    </row>
    <row r="546" spans="1:1" x14ac:dyDescent="0.25">
      <c r="A546" s="39">
        <v>56335</v>
      </c>
    </row>
    <row r="547" spans="1:1" x14ac:dyDescent="0.25">
      <c r="A547" s="39">
        <v>56360</v>
      </c>
    </row>
    <row r="548" spans="1:1" x14ac:dyDescent="0.25">
      <c r="A548" s="39">
        <v>56370</v>
      </c>
    </row>
    <row r="549" spans="1:1" x14ac:dyDescent="0.25">
      <c r="A549" s="39">
        <v>56397</v>
      </c>
    </row>
    <row r="550" spans="1:1" x14ac:dyDescent="0.25">
      <c r="A550" s="39">
        <v>56499</v>
      </c>
    </row>
    <row r="551" spans="1:1" x14ac:dyDescent="0.25">
      <c r="A551" s="39">
        <v>56534</v>
      </c>
    </row>
    <row r="552" spans="1:1" x14ac:dyDescent="0.25">
      <c r="A552" s="39">
        <v>56555</v>
      </c>
    </row>
    <row r="553" spans="1:1" x14ac:dyDescent="0.25">
      <c r="A553" s="39">
        <v>56568</v>
      </c>
    </row>
    <row r="554" spans="1:1" x14ac:dyDescent="0.25">
      <c r="A554" s="39">
        <v>56608</v>
      </c>
    </row>
    <row r="555" spans="1:1" x14ac:dyDescent="0.25">
      <c r="A555" s="39">
        <v>56615</v>
      </c>
    </row>
    <row r="556" spans="1:1" x14ac:dyDescent="0.25">
      <c r="A556" s="39">
        <v>56674</v>
      </c>
    </row>
    <row r="557" spans="1:1" x14ac:dyDescent="0.25">
      <c r="A557" s="39">
        <v>56675</v>
      </c>
    </row>
    <row r="558" spans="1:1" x14ac:dyDescent="0.25">
      <c r="A558" s="39">
        <v>56720</v>
      </c>
    </row>
    <row r="559" spans="1:1" x14ac:dyDescent="0.25">
      <c r="A559" s="39">
        <v>56725</v>
      </c>
    </row>
    <row r="560" spans="1:1" x14ac:dyDescent="0.25">
      <c r="A560" s="39">
        <v>56735</v>
      </c>
    </row>
    <row r="561" spans="1:1" x14ac:dyDescent="0.25">
      <c r="A561" s="39">
        <v>56782</v>
      </c>
    </row>
    <row r="562" spans="1:1" x14ac:dyDescent="0.25">
      <c r="A562" s="39">
        <v>56864</v>
      </c>
    </row>
    <row r="563" spans="1:1" x14ac:dyDescent="0.25">
      <c r="A563" s="39">
        <v>56899</v>
      </c>
    </row>
    <row r="564" spans="1:1" x14ac:dyDescent="0.25">
      <c r="A564" s="39">
        <v>56920</v>
      </c>
    </row>
    <row r="565" spans="1:1" x14ac:dyDescent="0.25">
      <c r="A565" s="39">
        <v>56933</v>
      </c>
    </row>
    <row r="566" spans="1:1" x14ac:dyDescent="0.25">
      <c r="A566" s="39">
        <v>56973</v>
      </c>
    </row>
    <row r="567" spans="1:1" x14ac:dyDescent="0.25">
      <c r="A567" s="39">
        <v>56980</v>
      </c>
    </row>
    <row r="568" spans="1:1" x14ac:dyDescent="0.25">
      <c r="A568" s="39">
        <v>57024</v>
      </c>
    </row>
    <row r="569" spans="1:1" x14ac:dyDescent="0.25">
      <c r="A569" s="39">
        <v>57025</v>
      </c>
    </row>
    <row r="570" spans="1:1" x14ac:dyDescent="0.25">
      <c r="A570" s="39">
        <v>57070</v>
      </c>
    </row>
    <row r="571" spans="1:1" x14ac:dyDescent="0.25">
      <c r="A571" s="39">
        <v>57091</v>
      </c>
    </row>
    <row r="572" spans="1:1" x14ac:dyDescent="0.25">
      <c r="A572" s="39">
        <v>57101</v>
      </c>
    </row>
    <row r="573" spans="1:1" x14ac:dyDescent="0.25">
      <c r="A573" s="39">
        <v>57132</v>
      </c>
    </row>
    <row r="574" spans="1:1" x14ac:dyDescent="0.25">
      <c r="A574" s="39">
        <v>57230</v>
      </c>
    </row>
    <row r="575" spans="1:1" x14ac:dyDescent="0.25">
      <c r="A575" s="39">
        <v>57265</v>
      </c>
    </row>
    <row r="576" spans="1:1" x14ac:dyDescent="0.25">
      <c r="A576" s="39">
        <v>57286</v>
      </c>
    </row>
    <row r="577" spans="1:1" x14ac:dyDescent="0.25">
      <c r="A577" s="39">
        <v>57299</v>
      </c>
    </row>
    <row r="578" spans="1:1" x14ac:dyDescent="0.25">
      <c r="A578" s="39">
        <v>57339</v>
      </c>
    </row>
    <row r="579" spans="1:1" x14ac:dyDescent="0.25">
      <c r="A579" s="39">
        <v>57346</v>
      </c>
    </row>
    <row r="580" spans="1:1" x14ac:dyDescent="0.25">
      <c r="A580" s="39">
        <v>57409</v>
      </c>
    </row>
    <row r="581" spans="1:1" x14ac:dyDescent="0.25">
      <c r="A581" s="39">
        <v>57410</v>
      </c>
    </row>
    <row r="582" spans="1:1" x14ac:dyDescent="0.25">
      <c r="A582" s="39">
        <v>57455</v>
      </c>
    </row>
    <row r="583" spans="1:1" x14ac:dyDescent="0.25">
      <c r="A583" s="39">
        <v>57456</v>
      </c>
    </row>
    <row r="584" spans="1:1" x14ac:dyDescent="0.25">
      <c r="A584" s="39">
        <v>57466</v>
      </c>
    </row>
    <row r="585" spans="1:1" x14ac:dyDescent="0.25">
      <c r="A585" s="39">
        <v>57517</v>
      </c>
    </row>
    <row r="586" spans="1:1" x14ac:dyDescent="0.25">
      <c r="A586" s="39">
        <v>57595</v>
      </c>
    </row>
    <row r="587" spans="1:1" x14ac:dyDescent="0.25">
      <c r="A587" s="39">
        <v>57630</v>
      </c>
    </row>
    <row r="588" spans="1:1" x14ac:dyDescent="0.25">
      <c r="A588" s="39">
        <v>57651</v>
      </c>
    </row>
    <row r="589" spans="1:1" x14ac:dyDescent="0.25">
      <c r="A589" s="39">
        <v>57664</v>
      </c>
    </row>
    <row r="590" spans="1:1" x14ac:dyDescent="0.25">
      <c r="A590" s="39">
        <v>57704</v>
      </c>
    </row>
    <row r="591" spans="1:1" x14ac:dyDescent="0.25">
      <c r="A591" s="39">
        <v>57711</v>
      </c>
    </row>
    <row r="592" spans="1:1" x14ac:dyDescent="0.25">
      <c r="A592" s="39">
        <v>57766</v>
      </c>
    </row>
    <row r="593" spans="1:1" x14ac:dyDescent="0.25">
      <c r="A593" s="39">
        <v>57767</v>
      </c>
    </row>
    <row r="594" spans="1:1" x14ac:dyDescent="0.25">
      <c r="A594" s="39">
        <v>57812</v>
      </c>
    </row>
    <row r="595" spans="1:1" x14ac:dyDescent="0.25">
      <c r="A595" s="39">
        <v>57821</v>
      </c>
    </row>
    <row r="596" spans="1:1" x14ac:dyDescent="0.25">
      <c r="A596" s="39">
        <v>57831</v>
      </c>
    </row>
    <row r="597" spans="1:1" x14ac:dyDescent="0.25">
      <c r="A597" s="39">
        <v>57874</v>
      </c>
    </row>
    <row r="598" spans="1:1" x14ac:dyDescent="0.25">
      <c r="A598" s="39">
        <v>57960</v>
      </c>
    </row>
    <row r="599" spans="1:1" x14ac:dyDescent="0.25">
      <c r="A599" s="39">
        <v>57995</v>
      </c>
    </row>
    <row r="600" spans="1:1" x14ac:dyDescent="0.25">
      <c r="A600" s="39">
        <v>58016</v>
      </c>
    </row>
    <row r="601" spans="1:1" x14ac:dyDescent="0.25">
      <c r="A601" s="39">
        <v>58029</v>
      </c>
    </row>
    <row r="602" spans="1:1" x14ac:dyDescent="0.25">
      <c r="A602" s="39">
        <v>58069</v>
      </c>
    </row>
    <row r="603" spans="1:1" x14ac:dyDescent="0.25">
      <c r="A603" s="39">
        <v>58076</v>
      </c>
    </row>
    <row r="604" spans="1:1" x14ac:dyDescent="0.25">
      <c r="A604" s="39">
        <v>58116</v>
      </c>
    </row>
    <row r="605" spans="1:1" x14ac:dyDescent="0.25">
      <c r="A605" s="39">
        <v>58117</v>
      </c>
    </row>
    <row r="606" spans="1:1" x14ac:dyDescent="0.25">
      <c r="A606" s="39">
        <v>58162</v>
      </c>
    </row>
    <row r="607" spans="1:1" x14ac:dyDescent="0.25">
      <c r="A607" s="39">
        <v>58186</v>
      </c>
    </row>
    <row r="608" spans="1:1" x14ac:dyDescent="0.25">
      <c r="A608" s="39">
        <v>58196</v>
      </c>
    </row>
    <row r="609" spans="1:1" x14ac:dyDescent="0.25">
      <c r="A609" s="39">
        <v>58224</v>
      </c>
    </row>
    <row r="610" spans="1:1" x14ac:dyDescent="0.25">
      <c r="A610" s="39">
        <v>58325</v>
      </c>
    </row>
    <row r="611" spans="1:1" x14ac:dyDescent="0.25">
      <c r="A611" s="39">
        <v>58360</v>
      </c>
    </row>
    <row r="612" spans="1:1" x14ac:dyDescent="0.25">
      <c r="A612" s="39">
        <v>58381</v>
      </c>
    </row>
    <row r="613" spans="1:1" x14ac:dyDescent="0.25">
      <c r="A613" s="39">
        <v>58394</v>
      </c>
    </row>
    <row r="614" spans="1:1" x14ac:dyDescent="0.25">
      <c r="A614" s="39">
        <v>58434</v>
      </c>
    </row>
    <row r="615" spans="1:1" x14ac:dyDescent="0.25">
      <c r="A615" s="39">
        <v>58441</v>
      </c>
    </row>
    <row r="616" spans="1:1" x14ac:dyDescent="0.25">
      <c r="A616" s="39">
        <v>58501</v>
      </c>
    </row>
    <row r="617" spans="1:1" x14ac:dyDescent="0.25">
      <c r="A617" s="39">
        <v>58502</v>
      </c>
    </row>
    <row r="618" spans="1:1" x14ac:dyDescent="0.25">
      <c r="A618" s="39">
        <v>58547</v>
      </c>
    </row>
    <row r="619" spans="1:1" x14ac:dyDescent="0.25">
      <c r="A619" s="39">
        <v>58552</v>
      </c>
    </row>
    <row r="620" spans="1:1" x14ac:dyDescent="0.25">
      <c r="A620" s="39">
        <v>58562</v>
      </c>
    </row>
    <row r="621" spans="1:1" x14ac:dyDescent="0.25">
      <c r="A621" s="39">
        <v>58609</v>
      </c>
    </row>
    <row r="622" spans="1:1" x14ac:dyDescent="0.25">
      <c r="A622" s="39">
        <v>58691</v>
      </c>
    </row>
    <row r="623" spans="1:1" x14ac:dyDescent="0.25">
      <c r="A623" s="39">
        <v>58726</v>
      </c>
    </row>
    <row r="624" spans="1:1" x14ac:dyDescent="0.25">
      <c r="A624" s="39">
        <v>58747</v>
      </c>
    </row>
    <row r="625" spans="1:1" x14ac:dyDescent="0.25">
      <c r="A625" s="39">
        <v>58760</v>
      </c>
    </row>
    <row r="626" spans="1:1" x14ac:dyDescent="0.25">
      <c r="A626" s="39">
        <v>58800</v>
      </c>
    </row>
    <row r="627" spans="1:1" x14ac:dyDescent="0.25">
      <c r="A627" s="39">
        <v>58807</v>
      </c>
    </row>
    <row r="628" spans="1:1" x14ac:dyDescent="0.25">
      <c r="A628" s="39">
        <v>58858</v>
      </c>
    </row>
    <row r="629" spans="1:1" x14ac:dyDescent="0.25">
      <c r="A629" s="39">
        <v>58859</v>
      </c>
    </row>
    <row r="630" spans="1:1" x14ac:dyDescent="0.25">
      <c r="A630" s="39">
        <v>58904</v>
      </c>
    </row>
    <row r="631" spans="1:1" x14ac:dyDescent="0.25">
      <c r="A631" s="39">
        <v>58917</v>
      </c>
    </row>
    <row r="632" spans="1:1" x14ac:dyDescent="0.25">
      <c r="A632" s="39">
        <v>58927</v>
      </c>
    </row>
    <row r="633" spans="1:1" x14ac:dyDescent="0.25">
      <c r="A633" s="39">
        <v>58966</v>
      </c>
    </row>
    <row r="634" spans="1:1" x14ac:dyDescent="0.25">
      <c r="A634" s="39">
        <v>59056</v>
      </c>
    </row>
    <row r="635" spans="1:1" x14ac:dyDescent="0.25">
      <c r="A635" s="39">
        <v>59091</v>
      </c>
    </row>
    <row r="636" spans="1:1" x14ac:dyDescent="0.25">
      <c r="A636" s="39">
        <v>59112</v>
      </c>
    </row>
    <row r="637" spans="1:1" x14ac:dyDescent="0.25">
      <c r="A637" s="39">
        <v>59125</v>
      </c>
    </row>
    <row r="638" spans="1:1" x14ac:dyDescent="0.25">
      <c r="A638" s="39">
        <v>59165</v>
      </c>
    </row>
    <row r="639" spans="1:1" x14ac:dyDescent="0.25">
      <c r="A639" s="39">
        <v>59172</v>
      </c>
    </row>
    <row r="640" spans="1:1" x14ac:dyDescent="0.25">
      <c r="A640" s="39">
        <v>59208</v>
      </c>
    </row>
    <row r="641" spans="1:1" x14ac:dyDescent="0.25">
      <c r="A641" s="39">
        <v>59209</v>
      </c>
    </row>
    <row r="642" spans="1:1" x14ac:dyDescent="0.25">
      <c r="A642" s="39">
        <v>59254</v>
      </c>
    </row>
    <row r="643" spans="1:1" x14ac:dyDescent="0.25">
      <c r="A643" s="39">
        <v>59282</v>
      </c>
    </row>
    <row r="644" spans="1:1" x14ac:dyDescent="0.25">
      <c r="A644" s="39">
        <v>59292</v>
      </c>
    </row>
    <row r="645" spans="1:1" x14ac:dyDescent="0.25">
      <c r="A645" s="39">
        <v>59316</v>
      </c>
    </row>
    <row r="646" spans="1:1" x14ac:dyDescent="0.25">
      <c r="A646" s="39">
        <v>59421</v>
      </c>
    </row>
    <row r="647" spans="1:1" x14ac:dyDescent="0.25">
      <c r="A647" s="39">
        <v>59456</v>
      </c>
    </row>
    <row r="648" spans="1:1" x14ac:dyDescent="0.25">
      <c r="A648" s="39">
        <v>59477</v>
      </c>
    </row>
    <row r="649" spans="1:1" x14ac:dyDescent="0.25">
      <c r="A649" s="39">
        <v>59490</v>
      </c>
    </row>
    <row r="650" spans="1:1" x14ac:dyDescent="0.25">
      <c r="A650" s="39">
        <v>59530</v>
      </c>
    </row>
    <row r="651" spans="1:1" x14ac:dyDescent="0.25">
      <c r="A651" s="39">
        <v>59537</v>
      </c>
    </row>
    <row r="652" spans="1:1" x14ac:dyDescent="0.25">
      <c r="A652" s="39">
        <v>59593</v>
      </c>
    </row>
    <row r="653" spans="1:1" x14ac:dyDescent="0.25">
      <c r="A653" s="39">
        <v>59594</v>
      </c>
    </row>
    <row r="654" spans="1:1" x14ac:dyDescent="0.25">
      <c r="A654" s="39">
        <v>59639</v>
      </c>
    </row>
    <row r="655" spans="1:1" x14ac:dyDescent="0.25">
      <c r="A655" s="39">
        <v>59647</v>
      </c>
    </row>
    <row r="656" spans="1:1" x14ac:dyDescent="0.25">
      <c r="A656" s="39">
        <v>59657</v>
      </c>
    </row>
    <row r="657" spans="1:1" x14ac:dyDescent="0.25">
      <c r="A657" s="39">
        <v>59701</v>
      </c>
    </row>
    <row r="658" spans="1:1" x14ac:dyDescent="0.25">
      <c r="A658" s="39">
        <v>59786</v>
      </c>
    </row>
    <row r="659" spans="1:1" x14ac:dyDescent="0.25">
      <c r="A659" s="39">
        <v>59821</v>
      </c>
    </row>
    <row r="660" spans="1:1" x14ac:dyDescent="0.25">
      <c r="A660" s="39">
        <v>59842</v>
      </c>
    </row>
    <row r="661" spans="1:1" x14ac:dyDescent="0.25">
      <c r="A661" s="39">
        <v>59855</v>
      </c>
    </row>
    <row r="662" spans="1:1" x14ac:dyDescent="0.25">
      <c r="A662" s="39">
        <v>59895</v>
      </c>
    </row>
    <row r="663" spans="1:1" x14ac:dyDescent="0.25">
      <c r="A663" s="39">
        <v>59902</v>
      </c>
    </row>
    <row r="664" spans="1:1" x14ac:dyDescent="0.25">
      <c r="A664" s="39">
        <v>59950</v>
      </c>
    </row>
    <row r="665" spans="1:1" x14ac:dyDescent="0.25">
      <c r="A665" s="39">
        <v>59951</v>
      </c>
    </row>
    <row r="666" spans="1:1" x14ac:dyDescent="0.25">
      <c r="A666" s="39">
        <v>59996</v>
      </c>
    </row>
    <row r="667" spans="1:1" x14ac:dyDescent="0.25">
      <c r="A667" s="39">
        <v>60013</v>
      </c>
    </row>
    <row r="668" spans="1:1" x14ac:dyDescent="0.25">
      <c r="A668" s="39">
        <v>60023</v>
      </c>
    </row>
    <row r="669" spans="1:1" x14ac:dyDescent="0.25">
      <c r="A669" s="39">
        <v>60058</v>
      </c>
    </row>
    <row r="670" spans="1:1" x14ac:dyDescent="0.25">
      <c r="A670" s="39">
        <v>60152</v>
      </c>
    </row>
    <row r="671" spans="1:1" x14ac:dyDescent="0.25">
      <c r="A671" s="39">
        <v>60187</v>
      </c>
    </row>
    <row r="672" spans="1:1" x14ac:dyDescent="0.25">
      <c r="A672" s="39">
        <v>60208</v>
      </c>
    </row>
    <row r="673" spans="1:1" x14ac:dyDescent="0.25">
      <c r="A673" s="39">
        <v>60221</v>
      </c>
    </row>
    <row r="674" spans="1:1" x14ac:dyDescent="0.25">
      <c r="A674" s="39">
        <v>60261</v>
      </c>
    </row>
    <row r="675" spans="1:1" x14ac:dyDescent="0.25">
      <c r="A675" s="39">
        <v>60268</v>
      </c>
    </row>
    <row r="676" spans="1:1" x14ac:dyDescent="0.25">
      <c r="A676" s="39">
        <v>60307</v>
      </c>
    </row>
    <row r="677" spans="1:1" x14ac:dyDescent="0.25">
      <c r="A677" s="39">
        <v>60308</v>
      </c>
    </row>
    <row r="678" spans="1:1" x14ac:dyDescent="0.25">
      <c r="A678" s="39">
        <v>60353</v>
      </c>
    </row>
    <row r="679" spans="1:1" x14ac:dyDescent="0.25">
      <c r="A679" s="39">
        <v>60378</v>
      </c>
    </row>
    <row r="680" spans="1:1" x14ac:dyDescent="0.25">
      <c r="A680" s="39">
        <v>60388</v>
      </c>
    </row>
    <row r="681" spans="1:1" x14ac:dyDescent="0.25">
      <c r="A681" s="39">
        <v>60415</v>
      </c>
    </row>
    <row r="682" spans="1:1" x14ac:dyDescent="0.25">
      <c r="A682" s="39">
        <v>60517</v>
      </c>
    </row>
    <row r="683" spans="1:1" x14ac:dyDescent="0.25">
      <c r="A683" s="39">
        <v>60552</v>
      </c>
    </row>
    <row r="684" spans="1:1" x14ac:dyDescent="0.25">
      <c r="A684" s="39">
        <v>60573</v>
      </c>
    </row>
    <row r="685" spans="1:1" x14ac:dyDescent="0.25">
      <c r="A685" s="39">
        <v>60586</v>
      </c>
    </row>
    <row r="686" spans="1:1" x14ac:dyDescent="0.25">
      <c r="A686" s="39">
        <v>60626</v>
      </c>
    </row>
    <row r="687" spans="1:1" x14ac:dyDescent="0.25">
      <c r="A687" s="39">
        <v>60633</v>
      </c>
    </row>
    <row r="688" spans="1:1" x14ac:dyDescent="0.25">
      <c r="A688" s="39">
        <v>60685</v>
      </c>
    </row>
    <row r="689" spans="1:1" x14ac:dyDescent="0.25">
      <c r="A689" s="39">
        <v>60686</v>
      </c>
    </row>
    <row r="690" spans="1:1" x14ac:dyDescent="0.25">
      <c r="A690" s="39">
        <v>60731</v>
      </c>
    </row>
    <row r="691" spans="1:1" x14ac:dyDescent="0.25">
      <c r="A691" s="39">
        <v>60743</v>
      </c>
    </row>
    <row r="692" spans="1:1" x14ac:dyDescent="0.25">
      <c r="A692" s="39">
        <v>60753</v>
      </c>
    </row>
    <row r="693" spans="1:1" x14ac:dyDescent="0.25">
      <c r="A693" s="39">
        <v>60793</v>
      </c>
    </row>
    <row r="694" spans="1:1" x14ac:dyDescent="0.25">
      <c r="A694" s="39">
        <v>60882</v>
      </c>
    </row>
    <row r="695" spans="1:1" x14ac:dyDescent="0.25">
      <c r="A695" s="39">
        <v>60917</v>
      </c>
    </row>
    <row r="696" spans="1:1" x14ac:dyDescent="0.25">
      <c r="A696" s="39">
        <v>60938</v>
      </c>
    </row>
    <row r="697" spans="1:1" x14ac:dyDescent="0.25">
      <c r="A697" s="39">
        <v>60951</v>
      </c>
    </row>
    <row r="698" spans="1:1" x14ac:dyDescent="0.25">
      <c r="A698" s="39">
        <v>60991</v>
      </c>
    </row>
    <row r="699" spans="1:1" x14ac:dyDescent="0.25">
      <c r="A699" s="39">
        <v>60998</v>
      </c>
    </row>
    <row r="700" spans="1:1" x14ac:dyDescent="0.25">
      <c r="A700" s="39">
        <v>61042</v>
      </c>
    </row>
    <row r="701" spans="1:1" x14ac:dyDescent="0.25">
      <c r="A701" s="39">
        <v>61043</v>
      </c>
    </row>
    <row r="702" spans="1:1" x14ac:dyDescent="0.25">
      <c r="A702" s="39">
        <v>61088</v>
      </c>
    </row>
    <row r="703" spans="1:1" x14ac:dyDescent="0.25">
      <c r="A703" s="39">
        <v>61108</v>
      </c>
    </row>
    <row r="704" spans="1:1" x14ac:dyDescent="0.25">
      <c r="A704" s="39">
        <v>61118</v>
      </c>
    </row>
    <row r="705" spans="1:1" x14ac:dyDescent="0.25">
      <c r="A705" s="39">
        <v>61150</v>
      </c>
    </row>
    <row r="706" spans="1:1" x14ac:dyDescent="0.25">
      <c r="A706" s="39">
        <v>61247</v>
      </c>
    </row>
    <row r="707" spans="1:1" x14ac:dyDescent="0.25">
      <c r="A707" s="39">
        <v>61282</v>
      </c>
    </row>
    <row r="708" spans="1:1" x14ac:dyDescent="0.25">
      <c r="A708" s="39">
        <v>61303</v>
      </c>
    </row>
    <row r="709" spans="1:1" x14ac:dyDescent="0.25">
      <c r="A709" s="39">
        <v>61316</v>
      </c>
    </row>
    <row r="710" spans="1:1" x14ac:dyDescent="0.25">
      <c r="A710" s="39">
        <v>61356</v>
      </c>
    </row>
    <row r="711" spans="1:1" x14ac:dyDescent="0.25">
      <c r="A711" s="39">
        <v>61363</v>
      </c>
    </row>
    <row r="712" spans="1:1" x14ac:dyDescent="0.25">
      <c r="A712" s="39">
        <v>61427</v>
      </c>
    </row>
    <row r="713" spans="1:1" x14ac:dyDescent="0.25">
      <c r="A713" s="39">
        <v>61428</v>
      </c>
    </row>
    <row r="714" spans="1:1" x14ac:dyDescent="0.25">
      <c r="A714" s="39">
        <v>61473</v>
      </c>
    </row>
    <row r="715" spans="1:1" x14ac:dyDescent="0.25">
      <c r="A715" s="39">
        <v>61474</v>
      </c>
    </row>
    <row r="716" spans="1:1" x14ac:dyDescent="0.25">
      <c r="A716" s="39">
        <v>61484</v>
      </c>
    </row>
    <row r="717" spans="1:1" x14ac:dyDescent="0.25">
      <c r="A717" s="39">
        <v>61535</v>
      </c>
    </row>
    <row r="718" spans="1:1" x14ac:dyDescent="0.25">
      <c r="A718" s="39">
        <v>61613</v>
      </c>
    </row>
    <row r="719" spans="1:1" x14ac:dyDescent="0.25">
      <c r="A719" s="39">
        <v>61648</v>
      </c>
    </row>
    <row r="720" spans="1:1" x14ac:dyDescent="0.25">
      <c r="A720" s="39">
        <v>61669</v>
      </c>
    </row>
    <row r="721" spans="1:1" x14ac:dyDescent="0.25">
      <c r="A721" s="39">
        <v>61682</v>
      </c>
    </row>
    <row r="722" spans="1:1" x14ac:dyDescent="0.25">
      <c r="A722" s="39">
        <v>61722</v>
      </c>
    </row>
    <row r="723" spans="1:1" x14ac:dyDescent="0.25">
      <c r="A723" s="39">
        <v>61729</v>
      </c>
    </row>
    <row r="724" spans="1:1" x14ac:dyDescent="0.25">
      <c r="A724" s="39">
        <v>61784</v>
      </c>
    </row>
    <row r="725" spans="1:1" x14ac:dyDescent="0.25">
      <c r="A725" s="39">
        <v>61785</v>
      </c>
    </row>
    <row r="726" spans="1:1" x14ac:dyDescent="0.25">
      <c r="A726" s="39">
        <v>61830</v>
      </c>
    </row>
    <row r="727" spans="1:1" x14ac:dyDescent="0.25">
      <c r="A727" s="39">
        <v>61839</v>
      </c>
    </row>
    <row r="728" spans="1:1" x14ac:dyDescent="0.25">
      <c r="A728" s="39">
        <v>61849</v>
      </c>
    </row>
    <row r="729" spans="1:1" x14ac:dyDescent="0.25">
      <c r="A729" s="39">
        <v>61892</v>
      </c>
    </row>
    <row r="730" spans="1:1" x14ac:dyDescent="0.25">
      <c r="A730" s="39">
        <v>61978</v>
      </c>
    </row>
    <row r="731" spans="1:1" x14ac:dyDescent="0.25">
      <c r="A731" s="39">
        <v>62013</v>
      </c>
    </row>
    <row r="732" spans="1:1" x14ac:dyDescent="0.25">
      <c r="A732" s="39">
        <v>62034</v>
      </c>
    </row>
    <row r="733" spans="1:1" x14ac:dyDescent="0.25">
      <c r="A733" s="39">
        <v>62047</v>
      </c>
    </row>
    <row r="734" spans="1:1" x14ac:dyDescent="0.25">
      <c r="A734" s="39">
        <v>62087</v>
      </c>
    </row>
    <row r="735" spans="1:1" x14ac:dyDescent="0.25">
      <c r="A735" s="39">
        <v>62094</v>
      </c>
    </row>
    <row r="736" spans="1:1" x14ac:dyDescent="0.25">
      <c r="A736" s="39">
        <v>62134</v>
      </c>
    </row>
    <row r="737" spans="1:1" x14ac:dyDescent="0.25">
      <c r="A737" s="39">
        <v>62135</v>
      </c>
    </row>
    <row r="738" spans="1:1" x14ac:dyDescent="0.25">
      <c r="A738" s="39">
        <v>62180</v>
      </c>
    </row>
    <row r="739" spans="1:1" x14ac:dyDescent="0.25">
      <c r="A739" s="39">
        <v>62204</v>
      </c>
    </row>
    <row r="740" spans="1:1" x14ac:dyDescent="0.25">
      <c r="A740" s="39">
        <v>62214</v>
      </c>
    </row>
    <row r="741" spans="1:1" x14ac:dyDescent="0.25">
      <c r="A741" s="39">
        <v>62242</v>
      </c>
    </row>
    <row r="742" spans="1:1" x14ac:dyDescent="0.25">
      <c r="A742" s="39">
        <v>62343</v>
      </c>
    </row>
    <row r="743" spans="1:1" x14ac:dyDescent="0.25">
      <c r="A743" s="39">
        <v>62378</v>
      </c>
    </row>
    <row r="744" spans="1:1" x14ac:dyDescent="0.25">
      <c r="A744" s="39">
        <v>62399</v>
      </c>
    </row>
    <row r="745" spans="1:1" x14ac:dyDescent="0.25">
      <c r="A745" s="39">
        <v>62412</v>
      </c>
    </row>
    <row r="746" spans="1:1" x14ac:dyDescent="0.25">
      <c r="A746" s="39">
        <v>62452</v>
      </c>
    </row>
    <row r="747" spans="1:1" x14ac:dyDescent="0.25">
      <c r="A747" s="39">
        <v>62459</v>
      </c>
    </row>
    <row r="748" spans="1:1" x14ac:dyDescent="0.25">
      <c r="A748" s="39">
        <v>62519</v>
      </c>
    </row>
    <row r="749" spans="1:1" x14ac:dyDescent="0.25">
      <c r="A749" s="39">
        <v>62520</v>
      </c>
    </row>
    <row r="750" spans="1:1" x14ac:dyDescent="0.25">
      <c r="A750" s="39">
        <v>62565</v>
      </c>
    </row>
    <row r="751" spans="1:1" x14ac:dyDescent="0.25">
      <c r="A751" s="39">
        <v>62569</v>
      </c>
    </row>
    <row r="752" spans="1:1" x14ac:dyDescent="0.25">
      <c r="A752" s="39">
        <v>62579</v>
      </c>
    </row>
    <row r="753" spans="1:1" x14ac:dyDescent="0.25">
      <c r="A753" s="39">
        <v>62627</v>
      </c>
    </row>
    <row r="754" spans="1:1" x14ac:dyDescent="0.25">
      <c r="A754" s="39">
        <v>62708</v>
      </c>
    </row>
    <row r="755" spans="1:1" x14ac:dyDescent="0.25">
      <c r="A755" s="39">
        <v>62743</v>
      </c>
    </row>
    <row r="756" spans="1:1" x14ac:dyDescent="0.25">
      <c r="A756" s="39">
        <v>62764</v>
      </c>
    </row>
    <row r="757" spans="1:1" x14ac:dyDescent="0.25">
      <c r="A757" s="39">
        <v>62777</v>
      </c>
    </row>
    <row r="758" spans="1:1" x14ac:dyDescent="0.25">
      <c r="A758" s="39">
        <v>62817</v>
      </c>
    </row>
    <row r="759" spans="1:1" x14ac:dyDescent="0.25">
      <c r="A759" s="39">
        <v>62824</v>
      </c>
    </row>
    <row r="760" spans="1:1" x14ac:dyDescent="0.25">
      <c r="A760" s="39">
        <v>62876</v>
      </c>
    </row>
    <row r="761" spans="1:1" x14ac:dyDescent="0.25">
      <c r="A761" s="39">
        <v>62877</v>
      </c>
    </row>
    <row r="762" spans="1:1" x14ac:dyDescent="0.25">
      <c r="A762" s="39">
        <v>62922</v>
      </c>
    </row>
    <row r="763" spans="1:1" x14ac:dyDescent="0.25">
      <c r="A763" s="39">
        <v>62935</v>
      </c>
    </row>
    <row r="764" spans="1:1" x14ac:dyDescent="0.25">
      <c r="A764" s="39">
        <v>62945</v>
      </c>
    </row>
    <row r="765" spans="1:1" x14ac:dyDescent="0.25">
      <c r="A765" s="39">
        <v>62984</v>
      </c>
    </row>
    <row r="766" spans="1:1" x14ac:dyDescent="0.25">
      <c r="A766" s="39">
        <v>63074</v>
      </c>
    </row>
    <row r="767" spans="1:1" x14ac:dyDescent="0.25">
      <c r="A767" s="39">
        <v>63109</v>
      </c>
    </row>
    <row r="768" spans="1:1" x14ac:dyDescent="0.25">
      <c r="A768" s="39">
        <v>63130</v>
      </c>
    </row>
    <row r="769" spans="1:1" x14ac:dyDescent="0.25">
      <c r="A769" s="39">
        <v>63143</v>
      </c>
    </row>
    <row r="770" spans="1:1" x14ac:dyDescent="0.25">
      <c r="A770" s="39">
        <v>63183</v>
      </c>
    </row>
    <row r="771" spans="1:1" x14ac:dyDescent="0.25">
      <c r="A771" s="39">
        <v>63190</v>
      </c>
    </row>
    <row r="772" spans="1:1" x14ac:dyDescent="0.25">
      <c r="A772" s="39">
        <v>63226</v>
      </c>
    </row>
    <row r="773" spans="1:1" x14ac:dyDescent="0.25">
      <c r="A773" s="39">
        <v>63227</v>
      </c>
    </row>
    <row r="774" spans="1:1" x14ac:dyDescent="0.25">
      <c r="A774" s="39">
        <v>63272</v>
      </c>
    </row>
    <row r="775" spans="1:1" x14ac:dyDescent="0.25">
      <c r="A775" s="39">
        <v>63300</v>
      </c>
    </row>
    <row r="776" spans="1:1" x14ac:dyDescent="0.25">
      <c r="A776" s="39">
        <v>63310</v>
      </c>
    </row>
    <row r="777" spans="1:1" x14ac:dyDescent="0.25">
      <c r="A777" s="39">
        <v>63334</v>
      </c>
    </row>
    <row r="778" spans="1:1" x14ac:dyDescent="0.25">
      <c r="A778" s="39">
        <v>63439</v>
      </c>
    </row>
    <row r="779" spans="1:1" x14ac:dyDescent="0.25">
      <c r="A779" s="39">
        <v>63474</v>
      </c>
    </row>
    <row r="780" spans="1:1" x14ac:dyDescent="0.25">
      <c r="A780" s="39">
        <v>63495</v>
      </c>
    </row>
    <row r="781" spans="1:1" x14ac:dyDescent="0.25">
      <c r="A781" s="39">
        <v>63508</v>
      </c>
    </row>
    <row r="782" spans="1:1" x14ac:dyDescent="0.25">
      <c r="A782" s="39">
        <v>63548</v>
      </c>
    </row>
    <row r="783" spans="1:1" x14ac:dyDescent="0.25">
      <c r="A783" s="39">
        <v>63555</v>
      </c>
    </row>
    <row r="784" spans="1:1" x14ac:dyDescent="0.25">
      <c r="A784" s="39">
        <v>63611</v>
      </c>
    </row>
    <row r="785" spans="1:1" x14ac:dyDescent="0.25">
      <c r="A785" s="39">
        <v>63612</v>
      </c>
    </row>
    <row r="786" spans="1:1" x14ac:dyDescent="0.25">
      <c r="A786" s="39">
        <v>63657</v>
      </c>
    </row>
    <row r="787" spans="1:1" x14ac:dyDescent="0.25">
      <c r="A787" s="39">
        <v>63665</v>
      </c>
    </row>
    <row r="788" spans="1:1" x14ac:dyDescent="0.25">
      <c r="A788" s="39">
        <v>63675</v>
      </c>
    </row>
    <row r="789" spans="1:1" x14ac:dyDescent="0.25">
      <c r="A789" s="39">
        <v>63719</v>
      </c>
    </row>
    <row r="790" spans="1:1" x14ac:dyDescent="0.25">
      <c r="A790" s="39">
        <v>63804</v>
      </c>
    </row>
    <row r="791" spans="1:1" x14ac:dyDescent="0.25">
      <c r="A791" s="39">
        <v>63839</v>
      </c>
    </row>
    <row r="792" spans="1:1" x14ac:dyDescent="0.25">
      <c r="A792" s="39">
        <v>63860</v>
      </c>
    </row>
    <row r="793" spans="1:1" x14ac:dyDescent="0.25">
      <c r="A793" s="39">
        <v>63873</v>
      </c>
    </row>
    <row r="794" spans="1:1" x14ac:dyDescent="0.25">
      <c r="A794" s="39">
        <v>63913</v>
      </c>
    </row>
    <row r="795" spans="1:1" x14ac:dyDescent="0.25">
      <c r="A795" s="39">
        <v>63920</v>
      </c>
    </row>
    <row r="796" spans="1:1" x14ac:dyDescent="0.25">
      <c r="A796" s="39">
        <v>63968</v>
      </c>
    </row>
    <row r="797" spans="1:1" x14ac:dyDescent="0.25">
      <c r="A797" s="39">
        <v>63969</v>
      </c>
    </row>
    <row r="798" spans="1:1" x14ac:dyDescent="0.25">
      <c r="A798" s="39">
        <v>64014</v>
      </c>
    </row>
    <row r="799" spans="1:1" x14ac:dyDescent="0.25">
      <c r="A799" s="39">
        <v>64030</v>
      </c>
    </row>
    <row r="800" spans="1:1" x14ac:dyDescent="0.25">
      <c r="A800" s="39">
        <v>64040</v>
      </c>
    </row>
    <row r="801" spans="1:1" x14ac:dyDescent="0.25">
      <c r="A801" s="39">
        <v>64076</v>
      </c>
    </row>
    <row r="802" spans="1:1" x14ac:dyDescent="0.25">
      <c r="A802" s="39">
        <v>64169</v>
      </c>
    </row>
    <row r="803" spans="1:1" x14ac:dyDescent="0.25">
      <c r="A803" s="39">
        <v>64204</v>
      </c>
    </row>
    <row r="804" spans="1:1" x14ac:dyDescent="0.25">
      <c r="A804" s="39">
        <v>64225</v>
      </c>
    </row>
    <row r="805" spans="1:1" x14ac:dyDescent="0.25">
      <c r="A805" s="39">
        <v>64238</v>
      </c>
    </row>
    <row r="806" spans="1:1" x14ac:dyDescent="0.25">
      <c r="A806" s="39">
        <v>64278</v>
      </c>
    </row>
    <row r="807" spans="1:1" x14ac:dyDescent="0.25">
      <c r="A807" s="39">
        <v>64285</v>
      </c>
    </row>
    <row r="808" spans="1:1" x14ac:dyDescent="0.25">
      <c r="A808" s="39">
        <v>64346</v>
      </c>
    </row>
    <row r="809" spans="1:1" x14ac:dyDescent="0.25">
      <c r="A809" s="39">
        <v>64347</v>
      </c>
    </row>
    <row r="810" spans="1:1" x14ac:dyDescent="0.25">
      <c r="A810" s="39">
        <v>64392</v>
      </c>
    </row>
    <row r="811" spans="1:1" x14ac:dyDescent="0.25">
      <c r="A811" s="39">
        <v>64396</v>
      </c>
    </row>
    <row r="812" spans="1:1" x14ac:dyDescent="0.25">
      <c r="A812" s="39">
        <v>64406</v>
      </c>
    </row>
    <row r="813" spans="1:1" x14ac:dyDescent="0.25">
      <c r="A813" s="39">
        <v>64454</v>
      </c>
    </row>
    <row r="814" spans="1:1" x14ac:dyDescent="0.25">
      <c r="A814" s="39">
        <v>64535</v>
      </c>
    </row>
    <row r="815" spans="1:1" x14ac:dyDescent="0.25">
      <c r="A815" s="39">
        <v>64570</v>
      </c>
    </row>
    <row r="816" spans="1:1" x14ac:dyDescent="0.25">
      <c r="A816" s="39">
        <v>64591</v>
      </c>
    </row>
    <row r="817" spans="1:1" x14ac:dyDescent="0.25">
      <c r="A817" s="39">
        <v>64604</v>
      </c>
    </row>
    <row r="818" spans="1:1" x14ac:dyDescent="0.25">
      <c r="A818" s="39">
        <v>64644</v>
      </c>
    </row>
    <row r="819" spans="1:1" x14ac:dyDescent="0.25">
      <c r="A819" s="39">
        <v>64651</v>
      </c>
    </row>
    <row r="820" spans="1:1" x14ac:dyDescent="0.25">
      <c r="A820" s="39">
        <v>64703</v>
      </c>
    </row>
    <row r="821" spans="1:1" x14ac:dyDescent="0.25">
      <c r="A821" s="39">
        <v>64704</v>
      </c>
    </row>
    <row r="822" spans="1:1" x14ac:dyDescent="0.25">
      <c r="A822" s="39">
        <v>64749</v>
      </c>
    </row>
    <row r="823" spans="1:1" x14ac:dyDescent="0.25">
      <c r="A823" s="39">
        <v>64761</v>
      </c>
    </row>
    <row r="824" spans="1:1" x14ac:dyDescent="0.25">
      <c r="A824" s="39">
        <v>64771</v>
      </c>
    </row>
    <row r="825" spans="1:1" x14ac:dyDescent="0.25">
      <c r="A825" s="39">
        <v>64811</v>
      </c>
    </row>
    <row r="826" spans="1:1" x14ac:dyDescent="0.25">
      <c r="A826" s="39">
        <v>64900</v>
      </c>
    </row>
    <row r="827" spans="1:1" x14ac:dyDescent="0.25">
      <c r="A827" s="39">
        <v>64935</v>
      </c>
    </row>
    <row r="828" spans="1:1" x14ac:dyDescent="0.25">
      <c r="A828" s="39">
        <v>64956</v>
      </c>
    </row>
    <row r="829" spans="1:1" x14ac:dyDescent="0.25">
      <c r="A829" s="39">
        <v>64969</v>
      </c>
    </row>
    <row r="830" spans="1:1" x14ac:dyDescent="0.25">
      <c r="A830" s="39">
        <v>65009</v>
      </c>
    </row>
    <row r="831" spans="1:1" x14ac:dyDescent="0.25">
      <c r="A831" s="39">
        <v>65016</v>
      </c>
    </row>
    <row r="832" spans="1:1" x14ac:dyDescent="0.25">
      <c r="A832" s="39">
        <v>65060</v>
      </c>
    </row>
    <row r="833" spans="1:1" x14ac:dyDescent="0.25">
      <c r="A833" s="39">
        <v>65061</v>
      </c>
    </row>
    <row r="834" spans="1:1" x14ac:dyDescent="0.25">
      <c r="A834" s="39">
        <v>65106</v>
      </c>
    </row>
    <row r="835" spans="1:1" x14ac:dyDescent="0.25">
      <c r="A835" s="39">
        <v>65126</v>
      </c>
    </row>
    <row r="836" spans="1:1" x14ac:dyDescent="0.25">
      <c r="A836" s="39">
        <v>65136</v>
      </c>
    </row>
    <row r="837" spans="1:1" x14ac:dyDescent="0.25">
      <c r="A837" s="39">
        <v>65168</v>
      </c>
    </row>
    <row r="838" spans="1:1" x14ac:dyDescent="0.25">
      <c r="A838" s="39">
        <v>65265</v>
      </c>
    </row>
    <row r="839" spans="1:1" x14ac:dyDescent="0.25">
      <c r="A839" s="39">
        <v>65300</v>
      </c>
    </row>
    <row r="840" spans="1:1" x14ac:dyDescent="0.25">
      <c r="A840" s="39">
        <v>65321</v>
      </c>
    </row>
    <row r="841" spans="1:1" x14ac:dyDescent="0.25">
      <c r="A841" s="39">
        <v>65334</v>
      </c>
    </row>
    <row r="842" spans="1:1" x14ac:dyDescent="0.25">
      <c r="A842" s="39">
        <v>65374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424e964-90e7-4d77-b9a0-7967e0e0a2e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A39951C4C075F478B0C8829BEB475A6" ma:contentTypeVersion="7" ma:contentTypeDescription="Crie um novo documento." ma:contentTypeScope="" ma:versionID="4f068f98f67007cba14d8b06c8568633">
  <xsd:schema xmlns:xsd="http://www.w3.org/2001/XMLSchema" xmlns:xs="http://www.w3.org/2001/XMLSchema" xmlns:p="http://schemas.microsoft.com/office/2006/metadata/properties" xmlns:ns2="a424e964-90e7-4d77-b9a0-7967e0e0a2e6" xmlns:ns3="60270974-b378-4f04-b73d-df734ae9cc11" targetNamespace="http://schemas.microsoft.com/office/2006/metadata/properties" ma:root="true" ma:fieldsID="fd1070a93067118041d4695f15c9a3ad" ns2:_="" ns3:_="">
    <xsd:import namespace="a424e964-90e7-4d77-b9a0-7967e0e0a2e6"/>
    <xsd:import namespace="60270974-b378-4f04-b73d-df734ae9cc1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_Flow_SignoffStatu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24e964-90e7-4d77-b9a0-7967e0e0a2e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Flow_SignoffStatus" ma:index="10" nillable="true" ma:displayName="Status de liberação" ma:internalName="Status_x0020_de_x0020_libera_x00e7__x00e3_o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270974-b378-4f04-b73d-df734ae9cc11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6C8CFCA-25F0-4D0B-8CD9-E2849C9FE587}">
  <ds:schemaRefs>
    <ds:schemaRef ds:uri="http://schemas.microsoft.com/office/2006/metadata/properties"/>
    <ds:schemaRef ds:uri="http://purl.org/dc/elements/1.1/"/>
    <ds:schemaRef ds:uri="a424e964-90e7-4d77-b9a0-7967e0e0a2e6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dcmitype/"/>
    <ds:schemaRef ds:uri="60270974-b378-4f04-b73d-df734ae9cc11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B3517409-B05D-4EA9-A9BE-1A0C865B2F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24e964-90e7-4d77-b9a0-7967e0e0a2e6"/>
    <ds:schemaRef ds:uri="60270974-b378-4f04-b73d-df734ae9cc1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28A1AB-5090-42BC-BB89-93EB8B78984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Caminhos_VBA</vt:lpstr>
      <vt:lpstr>Controle</vt:lpstr>
      <vt:lpstr>Resumo_Master</vt:lpstr>
      <vt:lpstr>Fluxo de Caixa</vt:lpstr>
      <vt:lpstr>Performance</vt:lpstr>
      <vt:lpstr>CarteiraBTG</vt:lpstr>
      <vt:lpstr>Feriados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dadler</dc:creator>
  <cp:lastModifiedBy>Danny Adler</cp:lastModifiedBy>
  <cp:lastPrinted>2024-01-03T22:06:55Z</cp:lastPrinted>
  <dcterms:created xsi:type="dcterms:W3CDTF">2022-09-30T19:51:10Z</dcterms:created>
  <dcterms:modified xsi:type="dcterms:W3CDTF">2024-12-13T12:55:55Z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0x0101003A39951C4C075F478B0C8829BEB475A6</vt:lpwstr>
  </property>
</Properties>
</file>