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N:\Operacional\"/>
    </mc:Choice>
  </mc:AlternateContent>
  <xr:revisionPtr revIDLastSave="0" documentId="13_ncr:1_{6CC8522D-6B74-452C-A346-56384E76657D}" xr6:coauthVersionLast="47" xr6:coauthVersionMax="47" xr10:uidLastSave="{00000000-0000-0000-0000-000000000000}"/>
  <bookViews>
    <workbookView xWindow="28680" yWindow="-120" windowWidth="29040" windowHeight="15720" activeTab="1" xr2:uid="{C4D06D79-60D8-4D71-9983-8B16DEBB720F}"/>
  </bookViews>
  <sheets>
    <sheet name="Caminhos_VBA" sheetId="14" r:id="rId1"/>
    <sheet name="Controle" sheetId="1" r:id="rId2"/>
    <sheet name="Resumo_HSF" sheetId="3" r:id="rId3"/>
    <sheet name="Performance" sheetId="12" r:id="rId4"/>
    <sheet name="Cálculo Performance" sheetId="11" state="hidden" r:id="rId5"/>
    <sheet name="Feriados" sheetId="8" r:id="rId6"/>
    <sheet name="Fluxo de Caixa_" sheetId="9" r:id="rId7"/>
    <sheet name="Fluxo de Caixa" sheetId="7" state="hidden" r:id="rId8"/>
    <sheet name="CarteiraBTG" sheetId="13" r:id="rId9"/>
    <sheet name="Planilha2" sheetId="10" state="hidden" r:id="rId10"/>
  </sheets>
  <externalReferences>
    <externalReference r:id="rId11"/>
    <externalReference r:id="rId12"/>
    <externalReference r:id="rId13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44" i="9" l="1"/>
  <c r="X544" i="9" s="1"/>
  <c r="AL538" i="3"/>
  <c r="AE538" i="3"/>
  <c r="AD538" i="3"/>
  <c r="W538" i="3"/>
  <c r="T538" i="3"/>
  <c r="S538" i="3"/>
  <c r="P538" i="3"/>
  <c r="M538" i="3"/>
  <c r="J538" i="3"/>
  <c r="I538" i="3"/>
  <c r="G538" i="3" s="1"/>
  <c r="C539" i="3"/>
  <c r="B543" i="9"/>
  <c r="AL537" i="3"/>
  <c r="AD537" i="3"/>
  <c r="T537" i="3"/>
  <c r="S537" i="3"/>
  <c r="P537" i="3"/>
  <c r="M537" i="3"/>
  <c r="J537" i="3"/>
  <c r="I537" i="3"/>
  <c r="G537" i="3" s="1"/>
  <c r="W537" i="3" s="1"/>
  <c r="C538" i="3"/>
  <c r="B542" i="9"/>
  <c r="AL536" i="3"/>
  <c r="AD536" i="3"/>
  <c r="T536" i="3"/>
  <c r="S536" i="3"/>
  <c r="P536" i="3"/>
  <c r="M536" i="3"/>
  <c r="J536" i="3"/>
  <c r="I536" i="3"/>
  <c r="G536" i="3" s="1"/>
  <c r="W536" i="3" s="1"/>
  <c r="C537" i="3"/>
  <c r="B541" i="9"/>
  <c r="AL535" i="3"/>
  <c r="AD535" i="3"/>
  <c r="T535" i="3"/>
  <c r="S535" i="3"/>
  <c r="P535" i="3"/>
  <c r="M535" i="3"/>
  <c r="J535" i="3"/>
  <c r="I535" i="3"/>
  <c r="G535" i="3" s="1"/>
  <c r="W535" i="3" s="1"/>
  <c r="K544" i="9" l="1"/>
  <c r="AD544" i="9" s="1"/>
  <c r="C536" i="3"/>
  <c r="B540" i="9"/>
  <c r="AL534" i="3"/>
  <c r="AD534" i="3"/>
  <c r="T534" i="3"/>
  <c r="S534" i="3"/>
  <c r="P534" i="3"/>
  <c r="M534" i="3"/>
  <c r="J534" i="3"/>
  <c r="I534" i="3"/>
  <c r="G534" i="3" s="1"/>
  <c r="W534" i="3" s="1"/>
  <c r="C535" i="3"/>
  <c r="B539" i="9"/>
  <c r="AL533" i="3"/>
  <c r="AD533" i="3"/>
  <c r="S533" i="3"/>
  <c r="P533" i="3"/>
  <c r="M533" i="3"/>
  <c r="J533" i="3"/>
  <c r="I533" i="3"/>
  <c r="G533" i="3" s="1"/>
  <c r="W533" i="3" s="1"/>
  <c r="C534" i="3"/>
  <c r="B538" i="9"/>
  <c r="AL532" i="3"/>
  <c r="AD532" i="3"/>
  <c r="S532" i="3"/>
  <c r="P532" i="3"/>
  <c r="M532" i="3"/>
  <c r="J532" i="3"/>
  <c r="I532" i="3"/>
  <c r="G532" i="3" s="1"/>
  <c r="W532" i="3" s="1"/>
  <c r="C533" i="3"/>
  <c r="B537" i="9"/>
  <c r="AL531" i="3"/>
  <c r="AD531" i="3"/>
  <c r="S531" i="3"/>
  <c r="P531" i="3"/>
  <c r="M531" i="3"/>
  <c r="J531" i="3"/>
  <c r="I531" i="3"/>
  <c r="G531" i="3" s="1"/>
  <c r="W531" i="3" s="1"/>
  <c r="C532" i="3"/>
  <c r="S530" i="3"/>
  <c r="B536" i="9"/>
  <c r="AL530" i="3"/>
  <c r="AD530" i="3"/>
  <c r="T530" i="3"/>
  <c r="T531" i="3" s="1"/>
  <c r="T532" i="3" s="1"/>
  <c r="T533" i="3" s="1"/>
  <c r="P530" i="3"/>
  <c r="M530" i="3"/>
  <c r="J530" i="3"/>
  <c r="I530" i="3"/>
  <c r="G530" i="3" s="1"/>
  <c r="W530" i="3" s="1"/>
  <c r="C531" i="3"/>
  <c r="B535" i="9"/>
  <c r="AL529" i="3"/>
  <c r="AD529" i="3"/>
  <c r="T529" i="3"/>
  <c r="S529" i="3"/>
  <c r="P529" i="3"/>
  <c r="M529" i="3"/>
  <c r="J529" i="3"/>
  <c r="I529" i="3"/>
  <c r="G529" i="3" s="1"/>
  <c r="W529" i="3" s="1"/>
  <c r="C530" i="3"/>
  <c r="B534" i="9"/>
  <c r="AL528" i="3"/>
  <c r="AD528" i="3"/>
  <c r="T528" i="3"/>
  <c r="S528" i="3"/>
  <c r="P528" i="3"/>
  <c r="M528" i="3"/>
  <c r="J528" i="3"/>
  <c r="I528" i="3"/>
  <c r="G528" i="3" s="1"/>
  <c r="W528" i="3" s="1"/>
  <c r="C529" i="3"/>
  <c r="B533" i="9"/>
  <c r="AL527" i="3"/>
  <c r="AD527" i="3"/>
  <c r="T527" i="3"/>
  <c r="S527" i="3"/>
  <c r="P527" i="3"/>
  <c r="M527" i="3"/>
  <c r="J527" i="3"/>
  <c r="I527" i="3"/>
  <c r="G527" i="3" s="1"/>
  <c r="W527" i="3" s="1"/>
  <c r="C528" i="3"/>
  <c r="B532" i="9"/>
  <c r="AL526" i="3"/>
  <c r="AD526" i="3"/>
  <c r="T526" i="3"/>
  <c r="S526" i="3"/>
  <c r="P526" i="3"/>
  <c r="M526" i="3"/>
  <c r="J526" i="3"/>
  <c r="I526" i="3"/>
  <c r="G526" i="3" s="1"/>
  <c r="W526" i="3" s="1"/>
  <c r="C527" i="3"/>
  <c r="B531" i="9"/>
  <c r="AL525" i="3"/>
  <c r="AD525" i="3"/>
  <c r="T525" i="3"/>
  <c r="S525" i="3"/>
  <c r="P525" i="3"/>
  <c r="M525" i="3"/>
  <c r="J525" i="3"/>
  <c r="I525" i="3"/>
  <c r="G525" i="3" s="1"/>
  <c r="W525" i="3" s="1"/>
  <c r="C526" i="3"/>
  <c r="B530" i="9"/>
  <c r="AL524" i="3"/>
  <c r="AD524" i="3"/>
  <c r="T524" i="3"/>
  <c r="S524" i="3"/>
  <c r="P524" i="3"/>
  <c r="M524" i="3"/>
  <c r="J524" i="3"/>
  <c r="I524" i="3"/>
  <c r="G524" i="3" s="1"/>
  <c r="W524" i="3" s="1"/>
  <c r="C525" i="3"/>
  <c r="B529" i="9"/>
  <c r="AL523" i="3"/>
  <c r="AD523" i="3"/>
  <c r="T523" i="3"/>
  <c r="S523" i="3"/>
  <c r="P523" i="3"/>
  <c r="M523" i="3"/>
  <c r="J523" i="3"/>
  <c r="I523" i="3"/>
  <c r="G523" i="3" s="1"/>
  <c r="W523" i="3" s="1"/>
  <c r="C524" i="3"/>
  <c r="AL522" i="3"/>
  <c r="AD522" i="3"/>
  <c r="T522" i="3"/>
  <c r="S522" i="3"/>
  <c r="P522" i="3"/>
  <c r="M522" i="3"/>
  <c r="J522" i="3"/>
  <c r="I522" i="3"/>
  <c r="G522" i="3" s="1"/>
  <c r="W522" i="3" s="1"/>
  <c r="X538" i="3" l="1"/>
  <c r="C544" i="9"/>
  <c r="S521" i="3"/>
  <c r="P521" i="3"/>
  <c r="M521" i="3"/>
  <c r="J521" i="3"/>
  <c r="S520" i="3"/>
  <c r="P520" i="3"/>
  <c r="M520" i="3"/>
  <c r="J520" i="3"/>
  <c r="S519" i="3"/>
  <c r="P519" i="3"/>
  <c r="M519" i="3"/>
  <c r="J519" i="3"/>
  <c r="S518" i="3"/>
  <c r="P518" i="3"/>
  <c r="M518" i="3"/>
  <c r="J518" i="3"/>
  <c r="S517" i="3"/>
  <c r="P517" i="3"/>
  <c r="M517" i="3"/>
  <c r="J517" i="3"/>
  <c r="S516" i="3" l="1"/>
  <c r="P516" i="3"/>
  <c r="M516" i="3"/>
  <c r="J516" i="3"/>
  <c r="S515" i="3"/>
  <c r="P515" i="3"/>
  <c r="M515" i="3"/>
  <c r="J515" i="3"/>
  <c r="S514" i="3"/>
  <c r="P514" i="3"/>
  <c r="M514" i="3"/>
  <c r="J514" i="3"/>
  <c r="S513" i="3"/>
  <c r="P513" i="3"/>
  <c r="M513" i="3"/>
  <c r="J513" i="3"/>
  <c r="S512" i="3"/>
  <c r="S510" i="3"/>
  <c r="P512" i="3"/>
  <c r="M512" i="3"/>
  <c r="J512" i="3"/>
  <c r="S511" i="3"/>
  <c r="P511" i="3"/>
  <c r="M511" i="3"/>
  <c r="J511" i="3"/>
  <c r="P510" i="3"/>
  <c r="M510" i="3"/>
  <c r="J510" i="3"/>
  <c r="S509" i="3"/>
  <c r="P509" i="3"/>
  <c r="M509" i="3"/>
  <c r="J509" i="3"/>
  <c r="S508" i="3"/>
  <c r="P508" i="3"/>
  <c r="M508" i="3"/>
  <c r="J508" i="3"/>
  <c r="S507" i="3"/>
  <c r="P507" i="3"/>
  <c r="M507" i="3"/>
  <c r="J507" i="3"/>
  <c r="S506" i="3"/>
  <c r="P506" i="3"/>
  <c r="M506" i="3"/>
  <c r="J506" i="3"/>
  <c r="S505" i="3" l="1"/>
  <c r="P505" i="3"/>
  <c r="M505" i="3"/>
  <c r="J505" i="3"/>
  <c r="S504" i="3"/>
  <c r="P504" i="3"/>
  <c r="M504" i="3"/>
  <c r="J504" i="3"/>
  <c r="S503" i="3"/>
  <c r="P503" i="3"/>
  <c r="M503" i="3"/>
  <c r="J503" i="3"/>
  <c r="S502" i="3"/>
  <c r="P502" i="3"/>
  <c r="M502" i="3"/>
  <c r="J502" i="3"/>
  <c r="X69" i="9"/>
  <c r="X68" i="9"/>
  <c r="X67" i="9"/>
  <c r="X6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S501" i="3"/>
  <c r="P501" i="3"/>
  <c r="M501" i="3"/>
  <c r="J501" i="3"/>
  <c r="S500" i="3"/>
  <c r="P500" i="3"/>
  <c r="M500" i="3"/>
  <c r="J500" i="3"/>
  <c r="S499" i="3"/>
  <c r="P499" i="3"/>
  <c r="M499" i="3"/>
  <c r="J499" i="3"/>
  <c r="S498" i="3"/>
  <c r="P498" i="3"/>
  <c r="M498" i="3"/>
  <c r="J498" i="3"/>
  <c r="S497" i="3"/>
  <c r="P497" i="3"/>
  <c r="M497" i="3"/>
  <c r="J497" i="3"/>
  <c r="S496" i="3"/>
  <c r="P496" i="3"/>
  <c r="M496" i="3"/>
  <c r="J496" i="3"/>
  <c r="S495" i="3"/>
  <c r="P495" i="3"/>
  <c r="M495" i="3"/>
  <c r="J495" i="3"/>
  <c r="S494" i="3"/>
  <c r="P494" i="3"/>
  <c r="M494" i="3"/>
  <c r="J494" i="3"/>
  <c r="S493" i="3"/>
  <c r="P493" i="3"/>
  <c r="M493" i="3"/>
  <c r="J493" i="3"/>
  <c r="S492" i="3"/>
  <c r="P492" i="3"/>
  <c r="M492" i="3"/>
  <c r="J492" i="3"/>
  <c r="S491" i="3"/>
  <c r="P491" i="3"/>
  <c r="M491" i="3"/>
  <c r="J491" i="3"/>
  <c r="S490" i="3" l="1"/>
  <c r="P490" i="3"/>
  <c r="M490" i="3"/>
  <c r="J490" i="3"/>
  <c r="S489" i="3"/>
  <c r="P489" i="3"/>
  <c r="M489" i="3"/>
  <c r="J489" i="3"/>
  <c r="S488" i="3"/>
  <c r="P488" i="3"/>
  <c r="M488" i="3"/>
  <c r="J488" i="3"/>
  <c r="S487" i="3"/>
  <c r="P487" i="3"/>
  <c r="M487" i="3"/>
  <c r="J487" i="3"/>
  <c r="S486" i="3"/>
  <c r="P486" i="3"/>
  <c r="M486" i="3"/>
  <c r="J486" i="3"/>
  <c r="S485" i="3"/>
  <c r="P485" i="3"/>
  <c r="M485" i="3"/>
  <c r="J485" i="3"/>
  <c r="S484" i="3"/>
  <c r="P484" i="3"/>
  <c r="M484" i="3"/>
  <c r="J484" i="3"/>
  <c r="S483" i="3"/>
  <c r="P483" i="3"/>
  <c r="M483" i="3"/>
  <c r="J483" i="3"/>
  <c r="S482" i="3"/>
  <c r="P482" i="3"/>
  <c r="M482" i="3"/>
  <c r="J482" i="3"/>
  <c r="S481" i="3"/>
  <c r="P481" i="3"/>
  <c r="M481" i="3"/>
  <c r="J481" i="3"/>
  <c r="S480" i="3"/>
  <c r="P480" i="3"/>
  <c r="M480" i="3"/>
  <c r="J480" i="3"/>
  <c r="S479" i="3"/>
  <c r="P479" i="3"/>
  <c r="M479" i="3"/>
  <c r="J479" i="3"/>
  <c r="S478" i="3"/>
  <c r="P478" i="3"/>
  <c r="M478" i="3"/>
  <c r="J478" i="3"/>
  <c r="S477" i="3"/>
  <c r="P477" i="3"/>
  <c r="M477" i="3"/>
  <c r="J477" i="3"/>
  <c r="S476" i="3"/>
  <c r="P476" i="3"/>
  <c r="M476" i="3"/>
  <c r="J476" i="3"/>
  <c r="S475" i="3"/>
  <c r="P475" i="3"/>
  <c r="M475" i="3"/>
  <c r="J475" i="3"/>
  <c r="S474" i="3"/>
  <c r="P474" i="3"/>
  <c r="M474" i="3"/>
  <c r="J474" i="3"/>
  <c r="S473" i="3"/>
  <c r="P473" i="3"/>
  <c r="M473" i="3"/>
  <c r="J473" i="3"/>
  <c r="S472" i="3"/>
  <c r="P472" i="3"/>
  <c r="M472" i="3"/>
  <c r="J472" i="3"/>
  <c r="S471" i="3"/>
  <c r="P471" i="3"/>
  <c r="M471" i="3"/>
  <c r="J471" i="3"/>
  <c r="S470" i="3"/>
  <c r="P470" i="3"/>
  <c r="M470" i="3"/>
  <c r="J470" i="3"/>
  <c r="S469" i="3"/>
  <c r="P469" i="3"/>
  <c r="M469" i="3"/>
  <c r="J469" i="3"/>
  <c r="S468" i="3"/>
  <c r="P468" i="3"/>
  <c r="M468" i="3"/>
  <c r="J468" i="3"/>
  <c r="S467" i="3"/>
  <c r="P467" i="3"/>
  <c r="M467" i="3"/>
  <c r="J467" i="3"/>
  <c r="S466" i="3"/>
  <c r="P466" i="3"/>
  <c r="M466" i="3"/>
  <c r="J466" i="3"/>
  <c r="S465" i="3"/>
  <c r="P465" i="3"/>
  <c r="M465" i="3"/>
  <c r="J465" i="3"/>
  <c r="S464" i="3"/>
  <c r="P464" i="3"/>
  <c r="M464" i="3"/>
  <c r="J464" i="3"/>
  <c r="S463" i="3"/>
  <c r="P463" i="3"/>
  <c r="M463" i="3"/>
  <c r="J463" i="3"/>
  <c r="S462" i="3"/>
  <c r="P462" i="3"/>
  <c r="M462" i="3"/>
  <c r="J462" i="3"/>
  <c r="S461" i="3"/>
  <c r="P461" i="3"/>
  <c r="M461" i="3"/>
  <c r="J461" i="3"/>
  <c r="S460" i="3"/>
  <c r="P460" i="3"/>
  <c r="M460" i="3"/>
  <c r="J460" i="3"/>
  <c r="S459" i="3"/>
  <c r="P459" i="3"/>
  <c r="M459" i="3"/>
  <c r="J459" i="3"/>
  <c r="S458" i="3"/>
  <c r="P458" i="3"/>
  <c r="M458" i="3"/>
  <c r="J458" i="3"/>
  <c r="S457" i="3"/>
  <c r="P457" i="3"/>
  <c r="M457" i="3"/>
  <c r="J457" i="3"/>
  <c r="S456" i="3"/>
  <c r="P456" i="3"/>
  <c r="M456" i="3"/>
  <c r="J456" i="3"/>
  <c r="S455" i="3"/>
  <c r="P455" i="3"/>
  <c r="M455" i="3"/>
  <c r="J455" i="3"/>
  <c r="S454" i="3"/>
  <c r="P454" i="3"/>
  <c r="M454" i="3"/>
  <c r="J454" i="3"/>
  <c r="S453" i="3"/>
  <c r="P453" i="3"/>
  <c r="M453" i="3"/>
  <c r="J453" i="3"/>
  <c r="S452" i="3"/>
  <c r="P452" i="3"/>
  <c r="M452" i="3"/>
  <c r="J452" i="3"/>
  <c r="S451" i="3"/>
  <c r="P451" i="3"/>
  <c r="M451" i="3"/>
  <c r="J451" i="3"/>
  <c r="S450" i="3" l="1"/>
  <c r="P450" i="3"/>
  <c r="M450" i="3"/>
  <c r="J450" i="3"/>
  <c r="S449" i="3"/>
  <c r="P449" i="3"/>
  <c r="M449" i="3"/>
  <c r="J449" i="3"/>
  <c r="S448" i="3"/>
  <c r="P448" i="3"/>
  <c r="M448" i="3"/>
  <c r="J448" i="3"/>
  <c r="S447" i="3"/>
  <c r="P447" i="3"/>
  <c r="M447" i="3"/>
  <c r="J447" i="3"/>
  <c r="M446" i="3"/>
  <c r="J446" i="3"/>
  <c r="S446" i="3"/>
  <c r="P446" i="3"/>
  <c r="S445" i="3" l="1"/>
  <c r="P445" i="3"/>
  <c r="M445" i="3"/>
  <c r="J445" i="3"/>
  <c r="S444" i="3"/>
  <c r="P444" i="3"/>
  <c r="M444" i="3"/>
  <c r="J444" i="3"/>
  <c r="P443" i="3"/>
  <c r="S443" i="3"/>
  <c r="M443" i="3"/>
  <c r="J443" i="3"/>
  <c r="S442" i="3"/>
  <c r="P442" i="3"/>
  <c r="M442" i="3"/>
  <c r="J442" i="3"/>
  <c r="S441" i="3"/>
  <c r="P441" i="3"/>
  <c r="M441" i="3"/>
  <c r="J441" i="3"/>
  <c r="S440" i="3" l="1"/>
  <c r="M440" i="3"/>
  <c r="P440" i="3"/>
  <c r="J440" i="3"/>
  <c r="S439" i="3"/>
  <c r="P439" i="3"/>
  <c r="M439" i="3"/>
  <c r="J439" i="3"/>
  <c r="S438" i="3" l="1"/>
  <c r="P438" i="3"/>
  <c r="M438" i="3"/>
  <c r="J438" i="3"/>
  <c r="S437" i="3"/>
  <c r="P437" i="3"/>
  <c r="M437" i="3"/>
  <c r="J437" i="3"/>
  <c r="P436" i="3"/>
  <c r="S436" i="3"/>
  <c r="M436" i="3"/>
  <c r="J436" i="3"/>
  <c r="F436" i="3"/>
  <c r="P435" i="3"/>
  <c r="S435" i="3"/>
  <c r="M435" i="3"/>
  <c r="J435" i="3"/>
  <c r="F435" i="3"/>
  <c r="P434" i="3"/>
  <c r="S434" i="3"/>
  <c r="M434" i="3"/>
  <c r="J434" i="3"/>
  <c r="F434" i="3"/>
  <c r="P433" i="3"/>
  <c r="S433" i="3"/>
  <c r="M433" i="3"/>
  <c r="J433" i="3"/>
  <c r="F433" i="3"/>
  <c r="S432" i="3"/>
  <c r="P432" i="3"/>
  <c r="M432" i="3"/>
  <c r="J432" i="3"/>
  <c r="F432" i="3"/>
  <c r="P431" i="3"/>
  <c r="S431" i="3"/>
  <c r="M431" i="3"/>
  <c r="J431" i="3"/>
  <c r="F431" i="3"/>
  <c r="P430" i="3"/>
  <c r="S430" i="3"/>
  <c r="M430" i="3"/>
  <c r="J430" i="3"/>
  <c r="F430" i="3"/>
  <c r="P429" i="3"/>
  <c r="S429" i="3"/>
  <c r="M429" i="3"/>
  <c r="J429" i="3"/>
  <c r="F429" i="3"/>
  <c r="P428" i="3"/>
  <c r="S428" i="3"/>
  <c r="M428" i="3"/>
  <c r="J428" i="3"/>
  <c r="F428" i="3"/>
  <c r="P427" i="3"/>
  <c r="S427" i="3"/>
  <c r="M427" i="3"/>
  <c r="J427" i="3"/>
  <c r="F427" i="3"/>
  <c r="S426" i="3" l="1"/>
  <c r="P426" i="3"/>
  <c r="M426" i="3"/>
  <c r="J426" i="3"/>
  <c r="F426" i="3"/>
  <c r="F425" i="3" l="1"/>
  <c r="P425" i="3"/>
  <c r="S425" i="3"/>
  <c r="M425" i="3"/>
  <c r="J425" i="3"/>
  <c r="S424" i="3"/>
  <c r="P424" i="3"/>
  <c r="M424" i="3"/>
  <c r="J424" i="3"/>
  <c r="F424" i="3" l="1"/>
  <c r="S423" i="3"/>
  <c r="P423" i="3"/>
  <c r="M423" i="3"/>
  <c r="J423" i="3"/>
  <c r="F423" i="3"/>
  <c r="S422" i="3" l="1"/>
  <c r="P422" i="3"/>
  <c r="M422" i="3"/>
  <c r="J422" i="3"/>
  <c r="F422" i="3"/>
  <c r="P421" i="3"/>
  <c r="S421" i="3"/>
  <c r="M421" i="3"/>
  <c r="J421" i="3"/>
  <c r="F421" i="3"/>
  <c r="P420" i="3"/>
  <c r="S420" i="3"/>
  <c r="M420" i="3"/>
  <c r="J420" i="3"/>
  <c r="F420" i="3"/>
  <c r="P419" i="3"/>
  <c r="S419" i="3"/>
  <c r="M419" i="3"/>
  <c r="J419" i="3"/>
  <c r="F419" i="3"/>
  <c r="S418" i="3"/>
  <c r="P418" i="3"/>
  <c r="M418" i="3"/>
  <c r="J418" i="3"/>
  <c r="F418" i="3"/>
  <c r="S417" i="3" l="1"/>
  <c r="P417" i="3"/>
  <c r="M417" i="3"/>
  <c r="J417" i="3"/>
  <c r="F417" i="3"/>
  <c r="P416" i="3" l="1"/>
  <c r="S416" i="3"/>
  <c r="M416" i="3"/>
  <c r="J416" i="3"/>
  <c r="F416" i="3"/>
  <c r="P415" i="3"/>
  <c r="S415" i="3"/>
  <c r="M415" i="3"/>
  <c r="J415" i="3"/>
  <c r="F415" i="3"/>
  <c r="S414" i="3"/>
  <c r="P414" i="3"/>
  <c r="M414" i="3"/>
  <c r="J414" i="3"/>
  <c r="F414" i="3"/>
  <c r="F413" i="3"/>
  <c r="S413" i="3"/>
  <c r="P413" i="3"/>
  <c r="M413" i="3"/>
  <c r="J413" i="3"/>
  <c r="P412" i="3"/>
  <c r="S412" i="3" l="1"/>
  <c r="M412" i="3"/>
  <c r="J412" i="3"/>
  <c r="F412" i="3"/>
  <c r="P411" i="3"/>
  <c r="S411" i="3" l="1"/>
  <c r="M411" i="3"/>
  <c r="J411" i="3"/>
  <c r="F411" i="3"/>
  <c r="P410" i="3"/>
  <c r="P409" i="3"/>
  <c r="M410" i="3"/>
  <c r="J410" i="3"/>
  <c r="F410" i="3"/>
  <c r="M409" i="3"/>
  <c r="J409" i="3"/>
  <c r="F409" i="3"/>
  <c r="P408" i="3" l="1"/>
  <c r="M408" i="3"/>
  <c r="J408" i="3"/>
  <c r="F408" i="3"/>
  <c r="P407" i="3"/>
  <c r="M407" i="3"/>
  <c r="J407" i="3"/>
  <c r="F407" i="3"/>
  <c r="P406" i="3"/>
  <c r="M406" i="3"/>
  <c r="J406" i="3"/>
  <c r="F406" i="3"/>
  <c r="P405" i="3"/>
  <c r="M405" i="3"/>
  <c r="J405" i="3"/>
  <c r="F405" i="3"/>
  <c r="P404" i="3"/>
  <c r="M404" i="3"/>
  <c r="J404" i="3"/>
  <c r="F404" i="3"/>
  <c r="P403" i="3"/>
  <c r="M403" i="3"/>
  <c r="J403" i="3"/>
  <c r="F403" i="3"/>
  <c r="P402" i="3" l="1"/>
  <c r="S402" i="3"/>
  <c r="S403" i="3" s="1"/>
  <c r="S404" i="3" s="1"/>
  <c r="S405" i="3" s="1"/>
  <c r="S406" i="3" s="1"/>
  <c r="S407" i="3" s="1"/>
  <c r="S408" i="3" s="1"/>
  <c r="S409" i="3" s="1"/>
  <c r="S410" i="3" s="1"/>
  <c r="B408" i="9"/>
  <c r="B409" i="9" s="1"/>
  <c r="B410" i="9" s="1"/>
  <c r="B411" i="9" s="1"/>
  <c r="B412" i="9" s="1"/>
  <c r="B413" i="9" s="1"/>
  <c r="B414" i="9" s="1"/>
  <c r="B415" i="9" s="1"/>
  <c r="B416" i="9" s="1"/>
  <c r="B417" i="9" s="1"/>
  <c r="B418" i="9" s="1"/>
  <c r="B419" i="9" s="1"/>
  <c r="B420" i="9" s="1"/>
  <c r="B421" i="9" s="1"/>
  <c r="B422" i="9" s="1"/>
  <c r="B423" i="9" s="1"/>
  <c r="B424" i="9" s="1"/>
  <c r="B425" i="9" s="1"/>
  <c r="B426" i="9" s="1"/>
  <c r="B427" i="9" s="1"/>
  <c r="B428" i="9" s="1"/>
  <c r="B429" i="9" s="1"/>
  <c r="B430" i="9" s="1"/>
  <c r="B431" i="9" s="1"/>
  <c r="B432" i="9" s="1"/>
  <c r="B433" i="9" s="1"/>
  <c r="B434" i="9" s="1"/>
  <c r="B435" i="9" s="1"/>
  <c r="B436" i="9" s="1"/>
  <c r="B437" i="9" s="1"/>
  <c r="B438" i="9" s="1"/>
  <c r="B439" i="9" s="1"/>
  <c r="B440" i="9" s="1"/>
  <c r="B441" i="9" s="1"/>
  <c r="B442" i="9" s="1"/>
  <c r="B443" i="9" s="1"/>
  <c r="B444" i="9" s="1"/>
  <c r="B445" i="9" s="1"/>
  <c r="B446" i="9" s="1"/>
  <c r="B447" i="9" s="1"/>
  <c r="B448" i="9" s="1"/>
  <c r="B449" i="9" s="1"/>
  <c r="B450" i="9" s="1"/>
  <c r="B451" i="9" s="1"/>
  <c r="B452" i="9" s="1"/>
  <c r="B453" i="9" s="1"/>
  <c r="B454" i="9" s="1"/>
  <c r="B455" i="9" s="1"/>
  <c r="B456" i="9" s="1"/>
  <c r="B457" i="9" s="1"/>
  <c r="B458" i="9" s="1"/>
  <c r="B459" i="9" s="1"/>
  <c r="B460" i="9" s="1"/>
  <c r="B461" i="9" s="1"/>
  <c r="B462" i="9" s="1"/>
  <c r="B463" i="9" s="1"/>
  <c r="B464" i="9" s="1"/>
  <c r="B465" i="9" s="1"/>
  <c r="B466" i="9" s="1"/>
  <c r="B467" i="9" s="1"/>
  <c r="B468" i="9" s="1"/>
  <c r="B469" i="9" s="1"/>
  <c r="B470" i="9" s="1"/>
  <c r="B471" i="9" s="1"/>
  <c r="B472" i="9" s="1"/>
  <c r="B473" i="9" s="1"/>
  <c r="B474" i="9" s="1"/>
  <c r="B475" i="9" s="1"/>
  <c r="B476" i="9" s="1"/>
  <c r="B477" i="9" s="1"/>
  <c r="B478" i="9" s="1"/>
  <c r="B479" i="9" s="1"/>
  <c r="B480" i="9" s="1"/>
  <c r="B481" i="9" s="1"/>
  <c r="B482" i="9" s="1"/>
  <c r="B483" i="9" s="1"/>
  <c r="B484" i="9" s="1"/>
  <c r="B485" i="9" s="1"/>
  <c r="B486" i="9" s="1"/>
  <c r="B487" i="9" s="1"/>
  <c r="B488" i="9" s="1"/>
  <c r="B489" i="9" s="1"/>
  <c r="B490" i="9" s="1"/>
  <c r="B491" i="9" s="1"/>
  <c r="B492" i="9" s="1"/>
  <c r="B493" i="9" s="1"/>
  <c r="B494" i="9" s="1"/>
  <c r="B495" i="9" s="1"/>
  <c r="B496" i="9" s="1"/>
  <c r="B497" i="9" s="1"/>
  <c r="B498" i="9" s="1"/>
  <c r="B499" i="9" s="1"/>
  <c r="B500" i="9" s="1"/>
  <c r="B501" i="9" s="1"/>
  <c r="B502" i="9" s="1"/>
  <c r="B503" i="9" s="1"/>
  <c r="B504" i="9" s="1"/>
  <c r="B505" i="9" s="1"/>
  <c r="B506" i="9" s="1"/>
  <c r="B507" i="9" s="1"/>
  <c r="B508" i="9" s="1"/>
  <c r="B509" i="9" s="1"/>
  <c r="B510" i="9" s="1"/>
  <c r="B511" i="9" s="1"/>
  <c r="B512" i="9" s="1"/>
  <c r="B513" i="9" s="1"/>
  <c r="B514" i="9" s="1"/>
  <c r="B515" i="9" s="1"/>
  <c r="B516" i="9" s="1"/>
  <c r="B517" i="9" s="1"/>
  <c r="B518" i="9" s="1"/>
  <c r="B519" i="9" s="1"/>
  <c r="B520" i="9" s="1"/>
  <c r="B521" i="9" s="1"/>
  <c r="B522" i="9" s="1"/>
  <c r="B523" i="9" s="1"/>
  <c r="B524" i="9" s="1"/>
  <c r="B525" i="9" s="1"/>
  <c r="B526" i="9" s="1"/>
  <c r="B527" i="9" s="1"/>
  <c r="B528" i="9" s="1"/>
  <c r="M402" i="3"/>
  <c r="J402" i="3"/>
  <c r="F402" i="3"/>
  <c r="P401" i="3"/>
  <c r="AL401" i="3" l="1"/>
  <c r="AD401" i="3"/>
  <c r="T401" i="3"/>
  <c r="M401" i="3"/>
  <c r="J401" i="3"/>
  <c r="I401" i="3"/>
  <c r="G401" i="3" s="1"/>
  <c r="W401" i="3" s="1"/>
  <c r="F401" i="3"/>
  <c r="C402" i="3"/>
  <c r="P400" i="3"/>
  <c r="M400" i="3"/>
  <c r="J400" i="3"/>
  <c r="F400" i="3"/>
  <c r="P399" i="3"/>
  <c r="M399" i="3"/>
  <c r="J399" i="3"/>
  <c r="F399" i="3"/>
  <c r="P398" i="3"/>
  <c r="M398" i="3"/>
  <c r="J398" i="3"/>
  <c r="F398" i="3"/>
  <c r="P397" i="3"/>
  <c r="M397" i="3"/>
  <c r="J397" i="3"/>
  <c r="F397" i="3"/>
  <c r="P396" i="3"/>
  <c r="M396" i="3"/>
  <c r="J396" i="3"/>
  <c r="F396" i="3"/>
  <c r="P395" i="3"/>
  <c r="M395" i="3"/>
  <c r="J395" i="3"/>
  <c r="F395" i="3"/>
  <c r="P394" i="3"/>
  <c r="M394" i="3"/>
  <c r="J394" i="3"/>
  <c r="F394" i="3"/>
  <c r="P393" i="3"/>
  <c r="M393" i="3"/>
  <c r="J393" i="3"/>
  <c r="F393" i="3"/>
  <c r="P392" i="3"/>
  <c r="M392" i="3"/>
  <c r="J392" i="3"/>
  <c r="F392" i="3"/>
  <c r="P391" i="3"/>
  <c r="M391" i="3"/>
  <c r="J391" i="3"/>
  <c r="F391" i="3"/>
  <c r="P390" i="3"/>
  <c r="C403" i="3" l="1"/>
  <c r="AL402" i="3"/>
  <c r="AD402" i="3"/>
  <c r="I402" i="3"/>
  <c r="G402" i="3" s="1"/>
  <c r="W402" i="3" s="1"/>
  <c r="M390" i="3"/>
  <c r="J390" i="3"/>
  <c r="F390" i="3"/>
  <c r="P389" i="3"/>
  <c r="M389" i="3"/>
  <c r="J389" i="3"/>
  <c r="F389" i="3"/>
  <c r="P388" i="3"/>
  <c r="I403" i="3" l="1"/>
  <c r="G403" i="3" s="1"/>
  <c r="W403" i="3" s="1"/>
  <c r="C404" i="3"/>
  <c r="AL403" i="3"/>
  <c r="AD403" i="3"/>
  <c r="M388" i="3"/>
  <c r="J388" i="3"/>
  <c r="F388" i="3"/>
  <c r="I404" i="3" l="1"/>
  <c r="G404" i="3" s="1"/>
  <c r="W404" i="3" s="1"/>
  <c r="AD404" i="3"/>
  <c r="AL404" i="3"/>
  <c r="C405" i="3"/>
  <c r="P387" i="3"/>
  <c r="M387" i="3"/>
  <c r="J387" i="3"/>
  <c r="F387" i="3"/>
  <c r="P386" i="3"/>
  <c r="M386" i="3"/>
  <c r="J386" i="3"/>
  <c r="F386" i="3"/>
  <c r="P385" i="3"/>
  <c r="M385" i="3"/>
  <c r="J385" i="3"/>
  <c r="F385" i="3"/>
  <c r="P384" i="3"/>
  <c r="M384" i="3"/>
  <c r="J384" i="3"/>
  <c r="F384" i="3"/>
  <c r="AL405" i="3" l="1"/>
  <c r="AD405" i="3"/>
  <c r="C406" i="3"/>
  <c r="I405" i="3"/>
  <c r="G405" i="3" s="1"/>
  <c r="W405" i="3" s="1"/>
  <c r="P383" i="3"/>
  <c r="B388" i="9"/>
  <c r="B389" i="9" s="1"/>
  <c r="B390" i="9" s="1"/>
  <c r="B391" i="9" s="1"/>
  <c r="B392" i="9" s="1"/>
  <c r="B393" i="9" s="1"/>
  <c r="B394" i="9" s="1"/>
  <c r="B395" i="9" s="1"/>
  <c r="B396" i="9" s="1"/>
  <c r="B397" i="9" s="1"/>
  <c r="B398" i="9" s="1"/>
  <c r="B399" i="9" s="1"/>
  <c r="B400" i="9" s="1"/>
  <c r="B401" i="9" s="1"/>
  <c r="B402" i="9" s="1"/>
  <c r="B403" i="9" s="1"/>
  <c r="B404" i="9" s="1"/>
  <c r="B405" i="9" s="1"/>
  <c r="B406" i="9" s="1"/>
  <c r="M383" i="3"/>
  <c r="J383" i="3"/>
  <c r="F383" i="3"/>
  <c r="S381" i="3"/>
  <c r="S382" i="3" s="1"/>
  <c r="S383" i="3" s="1"/>
  <c r="S384" i="3" s="1"/>
  <c r="S385" i="3" s="1"/>
  <c r="S386" i="3" s="1"/>
  <c r="S387" i="3" s="1"/>
  <c r="S388" i="3" s="1"/>
  <c r="S389" i="3" s="1"/>
  <c r="S390" i="3" s="1"/>
  <c r="S391" i="3" s="1"/>
  <c r="S392" i="3" s="1"/>
  <c r="S393" i="3" s="1"/>
  <c r="S394" i="3" s="1"/>
  <c r="S395" i="3" s="1"/>
  <c r="S396" i="3" s="1"/>
  <c r="S397" i="3" s="1"/>
  <c r="S398" i="3" s="1"/>
  <c r="S399" i="3" s="1"/>
  <c r="S400" i="3" s="1"/>
  <c r="S401" i="3" s="1"/>
  <c r="T402" i="3" s="1"/>
  <c r="T403" i="3" s="1"/>
  <c r="T404" i="3" s="1"/>
  <c r="T405" i="3" s="1"/>
  <c r="P382" i="3"/>
  <c r="M382" i="3"/>
  <c r="J382" i="3"/>
  <c r="F382" i="3"/>
  <c r="P381" i="3"/>
  <c r="AL381" i="3"/>
  <c r="AD381" i="3"/>
  <c r="M381" i="3"/>
  <c r="J381" i="3"/>
  <c r="I381" i="3"/>
  <c r="G381" i="3" s="1"/>
  <c r="F381" i="3"/>
  <c r="C382" i="3"/>
  <c r="C383" i="3" s="1"/>
  <c r="AL383" i="3" s="1"/>
  <c r="AD406" i="3" l="1"/>
  <c r="T406" i="3"/>
  <c r="AL406" i="3"/>
  <c r="I406" i="3"/>
  <c r="G406" i="3" s="1"/>
  <c r="W406" i="3" s="1"/>
  <c r="C407" i="3"/>
  <c r="C384" i="3"/>
  <c r="I383" i="3"/>
  <c r="G383" i="3" s="1"/>
  <c r="W383" i="3" s="1"/>
  <c r="I382" i="3"/>
  <c r="G382" i="3" s="1"/>
  <c r="W382" i="3" s="1"/>
  <c r="AD383" i="3"/>
  <c r="AD382" i="3"/>
  <c r="AL382" i="3"/>
  <c r="W381" i="3"/>
  <c r="AD407" i="3" l="1"/>
  <c r="AL407" i="3"/>
  <c r="I407" i="3"/>
  <c r="G407" i="3" s="1"/>
  <c r="W407" i="3" s="1"/>
  <c r="T407" i="3"/>
  <c r="C408" i="3"/>
  <c r="I384" i="3"/>
  <c r="G384" i="3" s="1"/>
  <c r="W384" i="3" s="1"/>
  <c r="C385" i="3"/>
  <c r="AL384" i="3"/>
  <c r="AD384" i="3"/>
  <c r="P380" i="3"/>
  <c r="T408" i="3" l="1"/>
  <c r="I408" i="3"/>
  <c r="G408" i="3" s="1"/>
  <c r="W408" i="3" s="1"/>
  <c r="AD408" i="3"/>
  <c r="C409" i="3"/>
  <c r="AL408" i="3"/>
  <c r="C386" i="3"/>
  <c r="AL385" i="3"/>
  <c r="AD385" i="3"/>
  <c r="T385" i="3"/>
  <c r="I385" i="3"/>
  <c r="G385" i="3" s="1"/>
  <c r="W385" i="3" s="1"/>
  <c r="M380" i="3"/>
  <c r="J380" i="3"/>
  <c r="F380" i="3"/>
  <c r="P379" i="3"/>
  <c r="M379" i="3"/>
  <c r="J379" i="3"/>
  <c r="F379" i="3"/>
  <c r="P378" i="3"/>
  <c r="M378" i="3"/>
  <c r="J378" i="3"/>
  <c r="F378" i="3"/>
  <c r="P377" i="3"/>
  <c r="M377" i="3"/>
  <c r="J377" i="3"/>
  <c r="F377" i="3"/>
  <c r="P376" i="3"/>
  <c r="M376" i="3"/>
  <c r="J376" i="3"/>
  <c r="F376" i="3"/>
  <c r="P375" i="3"/>
  <c r="M375" i="3"/>
  <c r="J375" i="3"/>
  <c r="F375" i="3"/>
  <c r="P374" i="3"/>
  <c r="M374" i="3"/>
  <c r="J374" i="3"/>
  <c r="F374" i="3"/>
  <c r="P373" i="3"/>
  <c r="M373" i="3"/>
  <c r="J373" i="3"/>
  <c r="F373" i="3"/>
  <c r="P372" i="3"/>
  <c r="I409" i="3" l="1"/>
  <c r="G409" i="3" s="1"/>
  <c r="W409" i="3" s="1"/>
  <c r="AL409" i="3"/>
  <c r="AD409" i="3"/>
  <c r="T409" i="3"/>
  <c r="C410" i="3"/>
  <c r="C387" i="3"/>
  <c r="AL386" i="3"/>
  <c r="AD386" i="3"/>
  <c r="I386" i="3"/>
  <c r="G386" i="3" s="1"/>
  <c r="W386" i="3" s="1"/>
  <c r="T386" i="3"/>
  <c r="M372" i="3"/>
  <c r="J372" i="3"/>
  <c r="F372" i="3"/>
  <c r="P371" i="3"/>
  <c r="M371" i="3"/>
  <c r="J371" i="3"/>
  <c r="F371" i="3"/>
  <c r="P370" i="3"/>
  <c r="M370" i="3"/>
  <c r="J370" i="3"/>
  <c r="F370" i="3"/>
  <c r="P369" i="3"/>
  <c r="C411" i="3" l="1"/>
  <c r="I410" i="3"/>
  <c r="G410" i="3" s="1"/>
  <c r="W410" i="3" s="1"/>
  <c r="AL410" i="3"/>
  <c r="AD410" i="3"/>
  <c r="T410" i="3"/>
  <c r="AL387" i="3"/>
  <c r="T387" i="3"/>
  <c r="C388" i="3"/>
  <c r="AD387" i="3"/>
  <c r="I387" i="3"/>
  <c r="G387" i="3" s="1"/>
  <c r="W387" i="3" s="1"/>
  <c r="M369" i="3"/>
  <c r="J369" i="3"/>
  <c r="F369" i="3"/>
  <c r="C2" i="14"/>
  <c r="C3" i="14"/>
  <c r="T411" i="3" l="1"/>
  <c r="I411" i="3"/>
  <c r="G411" i="3" s="1"/>
  <c r="W411" i="3" s="1"/>
  <c r="AL411" i="3"/>
  <c r="C412" i="3"/>
  <c r="AD411" i="3"/>
  <c r="AL388" i="3"/>
  <c r="T388" i="3"/>
  <c r="I388" i="3"/>
  <c r="G388" i="3" s="1"/>
  <c r="W388" i="3" s="1"/>
  <c r="C389" i="3"/>
  <c r="AD388" i="3"/>
  <c r="P368" i="3"/>
  <c r="M368" i="3"/>
  <c r="J368" i="3"/>
  <c r="F368" i="3"/>
  <c r="P367" i="3"/>
  <c r="I412" i="3" l="1"/>
  <c r="G412" i="3" s="1"/>
  <c r="W412" i="3" s="1"/>
  <c r="T412" i="3"/>
  <c r="AD412" i="3"/>
  <c r="AL412" i="3"/>
  <c r="C413" i="3"/>
  <c r="C390" i="3"/>
  <c r="AL389" i="3"/>
  <c r="AD389" i="3"/>
  <c r="T389" i="3"/>
  <c r="I389" i="3"/>
  <c r="G389" i="3" s="1"/>
  <c r="W389" i="3" s="1"/>
  <c r="M367" i="3"/>
  <c r="J367" i="3"/>
  <c r="F367" i="3"/>
  <c r="P366" i="3"/>
  <c r="M366" i="3"/>
  <c r="J366" i="3"/>
  <c r="F366" i="3"/>
  <c r="P365" i="3"/>
  <c r="M365" i="3"/>
  <c r="J365" i="3"/>
  <c r="F365" i="3"/>
  <c r="AL194" i="3"/>
  <c r="AL193" i="3"/>
  <c r="AL192" i="3"/>
  <c r="AL191" i="3"/>
  <c r="AL190" i="3"/>
  <c r="AL189" i="3"/>
  <c r="AL188" i="3"/>
  <c r="AL187" i="3"/>
  <c r="AL186" i="3"/>
  <c r="AL185" i="3"/>
  <c r="AL184" i="3"/>
  <c r="AL183" i="3"/>
  <c r="AL182" i="3"/>
  <c r="AL181" i="3"/>
  <c r="AL180" i="3"/>
  <c r="AL179" i="3"/>
  <c r="AL178" i="3"/>
  <c r="AL177" i="3"/>
  <c r="AL176" i="3"/>
  <c r="AL175" i="3"/>
  <c r="AL174" i="3"/>
  <c r="AL173" i="3"/>
  <c r="AL172" i="3"/>
  <c r="AL171" i="3"/>
  <c r="AL170" i="3"/>
  <c r="AL169" i="3"/>
  <c r="AL168" i="3"/>
  <c r="AL167" i="3"/>
  <c r="AL166" i="3"/>
  <c r="AL165" i="3"/>
  <c r="AL164" i="3"/>
  <c r="AL163" i="3"/>
  <c r="AL162" i="3"/>
  <c r="AL161" i="3"/>
  <c r="AL160" i="3"/>
  <c r="AL159" i="3"/>
  <c r="AL158" i="3"/>
  <c r="AL157" i="3"/>
  <c r="AL156" i="3"/>
  <c r="AL155" i="3"/>
  <c r="AL154" i="3"/>
  <c r="AL153" i="3"/>
  <c r="AL152" i="3"/>
  <c r="AL151" i="3"/>
  <c r="AL150" i="3"/>
  <c r="AL149" i="3"/>
  <c r="AL148" i="3"/>
  <c r="AL147" i="3"/>
  <c r="AL146" i="3"/>
  <c r="AL145" i="3"/>
  <c r="AL144" i="3"/>
  <c r="AL143" i="3"/>
  <c r="AL142" i="3"/>
  <c r="AL141" i="3"/>
  <c r="AL140" i="3"/>
  <c r="AL139" i="3"/>
  <c r="AL138" i="3"/>
  <c r="AL137" i="3"/>
  <c r="AL136" i="3"/>
  <c r="AL135" i="3"/>
  <c r="AL134" i="3"/>
  <c r="AL133" i="3"/>
  <c r="AL132" i="3"/>
  <c r="AL131" i="3"/>
  <c r="AL130" i="3"/>
  <c r="AL129" i="3"/>
  <c r="AL128" i="3"/>
  <c r="AL127" i="3"/>
  <c r="AL126" i="3"/>
  <c r="AL125" i="3"/>
  <c r="AL124" i="3"/>
  <c r="AL123" i="3"/>
  <c r="AL122" i="3"/>
  <c r="AL121" i="3"/>
  <c r="AL120" i="3"/>
  <c r="AL119" i="3"/>
  <c r="AL118" i="3"/>
  <c r="AL117" i="3"/>
  <c r="AL116" i="3"/>
  <c r="AL84" i="3"/>
  <c r="AL413" i="3" l="1"/>
  <c r="C414" i="3"/>
  <c r="T413" i="3"/>
  <c r="I413" i="3"/>
  <c r="G413" i="3" s="1"/>
  <c r="W413" i="3" s="1"/>
  <c r="AD413" i="3"/>
  <c r="C391" i="3"/>
  <c r="AL390" i="3"/>
  <c r="AD390" i="3"/>
  <c r="T390" i="3"/>
  <c r="I390" i="3"/>
  <c r="G390" i="3" s="1"/>
  <c r="W390" i="3" s="1"/>
  <c r="P364" i="3"/>
  <c r="AD414" i="3" l="1"/>
  <c r="C415" i="3"/>
  <c r="I414" i="3"/>
  <c r="G414" i="3" s="1"/>
  <c r="W414" i="3" s="1"/>
  <c r="AL414" i="3"/>
  <c r="T414" i="3"/>
  <c r="C392" i="3"/>
  <c r="AL391" i="3"/>
  <c r="AD391" i="3"/>
  <c r="I391" i="3"/>
  <c r="G391" i="3" s="1"/>
  <c r="W391" i="3" s="1"/>
  <c r="T391" i="3"/>
  <c r="M364" i="3"/>
  <c r="J364" i="3"/>
  <c r="F364" i="3"/>
  <c r="P363" i="3"/>
  <c r="M363" i="3"/>
  <c r="J363" i="3"/>
  <c r="F363" i="3"/>
  <c r="P362" i="3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20" i="1"/>
  <c r="K4" i="1"/>
  <c r="M362" i="3"/>
  <c r="J362" i="3"/>
  <c r="F362" i="3"/>
  <c r="C416" i="3" l="1"/>
  <c r="I415" i="3"/>
  <c r="G415" i="3" s="1"/>
  <c r="W415" i="3" s="1"/>
  <c r="AL415" i="3"/>
  <c r="AD415" i="3"/>
  <c r="T415" i="3"/>
  <c r="C393" i="3"/>
  <c r="AL392" i="3"/>
  <c r="AD392" i="3"/>
  <c r="T392" i="3"/>
  <c r="I392" i="3"/>
  <c r="G392" i="3" s="1"/>
  <c r="W392" i="3" s="1"/>
  <c r="P361" i="3"/>
  <c r="M361" i="3"/>
  <c r="J361" i="3"/>
  <c r="F361" i="3"/>
  <c r="S360" i="3"/>
  <c r="S361" i="3" s="1"/>
  <c r="S362" i="3" s="1"/>
  <c r="S363" i="3" s="1"/>
  <c r="S364" i="3" s="1"/>
  <c r="S365" i="3" s="1"/>
  <c r="S366" i="3" s="1"/>
  <c r="S367" i="3" s="1"/>
  <c r="S368" i="3" s="1"/>
  <c r="S369" i="3" s="1"/>
  <c r="S370" i="3" s="1"/>
  <c r="S371" i="3" s="1"/>
  <c r="S372" i="3" s="1"/>
  <c r="S373" i="3" s="1"/>
  <c r="S374" i="3" s="1"/>
  <c r="S375" i="3" s="1"/>
  <c r="S376" i="3" s="1"/>
  <c r="S377" i="3" s="1"/>
  <c r="S378" i="3" s="1"/>
  <c r="S379" i="3" s="1"/>
  <c r="S380" i="3" s="1"/>
  <c r="T381" i="3" s="1"/>
  <c r="T382" i="3" s="1"/>
  <c r="T383" i="3" s="1"/>
  <c r="T384" i="3" s="1"/>
  <c r="P360" i="3"/>
  <c r="M360" i="3"/>
  <c r="J360" i="3"/>
  <c r="F360" i="3"/>
  <c r="P359" i="3"/>
  <c r="S359" i="3"/>
  <c r="M359" i="3"/>
  <c r="J359" i="3"/>
  <c r="F359" i="3"/>
  <c r="P358" i="3"/>
  <c r="M358" i="3"/>
  <c r="J358" i="3"/>
  <c r="F358" i="3"/>
  <c r="P357" i="3"/>
  <c r="M357" i="3"/>
  <c r="J357" i="3"/>
  <c r="F357" i="3"/>
  <c r="P356" i="3"/>
  <c r="M356" i="3"/>
  <c r="J356" i="3"/>
  <c r="F356" i="3"/>
  <c r="P355" i="3"/>
  <c r="C417" i="3" l="1"/>
  <c r="AL416" i="3"/>
  <c r="I416" i="3"/>
  <c r="G416" i="3" s="1"/>
  <c r="W416" i="3" s="1"/>
  <c r="AD416" i="3"/>
  <c r="T416" i="3"/>
  <c r="C394" i="3"/>
  <c r="AL393" i="3"/>
  <c r="AD393" i="3"/>
  <c r="I393" i="3"/>
  <c r="G393" i="3" s="1"/>
  <c r="W393" i="3" s="1"/>
  <c r="T393" i="3"/>
  <c r="M355" i="3"/>
  <c r="J355" i="3"/>
  <c r="F355" i="3"/>
  <c r="P354" i="3"/>
  <c r="AL417" i="3" l="1"/>
  <c r="C418" i="3"/>
  <c r="I417" i="3"/>
  <c r="G417" i="3" s="1"/>
  <c r="W417" i="3" s="1"/>
  <c r="AD417" i="3"/>
  <c r="T417" i="3"/>
  <c r="C395" i="3"/>
  <c r="AL394" i="3"/>
  <c r="AD394" i="3"/>
  <c r="T394" i="3"/>
  <c r="I394" i="3"/>
  <c r="G394" i="3" s="1"/>
  <c r="W394" i="3" s="1"/>
  <c r="M354" i="3"/>
  <c r="J354" i="3"/>
  <c r="F354" i="3"/>
  <c r="P353" i="3"/>
  <c r="M353" i="3"/>
  <c r="J353" i="3"/>
  <c r="F353" i="3"/>
  <c r="C419" i="3" l="1"/>
  <c r="I418" i="3"/>
  <c r="G418" i="3" s="1"/>
  <c r="W418" i="3" s="1"/>
  <c r="AD418" i="3"/>
  <c r="T418" i="3"/>
  <c r="AL418" i="3"/>
  <c r="C396" i="3"/>
  <c r="AL395" i="3"/>
  <c r="AD395" i="3"/>
  <c r="T395" i="3"/>
  <c r="I395" i="3"/>
  <c r="G395" i="3" s="1"/>
  <c r="W395" i="3" s="1"/>
  <c r="P352" i="3"/>
  <c r="M352" i="3"/>
  <c r="J352" i="3"/>
  <c r="F352" i="3"/>
  <c r="P351" i="3"/>
  <c r="M351" i="3"/>
  <c r="J351" i="3"/>
  <c r="F351" i="3"/>
  <c r="AL419" i="3" l="1"/>
  <c r="I419" i="3"/>
  <c r="G419" i="3" s="1"/>
  <c r="W419" i="3" s="1"/>
  <c r="AD419" i="3"/>
  <c r="T419" i="3"/>
  <c r="C420" i="3"/>
  <c r="C397" i="3"/>
  <c r="AL396" i="3"/>
  <c r="AD396" i="3"/>
  <c r="T396" i="3"/>
  <c r="I396" i="3"/>
  <c r="G396" i="3" s="1"/>
  <c r="W396" i="3" s="1"/>
  <c r="P350" i="3"/>
  <c r="M350" i="3"/>
  <c r="J350" i="3"/>
  <c r="F350" i="3"/>
  <c r="T420" i="3" l="1"/>
  <c r="I420" i="3"/>
  <c r="G420" i="3" s="1"/>
  <c r="W420" i="3" s="1"/>
  <c r="AL420" i="3"/>
  <c r="AD420" i="3"/>
  <c r="C421" i="3"/>
  <c r="C398" i="3"/>
  <c r="AL397" i="3"/>
  <c r="I397" i="3"/>
  <c r="G397" i="3" s="1"/>
  <c r="W397" i="3" s="1"/>
  <c r="AD397" i="3"/>
  <c r="T397" i="3"/>
  <c r="T421" i="3" l="1"/>
  <c r="I421" i="3"/>
  <c r="G421" i="3" s="1"/>
  <c r="W421" i="3" s="1"/>
  <c r="AL421" i="3"/>
  <c r="AD421" i="3"/>
  <c r="C422" i="3"/>
  <c r="AL398" i="3"/>
  <c r="C399" i="3"/>
  <c r="AD398" i="3"/>
  <c r="T398" i="3"/>
  <c r="I398" i="3"/>
  <c r="G398" i="3" s="1"/>
  <c r="W398" i="3" s="1"/>
  <c r="P349" i="3"/>
  <c r="M349" i="3"/>
  <c r="J349" i="3"/>
  <c r="F349" i="3"/>
  <c r="P348" i="3"/>
  <c r="M348" i="3"/>
  <c r="J348" i="3"/>
  <c r="F348" i="3"/>
  <c r="P347" i="3"/>
  <c r="M347" i="3"/>
  <c r="J347" i="3"/>
  <c r="F347" i="3"/>
  <c r="P346" i="3"/>
  <c r="AL422" i="3" l="1"/>
  <c r="C423" i="3"/>
  <c r="AD422" i="3"/>
  <c r="I422" i="3"/>
  <c r="G422" i="3" s="1"/>
  <c r="W422" i="3" s="1"/>
  <c r="T422" i="3"/>
  <c r="T423" i="3" s="1"/>
  <c r="AD399" i="3"/>
  <c r="AL399" i="3"/>
  <c r="C400" i="3"/>
  <c r="T399" i="3"/>
  <c r="I399" i="3"/>
  <c r="G399" i="3" s="1"/>
  <c r="W399" i="3" s="1"/>
  <c r="M346" i="3"/>
  <c r="J346" i="3"/>
  <c r="F346" i="3"/>
  <c r="P345" i="3"/>
  <c r="I423" i="3" l="1"/>
  <c r="G423" i="3" s="1"/>
  <c r="W423" i="3" s="1"/>
  <c r="AD423" i="3"/>
  <c r="AL423" i="3"/>
  <c r="C424" i="3"/>
  <c r="AL400" i="3"/>
  <c r="AD400" i="3"/>
  <c r="T400" i="3"/>
  <c r="I400" i="3"/>
  <c r="G400" i="3" s="1"/>
  <c r="W400" i="3" s="1"/>
  <c r="M345" i="3"/>
  <c r="J345" i="3"/>
  <c r="F345" i="3"/>
  <c r="P344" i="3"/>
  <c r="M344" i="3"/>
  <c r="J344" i="3"/>
  <c r="F344" i="3"/>
  <c r="P343" i="3"/>
  <c r="C425" i="3" l="1"/>
  <c r="I424" i="3"/>
  <c r="G424" i="3" s="1"/>
  <c r="W424" i="3" s="1"/>
  <c r="AL424" i="3"/>
  <c r="AD424" i="3"/>
  <c r="T424" i="3"/>
  <c r="T425" i="3" s="1"/>
  <c r="M343" i="3"/>
  <c r="J343" i="3"/>
  <c r="F343" i="3"/>
  <c r="P342" i="3"/>
  <c r="C426" i="3" l="1"/>
  <c r="AL425" i="3"/>
  <c r="AD425" i="3"/>
  <c r="I425" i="3"/>
  <c r="G425" i="3" s="1"/>
  <c r="W425" i="3" s="1"/>
  <c r="M342" i="3"/>
  <c r="J342" i="3"/>
  <c r="F342" i="3"/>
  <c r="P341" i="3"/>
  <c r="AL426" i="3" l="1"/>
  <c r="C427" i="3"/>
  <c r="I426" i="3"/>
  <c r="G426" i="3" s="1"/>
  <c r="W426" i="3" s="1"/>
  <c r="AD426" i="3"/>
  <c r="T426" i="3"/>
  <c r="M341" i="3"/>
  <c r="J341" i="3"/>
  <c r="F341" i="3"/>
  <c r="P340" i="3"/>
  <c r="T427" i="3" l="1"/>
  <c r="AL427" i="3"/>
  <c r="I427" i="3"/>
  <c r="G427" i="3" s="1"/>
  <c r="W427" i="3" s="1"/>
  <c r="C428" i="3"/>
  <c r="AD427" i="3"/>
  <c r="M340" i="3"/>
  <c r="J340" i="3"/>
  <c r="F340" i="3"/>
  <c r="I428" i="3" l="1"/>
  <c r="G428" i="3" s="1"/>
  <c r="W428" i="3" s="1"/>
  <c r="AL428" i="3"/>
  <c r="C429" i="3"/>
  <c r="AD428" i="3"/>
  <c r="T428" i="3"/>
  <c r="S339" i="3"/>
  <c r="S340" i="3" s="1"/>
  <c r="S341" i="3" s="1"/>
  <c r="S342" i="3" s="1"/>
  <c r="S343" i="3" s="1"/>
  <c r="S344" i="3" s="1"/>
  <c r="S345" i="3" s="1"/>
  <c r="S346" i="3" s="1"/>
  <c r="S347" i="3" s="1"/>
  <c r="S348" i="3" s="1"/>
  <c r="S349" i="3" s="1"/>
  <c r="S350" i="3" s="1"/>
  <c r="S351" i="3" s="1"/>
  <c r="S352" i="3" s="1"/>
  <c r="S353" i="3" s="1"/>
  <c r="S354" i="3" s="1"/>
  <c r="S355" i="3" s="1"/>
  <c r="S356" i="3" s="1"/>
  <c r="S357" i="3" s="1"/>
  <c r="S358" i="3" s="1"/>
  <c r="P339" i="3"/>
  <c r="M339" i="3"/>
  <c r="J339" i="3"/>
  <c r="F339" i="3"/>
  <c r="P338" i="3"/>
  <c r="M338" i="3"/>
  <c r="J338" i="3"/>
  <c r="F338" i="3"/>
  <c r="B1" i="12"/>
  <c r="P337" i="3"/>
  <c r="AD429" i="3" l="1"/>
  <c r="T429" i="3"/>
  <c r="I429" i="3"/>
  <c r="G429" i="3" s="1"/>
  <c r="W429" i="3" s="1"/>
  <c r="AL429" i="3"/>
  <c r="C430" i="3"/>
  <c r="M337" i="3"/>
  <c r="J337" i="3"/>
  <c r="F337" i="3"/>
  <c r="P336" i="3"/>
  <c r="M336" i="3"/>
  <c r="J336" i="3"/>
  <c r="F336" i="3"/>
  <c r="P335" i="3"/>
  <c r="M335" i="3"/>
  <c r="J335" i="3"/>
  <c r="F335" i="3"/>
  <c r="C431" i="3" l="1"/>
  <c r="I430" i="3"/>
  <c r="G430" i="3" s="1"/>
  <c r="W430" i="3" s="1"/>
  <c r="AL430" i="3"/>
  <c r="AD430" i="3"/>
  <c r="T430" i="3"/>
  <c r="P334" i="3"/>
  <c r="M334" i="3"/>
  <c r="J334" i="3"/>
  <c r="F334" i="3"/>
  <c r="I431" i="3" l="1"/>
  <c r="G431" i="3" s="1"/>
  <c r="W431" i="3" s="1"/>
  <c r="T431" i="3"/>
  <c r="AL431" i="3"/>
  <c r="C432" i="3"/>
  <c r="AD431" i="3"/>
  <c r="P333" i="3"/>
  <c r="M333" i="3"/>
  <c r="J333" i="3"/>
  <c r="F333" i="3"/>
  <c r="P332" i="3"/>
  <c r="AD432" i="3" l="1"/>
  <c r="I432" i="3"/>
  <c r="G432" i="3" s="1"/>
  <c r="W432" i="3" s="1"/>
  <c r="AL432" i="3"/>
  <c r="C433" i="3"/>
  <c r="T432" i="3"/>
  <c r="M332" i="3"/>
  <c r="J332" i="3"/>
  <c r="F332" i="3"/>
  <c r="P331" i="3"/>
  <c r="M331" i="3"/>
  <c r="J331" i="3"/>
  <c r="F331" i="3"/>
  <c r="P330" i="3"/>
  <c r="I433" i="3" l="1"/>
  <c r="G433" i="3" s="1"/>
  <c r="W433" i="3" s="1"/>
  <c r="AD433" i="3"/>
  <c r="AL433" i="3"/>
  <c r="C434" i="3"/>
  <c r="T433" i="3"/>
  <c r="M330" i="3"/>
  <c r="J330" i="3"/>
  <c r="F330" i="3"/>
  <c r="P329" i="3"/>
  <c r="AL434" i="3" l="1"/>
  <c r="C435" i="3"/>
  <c r="AD434" i="3"/>
  <c r="T434" i="3"/>
  <c r="I434" i="3"/>
  <c r="G434" i="3" s="1"/>
  <c r="W434" i="3" s="1"/>
  <c r="M329" i="3"/>
  <c r="J329" i="3"/>
  <c r="F329" i="3"/>
  <c r="C436" i="3" l="1"/>
  <c r="T435" i="3"/>
  <c r="I435" i="3"/>
  <c r="G435" i="3" s="1"/>
  <c r="W435" i="3" s="1"/>
  <c r="AL435" i="3"/>
  <c r="AD435" i="3"/>
  <c r="P328" i="3"/>
  <c r="M328" i="3"/>
  <c r="J328" i="3"/>
  <c r="F328" i="3"/>
  <c r="C437" i="3" l="1"/>
  <c r="I436" i="3"/>
  <c r="G436" i="3" s="1"/>
  <c r="W436" i="3" s="1"/>
  <c r="AL436" i="3"/>
  <c r="AD436" i="3"/>
  <c r="T436" i="3"/>
  <c r="P327" i="3"/>
  <c r="M327" i="3"/>
  <c r="J327" i="3"/>
  <c r="F327" i="3"/>
  <c r="P326" i="3"/>
  <c r="C438" i="3" l="1"/>
  <c r="I437" i="3"/>
  <c r="G437" i="3" s="1"/>
  <c r="W437" i="3" s="1"/>
  <c r="AL437" i="3"/>
  <c r="AD437" i="3"/>
  <c r="T437" i="3"/>
  <c r="M326" i="3"/>
  <c r="J326" i="3"/>
  <c r="F326" i="3"/>
  <c r="P325" i="3"/>
  <c r="M325" i="3"/>
  <c r="J325" i="3"/>
  <c r="F325" i="3"/>
  <c r="P324" i="3"/>
  <c r="M324" i="3"/>
  <c r="J324" i="3"/>
  <c r="F324" i="3"/>
  <c r="P323" i="3"/>
  <c r="C439" i="3" l="1"/>
  <c r="AL438" i="3"/>
  <c r="AD438" i="3"/>
  <c r="T438" i="3"/>
  <c r="I438" i="3"/>
  <c r="G438" i="3" s="1"/>
  <c r="W438" i="3" s="1"/>
  <c r="M323" i="3"/>
  <c r="J323" i="3"/>
  <c r="F323" i="3"/>
  <c r="P322" i="3"/>
  <c r="M322" i="3"/>
  <c r="J322" i="3"/>
  <c r="F322" i="3"/>
  <c r="I439" i="3" l="1"/>
  <c r="G439" i="3" s="1"/>
  <c r="W439" i="3" s="1"/>
  <c r="AD439" i="3"/>
  <c r="C440" i="3"/>
  <c r="AL439" i="3"/>
  <c r="T439" i="3"/>
  <c r="P321" i="3"/>
  <c r="M321" i="3"/>
  <c r="J321" i="3"/>
  <c r="F321" i="3"/>
  <c r="S320" i="3"/>
  <c r="S321" i="3" s="1"/>
  <c r="S322" i="3" s="1"/>
  <c r="S323" i="3" s="1"/>
  <c r="S324" i="3" s="1"/>
  <c r="S325" i="3" s="1"/>
  <c r="S326" i="3" s="1"/>
  <c r="S327" i="3" s="1"/>
  <c r="S328" i="3" s="1"/>
  <c r="S329" i="3" s="1"/>
  <c r="S330" i="3" s="1"/>
  <c r="S331" i="3" s="1"/>
  <c r="S332" i="3" s="1"/>
  <c r="S333" i="3" s="1"/>
  <c r="S334" i="3" s="1"/>
  <c r="S335" i="3" s="1"/>
  <c r="S336" i="3" s="1"/>
  <c r="S337" i="3" s="1"/>
  <c r="S338" i="3" s="1"/>
  <c r="P320" i="3"/>
  <c r="M320" i="3"/>
  <c r="J320" i="3"/>
  <c r="F320" i="3"/>
  <c r="I440" i="3" l="1"/>
  <c r="G440" i="3" s="1"/>
  <c r="W440" i="3" s="1"/>
  <c r="AL440" i="3"/>
  <c r="AD440" i="3"/>
  <c r="T440" i="3"/>
  <c r="C441" i="3"/>
  <c r="P319" i="3"/>
  <c r="M319" i="3"/>
  <c r="J319" i="3"/>
  <c r="F319" i="3"/>
  <c r="C442" i="3" l="1"/>
  <c r="I441" i="3"/>
  <c r="G441" i="3" s="1"/>
  <c r="W441" i="3" s="1"/>
  <c r="AL441" i="3"/>
  <c r="AD441" i="3"/>
  <c r="T441" i="3"/>
  <c r="P318" i="3"/>
  <c r="M318" i="3"/>
  <c r="J318" i="3"/>
  <c r="F318" i="3"/>
  <c r="C443" i="3" l="1"/>
  <c r="I442" i="3"/>
  <c r="G442" i="3" s="1"/>
  <c r="W442" i="3" s="1"/>
  <c r="AL442" i="3"/>
  <c r="AD442" i="3"/>
  <c r="T442" i="3"/>
  <c r="P317" i="3"/>
  <c r="C444" i="3" l="1"/>
  <c r="AL443" i="3"/>
  <c r="AD443" i="3"/>
  <c r="T443" i="3"/>
  <c r="I443" i="3"/>
  <c r="G443" i="3" s="1"/>
  <c r="W443" i="3" s="1"/>
  <c r="M317" i="3"/>
  <c r="J317" i="3"/>
  <c r="F317" i="3"/>
  <c r="P316" i="3"/>
  <c r="C445" i="3" l="1"/>
  <c r="AD444" i="3"/>
  <c r="T444" i="3"/>
  <c r="I444" i="3"/>
  <c r="G444" i="3" s="1"/>
  <c r="W444" i="3" s="1"/>
  <c r="AL444" i="3"/>
  <c r="M316" i="3"/>
  <c r="J316" i="3"/>
  <c r="F316" i="3"/>
  <c r="P315" i="3"/>
  <c r="C446" i="3" l="1"/>
  <c r="AD445" i="3"/>
  <c r="T445" i="3"/>
  <c r="T446" i="3" s="1"/>
  <c r="I445" i="3"/>
  <c r="G445" i="3" s="1"/>
  <c r="W445" i="3" s="1"/>
  <c r="AL445" i="3"/>
  <c r="M315" i="3"/>
  <c r="J315" i="3"/>
  <c r="F315" i="3"/>
  <c r="P314" i="3"/>
  <c r="M314" i="3"/>
  <c r="J314" i="3"/>
  <c r="F314" i="3"/>
  <c r="C447" i="3" l="1"/>
  <c r="I446" i="3"/>
  <c r="G446" i="3" s="1"/>
  <c r="W446" i="3" s="1"/>
  <c r="AL446" i="3"/>
  <c r="AD446" i="3"/>
  <c r="P313" i="3"/>
  <c r="M313" i="3"/>
  <c r="J313" i="3"/>
  <c r="F313" i="3"/>
  <c r="P312" i="3"/>
  <c r="M312" i="3"/>
  <c r="J312" i="3"/>
  <c r="F312" i="3"/>
  <c r="C448" i="3" l="1"/>
  <c r="I447" i="3"/>
  <c r="G447" i="3" s="1"/>
  <c r="W447" i="3" s="1"/>
  <c r="AL447" i="3"/>
  <c r="AD447" i="3"/>
  <c r="T447" i="3"/>
  <c r="T448" i="3" s="1"/>
  <c r="P311" i="3"/>
  <c r="M311" i="3"/>
  <c r="J311" i="3"/>
  <c r="F311" i="3"/>
  <c r="P310" i="3"/>
  <c r="C449" i="3" l="1"/>
  <c r="I448" i="3"/>
  <c r="G448" i="3" s="1"/>
  <c r="W448" i="3" s="1"/>
  <c r="AL448" i="3"/>
  <c r="AD448" i="3"/>
  <c r="M310" i="3"/>
  <c r="J310" i="3"/>
  <c r="F310" i="3"/>
  <c r="P309" i="3"/>
  <c r="C450" i="3" l="1"/>
  <c r="I449" i="3"/>
  <c r="G449" i="3" s="1"/>
  <c r="W449" i="3" s="1"/>
  <c r="AL449" i="3"/>
  <c r="AD449" i="3"/>
  <c r="T449" i="3"/>
  <c r="M309" i="3"/>
  <c r="J309" i="3"/>
  <c r="F309" i="3"/>
  <c r="P308" i="3"/>
  <c r="AL450" i="3" l="1"/>
  <c r="C451" i="3"/>
  <c r="AD450" i="3"/>
  <c r="I450" i="3"/>
  <c r="G450" i="3" s="1"/>
  <c r="W450" i="3" s="1"/>
  <c r="T450" i="3"/>
  <c r="M308" i="3"/>
  <c r="J308" i="3"/>
  <c r="F308" i="3"/>
  <c r="P307" i="3"/>
  <c r="AD451" i="3" l="1"/>
  <c r="T451" i="3"/>
  <c r="I451" i="3"/>
  <c r="G451" i="3" s="1"/>
  <c r="W451" i="3" s="1"/>
  <c r="C452" i="3"/>
  <c r="AL451" i="3"/>
  <c r="M307" i="3"/>
  <c r="J307" i="3"/>
  <c r="F307" i="3"/>
  <c r="P306" i="3"/>
  <c r="M306" i="3"/>
  <c r="J306" i="3"/>
  <c r="F306" i="3"/>
  <c r="P305" i="3"/>
  <c r="M305" i="3"/>
  <c r="J305" i="3"/>
  <c r="F305" i="3"/>
  <c r="I452" i="3" l="1"/>
  <c r="G452" i="3" s="1"/>
  <c r="W452" i="3" s="1"/>
  <c r="AL452" i="3"/>
  <c r="C453" i="3"/>
  <c r="T452" i="3"/>
  <c r="AD452" i="3"/>
  <c r="P304" i="3"/>
  <c r="M304" i="3"/>
  <c r="J304" i="3"/>
  <c r="F304" i="3"/>
  <c r="P303" i="3"/>
  <c r="M303" i="3"/>
  <c r="J303" i="3"/>
  <c r="F303" i="3"/>
  <c r="P302" i="3"/>
  <c r="M302" i="3"/>
  <c r="J302" i="3"/>
  <c r="F302" i="3"/>
  <c r="P301" i="3"/>
  <c r="M301" i="3"/>
  <c r="J301" i="3"/>
  <c r="F301" i="3"/>
  <c r="P300" i="3"/>
  <c r="I453" i="3" l="1"/>
  <c r="G453" i="3" s="1"/>
  <c r="W453" i="3" s="1"/>
  <c r="AD453" i="3"/>
  <c r="C454" i="3"/>
  <c r="AL453" i="3"/>
  <c r="T453" i="3"/>
  <c r="M300" i="3"/>
  <c r="J300" i="3"/>
  <c r="F300" i="3"/>
  <c r="P299" i="3"/>
  <c r="AL454" i="3" l="1"/>
  <c r="C455" i="3"/>
  <c r="AD454" i="3"/>
  <c r="T454" i="3"/>
  <c r="I454" i="3"/>
  <c r="G454" i="3" s="1"/>
  <c r="W454" i="3" s="1"/>
  <c r="M299" i="3"/>
  <c r="J299" i="3"/>
  <c r="F299" i="3"/>
  <c r="G11" i="1"/>
  <c r="S298" i="3"/>
  <c r="S299" i="3" s="1"/>
  <c r="S300" i="3" s="1"/>
  <c r="S301" i="3" s="1"/>
  <c r="S302" i="3" s="1"/>
  <c r="S303" i="3" s="1"/>
  <c r="S304" i="3" s="1"/>
  <c r="S305" i="3" s="1"/>
  <c r="S306" i="3" s="1"/>
  <c r="S307" i="3" s="1"/>
  <c r="S308" i="3" s="1"/>
  <c r="S309" i="3" s="1"/>
  <c r="S310" i="3" s="1"/>
  <c r="S311" i="3" s="1"/>
  <c r="S312" i="3" s="1"/>
  <c r="S313" i="3" s="1"/>
  <c r="S314" i="3" s="1"/>
  <c r="S315" i="3" s="1"/>
  <c r="S316" i="3" s="1"/>
  <c r="S317" i="3" s="1"/>
  <c r="S318" i="3" s="1"/>
  <c r="S319" i="3" s="1"/>
  <c r="P298" i="3"/>
  <c r="M298" i="3"/>
  <c r="J298" i="3"/>
  <c r="F298" i="3"/>
  <c r="AD455" i="3" l="1"/>
  <c r="T455" i="3"/>
  <c r="I455" i="3"/>
  <c r="G455" i="3" s="1"/>
  <c r="W455" i="3" s="1"/>
  <c r="C456" i="3"/>
  <c r="AL455" i="3"/>
  <c r="P297" i="3"/>
  <c r="M297" i="3"/>
  <c r="J297" i="3"/>
  <c r="F297" i="3"/>
  <c r="P296" i="3"/>
  <c r="M296" i="3"/>
  <c r="J296" i="3"/>
  <c r="F296" i="3"/>
  <c r="P295" i="3"/>
  <c r="I456" i="3" l="1"/>
  <c r="G456" i="3" s="1"/>
  <c r="W456" i="3" s="1"/>
  <c r="AL456" i="3"/>
  <c r="C457" i="3"/>
  <c r="T456" i="3"/>
  <c r="AD456" i="3"/>
  <c r="M295" i="3"/>
  <c r="J295" i="3"/>
  <c r="F295" i="3"/>
  <c r="P294" i="3"/>
  <c r="I457" i="3" l="1"/>
  <c r="G457" i="3" s="1"/>
  <c r="W457" i="3" s="1"/>
  <c r="AL457" i="3"/>
  <c r="AD457" i="3"/>
  <c r="C458" i="3"/>
  <c r="T457" i="3"/>
  <c r="M294" i="3"/>
  <c r="J294" i="3"/>
  <c r="F294" i="3"/>
  <c r="P293" i="3"/>
  <c r="I458" i="3" l="1"/>
  <c r="G458" i="3" s="1"/>
  <c r="W458" i="3" s="1"/>
  <c r="AL458" i="3"/>
  <c r="C459" i="3"/>
  <c r="AD458" i="3"/>
  <c r="T458" i="3"/>
  <c r="M293" i="3"/>
  <c r="J293" i="3"/>
  <c r="F293" i="3"/>
  <c r="P292" i="3"/>
  <c r="M292" i="3"/>
  <c r="J292" i="3"/>
  <c r="F292" i="3"/>
  <c r="P291" i="3"/>
  <c r="M291" i="3"/>
  <c r="J291" i="3"/>
  <c r="F291" i="3"/>
  <c r="P290" i="3"/>
  <c r="M290" i="3"/>
  <c r="J290" i="3"/>
  <c r="F290" i="3"/>
  <c r="P289" i="3"/>
  <c r="M289" i="3"/>
  <c r="J289" i="3"/>
  <c r="F289" i="3"/>
  <c r="AL459" i="3" l="1"/>
  <c r="C460" i="3"/>
  <c r="AD459" i="3"/>
  <c r="T459" i="3"/>
  <c r="I459" i="3"/>
  <c r="G459" i="3" s="1"/>
  <c r="W459" i="3" s="1"/>
  <c r="P288" i="3"/>
  <c r="F288" i="3"/>
  <c r="J288" i="3"/>
  <c r="M288" i="3"/>
  <c r="AD460" i="3" l="1"/>
  <c r="T460" i="3"/>
  <c r="I460" i="3"/>
  <c r="G460" i="3" s="1"/>
  <c r="W460" i="3" s="1"/>
  <c r="C461" i="3"/>
  <c r="AL460" i="3"/>
  <c r="P287" i="3"/>
  <c r="AL461" i="3" l="1"/>
  <c r="T461" i="3"/>
  <c r="I461" i="3"/>
  <c r="G461" i="3" s="1"/>
  <c r="W461" i="3" s="1"/>
  <c r="C462" i="3"/>
  <c r="AD461" i="3"/>
  <c r="M287" i="3"/>
  <c r="J287" i="3"/>
  <c r="F287" i="3"/>
  <c r="P286" i="3"/>
  <c r="I462" i="3" l="1"/>
  <c r="G462" i="3" s="1"/>
  <c r="W462" i="3" s="1"/>
  <c r="AL462" i="3"/>
  <c r="C463" i="3"/>
  <c r="AD462" i="3"/>
  <c r="T462" i="3"/>
  <c r="M286" i="3"/>
  <c r="J286" i="3"/>
  <c r="F286" i="3"/>
  <c r="P285" i="3"/>
  <c r="AL463" i="3" l="1"/>
  <c r="C464" i="3"/>
  <c r="AD463" i="3"/>
  <c r="T463" i="3"/>
  <c r="I463" i="3"/>
  <c r="G463" i="3" s="1"/>
  <c r="W463" i="3" s="1"/>
  <c r="M285" i="3"/>
  <c r="J285" i="3"/>
  <c r="F285" i="3"/>
  <c r="P284" i="3"/>
  <c r="M284" i="3"/>
  <c r="J284" i="3"/>
  <c r="F284" i="3"/>
  <c r="T464" i="3" l="1"/>
  <c r="AL464" i="3"/>
  <c r="AD464" i="3"/>
  <c r="I464" i="3"/>
  <c r="G464" i="3" s="1"/>
  <c r="W464" i="3" s="1"/>
  <c r="C465" i="3"/>
  <c r="P283" i="3"/>
  <c r="M283" i="3"/>
  <c r="J283" i="3"/>
  <c r="F283" i="3"/>
  <c r="P282" i="3"/>
  <c r="M282" i="3"/>
  <c r="J282" i="3"/>
  <c r="F282" i="3"/>
  <c r="P281" i="3"/>
  <c r="M281" i="3"/>
  <c r="J281" i="3"/>
  <c r="F281" i="3"/>
  <c r="P280" i="3"/>
  <c r="M280" i="3"/>
  <c r="J280" i="3"/>
  <c r="F280" i="3"/>
  <c r="P279" i="3"/>
  <c r="M279" i="3"/>
  <c r="J279" i="3"/>
  <c r="F279" i="3"/>
  <c r="C466" i="3" l="1"/>
  <c r="AD465" i="3"/>
  <c r="T465" i="3"/>
  <c r="I465" i="3"/>
  <c r="G465" i="3" s="1"/>
  <c r="W465" i="3" s="1"/>
  <c r="AL465" i="3"/>
  <c r="P278" i="3"/>
  <c r="S278" i="3"/>
  <c r="S279" i="3" s="1"/>
  <c r="S280" i="3" s="1"/>
  <c r="S281" i="3" s="1"/>
  <c r="S282" i="3" s="1"/>
  <c r="S283" i="3" s="1"/>
  <c r="S284" i="3" s="1"/>
  <c r="S285" i="3" s="1"/>
  <c r="S286" i="3" s="1"/>
  <c r="S287" i="3" s="1"/>
  <c r="S288" i="3" s="1"/>
  <c r="S289" i="3" s="1"/>
  <c r="S290" i="3" s="1"/>
  <c r="S291" i="3" s="1"/>
  <c r="S292" i="3" s="1"/>
  <c r="S293" i="3" s="1"/>
  <c r="S294" i="3" s="1"/>
  <c r="S295" i="3" s="1"/>
  <c r="S296" i="3" s="1"/>
  <c r="S297" i="3" s="1"/>
  <c r="M278" i="3"/>
  <c r="J278" i="3"/>
  <c r="F278" i="3"/>
  <c r="P277" i="3"/>
  <c r="I466" i="3" l="1"/>
  <c r="G466" i="3" s="1"/>
  <c r="W466" i="3" s="1"/>
  <c r="C467" i="3"/>
  <c r="AL466" i="3"/>
  <c r="AD466" i="3"/>
  <c r="T466" i="3"/>
  <c r="M277" i="3"/>
  <c r="J277" i="3"/>
  <c r="F277" i="3"/>
  <c r="P276" i="3"/>
  <c r="I467" i="3" l="1"/>
  <c r="G467" i="3" s="1"/>
  <c r="W467" i="3" s="1"/>
  <c r="C468" i="3"/>
  <c r="AL467" i="3"/>
  <c r="AD467" i="3"/>
  <c r="T467" i="3"/>
  <c r="T468" i="3" s="1"/>
  <c r="M276" i="3"/>
  <c r="J276" i="3"/>
  <c r="F276" i="3"/>
  <c r="P275" i="3"/>
  <c r="M275" i="3"/>
  <c r="J275" i="3"/>
  <c r="F275" i="3"/>
  <c r="P274" i="3"/>
  <c r="M274" i="3"/>
  <c r="J274" i="3"/>
  <c r="F274" i="3"/>
  <c r="P273" i="3"/>
  <c r="M273" i="3"/>
  <c r="J273" i="3"/>
  <c r="F273" i="3"/>
  <c r="P272" i="3"/>
  <c r="AL468" i="3" l="1"/>
  <c r="AD468" i="3"/>
  <c r="C469" i="3"/>
  <c r="I468" i="3"/>
  <c r="G468" i="3" s="1"/>
  <c r="W468" i="3" s="1"/>
  <c r="M272" i="3"/>
  <c r="J272" i="3"/>
  <c r="F272" i="3"/>
  <c r="P271" i="3"/>
  <c r="M271" i="3"/>
  <c r="J271" i="3"/>
  <c r="F271" i="3"/>
  <c r="P270" i="3"/>
  <c r="M270" i="3"/>
  <c r="J270" i="3"/>
  <c r="F270" i="3"/>
  <c r="P269" i="3"/>
  <c r="M269" i="3"/>
  <c r="J269" i="3"/>
  <c r="F269" i="3"/>
  <c r="P268" i="3"/>
  <c r="M268" i="3"/>
  <c r="J268" i="3"/>
  <c r="F268" i="3"/>
  <c r="P267" i="3"/>
  <c r="M267" i="3"/>
  <c r="J267" i="3"/>
  <c r="F267" i="3"/>
  <c r="P266" i="3"/>
  <c r="AL469" i="3" l="1"/>
  <c r="AD469" i="3"/>
  <c r="C470" i="3"/>
  <c r="I469" i="3"/>
  <c r="G469" i="3" s="1"/>
  <c r="W469" i="3" s="1"/>
  <c r="T469" i="3"/>
  <c r="T470" i="3" s="1"/>
  <c r="M266" i="3"/>
  <c r="J266" i="3"/>
  <c r="F266" i="3"/>
  <c r="P265" i="3"/>
  <c r="M265" i="3"/>
  <c r="J265" i="3"/>
  <c r="F265" i="3"/>
  <c r="P264" i="3"/>
  <c r="M264" i="3"/>
  <c r="J264" i="3"/>
  <c r="F264" i="3"/>
  <c r="P263" i="3"/>
  <c r="M263" i="3"/>
  <c r="J263" i="3"/>
  <c r="F263" i="3"/>
  <c r="P262" i="3"/>
  <c r="M262" i="3"/>
  <c r="J262" i="3"/>
  <c r="F262" i="3"/>
  <c r="P261" i="3"/>
  <c r="M261" i="3"/>
  <c r="J261" i="3"/>
  <c r="F261" i="3"/>
  <c r="P260" i="3"/>
  <c r="M260" i="3"/>
  <c r="J260" i="3"/>
  <c r="F260" i="3"/>
  <c r="P259" i="3"/>
  <c r="M259" i="3"/>
  <c r="J259" i="3"/>
  <c r="F259" i="3"/>
  <c r="AL470" i="3" l="1"/>
  <c r="AD470" i="3"/>
  <c r="I470" i="3"/>
  <c r="G470" i="3" s="1"/>
  <c r="W470" i="3" s="1"/>
  <c r="C471" i="3"/>
  <c r="S258" i="3"/>
  <c r="S259" i="3" s="1"/>
  <c r="S260" i="3" s="1"/>
  <c r="S261" i="3" s="1"/>
  <c r="S262" i="3" s="1"/>
  <c r="S263" i="3" s="1"/>
  <c r="S264" i="3" s="1"/>
  <c r="S265" i="3" s="1"/>
  <c r="S266" i="3" s="1"/>
  <c r="S267" i="3" s="1"/>
  <c r="S268" i="3" s="1"/>
  <c r="S269" i="3" s="1"/>
  <c r="S270" i="3" s="1"/>
  <c r="S271" i="3" s="1"/>
  <c r="S272" i="3" s="1"/>
  <c r="S273" i="3" s="1"/>
  <c r="S274" i="3" s="1"/>
  <c r="S275" i="3" s="1"/>
  <c r="S276" i="3" s="1"/>
  <c r="S277" i="3" s="1"/>
  <c r="P258" i="3"/>
  <c r="M258" i="3"/>
  <c r="J258" i="3"/>
  <c r="F258" i="3"/>
  <c r="P257" i="3"/>
  <c r="M257" i="3"/>
  <c r="J257" i="3"/>
  <c r="F257" i="3"/>
  <c r="P256" i="3"/>
  <c r="M256" i="3"/>
  <c r="J256" i="3"/>
  <c r="F256" i="3"/>
  <c r="P255" i="3"/>
  <c r="M255" i="3"/>
  <c r="J255" i="3"/>
  <c r="F255" i="3"/>
  <c r="P254" i="3"/>
  <c r="M254" i="3"/>
  <c r="J254" i="3"/>
  <c r="F254" i="3"/>
  <c r="P253" i="3"/>
  <c r="T471" i="3" l="1"/>
  <c r="C472" i="3"/>
  <c r="AL471" i="3"/>
  <c r="AD471" i="3"/>
  <c r="I471" i="3"/>
  <c r="G471" i="3" s="1"/>
  <c r="W471" i="3" s="1"/>
  <c r="M253" i="3"/>
  <c r="J253" i="3"/>
  <c r="F253" i="3"/>
  <c r="P252" i="3"/>
  <c r="I472" i="3" l="1"/>
  <c r="G472" i="3" s="1"/>
  <c r="W472" i="3" s="1"/>
  <c r="AL472" i="3"/>
  <c r="C473" i="3"/>
  <c r="AD472" i="3"/>
  <c r="T472" i="3"/>
  <c r="M252" i="3"/>
  <c r="J252" i="3"/>
  <c r="F252" i="3"/>
  <c r="I473" i="3" l="1"/>
  <c r="G473" i="3" s="1"/>
  <c r="W473" i="3" s="1"/>
  <c r="AL473" i="3"/>
  <c r="C474" i="3"/>
  <c r="AD473" i="3"/>
  <c r="T473" i="3"/>
  <c r="P251" i="3"/>
  <c r="M251" i="3"/>
  <c r="J251" i="3"/>
  <c r="F251" i="3"/>
  <c r="P250" i="3"/>
  <c r="M250" i="3"/>
  <c r="J250" i="3"/>
  <c r="F250" i="3"/>
  <c r="P249" i="3"/>
  <c r="M249" i="3"/>
  <c r="J249" i="3"/>
  <c r="F249" i="3"/>
  <c r="AL474" i="3" l="1"/>
  <c r="C475" i="3"/>
  <c r="AD474" i="3"/>
  <c r="T474" i="3"/>
  <c r="I474" i="3"/>
  <c r="G474" i="3" s="1"/>
  <c r="W474" i="3" s="1"/>
  <c r="P248" i="3"/>
  <c r="T475" i="3" l="1"/>
  <c r="I475" i="3"/>
  <c r="G475" i="3" s="1"/>
  <c r="W475" i="3" s="1"/>
  <c r="AL475" i="3"/>
  <c r="C476" i="3"/>
  <c r="AD475" i="3"/>
  <c r="M248" i="3"/>
  <c r="J248" i="3"/>
  <c r="F248" i="3"/>
  <c r="P247" i="3"/>
  <c r="M247" i="3"/>
  <c r="J247" i="3"/>
  <c r="F247" i="3"/>
  <c r="P246" i="3"/>
  <c r="M246" i="3"/>
  <c r="J246" i="3"/>
  <c r="F246" i="3"/>
  <c r="P245" i="3"/>
  <c r="M245" i="3"/>
  <c r="J245" i="3"/>
  <c r="F245" i="3"/>
  <c r="P244" i="3"/>
  <c r="M244" i="3"/>
  <c r="J244" i="3"/>
  <c r="F244" i="3"/>
  <c r="P243" i="3"/>
  <c r="M243" i="3"/>
  <c r="J243" i="3"/>
  <c r="F243" i="3"/>
  <c r="P242" i="3"/>
  <c r="M242" i="3"/>
  <c r="J242" i="3"/>
  <c r="F242" i="3"/>
  <c r="P241" i="3"/>
  <c r="M241" i="3"/>
  <c r="J241" i="3"/>
  <c r="F241" i="3"/>
  <c r="P240" i="3"/>
  <c r="M240" i="3"/>
  <c r="J240" i="3"/>
  <c r="F240" i="3"/>
  <c r="P239" i="3"/>
  <c r="I476" i="3" l="1"/>
  <c r="G476" i="3" s="1"/>
  <c r="W476" i="3" s="1"/>
  <c r="AL476" i="3"/>
  <c r="C477" i="3"/>
  <c r="AD476" i="3"/>
  <c r="T476" i="3"/>
  <c r="AB79" i="3"/>
  <c r="M239" i="3"/>
  <c r="J239" i="3"/>
  <c r="F239" i="3"/>
  <c r="P238" i="3"/>
  <c r="M238" i="3"/>
  <c r="J238" i="3"/>
  <c r="F238" i="3"/>
  <c r="S237" i="3"/>
  <c r="S238" i="3" s="1"/>
  <c r="S239" i="3" s="1"/>
  <c r="S240" i="3" s="1"/>
  <c r="S241" i="3" s="1"/>
  <c r="S242" i="3" s="1"/>
  <c r="S243" i="3" s="1"/>
  <c r="S244" i="3" s="1"/>
  <c r="S245" i="3" s="1"/>
  <c r="S246" i="3" s="1"/>
  <c r="S247" i="3" s="1"/>
  <c r="S248" i="3" s="1"/>
  <c r="S249" i="3" s="1"/>
  <c r="S250" i="3" s="1"/>
  <c r="S251" i="3" s="1"/>
  <c r="S252" i="3" s="1"/>
  <c r="S253" i="3" s="1"/>
  <c r="S254" i="3" s="1"/>
  <c r="S255" i="3" s="1"/>
  <c r="S256" i="3" s="1"/>
  <c r="S257" i="3" s="1"/>
  <c r="P237" i="3"/>
  <c r="M237" i="3"/>
  <c r="J237" i="3"/>
  <c r="F237" i="3"/>
  <c r="P236" i="3"/>
  <c r="M236" i="3"/>
  <c r="J236" i="3"/>
  <c r="F236" i="3"/>
  <c r="P235" i="3"/>
  <c r="M235" i="3"/>
  <c r="J235" i="3"/>
  <c r="F235" i="3"/>
  <c r="P234" i="3"/>
  <c r="M234" i="3"/>
  <c r="J234" i="3"/>
  <c r="F234" i="3"/>
  <c r="P233" i="3"/>
  <c r="M233" i="3"/>
  <c r="J233" i="3"/>
  <c r="F233" i="3"/>
  <c r="P232" i="3"/>
  <c r="M232" i="3"/>
  <c r="J232" i="3"/>
  <c r="F232" i="3"/>
  <c r="P231" i="3"/>
  <c r="P230" i="3"/>
  <c r="M231" i="3"/>
  <c r="J231" i="3"/>
  <c r="F231" i="3"/>
  <c r="M230" i="3"/>
  <c r="J230" i="3"/>
  <c r="F230" i="3"/>
  <c r="P229" i="3"/>
  <c r="I477" i="3" l="1"/>
  <c r="G477" i="3" s="1"/>
  <c r="W477" i="3" s="1"/>
  <c r="AL477" i="3"/>
  <c r="C478" i="3"/>
  <c r="AD477" i="3"/>
  <c r="T477" i="3"/>
  <c r="M229" i="3"/>
  <c r="J229" i="3"/>
  <c r="F229" i="3"/>
  <c r="P228" i="3"/>
  <c r="M228" i="3"/>
  <c r="J228" i="3"/>
  <c r="F228" i="3"/>
  <c r="P227" i="3"/>
  <c r="M227" i="3"/>
  <c r="J227" i="3"/>
  <c r="F227" i="3"/>
  <c r="P226" i="3"/>
  <c r="M226" i="3"/>
  <c r="J226" i="3"/>
  <c r="F226" i="3"/>
  <c r="P225" i="3"/>
  <c r="M225" i="3"/>
  <c r="J225" i="3"/>
  <c r="F225" i="3"/>
  <c r="P224" i="3"/>
  <c r="M224" i="3"/>
  <c r="J224" i="3"/>
  <c r="F224" i="3"/>
  <c r="P223" i="3"/>
  <c r="M223" i="3"/>
  <c r="J223" i="3"/>
  <c r="F223" i="3"/>
  <c r="P222" i="3"/>
  <c r="AL478" i="3" l="1"/>
  <c r="C479" i="3"/>
  <c r="AD478" i="3"/>
  <c r="T478" i="3"/>
  <c r="I478" i="3"/>
  <c r="G478" i="3" s="1"/>
  <c r="W478" i="3" s="1"/>
  <c r="M222" i="3"/>
  <c r="J222" i="3"/>
  <c r="F222" i="3"/>
  <c r="P221" i="3"/>
  <c r="F221" i="3"/>
  <c r="J221" i="3"/>
  <c r="M221" i="3"/>
  <c r="P220" i="3"/>
  <c r="T479" i="3" l="1"/>
  <c r="C480" i="3"/>
  <c r="AL479" i="3"/>
  <c r="I479" i="3"/>
  <c r="G479" i="3" s="1"/>
  <c r="W479" i="3" s="1"/>
  <c r="AD479" i="3"/>
  <c r="M220" i="3"/>
  <c r="J220" i="3"/>
  <c r="F220" i="3"/>
  <c r="P219" i="3"/>
  <c r="M219" i="3"/>
  <c r="J219" i="3"/>
  <c r="F219" i="3"/>
  <c r="P218" i="3"/>
  <c r="N10" i="1"/>
  <c r="K23" i="1" a="1"/>
  <c r="K23" i="1" s="1"/>
  <c r="M218" i="3"/>
  <c r="J218" i="3"/>
  <c r="F218" i="3"/>
  <c r="P217" i="3"/>
  <c r="S217" i="3"/>
  <c r="S218" i="3" s="1"/>
  <c r="S219" i="3" s="1"/>
  <c r="S220" i="3" s="1"/>
  <c r="S221" i="3" s="1"/>
  <c r="S222" i="3" s="1"/>
  <c r="S223" i="3" s="1"/>
  <c r="S224" i="3" s="1"/>
  <c r="S225" i="3" s="1"/>
  <c r="S226" i="3" s="1"/>
  <c r="S227" i="3" s="1"/>
  <c r="S228" i="3" s="1"/>
  <c r="S229" i="3" s="1"/>
  <c r="S230" i="3" s="1"/>
  <c r="S231" i="3" s="1"/>
  <c r="S232" i="3" s="1"/>
  <c r="S233" i="3" s="1"/>
  <c r="S234" i="3" s="1"/>
  <c r="S235" i="3" s="1"/>
  <c r="S236" i="3" s="1"/>
  <c r="M217" i="3"/>
  <c r="J217" i="3"/>
  <c r="F217" i="3"/>
  <c r="P216" i="3"/>
  <c r="M216" i="3"/>
  <c r="J216" i="3"/>
  <c r="F216" i="3"/>
  <c r="P215" i="3"/>
  <c r="M215" i="3"/>
  <c r="J215" i="3"/>
  <c r="F215" i="3"/>
  <c r="P214" i="3"/>
  <c r="I480" i="3" l="1"/>
  <c r="G480" i="3" s="1"/>
  <c r="W480" i="3" s="1"/>
  <c r="AL480" i="3"/>
  <c r="C481" i="3"/>
  <c r="AD480" i="3"/>
  <c r="T480" i="3"/>
  <c r="M214" i="3"/>
  <c r="J214" i="3"/>
  <c r="F214" i="3"/>
  <c r="I481" i="3" l="1"/>
  <c r="G481" i="3" s="1"/>
  <c r="W481" i="3" s="1"/>
  <c r="AL481" i="3"/>
  <c r="C482" i="3"/>
  <c r="AD481" i="3"/>
  <c r="T481" i="3"/>
  <c r="P213" i="3"/>
  <c r="M213" i="3"/>
  <c r="J213" i="3"/>
  <c r="F213" i="3"/>
  <c r="P212" i="3"/>
  <c r="M212" i="3"/>
  <c r="J212" i="3"/>
  <c r="F212" i="3"/>
  <c r="P211" i="3"/>
  <c r="M211" i="3"/>
  <c r="J211" i="3"/>
  <c r="F211" i="3"/>
  <c r="P210" i="3"/>
  <c r="M210" i="3"/>
  <c r="J210" i="3"/>
  <c r="F210" i="3"/>
  <c r="P209" i="3"/>
  <c r="M209" i="3"/>
  <c r="J209" i="3"/>
  <c r="F209" i="3"/>
  <c r="P208" i="3"/>
  <c r="M208" i="3"/>
  <c r="J208" i="3"/>
  <c r="F208" i="3"/>
  <c r="AL482" i="3" l="1"/>
  <c r="C483" i="3"/>
  <c r="AD482" i="3"/>
  <c r="T482" i="3"/>
  <c r="I482" i="3"/>
  <c r="G482" i="3" s="1"/>
  <c r="W482" i="3" s="1"/>
  <c r="P207" i="3"/>
  <c r="T483" i="3" l="1"/>
  <c r="AL483" i="3"/>
  <c r="AD483" i="3"/>
  <c r="I483" i="3"/>
  <c r="G483" i="3" s="1"/>
  <c r="W483" i="3" s="1"/>
  <c r="C484" i="3"/>
  <c r="M207" i="3"/>
  <c r="J207" i="3"/>
  <c r="F207" i="3"/>
  <c r="P206" i="3"/>
  <c r="I484" i="3" l="1"/>
  <c r="G484" i="3" s="1"/>
  <c r="W484" i="3" s="1"/>
  <c r="AL484" i="3"/>
  <c r="C485" i="3"/>
  <c r="AD484" i="3"/>
  <c r="T484" i="3"/>
  <c r="M206" i="3"/>
  <c r="J206" i="3"/>
  <c r="F206" i="3"/>
  <c r="P205" i="3"/>
  <c r="M205" i="3"/>
  <c r="J205" i="3"/>
  <c r="F205" i="3"/>
  <c r="P204" i="3"/>
  <c r="I485" i="3" l="1"/>
  <c r="G485" i="3" s="1"/>
  <c r="W485" i="3" s="1"/>
  <c r="AL485" i="3"/>
  <c r="C486" i="3"/>
  <c r="AD485" i="3"/>
  <c r="T485" i="3"/>
  <c r="M204" i="3"/>
  <c r="J204" i="3"/>
  <c r="F204" i="3"/>
  <c r="P203" i="3"/>
  <c r="M203" i="3"/>
  <c r="J203" i="3"/>
  <c r="F203" i="3"/>
  <c r="P202" i="3"/>
  <c r="M202" i="3"/>
  <c r="J202" i="3"/>
  <c r="F202" i="3"/>
  <c r="P201" i="3"/>
  <c r="M201" i="3"/>
  <c r="J201" i="3"/>
  <c r="F201" i="3"/>
  <c r="P200" i="3"/>
  <c r="M200" i="3"/>
  <c r="J200" i="3"/>
  <c r="F200" i="3"/>
  <c r="P199" i="3"/>
  <c r="M199" i="3"/>
  <c r="J199" i="3"/>
  <c r="F199" i="3"/>
  <c r="P198" i="3"/>
  <c r="M198" i="3"/>
  <c r="J198" i="3"/>
  <c r="F198" i="3"/>
  <c r="AL486" i="3" l="1"/>
  <c r="C487" i="3"/>
  <c r="AD486" i="3"/>
  <c r="T486" i="3"/>
  <c r="I486" i="3"/>
  <c r="G486" i="3" s="1"/>
  <c r="W486" i="3" s="1"/>
  <c r="P197" i="3"/>
  <c r="M197" i="3"/>
  <c r="J197" i="3"/>
  <c r="F197" i="3"/>
  <c r="T487" i="3" l="1"/>
  <c r="AD487" i="3"/>
  <c r="C488" i="3"/>
  <c r="I487" i="3"/>
  <c r="G487" i="3" s="1"/>
  <c r="W487" i="3" s="1"/>
  <c r="AL487" i="3"/>
  <c r="P196" i="3"/>
  <c r="M196" i="3"/>
  <c r="J196" i="3"/>
  <c r="F196" i="3"/>
  <c r="T488" i="3" l="1"/>
  <c r="T489" i="3" s="1"/>
  <c r="I488" i="3"/>
  <c r="G488" i="3" s="1"/>
  <c r="W488" i="3" s="1"/>
  <c r="AL488" i="3"/>
  <c r="AD488" i="3"/>
  <c r="C489" i="3"/>
  <c r="P195" i="3"/>
  <c r="M195" i="3"/>
  <c r="J195" i="3"/>
  <c r="F195" i="3"/>
  <c r="I489" i="3" l="1"/>
  <c r="G489" i="3" s="1"/>
  <c r="W489" i="3" s="1"/>
  <c r="C490" i="3"/>
  <c r="T490" i="3" s="1"/>
  <c r="AL489" i="3"/>
  <c r="AD489" i="3"/>
  <c r="P194" i="3"/>
  <c r="S194" i="3"/>
  <c r="S195" i="3" s="1"/>
  <c r="S196" i="3" s="1"/>
  <c r="S197" i="3" s="1"/>
  <c r="S198" i="3" s="1"/>
  <c r="S199" i="3" s="1"/>
  <c r="S200" i="3" s="1"/>
  <c r="S201" i="3" s="1"/>
  <c r="S202" i="3" s="1"/>
  <c r="S203" i="3" s="1"/>
  <c r="S204" i="3" s="1"/>
  <c r="S205" i="3" s="1"/>
  <c r="S206" i="3" s="1"/>
  <c r="S207" i="3" s="1"/>
  <c r="S208" i="3" s="1"/>
  <c r="S209" i="3" s="1"/>
  <c r="S210" i="3" s="1"/>
  <c r="S211" i="3" s="1"/>
  <c r="S212" i="3" s="1"/>
  <c r="S213" i="3" s="1"/>
  <c r="S214" i="3" s="1"/>
  <c r="S215" i="3" s="1"/>
  <c r="S216" i="3" s="1"/>
  <c r="B200" i="9"/>
  <c r="B201" i="9" s="1"/>
  <c r="B202" i="9" s="1"/>
  <c r="B203" i="9" s="1"/>
  <c r="B204" i="9" s="1"/>
  <c r="B205" i="9" s="1"/>
  <c r="B206" i="9" s="1"/>
  <c r="B207" i="9" s="1"/>
  <c r="B208" i="9" s="1"/>
  <c r="B209" i="9" s="1"/>
  <c r="B210" i="9" s="1"/>
  <c r="B211" i="9" s="1"/>
  <c r="B212" i="9" s="1"/>
  <c r="B213" i="9" s="1"/>
  <c r="B214" i="9" s="1"/>
  <c r="B215" i="9" s="1"/>
  <c r="B216" i="9" s="1"/>
  <c r="B217" i="9" s="1"/>
  <c r="B218" i="9" s="1"/>
  <c r="B219" i="9" s="1"/>
  <c r="B220" i="9" s="1"/>
  <c r="B221" i="9" s="1"/>
  <c r="B222" i="9" s="1"/>
  <c r="B223" i="9" s="1"/>
  <c r="B224" i="9" s="1"/>
  <c r="B225" i="9" s="1"/>
  <c r="B226" i="9" s="1"/>
  <c r="B227" i="9" s="1"/>
  <c r="B228" i="9" s="1"/>
  <c r="B229" i="9" s="1"/>
  <c r="B230" i="9" s="1"/>
  <c r="B231" i="9" s="1"/>
  <c r="B232" i="9" s="1"/>
  <c r="B233" i="9" s="1"/>
  <c r="B234" i="9" s="1"/>
  <c r="B235" i="9" s="1"/>
  <c r="B236" i="9" s="1"/>
  <c r="B237" i="9" s="1"/>
  <c r="B238" i="9" s="1"/>
  <c r="B239" i="9" s="1"/>
  <c r="B240" i="9" s="1"/>
  <c r="B241" i="9" s="1"/>
  <c r="B242" i="9" s="1"/>
  <c r="B243" i="9" s="1"/>
  <c r="B244" i="9" s="1"/>
  <c r="B245" i="9" s="1"/>
  <c r="B246" i="9" s="1"/>
  <c r="B247" i="9" s="1"/>
  <c r="B248" i="9" s="1"/>
  <c r="B249" i="9" s="1"/>
  <c r="B250" i="9" s="1"/>
  <c r="B251" i="9" s="1"/>
  <c r="B252" i="9" s="1"/>
  <c r="B253" i="9" s="1"/>
  <c r="B254" i="9" s="1"/>
  <c r="B255" i="9" s="1"/>
  <c r="B256" i="9" s="1"/>
  <c r="B257" i="9" s="1"/>
  <c r="B258" i="9" s="1"/>
  <c r="B259" i="9" s="1"/>
  <c r="B260" i="9" s="1"/>
  <c r="B261" i="9" s="1"/>
  <c r="B262" i="9" s="1"/>
  <c r="B263" i="9" s="1"/>
  <c r="B264" i="9" s="1"/>
  <c r="B265" i="9" s="1"/>
  <c r="B266" i="9" s="1"/>
  <c r="B267" i="9" s="1"/>
  <c r="B268" i="9" s="1"/>
  <c r="B269" i="9" s="1"/>
  <c r="B270" i="9" s="1"/>
  <c r="B271" i="9" s="1"/>
  <c r="B272" i="9" s="1"/>
  <c r="B273" i="9" s="1"/>
  <c r="B274" i="9" s="1"/>
  <c r="B275" i="9" s="1"/>
  <c r="B276" i="9" s="1"/>
  <c r="B277" i="9" s="1"/>
  <c r="B278" i="9" s="1"/>
  <c r="B279" i="9" s="1"/>
  <c r="B280" i="9" s="1"/>
  <c r="B281" i="9" s="1"/>
  <c r="B282" i="9" s="1"/>
  <c r="B283" i="9" s="1"/>
  <c r="B284" i="9" s="1"/>
  <c r="B285" i="9" s="1"/>
  <c r="B286" i="9" s="1"/>
  <c r="B287" i="9" s="1"/>
  <c r="B288" i="9" s="1"/>
  <c r="B289" i="9" s="1"/>
  <c r="B290" i="9" s="1"/>
  <c r="B291" i="9" s="1"/>
  <c r="B292" i="9" s="1"/>
  <c r="B293" i="9" s="1"/>
  <c r="B294" i="9" s="1"/>
  <c r="B295" i="9" s="1"/>
  <c r="B296" i="9" s="1"/>
  <c r="B297" i="9" s="1"/>
  <c r="B298" i="9" s="1"/>
  <c r="B299" i="9" s="1"/>
  <c r="B300" i="9" s="1"/>
  <c r="B301" i="9" s="1"/>
  <c r="B302" i="9" s="1"/>
  <c r="B303" i="9" s="1"/>
  <c r="B304" i="9" s="1"/>
  <c r="B305" i="9" s="1"/>
  <c r="B306" i="9" s="1"/>
  <c r="B307" i="9" s="1"/>
  <c r="B308" i="9" s="1"/>
  <c r="B309" i="9" s="1"/>
  <c r="B310" i="9" s="1"/>
  <c r="B311" i="9" s="1"/>
  <c r="B312" i="9" s="1"/>
  <c r="B313" i="9" s="1"/>
  <c r="B314" i="9" s="1"/>
  <c r="B315" i="9" s="1"/>
  <c r="B316" i="9" s="1"/>
  <c r="B317" i="9" s="1"/>
  <c r="B318" i="9" s="1"/>
  <c r="B319" i="9" s="1"/>
  <c r="B320" i="9" s="1"/>
  <c r="B321" i="9" s="1"/>
  <c r="B322" i="9" s="1"/>
  <c r="B323" i="9" s="1"/>
  <c r="B324" i="9" s="1"/>
  <c r="B325" i="9" s="1"/>
  <c r="B326" i="9" s="1"/>
  <c r="B327" i="9" s="1"/>
  <c r="B328" i="9" s="1"/>
  <c r="B329" i="9" s="1"/>
  <c r="B330" i="9" s="1"/>
  <c r="B331" i="9" s="1"/>
  <c r="B332" i="9" s="1"/>
  <c r="B333" i="9" s="1"/>
  <c r="B334" i="9" s="1"/>
  <c r="B335" i="9" s="1"/>
  <c r="B336" i="9" s="1"/>
  <c r="B337" i="9" s="1"/>
  <c r="B338" i="9" s="1"/>
  <c r="B339" i="9" s="1"/>
  <c r="B340" i="9" s="1"/>
  <c r="B341" i="9" s="1"/>
  <c r="B342" i="9" s="1"/>
  <c r="B343" i="9" s="1"/>
  <c r="B344" i="9" s="1"/>
  <c r="B345" i="9" s="1"/>
  <c r="B346" i="9" s="1"/>
  <c r="B347" i="9" s="1"/>
  <c r="B348" i="9" s="1"/>
  <c r="B349" i="9" s="1"/>
  <c r="B350" i="9" s="1"/>
  <c r="B351" i="9" s="1"/>
  <c r="B352" i="9" s="1"/>
  <c r="B353" i="9" s="1"/>
  <c r="B354" i="9" s="1"/>
  <c r="B355" i="9" s="1"/>
  <c r="B356" i="9" s="1"/>
  <c r="B357" i="9" s="1"/>
  <c r="B358" i="9" s="1"/>
  <c r="B359" i="9" s="1"/>
  <c r="B360" i="9" s="1"/>
  <c r="B361" i="9" s="1"/>
  <c r="B362" i="9" s="1"/>
  <c r="B363" i="9" s="1"/>
  <c r="B364" i="9" s="1"/>
  <c r="B365" i="9" s="1"/>
  <c r="B366" i="9" s="1"/>
  <c r="B367" i="9" s="1"/>
  <c r="B368" i="9" s="1"/>
  <c r="B369" i="9" s="1"/>
  <c r="B370" i="9" s="1"/>
  <c r="B371" i="9" s="1"/>
  <c r="B372" i="9" s="1"/>
  <c r="B373" i="9" s="1"/>
  <c r="B374" i="9" s="1"/>
  <c r="B375" i="9" s="1"/>
  <c r="B376" i="9" s="1"/>
  <c r="B377" i="9" s="1"/>
  <c r="B378" i="9" s="1"/>
  <c r="B379" i="9" s="1"/>
  <c r="B380" i="9" s="1"/>
  <c r="B381" i="9" s="1"/>
  <c r="B382" i="9" s="1"/>
  <c r="B383" i="9" s="1"/>
  <c r="B384" i="9" s="1"/>
  <c r="B385" i="9" s="1"/>
  <c r="B386" i="9" s="1"/>
  <c r="C195" i="3"/>
  <c r="AL195" i="3" s="1"/>
  <c r="AD194" i="3"/>
  <c r="M194" i="3"/>
  <c r="J194" i="3"/>
  <c r="I194" i="3"/>
  <c r="G194" i="3" s="1"/>
  <c r="F194" i="3"/>
  <c r="P193" i="3"/>
  <c r="AD193" i="3"/>
  <c r="T193" i="3"/>
  <c r="M193" i="3"/>
  <c r="J193" i="3"/>
  <c r="I193" i="3"/>
  <c r="G193" i="3" s="1"/>
  <c r="F193" i="3"/>
  <c r="F192" i="3"/>
  <c r="P192" i="3"/>
  <c r="I490" i="3" l="1"/>
  <c r="G490" i="3" s="1"/>
  <c r="W490" i="3" s="1"/>
  <c r="C491" i="3"/>
  <c r="AL490" i="3"/>
  <c r="AD490" i="3"/>
  <c r="W194" i="3"/>
  <c r="I195" i="3"/>
  <c r="G195" i="3" s="1"/>
  <c r="W195" i="3" s="1"/>
  <c r="AD195" i="3"/>
  <c r="C196" i="3"/>
  <c r="AL196" i="3" s="1"/>
  <c r="W193" i="3"/>
  <c r="AD192" i="3"/>
  <c r="T192" i="3"/>
  <c r="M192" i="3"/>
  <c r="J192" i="3"/>
  <c r="I192" i="3"/>
  <c r="G192" i="3" s="1"/>
  <c r="P191" i="3"/>
  <c r="AD491" i="3" l="1"/>
  <c r="I491" i="3"/>
  <c r="G491" i="3" s="1"/>
  <c r="W491" i="3" s="1"/>
  <c r="AL491" i="3"/>
  <c r="C492" i="3"/>
  <c r="T491" i="3"/>
  <c r="AD196" i="3"/>
  <c r="I196" i="3"/>
  <c r="G196" i="3" s="1"/>
  <c r="W196" i="3" s="1"/>
  <c r="C197" i="3"/>
  <c r="W192" i="3"/>
  <c r="AD191" i="3"/>
  <c r="T191" i="3"/>
  <c r="M191" i="3"/>
  <c r="J191" i="3"/>
  <c r="I191" i="3"/>
  <c r="G191" i="3" s="1"/>
  <c r="F191" i="3"/>
  <c r="P190" i="3"/>
  <c r="AD190" i="3"/>
  <c r="T190" i="3"/>
  <c r="M190" i="3"/>
  <c r="J190" i="3"/>
  <c r="I190" i="3"/>
  <c r="G190" i="3" s="1"/>
  <c r="F190" i="3"/>
  <c r="P189" i="3"/>
  <c r="AD189" i="3"/>
  <c r="T189" i="3"/>
  <c r="M189" i="3"/>
  <c r="J189" i="3"/>
  <c r="I189" i="3"/>
  <c r="G189" i="3" s="1"/>
  <c r="F189" i="3"/>
  <c r="P188" i="3"/>
  <c r="AD188" i="3"/>
  <c r="T188" i="3"/>
  <c r="M188" i="3"/>
  <c r="J188" i="3"/>
  <c r="I188" i="3"/>
  <c r="G188" i="3" s="1"/>
  <c r="F188" i="3"/>
  <c r="P187" i="3"/>
  <c r="I492" i="3" l="1"/>
  <c r="G492" i="3" s="1"/>
  <c r="W492" i="3" s="1"/>
  <c r="AL492" i="3"/>
  <c r="T492" i="3"/>
  <c r="C493" i="3"/>
  <c r="AD492" i="3"/>
  <c r="C198" i="3"/>
  <c r="T198" i="3" s="1"/>
  <c r="AL197" i="3"/>
  <c r="AD197" i="3"/>
  <c r="I197" i="3"/>
  <c r="G197" i="3" s="1"/>
  <c r="W197" i="3" s="1"/>
  <c r="W191" i="3"/>
  <c r="W190" i="3"/>
  <c r="W189" i="3"/>
  <c r="W188" i="3"/>
  <c r="AD187" i="3"/>
  <c r="T187" i="3"/>
  <c r="M187" i="3"/>
  <c r="J187" i="3"/>
  <c r="I187" i="3"/>
  <c r="G187" i="3" s="1"/>
  <c r="F187" i="3"/>
  <c r="I493" i="3" l="1"/>
  <c r="G493" i="3" s="1"/>
  <c r="W493" i="3" s="1"/>
  <c r="AD493" i="3"/>
  <c r="AL493" i="3"/>
  <c r="C494" i="3"/>
  <c r="T493" i="3"/>
  <c r="AD198" i="3"/>
  <c r="I198" i="3"/>
  <c r="G198" i="3" s="1"/>
  <c r="W198" i="3" s="1"/>
  <c r="C199" i="3"/>
  <c r="AL198" i="3"/>
  <c r="W187" i="3"/>
  <c r="P186" i="3"/>
  <c r="AD186" i="3"/>
  <c r="T186" i="3"/>
  <c r="M186" i="3"/>
  <c r="J186" i="3"/>
  <c r="I186" i="3"/>
  <c r="G186" i="3" s="1"/>
  <c r="F186" i="3"/>
  <c r="P185" i="3"/>
  <c r="AD185" i="3"/>
  <c r="T185" i="3"/>
  <c r="M185" i="3"/>
  <c r="J185" i="3"/>
  <c r="I185" i="3"/>
  <c r="G185" i="3" s="1"/>
  <c r="F185" i="3"/>
  <c r="P184" i="3"/>
  <c r="AD184" i="3"/>
  <c r="T184" i="3"/>
  <c r="M184" i="3"/>
  <c r="J184" i="3"/>
  <c r="I184" i="3"/>
  <c r="G184" i="3" s="1"/>
  <c r="F184" i="3"/>
  <c r="P183" i="3"/>
  <c r="AD183" i="3"/>
  <c r="T183" i="3"/>
  <c r="M183" i="3"/>
  <c r="J183" i="3"/>
  <c r="I183" i="3"/>
  <c r="G183" i="3" s="1"/>
  <c r="F183" i="3"/>
  <c r="P182" i="3"/>
  <c r="AD494" i="3" l="1"/>
  <c r="I494" i="3"/>
  <c r="G494" i="3" s="1"/>
  <c r="W494" i="3" s="1"/>
  <c r="C495" i="3"/>
  <c r="T494" i="3"/>
  <c r="AL494" i="3"/>
  <c r="C200" i="3"/>
  <c r="AL199" i="3"/>
  <c r="T199" i="3"/>
  <c r="I199" i="3"/>
  <c r="G199" i="3" s="1"/>
  <c r="W199" i="3" s="1"/>
  <c r="W186" i="3"/>
  <c r="W185" i="3"/>
  <c r="W184" i="3"/>
  <c r="W183" i="3"/>
  <c r="AD182" i="3"/>
  <c r="T182" i="3"/>
  <c r="M182" i="3"/>
  <c r="J182" i="3"/>
  <c r="I182" i="3"/>
  <c r="G182" i="3" s="1"/>
  <c r="F182" i="3"/>
  <c r="P181" i="3"/>
  <c r="AD181" i="3"/>
  <c r="T181" i="3"/>
  <c r="M181" i="3"/>
  <c r="J181" i="3"/>
  <c r="I181" i="3"/>
  <c r="G181" i="3" s="1"/>
  <c r="F181" i="3"/>
  <c r="T495" i="3" l="1"/>
  <c r="AD495" i="3"/>
  <c r="I495" i="3"/>
  <c r="G495" i="3" s="1"/>
  <c r="W495" i="3" s="1"/>
  <c r="C496" i="3"/>
  <c r="AL495" i="3"/>
  <c r="C201" i="3"/>
  <c r="AL200" i="3"/>
  <c r="T200" i="3"/>
  <c r="I200" i="3"/>
  <c r="G200" i="3" s="1"/>
  <c r="W200" i="3" s="1"/>
  <c r="W181" i="3"/>
  <c r="W182" i="3"/>
  <c r="P180" i="3"/>
  <c r="AD180" i="3"/>
  <c r="T180" i="3"/>
  <c r="M180" i="3"/>
  <c r="J180" i="3"/>
  <c r="I180" i="3"/>
  <c r="G180" i="3" s="1"/>
  <c r="F180" i="3"/>
  <c r="P179" i="3"/>
  <c r="AD179" i="3"/>
  <c r="T179" i="3"/>
  <c r="M179" i="3"/>
  <c r="J179" i="3"/>
  <c r="I179" i="3"/>
  <c r="G179" i="3" s="1"/>
  <c r="F179" i="3"/>
  <c r="C497" i="3" l="1"/>
  <c r="T496" i="3"/>
  <c r="I496" i="3"/>
  <c r="G496" i="3" s="1"/>
  <c r="W496" i="3" s="1"/>
  <c r="AD496" i="3"/>
  <c r="AL496" i="3"/>
  <c r="C202" i="3"/>
  <c r="AL201" i="3"/>
  <c r="I201" i="3"/>
  <c r="G201" i="3" s="1"/>
  <c r="W201" i="3" s="1"/>
  <c r="T201" i="3"/>
  <c r="W180" i="3"/>
  <c r="W179" i="3"/>
  <c r="C498" i="3" l="1"/>
  <c r="AD497" i="3"/>
  <c r="T497" i="3"/>
  <c r="I497" i="3"/>
  <c r="G497" i="3" s="1"/>
  <c r="W497" i="3" s="1"/>
  <c r="AL497" i="3"/>
  <c r="AL202" i="3"/>
  <c r="I202" i="3"/>
  <c r="G202" i="3" s="1"/>
  <c r="W202" i="3" s="1"/>
  <c r="T202" i="3"/>
  <c r="C203" i="3"/>
  <c r="P178" i="3"/>
  <c r="AD178" i="3"/>
  <c r="T178" i="3"/>
  <c r="M178" i="3"/>
  <c r="J178" i="3"/>
  <c r="I178" i="3"/>
  <c r="G178" i="3" s="1"/>
  <c r="F178" i="3"/>
  <c r="P177" i="3"/>
  <c r="I498" i="3" l="1"/>
  <c r="G498" i="3" s="1"/>
  <c r="W498" i="3" s="1"/>
  <c r="AD498" i="3"/>
  <c r="AL498" i="3"/>
  <c r="C499" i="3"/>
  <c r="T498" i="3"/>
  <c r="AL203" i="3"/>
  <c r="T203" i="3"/>
  <c r="I203" i="3"/>
  <c r="G203" i="3" s="1"/>
  <c r="W203" i="3" s="1"/>
  <c r="C204" i="3"/>
  <c r="W178" i="3"/>
  <c r="AD177" i="3"/>
  <c r="T177" i="3"/>
  <c r="M177" i="3"/>
  <c r="J177" i="3"/>
  <c r="I177" i="3"/>
  <c r="G177" i="3" s="1"/>
  <c r="W177" i="3" s="1"/>
  <c r="F177" i="3"/>
  <c r="P176" i="3"/>
  <c r="AD499" i="3" l="1"/>
  <c r="I499" i="3"/>
  <c r="G499" i="3" s="1"/>
  <c r="W499" i="3" s="1"/>
  <c r="AL499" i="3"/>
  <c r="T499" i="3"/>
  <c r="C500" i="3"/>
  <c r="AL204" i="3"/>
  <c r="I204" i="3"/>
  <c r="G204" i="3" s="1"/>
  <c r="W204" i="3" s="1"/>
  <c r="T204" i="3"/>
  <c r="C205" i="3"/>
  <c r="AD176" i="3"/>
  <c r="M176" i="3"/>
  <c r="J176" i="3"/>
  <c r="I176" i="3"/>
  <c r="G176" i="3" s="1"/>
  <c r="F176" i="3"/>
  <c r="P175" i="3"/>
  <c r="AD175" i="3"/>
  <c r="M175" i="3"/>
  <c r="J175" i="3"/>
  <c r="I175" i="3"/>
  <c r="G175" i="3" s="1"/>
  <c r="F175" i="3"/>
  <c r="P174" i="3"/>
  <c r="AL500" i="3" l="1"/>
  <c r="T500" i="3"/>
  <c r="C501" i="3"/>
  <c r="AD500" i="3"/>
  <c r="I500" i="3"/>
  <c r="G500" i="3" s="1"/>
  <c r="W500" i="3" s="1"/>
  <c r="AL205" i="3"/>
  <c r="T205" i="3"/>
  <c r="I205" i="3"/>
  <c r="G205" i="3" s="1"/>
  <c r="W205" i="3" s="1"/>
  <c r="C206" i="3"/>
  <c r="W176" i="3"/>
  <c r="W175" i="3"/>
  <c r="AD174" i="3"/>
  <c r="M174" i="3"/>
  <c r="J174" i="3"/>
  <c r="I174" i="3"/>
  <c r="G174" i="3" s="1"/>
  <c r="W174" i="3" s="1"/>
  <c r="F174" i="3"/>
  <c r="S173" i="3"/>
  <c r="S174" i="3" s="1"/>
  <c r="S175" i="3" s="1"/>
  <c r="S176" i="3" s="1"/>
  <c r="S177" i="3" s="1"/>
  <c r="S178" i="3" s="1"/>
  <c r="S179" i="3" s="1"/>
  <c r="S180" i="3" s="1"/>
  <c r="S181" i="3" s="1"/>
  <c r="S182" i="3" s="1"/>
  <c r="S183" i="3" s="1"/>
  <c r="S184" i="3" s="1"/>
  <c r="S185" i="3" s="1"/>
  <c r="S186" i="3" s="1"/>
  <c r="S187" i="3" s="1"/>
  <c r="S188" i="3" s="1"/>
  <c r="S189" i="3" s="1"/>
  <c r="S190" i="3" s="1"/>
  <c r="S191" i="3" s="1"/>
  <c r="S192" i="3" s="1"/>
  <c r="S193" i="3" s="1"/>
  <c r="T194" i="3" s="1"/>
  <c r="T195" i="3" s="1"/>
  <c r="T196" i="3" s="1"/>
  <c r="T197" i="3" s="1"/>
  <c r="P173" i="3"/>
  <c r="AD173" i="3"/>
  <c r="M173" i="3"/>
  <c r="J173" i="3"/>
  <c r="F173" i="3"/>
  <c r="I501" i="3" l="1"/>
  <c r="G501" i="3" s="1"/>
  <c r="W501" i="3" s="1"/>
  <c r="AD501" i="3"/>
  <c r="AL501" i="3"/>
  <c r="C502" i="3"/>
  <c r="T501" i="3"/>
  <c r="C207" i="3"/>
  <c r="AL206" i="3"/>
  <c r="T206" i="3"/>
  <c r="I206" i="3"/>
  <c r="G206" i="3" s="1"/>
  <c r="W206" i="3" s="1"/>
  <c r="P172" i="3"/>
  <c r="AD172" i="3"/>
  <c r="T172" i="3"/>
  <c r="M172" i="3"/>
  <c r="J172" i="3"/>
  <c r="F172" i="3"/>
  <c r="P171" i="3"/>
  <c r="AD171" i="3"/>
  <c r="T171" i="3"/>
  <c r="M171" i="3"/>
  <c r="J171" i="3"/>
  <c r="F171" i="3"/>
  <c r="P170" i="3"/>
  <c r="AD502" i="3" l="1"/>
  <c r="AL502" i="3"/>
  <c r="T502" i="3"/>
  <c r="I502" i="3"/>
  <c r="G502" i="3" s="1"/>
  <c r="W502" i="3" s="1"/>
  <c r="C503" i="3"/>
  <c r="AL207" i="3"/>
  <c r="C208" i="3"/>
  <c r="I207" i="3"/>
  <c r="G207" i="3" s="1"/>
  <c r="W207" i="3" s="1"/>
  <c r="T207" i="3"/>
  <c r="AD170" i="3"/>
  <c r="I503" i="3" l="1"/>
  <c r="G503" i="3" s="1"/>
  <c r="W503" i="3" s="1"/>
  <c r="C504" i="3"/>
  <c r="AD503" i="3"/>
  <c r="AL503" i="3"/>
  <c r="T503" i="3"/>
  <c r="AL208" i="3"/>
  <c r="T208" i="3"/>
  <c r="I208" i="3"/>
  <c r="G208" i="3" s="1"/>
  <c r="W208" i="3" s="1"/>
  <c r="C209" i="3"/>
  <c r="T170" i="3"/>
  <c r="M170" i="3"/>
  <c r="J170" i="3"/>
  <c r="F170" i="3"/>
  <c r="C505" i="3" l="1"/>
  <c r="I504" i="3"/>
  <c r="G504" i="3" s="1"/>
  <c r="W504" i="3" s="1"/>
  <c r="AL504" i="3"/>
  <c r="AD504" i="3"/>
  <c r="T504" i="3"/>
  <c r="AL209" i="3"/>
  <c r="C210" i="3"/>
  <c r="T209" i="3"/>
  <c r="I209" i="3"/>
  <c r="G209" i="3" s="1"/>
  <c r="W209" i="3" s="1"/>
  <c r="P169" i="3"/>
  <c r="AD169" i="3"/>
  <c r="T169" i="3"/>
  <c r="M169" i="3"/>
  <c r="J169" i="3"/>
  <c r="F169" i="3"/>
  <c r="I505" i="3" l="1"/>
  <c r="G505" i="3" s="1"/>
  <c r="W505" i="3" s="1"/>
  <c r="AL505" i="3"/>
  <c r="C506" i="3"/>
  <c r="T505" i="3"/>
  <c r="AD505" i="3"/>
  <c r="AL210" i="3"/>
  <c r="I210" i="3"/>
  <c r="G210" i="3" s="1"/>
  <c r="W210" i="3" s="1"/>
  <c r="T210" i="3"/>
  <c r="C211" i="3"/>
  <c r="P168" i="3"/>
  <c r="AL506" i="3" l="1"/>
  <c r="AD506" i="3"/>
  <c r="T506" i="3"/>
  <c r="I506" i="3"/>
  <c r="G506" i="3" s="1"/>
  <c r="W506" i="3" s="1"/>
  <c r="C507" i="3"/>
  <c r="AL211" i="3"/>
  <c r="T211" i="3"/>
  <c r="I211" i="3"/>
  <c r="G211" i="3" s="1"/>
  <c r="W211" i="3" s="1"/>
  <c r="C212" i="3"/>
  <c r="AD168" i="3"/>
  <c r="T168" i="3"/>
  <c r="M168" i="3"/>
  <c r="J168" i="3"/>
  <c r="F168" i="3"/>
  <c r="P167" i="3"/>
  <c r="AD167" i="3"/>
  <c r="T167" i="3"/>
  <c r="M167" i="3"/>
  <c r="J167" i="3"/>
  <c r="F167" i="3"/>
  <c r="AD166" i="3"/>
  <c r="T166" i="3"/>
  <c r="P166" i="3"/>
  <c r="M166" i="3"/>
  <c r="J166" i="3"/>
  <c r="F166" i="3"/>
  <c r="P165" i="3"/>
  <c r="AD165" i="3"/>
  <c r="T165" i="3"/>
  <c r="M165" i="3"/>
  <c r="J165" i="3"/>
  <c r="F165" i="3"/>
  <c r="P164" i="3"/>
  <c r="AD164" i="3"/>
  <c r="T164" i="3"/>
  <c r="M164" i="3"/>
  <c r="J164" i="3"/>
  <c r="F164" i="3"/>
  <c r="P163" i="3"/>
  <c r="AL507" i="3" l="1"/>
  <c r="I507" i="3"/>
  <c r="G507" i="3" s="1"/>
  <c r="W507" i="3" s="1"/>
  <c r="C508" i="3"/>
  <c r="AD507" i="3"/>
  <c r="T507" i="3"/>
  <c r="C213" i="3"/>
  <c r="AL212" i="3"/>
  <c r="T212" i="3"/>
  <c r="I212" i="3"/>
  <c r="G212" i="3" s="1"/>
  <c r="W212" i="3" s="1"/>
  <c r="AD163" i="3"/>
  <c r="T163" i="3"/>
  <c r="M163" i="3"/>
  <c r="J163" i="3"/>
  <c r="F163" i="3"/>
  <c r="P162" i="3"/>
  <c r="AD162" i="3"/>
  <c r="T162" i="3"/>
  <c r="M162" i="3"/>
  <c r="J162" i="3"/>
  <c r="F162" i="3"/>
  <c r="P161" i="3"/>
  <c r="AD161" i="3"/>
  <c r="T161" i="3"/>
  <c r="M161" i="3"/>
  <c r="J161" i="3"/>
  <c r="F161" i="3"/>
  <c r="P160" i="3"/>
  <c r="AD160" i="3"/>
  <c r="T160" i="3"/>
  <c r="M160" i="3"/>
  <c r="J160" i="3"/>
  <c r="F160" i="3"/>
  <c r="P159" i="3"/>
  <c r="I508" i="3" l="1"/>
  <c r="G508" i="3" s="1"/>
  <c r="W508" i="3" s="1"/>
  <c r="AL508" i="3"/>
  <c r="C509" i="3"/>
  <c r="AD508" i="3"/>
  <c r="T508" i="3"/>
  <c r="AL213" i="3"/>
  <c r="T213" i="3"/>
  <c r="I213" i="3"/>
  <c r="G213" i="3" s="1"/>
  <c r="W213" i="3" s="1"/>
  <c r="C214" i="3"/>
  <c r="AD159" i="3"/>
  <c r="T159" i="3"/>
  <c r="M159" i="3"/>
  <c r="J159" i="3"/>
  <c r="F159" i="3"/>
  <c r="AD158" i="3"/>
  <c r="T158" i="3"/>
  <c r="P158" i="3"/>
  <c r="M158" i="3"/>
  <c r="J158" i="3"/>
  <c r="F158" i="3"/>
  <c r="P157" i="3"/>
  <c r="AD157" i="3"/>
  <c r="T157" i="3"/>
  <c r="M157" i="3"/>
  <c r="J157" i="3"/>
  <c r="F157" i="3"/>
  <c r="P156" i="3"/>
  <c r="F156" i="3"/>
  <c r="I509" i="3" l="1"/>
  <c r="G509" i="3" s="1"/>
  <c r="W509" i="3" s="1"/>
  <c r="AL509" i="3"/>
  <c r="C510" i="3"/>
  <c r="AD509" i="3"/>
  <c r="T509" i="3"/>
  <c r="C215" i="3"/>
  <c r="AL214" i="3"/>
  <c r="I214" i="3"/>
  <c r="G214" i="3" s="1"/>
  <c r="W214" i="3" s="1"/>
  <c r="T214" i="3"/>
  <c r="AD156" i="3"/>
  <c r="T156" i="3"/>
  <c r="M156" i="3"/>
  <c r="J156" i="3"/>
  <c r="P155" i="3"/>
  <c r="AD155" i="3"/>
  <c r="M155" i="3"/>
  <c r="J155" i="3"/>
  <c r="F155" i="3"/>
  <c r="P154" i="3"/>
  <c r="I510" i="3" l="1"/>
  <c r="G510" i="3" s="1"/>
  <c r="W510" i="3" s="1"/>
  <c r="C511" i="3"/>
  <c r="AD510" i="3"/>
  <c r="T510" i="3"/>
  <c r="AL510" i="3"/>
  <c r="AL215" i="3"/>
  <c r="C216" i="3"/>
  <c r="I215" i="3"/>
  <c r="G215" i="3" s="1"/>
  <c r="W215" i="3" s="1"/>
  <c r="T215" i="3"/>
  <c r="AD154" i="3"/>
  <c r="M154" i="3"/>
  <c r="J154" i="3"/>
  <c r="F154" i="3"/>
  <c r="P153" i="3"/>
  <c r="AD153" i="3"/>
  <c r="M153" i="3"/>
  <c r="J153" i="3"/>
  <c r="F153" i="3"/>
  <c r="T511" i="3" l="1"/>
  <c r="T512" i="3" s="1"/>
  <c r="I511" i="3"/>
  <c r="G511" i="3" s="1"/>
  <c r="W511" i="3" s="1"/>
  <c r="AL511" i="3"/>
  <c r="C512" i="3"/>
  <c r="AD511" i="3"/>
  <c r="AL216" i="3"/>
  <c r="C217" i="3"/>
  <c r="T216" i="3"/>
  <c r="I216" i="3"/>
  <c r="G216" i="3" s="1"/>
  <c r="W216" i="3" s="1"/>
  <c r="AD152" i="3"/>
  <c r="P152" i="3"/>
  <c r="M152" i="3"/>
  <c r="J152" i="3"/>
  <c r="I152" i="3"/>
  <c r="G152" i="3" s="1"/>
  <c r="F152" i="3"/>
  <c r="S152" i="3"/>
  <c r="S153" i="3" s="1"/>
  <c r="S154" i="3" s="1"/>
  <c r="S155" i="3" s="1"/>
  <c r="S156" i="3" s="1"/>
  <c r="S157" i="3" s="1"/>
  <c r="S158" i="3" s="1"/>
  <c r="S159" i="3" s="1"/>
  <c r="S160" i="3" s="1"/>
  <c r="S161" i="3" s="1"/>
  <c r="S162" i="3" s="1"/>
  <c r="S163" i="3" s="1"/>
  <c r="S164" i="3" s="1"/>
  <c r="S165" i="3" s="1"/>
  <c r="S166" i="3" s="1"/>
  <c r="S167" i="3" s="1"/>
  <c r="S168" i="3" s="1"/>
  <c r="S169" i="3" s="1"/>
  <c r="S170" i="3" s="1"/>
  <c r="S171" i="3" s="1"/>
  <c r="S172" i="3" s="1"/>
  <c r="T173" i="3" s="1"/>
  <c r="T174" i="3" s="1"/>
  <c r="T175" i="3" s="1"/>
  <c r="T176" i="3" s="1"/>
  <c r="AL512" i="3" l="1"/>
  <c r="C513" i="3"/>
  <c r="AD512" i="3"/>
  <c r="I512" i="3"/>
  <c r="G512" i="3" s="1"/>
  <c r="W512" i="3" s="1"/>
  <c r="AL217" i="3"/>
  <c r="C218" i="3"/>
  <c r="T217" i="3"/>
  <c r="I217" i="3"/>
  <c r="G217" i="3" s="1"/>
  <c r="W217" i="3" s="1"/>
  <c r="W152" i="3"/>
  <c r="AD513" i="3" l="1"/>
  <c r="C514" i="3"/>
  <c r="I513" i="3"/>
  <c r="G513" i="3" s="1"/>
  <c r="W513" i="3" s="1"/>
  <c r="AL513" i="3"/>
  <c r="T513" i="3"/>
  <c r="T514" i="3" s="1"/>
  <c r="AL218" i="3"/>
  <c r="T218" i="3"/>
  <c r="C219" i="3"/>
  <c r="I218" i="3"/>
  <c r="G218" i="3" s="1"/>
  <c r="W218" i="3" s="1"/>
  <c r="P151" i="3"/>
  <c r="AD151" i="3"/>
  <c r="T151" i="3"/>
  <c r="M151" i="3"/>
  <c r="J151" i="3"/>
  <c r="I151" i="3"/>
  <c r="G151" i="3" s="1"/>
  <c r="F151" i="3"/>
  <c r="AL514" i="3" l="1"/>
  <c r="I514" i="3"/>
  <c r="G514" i="3" s="1"/>
  <c r="W514" i="3" s="1"/>
  <c r="C515" i="3"/>
  <c r="AD514" i="3"/>
  <c r="AL219" i="3"/>
  <c r="C220" i="3"/>
  <c r="I219" i="3"/>
  <c r="G219" i="3" s="1"/>
  <c r="W219" i="3" s="1"/>
  <c r="T219" i="3"/>
  <c r="W151" i="3"/>
  <c r="P150" i="3"/>
  <c r="AD150" i="3"/>
  <c r="T150" i="3"/>
  <c r="M150" i="3"/>
  <c r="J150" i="3"/>
  <c r="I150" i="3"/>
  <c r="G150" i="3" s="1"/>
  <c r="F150" i="3"/>
  <c r="P149" i="3"/>
  <c r="AD149" i="3"/>
  <c r="T149" i="3"/>
  <c r="M149" i="3"/>
  <c r="J149" i="3"/>
  <c r="I149" i="3"/>
  <c r="G149" i="3" s="1"/>
  <c r="F149" i="3"/>
  <c r="P148" i="3"/>
  <c r="AD148" i="3"/>
  <c r="T148" i="3"/>
  <c r="M148" i="3"/>
  <c r="J148" i="3"/>
  <c r="I148" i="3"/>
  <c r="G148" i="3" s="1"/>
  <c r="F148" i="3"/>
  <c r="P147" i="3"/>
  <c r="AD147" i="3"/>
  <c r="T147" i="3"/>
  <c r="M147" i="3"/>
  <c r="J147" i="3"/>
  <c r="I147" i="3"/>
  <c r="G147" i="3" s="1"/>
  <c r="F147" i="3"/>
  <c r="AD146" i="3"/>
  <c r="T146" i="3"/>
  <c r="P146" i="3"/>
  <c r="M146" i="3"/>
  <c r="J146" i="3"/>
  <c r="I146" i="3"/>
  <c r="G146" i="3" s="1"/>
  <c r="F146" i="3"/>
  <c r="P145" i="3"/>
  <c r="AD145" i="3"/>
  <c r="T145" i="3"/>
  <c r="M145" i="3"/>
  <c r="J145" i="3"/>
  <c r="I145" i="3"/>
  <c r="G145" i="3" s="1"/>
  <c r="F145" i="3"/>
  <c r="AD144" i="3"/>
  <c r="T144" i="3"/>
  <c r="P144" i="3"/>
  <c r="M144" i="3"/>
  <c r="J144" i="3"/>
  <c r="I144" i="3"/>
  <c r="G144" i="3" s="1"/>
  <c r="F144" i="3"/>
  <c r="P143" i="3"/>
  <c r="AD143" i="3"/>
  <c r="T143" i="3"/>
  <c r="M143" i="3"/>
  <c r="J143" i="3"/>
  <c r="I143" i="3"/>
  <c r="G143" i="3" s="1"/>
  <c r="F143" i="3"/>
  <c r="P142" i="3"/>
  <c r="AL515" i="3" l="1"/>
  <c r="I515" i="3"/>
  <c r="G515" i="3" s="1"/>
  <c r="W515" i="3" s="1"/>
  <c r="C516" i="3"/>
  <c r="AD515" i="3"/>
  <c r="T515" i="3"/>
  <c r="AL220" i="3"/>
  <c r="C221" i="3"/>
  <c r="T220" i="3"/>
  <c r="I220" i="3"/>
  <c r="G220" i="3" s="1"/>
  <c r="W220" i="3" s="1"/>
  <c r="W150" i="3"/>
  <c r="W148" i="3"/>
  <c r="W147" i="3"/>
  <c r="W149" i="3"/>
  <c r="W145" i="3"/>
  <c r="W144" i="3"/>
  <c r="W146" i="3"/>
  <c r="W143" i="3"/>
  <c r="AD142" i="3"/>
  <c r="T142" i="3"/>
  <c r="M142" i="3"/>
  <c r="J142" i="3"/>
  <c r="I142" i="3"/>
  <c r="G142" i="3" s="1"/>
  <c r="F142" i="3"/>
  <c r="P141" i="3"/>
  <c r="AD141" i="3"/>
  <c r="T141" i="3"/>
  <c r="M141" i="3"/>
  <c r="C517" i="3" l="1"/>
  <c r="T516" i="3"/>
  <c r="I516" i="3"/>
  <c r="G516" i="3" s="1"/>
  <c r="W516" i="3" s="1"/>
  <c r="AL516" i="3"/>
  <c r="AD516" i="3"/>
  <c r="AL221" i="3"/>
  <c r="C222" i="3"/>
  <c r="I221" i="3"/>
  <c r="G221" i="3" s="1"/>
  <c r="W221" i="3" s="1"/>
  <c r="T221" i="3"/>
  <c r="W142" i="3"/>
  <c r="J141" i="3"/>
  <c r="I141" i="3"/>
  <c r="G141" i="3" s="1"/>
  <c r="F141" i="3"/>
  <c r="P140" i="3"/>
  <c r="AD140" i="3"/>
  <c r="T140" i="3"/>
  <c r="M140" i="3"/>
  <c r="J140" i="3"/>
  <c r="I140" i="3"/>
  <c r="G140" i="3" s="1"/>
  <c r="F140" i="3"/>
  <c r="P139" i="3"/>
  <c r="AD139" i="3"/>
  <c r="T139" i="3"/>
  <c r="M139" i="3"/>
  <c r="J139" i="3"/>
  <c r="I139" i="3"/>
  <c r="G139" i="3" s="1"/>
  <c r="F139" i="3"/>
  <c r="P138" i="3"/>
  <c r="AD138" i="3"/>
  <c r="T138" i="3"/>
  <c r="M138" i="3"/>
  <c r="J138" i="3"/>
  <c r="I138" i="3"/>
  <c r="G138" i="3" s="1"/>
  <c r="F138" i="3"/>
  <c r="P137" i="3"/>
  <c r="I517" i="3" l="1"/>
  <c r="G517" i="3" s="1"/>
  <c r="W517" i="3" s="1"/>
  <c r="AL517" i="3"/>
  <c r="T517" i="3"/>
  <c r="AD517" i="3"/>
  <c r="C518" i="3"/>
  <c r="AL222" i="3"/>
  <c r="C223" i="3"/>
  <c r="I222" i="3"/>
  <c r="G222" i="3" s="1"/>
  <c r="W222" i="3" s="1"/>
  <c r="T222" i="3"/>
  <c r="W141" i="3"/>
  <c r="W140" i="3"/>
  <c r="W138" i="3"/>
  <c r="W139" i="3"/>
  <c r="AD137" i="3"/>
  <c r="AD518" i="3" l="1"/>
  <c r="AL518" i="3"/>
  <c r="T518" i="3"/>
  <c r="I518" i="3"/>
  <c r="G518" i="3" s="1"/>
  <c r="W518" i="3" s="1"/>
  <c r="C519" i="3"/>
  <c r="AL223" i="3"/>
  <c r="C224" i="3"/>
  <c r="T223" i="3"/>
  <c r="I223" i="3"/>
  <c r="G223" i="3" s="1"/>
  <c r="W223" i="3" s="1"/>
  <c r="T137" i="3"/>
  <c r="M137" i="3"/>
  <c r="J137" i="3"/>
  <c r="I137" i="3"/>
  <c r="G137" i="3" s="1"/>
  <c r="F137" i="3"/>
  <c r="P136" i="3"/>
  <c r="AD136" i="3"/>
  <c r="T136" i="3"/>
  <c r="M136" i="3"/>
  <c r="J136" i="3"/>
  <c r="I136" i="3"/>
  <c r="G136" i="3" s="1"/>
  <c r="F136" i="3"/>
  <c r="AD135" i="3"/>
  <c r="T135" i="3"/>
  <c r="P135" i="3"/>
  <c r="M135" i="3"/>
  <c r="J135" i="3"/>
  <c r="I135" i="3"/>
  <c r="G135" i="3" s="1"/>
  <c r="F135" i="3"/>
  <c r="P134" i="3"/>
  <c r="AD134" i="3"/>
  <c r="T134" i="3"/>
  <c r="M134" i="3"/>
  <c r="J134" i="3"/>
  <c r="I134" i="3"/>
  <c r="G134" i="3" s="1"/>
  <c r="F134" i="3"/>
  <c r="P133" i="3"/>
  <c r="AD133" i="3"/>
  <c r="M133" i="3"/>
  <c r="J133" i="3"/>
  <c r="I133" i="3"/>
  <c r="G133" i="3" s="1"/>
  <c r="F133" i="3"/>
  <c r="P132" i="3"/>
  <c r="AD132" i="3"/>
  <c r="M132" i="3"/>
  <c r="J132" i="3"/>
  <c r="I132" i="3"/>
  <c r="G132" i="3" s="1"/>
  <c r="F132" i="3"/>
  <c r="AD519" i="3" l="1"/>
  <c r="T519" i="3"/>
  <c r="C520" i="3"/>
  <c r="I519" i="3"/>
  <c r="G519" i="3" s="1"/>
  <c r="W519" i="3" s="1"/>
  <c r="AL519" i="3"/>
  <c r="AL224" i="3"/>
  <c r="C225" i="3"/>
  <c r="T224" i="3"/>
  <c r="I224" i="3"/>
  <c r="G224" i="3" s="1"/>
  <c r="W224" i="3" s="1"/>
  <c r="W137" i="3"/>
  <c r="W136" i="3"/>
  <c r="W135" i="3"/>
  <c r="W134" i="3"/>
  <c r="W132" i="3"/>
  <c r="W133" i="3"/>
  <c r="P131" i="3"/>
  <c r="AD131" i="3"/>
  <c r="M131" i="3"/>
  <c r="J131" i="3"/>
  <c r="I131" i="3"/>
  <c r="G131" i="3" s="1"/>
  <c r="F131" i="3"/>
  <c r="S130" i="3"/>
  <c r="S131" i="3" s="1"/>
  <c r="S132" i="3" s="1"/>
  <c r="S133" i="3" s="1"/>
  <c r="S134" i="3" s="1"/>
  <c r="S135" i="3" s="1"/>
  <c r="S136" i="3" s="1"/>
  <c r="S137" i="3" s="1"/>
  <c r="S138" i="3" s="1"/>
  <c r="S139" i="3" s="1"/>
  <c r="S140" i="3" s="1"/>
  <c r="S141" i="3" s="1"/>
  <c r="S142" i="3" s="1"/>
  <c r="S143" i="3" s="1"/>
  <c r="S144" i="3" s="1"/>
  <c r="S145" i="3" s="1"/>
  <c r="S146" i="3" s="1"/>
  <c r="S147" i="3" s="1"/>
  <c r="S148" i="3" s="1"/>
  <c r="S149" i="3" s="1"/>
  <c r="S150" i="3" s="1"/>
  <c r="S151" i="3" s="1"/>
  <c r="T152" i="3" s="1"/>
  <c r="T153" i="3" s="1"/>
  <c r="T154" i="3" s="1"/>
  <c r="T155" i="3" s="1"/>
  <c r="P130" i="3"/>
  <c r="P129" i="3"/>
  <c r="C521" i="3" l="1"/>
  <c r="T520" i="3"/>
  <c r="AL520" i="3"/>
  <c r="I520" i="3"/>
  <c r="G520" i="3" s="1"/>
  <c r="W520" i="3" s="1"/>
  <c r="AD520" i="3"/>
  <c r="AL225" i="3"/>
  <c r="T225" i="3"/>
  <c r="I225" i="3"/>
  <c r="G225" i="3" s="1"/>
  <c r="W225" i="3" s="1"/>
  <c r="C226" i="3"/>
  <c r="W131" i="3"/>
  <c r="AD130" i="3"/>
  <c r="M130" i="3"/>
  <c r="J130" i="3"/>
  <c r="I130" i="3"/>
  <c r="G130" i="3" s="1"/>
  <c r="F130" i="3"/>
  <c r="AD129" i="3"/>
  <c r="T129" i="3"/>
  <c r="M129" i="3"/>
  <c r="J129" i="3"/>
  <c r="I129" i="3"/>
  <c r="G129" i="3" s="1"/>
  <c r="F129" i="3"/>
  <c r="P128" i="3"/>
  <c r="AD128" i="3"/>
  <c r="T128" i="3"/>
  <c r="M128" i="3"/>
  <c r="J128" i="3"/>
  <c r="I128" i="3"/>
  <c r="G128" i="3" s="1"/>
  <c r="F128" i="3"/>
  <c r="P127" i="3"/>
  <c r="AD127" i="3"/>
  <c r="T127" i="3"/>
  <c r="M127" i="3"/>
  <c r="J127" i="3"/>
  <c r="I127" i="3"/>
  <c r="G127" i="3" s="1"/>
  <c r="F127" i="3"/>
  <c r="P126" i="3"/>
  <c r="AD126" i="3"/>
  <c r="T126" i="3"/>
  <c r="M126" i="3"/>
  <c r="J126" i="3"/>
  <c r="I126" i="3"/>
  <c r="G126" i="3" s="1"/>
  <c r="F126" i="3"/>
  <c r="P125" i="3"/>
  <c r="AD125" i="3"/>
  <c r="T125" i="3"/>
  <c r="M125" i="3"/>
  <c r="J125" i="3"/>
  <c r="I125" i="3"/>
  <c r="G125" i="3" s="1"/>
  <c r="F125" i="3"/>
  <c r="AL521" i="3" l="1"/>
  <c r="C522" i="3"/>
  <c r="C523" i="3" s="1"/>
  <c r="AD521" i="3"/>
  <c r="I521" i="3"/>
  <c r="G521" i="3" s="1"/>
  <c r="W521" i="3" s="1"/>
  <c r="T521" i="3"/>
  <c r="AL226" i="3"/>
  <c r="T226" i="3"/>
  <c r="I226" i="3"/>
  <c r="G226" i="3" s="1"/>
  <c r="W226" i="3" s="1"/>
  <c r="C227" i="3"/>
  <c r="W130" i="3"/>
  <c r="W128" i="3"/>
  <c r="W129" i="3"/>
  <c r="W126" i="3"/>
  <c r="W127" i="3"/>
  <c r="W125" i="3"/>
  <c r="AL227" i="3" l="1"/>
  <c r="T227" i="3"/>
  <c r="C228" i="3"/>
  <c r="I227" i="3"/>
  <c r="G227" i="3" s="1"/>
  <c r="W227" i="3" s="1"/>
  <c r="AD124" i="3"/>
  <c r="T124" i="3"/>
  <c r="P124" i="3"/>
  <c r="M124" i="3"/>
  <c r="J124" i="3"/>
  <c r="I124" i="3"/>
  <c r="G124" i="3" s="1"/>
  <c r="F124" i="3"/>
  <c r="AD123" i="3"/>
  <c r="T123" i="3"/>
  <c r="P123" i="3"/>
  <c r="M123" i="3"/>
  <c r="J123" i="3"/>
  <c r="I123" i="3"/>
  <c r="G123" i="3" s="1"/>
  <c r="F123" i="3"/>
  <c r="P122" i="3"/>
  <c r="AD122" i="3"/>
  <c r="T122" i="3"/>
  <c r="M122" i="3"/>
  <c r="J122" i="3"/>
  <c r="I122" i="3"/>
  <c r="G122" i="3" s="1"/>
  <c r="F122" i="3"/>
  <c r="P121" i="3"/>
  <c r="AD121" i="3"/>
  <c r="T121" i="3"/>
  <c r="M121" i="3"/>
  <c r="J121" i="3"/>
  <c r="I121" i="3"/>
  <c r="G121" i="3" s="1"/>
  <c r="F121" i="3"/>
  <c r="P120" i="3"/>
  <c r="AD120" i="3"/>
  <c r="T120" i="3"/>
  <c r="M120" i="3"/>
  <c r="J120" i="3"/>
  <c r="I120" i="3"/>
  <c r="G120" i="3" s="1"/>
  <c r="F120" i="3"/>
  <c r="P119" i="3"/>
  <c r="AD119" i="3"/>
  <c r="AD118" i="3"/>
  <c r="T119" i="3"/>
  <c r="M119" i="3"/>
  <c r="J119" i="3"/>
  <c r="I119" i="3"/>
  <c r="G119" i="3" s="1"/>
  <c r="F119" i="3"/>
  <c r="P118" i="3"/>
  <c r="T118" i="3"/>
  <c r="M118" i="3"/>
  <c r="J118" i="3"/>
  <c r="I118" i="3"/>
  <c r="G118" i="3" s="1"/>
  <c r="F118" i="3"/>
  <c r="P117" i="3"/>
  <c r="AD117" i="3"/>
  <c r="T117" i="3"/>
  <c r="M117" i="3"/>
  <c r="J117" i="3"/>
  <c r="I117" i="3"/>
  <c r="G117" i="3" s="1"/>
  <c r="F117" i="3"/>
  <c r="P116" i="3"/>
  <c r="AD116" i="3"/>
  <c r="T116" i="3"/>
  <c r="M116" i="3"/>
  <c r="J116" i="3"/>
  <c r="I116" i="3"/>
  <c r="G116" i="3" s="1"/>
  <c r="F116" i="3"/>
  <c r="P115" i="3"/>
  <c r="M115" i="3"/>
  <c r="J115" i="3"/>
  <c r="F115" i="3"/>
  <c r="P114" i="3"/>
  <c r="M114" i="3"/>
  <c r="J114" i="3"/>
  <c r="F114" i="3"/>
  <c r="P113" i="3"/>
  <c r="M113" i="3"/>
  <c r="J113" i="3"/>
  <c r="F113" i="3"/>
  <c r="P112" i="3"/>
  <c r="S112" i="3"/>
  <c r="S113" i="3" s="1"/>
  <c r="S114" i="3" s="1"/>
  <c r="S115" i="3" s="1"/>
  <c r="S116" i="3" s="1"/>
  <c r="S117" i="3" s="1"/>
  <c r="S118" i="3" s="1"/>
  <c r="S119" i="3" s="1"/>
  <c r="S120" i="3" s="1"/>
  <c r="S121" i="3" s="1"/>
  <c r="S122" i="3" s="1"/>
  <c r="S123" i="3" s="1"/>
  <c r="S124" i="3" s="1"/>
  <c r="S125" i="3" s="1"/>
  <c r="S126" i="3" s="1"/>
  <c r="S127" i="3" s="1"/>
  <c r="S128" i="3" s="1"/>
  <c r="S129" i="3" s="1"/>
  <c r="T130" i="3" s="1"/>
  <c r="T131" i="3" s="1"/>
  <c r="T132" i="3" s="1"/>
  <c r="T133" i="3" s="1"/>
  <c r="AL228" i="3" l="1"/>
  <c r="I228" i="3"/>
  <c r="G228" i="3" s="1"/>
  <c r="W228" i="3" s="1"/>
  <c r="T228" i="3"/>
  <c r="C229" i="3"/>
  <c r="W124" i="3"/>
  <c r="W122" i="3"/>
  <c r="W123" i="3"/>
  <c r="W121" i="3"/>
  <c r="W117" i="3"/>
  <c r="W120" i="3"/>
  <c r="W119" i="3"/>
  <c r="W118" i="3"/>
  <c r="W116" i="3"/>
  <c r="M112" i="3"/>
  <c r="J112" i="3"/>
  <c r="F112" i="3"/>
  <c r="AL229" i="3" l="1"/>
  <c r="C230" i="3"/>
  <c r="I229" i="3"/>
  <c r="G229" i="3" s="1"/>
  <c r="W229" i="3" s="1"/>
  <c r="T229" i="3"/>
  <c r="P111" i="3"/>
  <c r="M111" i="3"/>
  <c r="J111" i="3"/>
  <c r="F111" i="3"/>
  <c r="P110" i="3"/>
  <c r="AL230" i="3" l="1"/>
  <c r="T230" i="3"/>
  <c r="I230" i="3"/>
  <c r="G230" i="3" s="1"/>
  <c r="W230" i="3" s="1"/>
  <c r="C231" i="3"/>
  <c r="M110" i="3"/>
  <c r="J110" i="3"/>
  <c r="F110" i="3"/>
  <c r="P109" i="3"/>
  <c r="M109" i="3"/>
  <c r="J109" i="3"/>
  <c r="F109" i="3"/>
  <c r="AL231" i="3" l="1"/>
  <c r="T231" i="3"/>
  <c r="C232" i="3"/>
  <c r="I231" i="3"/>
  <c r="G231" i="3" s="1"/>
  <c r="W231" i="3" s="1"/>
  <c r="P108" i="3"/>
  <c r="AL232" i="3" l="1"/>
  <c r="T232" i="3"/>
  <c r="I232" i="3"/>
  <c r="G232" i="3" s="1"/>
  <c r="W232" i="3" s="1"/>
  <c r="C233" i="3"/>
  <c r="M108" i="3"/>
  <c r="J108" i="3"/>
  <c r="F108" i="3"/>
  <c r="P107" i="3"/>
  <c r="AL233" i="3" l="1"/>
  <c r="I233" i="3"/>
  <c r="G233" i="3" s="1"/>
  <c r="W233" i="3" s="1"/>
  <c r="C234" i="3"/>
  <c r="T233" i="3"/>
  <c r="M107" i="3"/>
  <c r="J107" i="3"/>
  <c r="F107" i="3"/>
  <c r="P106" i="3"/>
  <c r="M106" i="3"/>
  <c r="J106" i="3"/>
  <c r="F106" i="3"/>
  <c r="P105" i="3"/>
  <c r="M105" i="3"/>
  <c r="J105" i="3"/>
  <c r="F105" i="3"/>
  <c r="P104" i="3"/>
  <c r="M104" i="3"/>
  <c r="J104" i="3"/>
  <c r="F104" i="3"/>
  <c r="P103" i="3"/>
  <c r="M103" i="3"/>
  <c r="J103" i="3"/>
  <c r="F103" i="3"/>
  <c r="P102" i="3"/>
  <c r="M102" i="3"/>
  <c r="J102" i="3"/>
  <c r="F102" i="3"/>
  <c r="P101" i="3"/>
  <c r="AL234" i="3" l="1"/>
  <c r="C235" i="3"/>
  <c r="T234" i="3"/>
  <c r="I234" i="3"/>
  <c r="G234" i="3" s="1"/>
  <c r="W234" i="3" s="1"/>
  <c r="M101" i="3"/>
  <c r="J101" i="3"/>
  <c r="F101" i="3"/>
  <c r="P100" i="3"/>
  <c r="M100" i="3"/>
  <c r="J100" i="3"/>
  <c r="F100" i="3"/>
  <c r="P99" i="3"/>
  <c r="M99" i="3"/>
  <c r="J99" i="3"/>
  <c r="F99" i="3"/>
  <c r="P98" i="3"/>
  <c r="M98" i="3"/>
  <c r="J98" i="3"/>
  <c r="F98" i="3"/>
  <c r="AL235" i="3" l="1"/>
  <c r="I235" i="3"/>
  <c r="G235" i="3" s="1"/>
  <c r="W235" i="3" s="1"/>
  <c r="C236" i="3"/>
  <c r="T235" i="3"/>
  <c r="P97" i="3"/>
  <c r="M97" i="3"/>
  <c r="J97" i="3"/>
  <c r="F97" i="3"/>
  <c r="AL236" i="3" l="1"/>
  <c r="T236" i="3"/>
  <c r="I236" i="3"/>
  <c r="G236" i="3" s="1"/>
  <c r="W236" i="3" s="1"/>
  <c r="C237" i="3"/>
  <c r="P96" i="3"/>
  <c r="M96" i="3"/>
  <c r="J96" i="3"/>
  <c r="F96" i="3"/>
  <c r="P95" i="3"/>
  <c r="AL237" i="3" l="1"/>
  <c r="I237" i="3"/>
  <c r="G237" i="3" s="1"/>
  <c r="W237" i="3" s="1"/>
  <c r="C238" i="3"/>
  <c r="T237" i="3"/>
  <c r="M95" i="3"/>
  <c r="J95" i="3"/>
  <c r="F95" i="3"/>
  <c r="P94" i="3"/>
  <c r="M94" i="3"/>
  <c r="J94" i="3"/>
  <c r="F94" i="3"/>
  <c r="AL238" i="3" l="1"/>
  <c r="I238" i="3"/>
  <c r="G238" i="3" s="1"/>
  <c r="W238" i="3" s="1"/>
  <c r="C239" i="3"/>
  <c r="T238" i="3"/>
  <c r="P93" i="3"/>
  <c r="M93" i="3"/>
  <c r="J93" i="3"/>
  <c r="F93" i="3"/>
  <c r="P92" i="3"/>
  <c r="M92" i="3"/>
  <c r="J92" i="3"/>
  <c r="F92" i="3"/>
  <c r="P91" i="3"/>
  <c r="M91" i="3"/>
  <c r="J91" i="3"/>
  <c r="F91" i="3"/>
  <c r="P90" i="3"/>
  <c r="M90" i="3"/>
  <c r="J90" i="3"/>
  <c r="F90" i="3"/>
  <c r="P89" i="3"/>
  <c r="S89" i="3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S105" i="3" s="1"/>
  <c r="S106" i="3" s="1"/>
  <c r="S107" i="3" s="1"/>
  <c r="S108" i="3" s="1"/>
  <c r="S109" i="3" s="1"/>
  <c r="S110" i="3" s="1"/>
  <c r="S111" i="3" s="1"/>
  <c r="M89" i="3"/>
  <c r="J89" i="3"/>
  <c r="F89" i="3"/>
  <c r="P88" i="3"/>
  <c r="M88" i="3"/>
  <c r="J88" i="3"/>
  <c r="F88" i="3"/>
  <c r="P87" i="3"/>
  <c r="M87" i="3"/>
  <c r="J87" i="3"/>
  <c r="F87" i="3"/>
  <c r="C240" i="3" l="1"/>
  <c r="AL239" i="3"/>
  <c r="T239" i="3"/>
  <c r="T240" i="3" s="1"/>
  <c r="I239" i="3"/>
  <c r="G239" i="3" s="1"/>
  <c r="W239" i="3" s="1"/>
  <c r="P86" i="3"/>
  <c r="M86" i="3"/>
  <c r="J86" i="3"/>
  <c r="F86" i="3"/>
  <c r="P85" i="3"/>
  <c r="M85" i="3"/>
  <c r="J85" i="3"/>
  <c r="F85" i="3"/>
  <c r="AD84" i="3"/>
  <c r="T84" i="3"/>
  <c r="P84" i="3"/>
  <c r="M84" i="3"/>
  <c r="J84" i="3"/>
  <c r="I84" i="3"/>
  <c r="G84" i="3" s="1"/>
  <c r="C85" i="3"/>
  <c r="AL85" i="3" s="1"/>
  <c r="F84" i="3"/>
  <c r="P83" i="3"/>
  <c r="M83" i="3"/>
  <c r="J83" i="3"/>
  <c r="F83" i="3"/>
  <c r="C241" i="3" l="1"/>
  <c r="AL240" i="3"/>
  <c r="I240" i="3"/>
  <c r="G240" i="3" s="1"/>
  <c r="W240" i="3" s="1"/>
  <c r="C86" i="3"/>
  <c r="I85" i="3"/>
  <c r="G85" i="3" s="1"/>
  <c r="W85" i="3" s="1"/>
  <c r="AD85" i="3"/>
  <c r="T85" i="3"/>
  <c r="W84" i="3"/>
  <c r="P82" i="3"/>
  <c r="M82" i="3"/>
  <c r="J82" i="3"/>
  <c r="F82" i="3"/>
  <c r="C87" i="3" l="1"/>
  <c r="AD87" i="3" s="1"/>
  <c r="AL86" i="3"/>
  <c r="C242" i="3"/>
  <c r="AL241" i="3"/>
  <c r="T241" i="3"/>
  <c r="I241" i="3"/>
  <c r="G241" i="3" s="1"/>
  <c r="W241" i="3" s="1"/>
  <c r="AD86" i="3"/>
  <c r="T86" i="3"/>
  <c r="I86" i="3"/>
  <c r="G86" i="3" s="1"/>
  <c r="W86" i="3" s="1"/>
  <c r="P81" i="3"/>
  <c r="M81" i="3"/>
  <c r="J81" i="3"/>
  <c r="F81" i="3"/>
  <c r="I87" i="3" l="1"/>
  <c r="G87" i="3" s="1"/>
  <c r="W87" i="3" s="1"/>
  <c r="T87" i="3"/>
  <c r="C243" i="3"/>
  <c r="AL242" i="3"/>
  <c r="T242" i="3"/>
  <c r="I242" i="3"/>
  <c r="G242" i="3" s="1"/>
  <c r="W242" i="3" s="1"/>
  <c r="C88" i="3"/>
  <c r="AL87" i="3"/>
  <c r="P80" i="3"/>
  <c r="M80" i="3"/>
  <c r="J80" i="3"/>
  <c r="F80" i="3"/>
  <c r="P79" i="3"/>
  <c r="M79" i="3"/>
  <c r="J79" i="3"/>
  <c r="F79" i="3"/>
  <c r="C89" i="3" l="1"/>
  <c r="AL88" i="3"/>
  <c r="I88" i="3"/>
  <c r="G88" i="3" s="1"/>
  <c r="W88" i="3" s="1"/>
  <c r="AD88" i="3"/>
  <c r="T88" i="3"/>
  <c r="C244" i="3"/>
  <c r="AL243" i="3"/>
  <c r="I243" i="3"/>
  <c r="G243" i="3" s="1"/>
  <c r="W243" i="3" s="1"/>
  <c r="T243" i="3"/>
  <c r="P78" i="3"/>
  <c r="M78" i="3"/>
  <c r="J78" i="3"/>
  <c r="F78" i="3"/>
  <c r="C245" i="3" l="1"/>
  <c r="AL244" i="3"/>
  <c r="I244" i="3"/>
  <c r="G244" i="3" s="1"/>
  <c r="W244" i="3" s="1"/>
  <c r="T244" i="3"/>
  <c r="C90" i="3"/>
  <c r="AL89" i="3"/>
  <c r="AD89" i="3"/>
  <c r="I89" i="3"/>
  <c r="G89" i="3" s="1"/>
  <c r="W89" i="3" s="1"/>
  <c r="P77" i="3"/>
  <c r="M77" i="3"/>
  <c r="J77" i="3"/>
  <c r="F77" i="3"/>
  <c r="C91" i="3" l="1"/>
  <c r="AL90" i="3"/>
  <c r="I90" i="3"/>
  <c r="G90" i="3" s="1"/>
  <c r="W90" i="3" s="1"/>
  <c r="AD90" i="3"/>
  <c r="C246" i="3"/>
  <c r="AL245" i="3"/>
  <c r="I245" i="3"/>
  <c r="G245" i="3" s="1"/>
  <c r="W245" i="3" s="1"/>
  <c r="T245" i="3"/>
  <c r="U8" i="9"/>
  <c r="P76" i="3"/>
  <c r="M76" i="3"/>
  <c r="J76" i="3"/>
  <c r="F76" i="3"/>
  <c r="C247" i="3" l="1"/>
  <c r="AL246" i="3"/>
  <c r="I246" i="3"/>
  <c r="G246" i="3" s="1"/>
  <c r="W246" i="3" s="1"/>
  <c r="T246" i="3"/>
  <c r="C92" i="3"/>
  <c r="AL91" i="3"/>
  <c r="I91" i="3"/>
  <c r="G91" i="3" s="1"/>
  <c r="W91" i="3" s="1"/>
  <c r="AD91" i="3"/>
  <c r="P75" i="3"/>
  <c r="M75" i="3"/>
  <c r="J75" i="3"/>
  <c r="F75" i="3"/>
  <c r="C93" i="3" l="1"/>
  <c r="AL92" i="3"/>
  <c r="I92" i="3"/>
  <c r="G92" i="3" s="1"/>
  <c r="W92" i="3" s="1"/>
  <c r="AD92" i="3"/>
  <c r="C248" i="3"/>
  <c r="AL247" i="3"/>
  <c r="T247" i="3"/>
  <c r="I247" i="3"/>
  <c r="G247" i="3" s="1"/>
  <c r="W247" i="3" s="1"/>
  <c r="P74" i="3"/>
  <c r="M74" i="3"/>
  <c r="J74" i="3"/>
  <c r="F74" i="3"/>
  <c r="P73" i="3"/>
  <c r="M73" i="3"/>
  <c r="J73" i="3"/>
  <c r="F73" i="3"/>
  <c r="C249" i="3" l="1"/>
  <c r="AL248" i="3"/>
  <c r="T248" i="3"/>
  <c r="I248" i="3"/>
  <c r="G248" i="3" s="1"/>
  <c r="W248" i="3" s="1"/>
  <c r="C94" i="3"/>
  <c r="AL93" i="3"/>
  <c r="AD93" i="3"/>
  <c r="I93" i="3"/>
  <c r="G93" i="3" s="1"/>
  <c r="W93" i="3" s="1"/>
  <c r="T93" i="3"/>
  <c r="P72" i="3"/>
  <c r="M72" i="3"/>
  <c r="J72" i="3"/>
  <c r="F72" i="3"/>
  <c r="C95" i="3" l="1"/>
  <c r="AL94" i="3"/>
  <c r="T94" i="3"/>
  <c r="AD94" i="3"/>
  <c r="I94" i="3"/>
  <c r="G94" i="3" s="1"/>
  <c r="W94" i="3" s="1"/>
  <c r="C250" i="3"/>
  <c r="AL249" i="3"/>
  <c r="I249" i="3"/>
  <c r="G249" i="3" s="1"/>
  <c r="W249" i="3" s="1"/>
  <c r="T249" i="3"/>
  <c r="A4" i="11"/>
  <c r="J6" i="11"/>
  <c r="F6" i="11"/>
  <c r="C251" i="3" l="1"/>
  <c r="AL250" i="3"/>
  <c r="T250" i="3"/>
  <c r="I250" i="3"/>
  <c r="G250" i="3" s="1"/>
  <c r="W250" i="3" s="1"/>
  <c r="C96" i="3"/>
  <c r="AL95" i="3"/>
  <c r="AD95" i="3"/>
  <c r="I95" i="3"/>
  <c r="G95" i="3" s="1"/>
  <c r="W95" i="3" s="1"/>
  <c r="T95" i="3"/>
  <c r="E9" i="11"/>
  <c r="F9" i="11" s="1"/>
  <c r="E12" i="11" s="1"/>
  <c r="C97" i="3" l="1"/>
  <c r="AL96" i="3"/>
  <c r="I96" i="3"/>
  <c r="G96" i="3" s="1"/>
  <c r="W96" i="3" s="1"/>
  <c r="AD96" i="3"/>
  <c r="T96" i="3"/>
  <c r="C252" i="3"/>
  <c r="AL251" i="3"/>
  <c r="I251" i="3"/>
  <c r="G251" i="3" s="1"/>
  <c r="W251" i="3" s="1"/>
  <c r="T251" i="3"/>
  <c r="S71" i="3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T89" i="3" s="1"/>
  <c r="T90" i="3" s="1"/>
  <c r="T91" i="3" s="1"/>
  <c r="T92" i="3" s="1"/>
  <c r="P71" i="3"/>
  <c r="M71" i="3"/>
  <c r="J71" i="3"/>
  <c r="F71" i="3"/>
  <c r="C253" i="3" l="1"/>
  <c r="AL252" i="3"/>
  <c r="T252" i="3"/>
  <c r="I252" i="3"/>
  <c r="G252" i="3" s="1"/>
  <c r="W252" i="3" s="1"/>
  <c r="C98" i="3"/>
  <c r="AL97" i="3"/>
  <c r="T97" i="3"/>
  <c r="AD97" i="3"/>
  <c r="I97" i="3"/>
  <c r="G97" i="3" s="1"/>
  <c r="W97" i="3" s="1"/>
  <c r="P70" i="3"/>
  <c r="M70" i="3"/>
  <c r="J70" i="3"/>
  <c r="F70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P69" i="3"/>
  <c r="M69" i="3"/>
  <c r="J69" i="3"/>
  <c r="F69" i="3"/>
  <c r="C64" i="3"/>
  <c r="X70" i="9" l="1"/>
  <c r="C99" i="3"/>
  <c r="AL98" i="3"/>
  <c r="T98" i="3"/>
  <c r="I98" i="3"/>
  <c r="G98" i="3" s="1"/>
  <c r="W98" i="3" s="1"/>
  <c r="AD98" i="3"/>
  <c r="C254" i="3"/>
  <c r="AL253" i="3"/>
  <c r="T253" i="3"/>
  <c r="I253" i="3"/>
  <c r="G253" i="3" s="1"/>
  <c r="W253" i="3" s="1"/>
  <c r="C65" i="3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AL76" i="3" s="1"/>
  <c r="P68" i="3"/>
  <c r="M68" i="3"/>
  <c r="J68" i="3"/>
  <c r="F68" i="3"/>
  <c r="P67" i="3"/>
  <c r="M67" i="3"/>
  <c r="J67" i="3"/>
  <c r="F67" i="3"/>
  <c r="P66" i="3"/>
  <c r="M66" i="3"/>
  <c r="J66" i="3"/>
  <c r="F66" i="3"/>
  <c r="P65" i="3"/>
  <c r="M65" i="3"/>
  <c r="J65" i="3"/>
  <c r="F65" i="3"/>
  <c r="X77" i="9" l="1"/>
  <c r="X73" i="9"/>
  <c r="X82" i="9"/>
  <c r="X75" i="9"/>
  <c r="X76" i="9"/>
  <c r="X80" i="9"/>
  <c r="X81" i="9"/>
  <c r="X74" i="9"/>
  <c r="X72" i="9"/>
  <c r="X79" i="9"/>
  <c r="X78" i="9"/>
  <c r="X71" i="9"/>
  <c r="C255" i="3"/>
  <c r="AL254" i="3"/>
  <c r="T254" i="3"/>
  <c r="I254" i="3"/>
  <c r="G254" i="3" s="1"/>
  <c r="W254" i="3" s="1"/>
  <c r="C100" i="3"/>
  <c r="AL99" i="3"/>
  <c r="AD99" i="3"/>
  <c r="I99" i="3"/>
  <c r="G99" i="3" s="1"/>
  <c r="W99" i="3" s="1"/>
  <c r="T99" i="3"/>
  <c r="C77" i="3"/>
  <c r="T76" i="3"/>
  <c r="AD76" i="3"/>
  <c r="I76" i="3"/>
  <c r="G76" i="3" s="1"/>
  <c r="W76" i="3" s="1"/>
  <c r="AD75" i="3"/>
  <c r="T75" i="3"/>
  <c r="I75" i="3"/>
  <c r="G75" i="3" s="1"/>
  <c r="W75" i="3" s="1"/>
  <c r="AD74" i="3"/>
  <c r="I74" i="3"/>
  <c r="G74" i="3" s="1"/>
  <c r="W74" i="3" s="1"/>
  <c r="AD73" i="3"/>
  <c r="I73" i="3"/>
  <c r="G73" i="3" s="1"/>
  <c r="W73" i="3" s="1"/>
  <c r="AD72" i="3"/>
  <c r="I72" i="3"/>
  <c r="G72" i="3" s="1"/>
  <c r="W72" i="3" s="1"/>
  <c r="I69" i="3"/>
  <c r="G69" i="3" s="1"/>
  <c r="W69" i="3" s="1"/>
  <c r="I70" i="3"/>
  <c r="G70" i="3" s="1"/>
  <c r="W70" i="3" s="1"/>
  <c r="T70" i="3"/>
  <c r="T69" i="3"/>
  <c r="AD69" i="3"/>
  <c r="AD70" i="3"/>
  <c r="AD71" i="3"/>
  <c r="I71" i="3"/>
  <c r="G71" i="3" s="1"/>
  <c r="W71" i="3" s="1"/>
  <c r="P64" i="3"/>
  <c r="M64" i="3"/>
  <c r="J64" i="3"/>
  <c r="F64" i="3"/>
  <c r="AD63" i="3"/>
  <c r="T63" i="3"/>
  <c r="P63" i="3"/>
  <c r="M63" i="3"/>
  <c r="J63" i="3"/>
  <c r="I63" i="3"/>
  <c r="G63" i="3" s="1"/>
  <c r="F63" i="3"/>
  <c r="AL77" i="3" l="1"/>
  <c r="X83" i="9"/>
  <c r="C101" i="3"/>
  <c r="AL100" i="3"/>
  <c r="AD100" i="3"/>
  <c r="T100" i="3"/>
  <c r="I100" i="3"/>
  <c r="G100" i="3" s="1"/>
  <c r="W100" i="3" s="1"/>
  <c r="C256" i="3"/>
  <c r="AL255" i="3"/>
  <c r="I255" i="3"/>
  <c r="G255" i="3" s="1"/>
  <c r="W255" i="3" s="1"/>
  <c r="T255" i="3"/>
  <c r="W63" i="3"/>
  <c r="C78" i="3"/>
  <c r="AD77" i="3"/>
  <c r="T77" i="3"/>
  <c r="I64" i="3"/>
  <c r="G64" i="3" s="1"/>
  <c r="W64" i="3" s="1"/>
  <c r="T64" i="3"/>
  <c r="AD64" i="3"/>
  <c r="AD62" i="3"/>
  <c r="T62" i="3"/>
  <c r="P62" i="3"/>
  <c r="M62" i="3"/>
  <c r="J62" i="3"/>
  <c r="I62" i="3"/>
  <c r="G62" i="3" s="1"/>
  <c r="F62" i="3"/>
  <c r="X84" i="9" l="1"/>
  <c r="AL78" i="3"/>
  <c r="C257" i="3"/>
  <c r="AL256" i="3"/>
  <c r="T256" i="3"/>
  <c r="I256" i="3"/>
  <c r="G256" i="3" s="1"/>
  <c r="W256" i="3" s="1"/>
  <c r="C102" i="3"/>
  <c r="AL101" i="3"/>
  <c r="I101" i="3"/>
  <c r="G101" i="3" s="1"/>
  <c r="W101" i="3" s="1"/>
  <c r="T101" i="3"/>
  <c r="AD101" i="3"/>
  <c r="C79" i="3"/>
  <c r="AD78" i="3"/>
  <c r="T78" i="3"/>
  <c r="I78" i="3"/>
  <c r="G78" i="3" s="1"/>
  <c r="W78" i="3" s="1"/>
  <c r="AD68" i="3"/>
  <c r="I68" i="3"/>
  <c r="G68" i="3" s="1"/>
  <c r="W68" i="3" s="1"/>
  <c r="T68" i="3"/>
  <c r="AD67" i="3"/>
  <c r="T67" i="3"/>
  <c r="I67" i="3"/>
  <c r="G67" i="3" s="1"/>
  <c r="W67" i="3" s="1"/>
  <c r="AD66" i="3"/>
  <c r="T66" i="3"/>
  <c r="I66" i="3"/>
  <c r="G66" i="3" s="1"/>
  <c r="W66" i="3" s="1"/>
  <c r="T65" i="3"/>
  <c r="AD65" i="3"/>
  <c r="I65" i="3"/>
  <c r="G65" i="3" s="1"/>
  <c r="W65" i="3" s="1"/>
  <c r="W62" i="3"/>
  <c r="AD61" i="3"/>
  <c r="T61" i="3"/>
  <c r="P61" i="3"/>
  <c r="M61" i="3"/>
  <c r="J61" i="3"/>
  <c r="I61" i="3"/>
  <c r="G61" i="3" s="1"/>
  <c r="F61" i="3"/>
  <c r="AD60" i="3"/>
  <c r="T60" i="3"/>
  <c r="P60" i="3"/>
  <c r="M60" i="3"/>
  <c r="J60" i="3"/>
  <c r="I60" i="3"/>
  <c r="G60" i="3" s="1"/>
  <c r="F60" i="3"/>
  <c r="AD59" i="3"/>
  <c r="T59" i="3"/>
  <c r="P59" i="3"/>
  <c r="M59" i="3"/>
  <c r="J59" i="3"/>
  <c r="I59" i="3"/>
  <c r="G59" i="3" s="1"/>
  <c r="F59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15" i="3"/>
  <c r="I58" i="3"/>
  <c r="X85" i="9" l="1"/>
  <c r="C103" i="3"/>
  <c r="AL102" i="3"/>
  <c r="AD102" i="3"/>
  <c r="T102" i="3"/>
  <c r="I102" i="3"/>
  <c r="G102" i="3" s="1"/>
  <c r="W102" i="3" s="1"/>
  <c r="C258" i="3"/>
  <c r="AL257" i="3"/>
  <c r="I257" i="3"/>
  <c r="G257" i="3" s="1"/>
  <c r="W257" i="3" s="1"/>
  <c r="T257" i="3"/>
  <c r="C80" i="3"/>
  <c r="AL79" i="3"/>
  <c r="I79" i="3"/>
  <c r="G79" i="3" s="1"/>
  <c r="W79" i="3" s="1"/>
  <c r="AD79" i="3"/>
  <c r="T79" i="3"/>
  <c r="W61" i="3"/>
  <c r="W60" i="3"/>
  <c r="W59" i="3"/>
  <c r="T58" i="3"/>
  <c r="P58" i="3"/>
  <c r="M58" i="3"/>
  <c r="J58" i="3"/>
  <c r="G58" i="3"/>
  <c r="F58" i="3"/>
  <c r="T57" i="3"/>
  <c r="P57" i="3"/>
  <c r="M57" i="3"/>
  <c r="J57" i="3"/>
  <c r="G57" i="3"/>
  <c r="F57" i="3"/>
  <c r="T56" i="3"/>
  <c r="P56" i="3"/>
  <c r="M56" i="3"/>
  <c r="J56" i="3"/>
  <c r="G56" i="3"/>
  <c r="F56" i="3"/>
  <c r="T55" i="3"/>
  <c r="P55" i="3"/>
  <c r="M55" i="3"/>
  <c r="J55" i="3"/>
  <c r="G55" i="3"/>
  <c r="F55" i="3"/>
  <c r="X86" i="9" l="1"/>
  <c r="I80" i="3"/>
  <c r="G80" i="3" s="1"/>
  <c r="W80" i="3" s="1"/>
  <c r="AL258" i="3"/>
  <c r="C259" i="3"/>
  <c r="T258" i="3"/>
  <c r="I258" i="3"/>
  <c r="G258" i="3" s="1"/>
  <c r="W258" i="3" s="1"/>
  <c r="C104" i="3"/>
  <c r="AL103" i="3"/>
  <c r="AD103" i="3"/>
  <c r="I103" i="3"/>
  <c r="G103" i="3" s="1"/>
  <c r="W103" i="3" s="1"/>
  <c r="T103" i="3"/>
  <c r="AD80" i="3"/>
  <c r="T80" i="3"/>
  <c r="C81" i="3"/>
  <c r="AL80" i="3"/>
  <c r="W57" i="3"/>
  <c r="W58" i="3"/>
  <c r="W56" i="3"/>
  <c r="W55" i="3"/>
  <c r="T54" i="3"/>
  <c r="P54" i="3"/>
  <c r="M54" i="3"/>
  <c r="J54" i="3"/>
  <c r="G54" i="3"/>
  <c r="F54" i="3"/>
  <c r="T53" i="3"/>
  <c r="P53" i="3"/>
  <c r="M53" i="3"/>
  <c r="J53" i="3"/>
  <c r="G53" i="3"/>
  <c r="F53" i="3"/>
  <c r="C105" i="3" l="1"/>
  <c r="AL104" i="3"/>
  <c r="I104" i="3"/>
  <c r="G104" i="3" s="1"/>
  <c r="W104" i="3" s="1"/>
  <c r="T104" i="3"/>
  <c r="AD104" i="3"/>
  <c r="AL259" i="3"/>
  <c r="I259" i="3"/>
  <c r="G259" i="3" s="1"/>
  <c r="W259" i="3" s="1"/>
  <c r="C260" i="3"/>
  <c r="T259" i="3"/>
  <c r="AL81" i="3"/>
  <c r="C82" i="3"/>
  <c r="AD81" i="3"/>
  <c r="I81" i="3"/>
  <c r="G81" i="3" s="1"/>
  <c r="W81" i="3" s="1"/>
  <c r="T81" i="3"/>
  <c r="W54" i="3"/>
  <c r="W53" i="3"/>
  <c r="P52" i="3"/>
  <c r="M52" i="3"/>
  <c r="J52" i="3"/>
  <c r="G52" i="3"/>
  <c r="F52" i="3"/>
  <c r="P51" i="3"/>
  <c r="M51" i="3"/>
  <c r="J51" i="3"/>
  <c r="G51" i="3"/>
  <c r="F51" i="3"/>
  <c r="P50" i="3"/>
  <c r="M50" i="3"/>
  <c r="J50" i="3"/>
  <c r="G50" i="3"/>
  <c r="F50" i="3"/>
  <c r="S49" i="3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S60" i="3" s="1"/>
  <c r="S61" i="3" s="1"/>
  <c r="S62" i="3" s="1"/>
  <c r="S63" i="3" s="1"/>
  <c r="S64" i="3" s="1"/>
  <c r="S65" i="3" s="1"/>
  <c r="S66" i="3" s="1"/>
  <c r="S67" i="3" s="1"/>
  <c r="S68" i="3" s="1"/>
  <c r="S69" i="3" s="1"/>
  <c r="S70" i="3" s="1"/>
  <c r="T71" i="3" s="1"/>
  <c r="T72" i="3" s="1"/>
  <c r="T73" i="3" s="1"/>
  <c r="T74" i="3" s="1"/>
  <c r="P49" i="3"/>
  <c r="M49" i="3"/>
  <c r="J49" i="3"/>
  <c r="G49" i="3"/>
  <c r="F49" i="3"/>
  <c r="AL260" i="3" l="1"/>
  <c r="T260" i="3"/>
  <c r="I260" i="3"/>
  <c r="G260" i="3" s="1"/>
  <c r="W260" i="3" s="1"/>
  <c r="C261" i="3"/>
  <c r="C106" i="3"/>
  <c r="AL105" i="3"/>
  <c r="AD105" i="3"/>
  <c r="T105" i="3"/>
  <c r="I105" i="3"/>
  <c r="G105" i="3" s="1"/>
  <c r="W105" i="3" s="1"/>
  <c r="AL82" i="3"/>
  <c r="C83" i="3"/>
  <c r="AD82" i="3"/>
  <c r="I82" i="3"/>
  <c r="G82" i="3" s="1"/>
  <c r="W82" i="3" s="1"/>
  <c r="T82" i="3"/>
  <c r="W52" i="3"/>
  <c r="W51" i="3"/>
  <c r="W50" i="3"/>
  <c r="W49" i="3"/>
  <c r="T48" i="3"/>
  <c r="T47" i="3"/>
  <c r="P48" i="3"/>
  <c r="P47" i="3"/>
  <c r="M48" i="3"/>
  <c r="M47" i="3"/>
  <c r="J48" i="3"/>
  <c r="G48" i="3"/>
  <c r="J47" i="3"/>
  <c r="G47" i="3"/>
  <c r="F48" i="3"/>
  <c r="F47" i="3"/>
  <c r="T46" i="3"/>
  <c r="P46" i="3"/>
  <c r="M46" i="3"/>
  <c r="J46" i="3"/>
  <c r="G46" i="3"/>
  <c r="F46" i="3"/>
  <c r="T45" i="3"/>
  <c r="P45" i="3"/>
  <c r="M45" i="3"/>
  <c r="J45" i="3"/>
  <c r="G45" i="3"/>
  <c r="F45" i="3"/>
  <c r="C107" i="3" l="1"/>
  <c r="AL106" i="3"/>
  <c r="AD106" i="3"/>
  <c r="I106" i="3"/>
  <c r="G106" i="3" s="1"/>
  <c r="W106" i="3" s="1"/>
  <c r="T106" i="3"/>
  <c r="AL261" i="3"/>
  <c r="C262" i="3"/>
  <c r="T261" i="3"/>
  <c r="I261" i="3"/>
  <c r="G261" i="3" s="1"/>
  <c r="W261" i="3" s="1"/>
  <c r="AL83" i="3"/>
  <c r="I83" i="3"/>
  <c r="G83" i="3" s="1"/>
  <c r="W83" i="3" s="1"/>
  <c r="T83" i="3"/>
  <c r="AD83" i="3"/>
  <c r="W47" i="3"/>
  <c r="W48" i="3"/>
  <c r="W46" i="3"/>
  <c r="W45" i="3"/>
  <c r="T44" i="3"/>
  <c r="P44" i="3"/>
  <c r="M44" i="3"/>
  <c r="J44" i="3"/>
  <c r="G44" i="3"/>
  <c r="F44" i="3"/>
  <c r="T43" i="3"/>
  <c r="P43" i="3"/>
  <c r="M43" i="3"/>
  <c r="J43" i="3"/>
  <c r="G43" i="3"/>
  <c r="F43" i="3"/>
  <c r="T42" i="3"/>
  <c r="P42" i="3"/>
  <c r="M42" i="3"/>
  <c r="J42" i="3"/>
  <c r="G42" i="3"/>
  <c r="F42" i="3"/>
  <c r="T41" i="3"/>
  <c r="P41" i="3"/>
  <c r="M41" i="3"/>
  <c r="J41" i="3"/>
  <c r="G41" i="3"/>
  <c r="F41" i="3"/>
  <c r="T40" i="3"/>
  <c r="P40" i="3"/>
  <c r="M40" i="3"/>
  <c r="J40" i="3"/>
  <c r="G40" i="3"/>
  <c r="F40" i="3"/>
  <c r="T39" i="3"/>
  <c r="P39" i="3"/>
  <c r="M39" i="3"/>
  <c r="J39" i="3"/>
  <c r="G39" i="3"/>
  <c r="F39" i="3"/>
  <c r="AL262" i="3" l="1"/>
  <c r="T262" i="3"/>
  <c r="I262" i="3"/>
  <c r="G262" i="3" s="1"/>
  <c r="W262" i="3" s="1"/>
  <c r="C263" i="3"/>
  <c r="C108" i="3"/>
  <c r="AL107" i="3"/>
  <c r="AD107" i="3"/>
  <c r="I107" i="3"/>
  <c r="G107" i="3" s="1"/>
  <c r="W107" i="3" s="1"/>
  <c r="T107" i="3"/>
  <c r="W44" i="3"/>
  <c r="W43" i="3"/>
  <c r="W42" i="3"/>
  <c r="W41" i="3"/>
  <c r="W40" i="3"/>
  <c r="W39" i="3"/>
  <c r="AL108" i="3" l="1"/>
  <c r="T108" i="3"/>
  <c r="I108" i="3"/>
  <c r="G108" i="3" s="1"/>
  <c r="W108" i="3" s="1"/>
  <c r="AD108" i="3"/>
  <c r="C109" i="3"/>
  <c r="AL263" i="3"/>
  <c r="C264" i="3"/>
  <c r="T263" i="3"/>
  <c r="I263" i="3"/>
  <c r="G263" i="3" s="1"/>
  <c r="W263" i="3" s="1"/>
  <c r="L19" i="1"/>
  <c r="M19" i="1" s="1"/>
  <c r="AL264" i="3" l="1"/>
  <c r="C265" i="3"/>
  <c r="I264" i="3"/>
  <c r="G264" i="3" s="1"/>
  <c r="W264" i="3" s="1"/>
  <c r="T264" i="3"/>
  <c r="C110" i="3"/>
  <c r="AL109" i="3"/>
  <c r="I109" i="3"/>
  <c r="G109" i="3" s="1"/>
  <c r="W109" i="3" s="1"/>
  <c r="T109" i="3"/>
  <c r="AD109" i="3"/>
  <c r="T38" i="3"/>
  <c r="P38" i="3"/>
  <c r="M38" i="3"/>
  <c r="J38" i="3"/>
  <c r="G38" i="3"/>
  <c r="F38" i="3"/>
  <c r="T37" i="3"/>
  <c r="P37" i="3"/>
  <c r="M37" i="3"/>
  <c r="J37" i="3"/>
  <c r="G37" i="3"/>
  <c r="F37" i="3"/>
  <c r="AL265" i="3" l="1"/>
  <c r="T265" i="3"/>
  <c r="I265" i="3"/>
  <c r="G265" i="3" s="1"/>
  <c r="W265" i="3" s="1"/>
  <c r="C266" i="3"/>
  <c r="C111" i="3"/>
  <c r="AL110" i="3"/>
  <c r="T110" i="3"/>
  <c r="AD110" i="3"/>
  <c r="I110" i="3"/>
  <c r="G110" i="3" s="1"/>
  <c r="W110" i="3" s="1"/>
  <c r="W38" i="3"/>
  <c r="W37" i="3"/>
  <c r="C112" i="3" l="1"/>
  <c r="AL111" i="3"/>
  <c r="T111" i="3"/>
  <c r="AD111" i="3"/>
  <c r="I111" i="3"/>
  <c r="G111" i="3" s="1"/>
  <c r="W111" i="3" s="1"/>
  <c r="AL266" i="3"/>
  <c r="I266" i="3"/>
  <c r="G266" i="3" s="1"/>
  <c r="W266" i="3" s="1"/>
  <c r="C267" i="3"/>
  <c r="T266" i="3"/>
  <c r="T36" i="3"/>
  <c r="P36" i="3"/>
  <c r="M36" i="3"/>
  <c r="J36" i="3"/>
  <c r="G36" i="3"/>
  <c r="F36" i="3"/>
  <c r="AL267" i="3" l="1"/>
  <c r="T267" i="3"/>
  <c r="I267" i="3"/>
  <c r="G267" i="3" s="1"/>
  <c r="W267" i="3" s="1"/>
  <c r="C268" i="3"/>
  <c r="C113" i="3"/>
  <c r="AL112" i="3"/>
  <c r="AD112" i="3"/>
  <c r="I112" i="3"/>
  <c r="G112" i="3" s="1"/>
  <c r="W112" i="3" s="1"/>
  <c r="T112" i="3"/>
  <c r="T113" i="3" s="1"/>
  <c r="W36" i="3"/>
  <c r="T35" i="3"/>
  <c r="P35" i="3"/>
  <c r="M35" i="3"/>
  <c r="J35" i="3"/>
  <c r="G35" i="3"/>
  <c r="F35" i="3"/>
  <c r="T34" i="3"/>
  <c r="P34" i="3"/>
  <c r="M34" i="3"/>
  <c r="J34" i="3"/>
  <c r="G34" i="3"/>
  <c r="F34" i="3"/>
  <c r="T33" i="3"/>
  <c r="P33" i="3"/>
  <c r="M33" i="3"/>
  <c r="J33" i="3"/>
  <c r="G33" i="3"/>
  <c r="F33" i="3"/>
  <c r="AL268" i="3" l="1"/>
  <c r="C269" i="3"/>
  <c r="T268" i="3"/>
  <c r="I268" i="3"/>
  <c r="G268" i="3" s="1"/>
  <c r="W268" i="3" s="1"/>
  <c r="C114" i="3"/>
  <c r="AL113" i="3"/>
  <c r="AD113" i="3"/>
  <c r="I113" i="3"/>
  <c r="G113" i="3" s="1"/>
  <c r="W113" i="3" s="1"/>
  <c r="W35" i="3"/>
  <c r="W34" i="3"/>
  <c r="W33" i="3"/>
  <c r="AL269" i="3" l="1"/>
  <c r="I269" i="3"/>
  <c r="G269" i="3" s="1"/>
  <c r="W269" i="3" s="1"/>
  <c r="C270" i="3"/>
  <c r="T269" i="3"/>
  <c r="C115" i="3"/>
  <c r="AL114" i="3"/>
  <c r="AD114" i="3"/>
  <c r="I114" i="3"/>
  <c r="G114" i="3" s="1"/>
  <c r="W114" i="3" s="1"/>
  <c r="T114" i="3"/>
  <c r="T115" i="3" s="1"/>
  <c r="T32" i="3"/>
  <c r="P32" i="3"/>
  <c r="M32" i="3"/>
  <c r="J32" i="3"/>
  <c r="G32" i="3"/>
  <c r="F32" i="3"/>
  <c r="AL270" i="3" l="1"/>
  <c r="T270" i="3"/>
  <c r="C271" i="3"/>
  <c r="I270" i="3"/>
  <c r="G270" i="3" s="1"/>
  <c r="W270" i="3" s="1"/>
  <c r="AL115" i="3"/>
  <c r="I115" i="3"/>
  <c r="G115" i="3" s="1"/>
  <c r="W115" i="3" s="1"/>
  <c r="AD115" i="3"/>
  <c r="W32" i="3"/>
  <c r="T31" i="3"/>
  <c r="P31" i="3"/>
  <c r="M31" i="3"/>
  <c r="J31" i="3"/>
  <c r="G31" i="3"/>
  <c r="F31" i="3"/>
  <c r="F30" i="3"/>
  <c r="C272" i="3" l="1"/>
  <c r="AL271" i="3"/>
  <c r="T271" i="3"/>
  <c r="I271" i="3"/>
  <c r="G271" i="3" s="1"/>
  <c r="W271" i="3" s="1"/>
  <c r="W31" i="3"/>
  <c r="M30" i="3"/>
  <c r="J30" i="3"/>
  <c r="G30" i="3"/>
  <c r="P30" i="3"/>
  <c r="C273" i="3" l="1"/>
  <c r="AL272" i="3"/>
  <c r="T272" i="3"/>
  <c r="I272" i="3"/>
  <c r="G272" i="3" s="1"/>
  <c r="W272" i="3" s="1"/>
  <c r="W30" i="3"/>
  <c r="P29" i="3"/>
  <c r="M29" i="3"/>
  <c r="J29" i="3"/>
  <c r="G29" i="3"/>
  <c r="F29" i="3"/>
  <c r="AL273" i="3" l="1"/>
  <c r="T273" i="3"/>
  <c r="I273" i="3"/>
  <c r="G273" i="3" s="1"/>
  <c r="W273" i="3" s="1"/>
  <c r="C274" i="3"/>
  <c r="W29" i="3"/>
  <c r="P28" i="3"/>
  <c r="M28" i="3"/>
  <c r="J28" i="3"/>
  <c r="G28" i="3"/>
  <c r="F28" i="3"/>
  <c r="T25" i="3"/>
  <c r="T24" i="3"/>
  <c r="T23" i="3"/>
  <c r="T22" i="3"/>
  <c r="T21" i="3"/>
  <c r="T20" i="3"/>
  <c r="T19" i="3"/>
  <c r="T18" i="3"/>
  <c r="T17" i="3"/>
  <c r="T16" i="3"/>
  <c r="T15" i="3"/>
  <c r="T14" i="3"/>
  <c r="T26" i="3"/>
  <c r="S28" i="3"/>
  <c r="S29" i="3" s="1"/>
  <c r="S30" i="3" s="1"/>
  <c r="AL274" i="3" l="1"/>
  <c r="T274" i="3"/>
  <c r="I274" i="3"/>
  <c r="G274" i="3" s="1"/>
  <c r="W274" i="3" s="1"/>
  <c r="C275" i="3"/>
  <c r="S31" i="3"/>
  <c r="S32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W28" i="3"/>
  <c r="P27" i="3"/>
  <c r="M27" i="3"/>
  <c r="J27" i="3"/>
  <c r="G27" i="3"/>
  <c r="F27" i="3"/>
  <c r="M26" i="3"/>
  <c r="AL275" i="3" l="1"/>
  <c r="T275" i="3"/>
  <c r="I275" i="3"/>
  <c r="G275" i="3" s="1"/>
  <c r="W275" i="3" s="1"/>
  <c r="C276" i="3"/>
  <c r="S46" i="3"/>
  <c r="S47" i="3" s="1"/>
  <c r="S48" i="3" s="1"/>
  <c r="T49" i="3" s="1"/>
  <c r="T50" i="3" s="1"/>
  <c r="T51" i="3" s="1"/>
  <c r="T52" i="3" s="1"/>
  <c r="W27" i="3"/>
  <c r="P26" i="3"/>
  <c r="J26" i="3"/>
  <c r="G26" i="3"/>
  <c r="F26" i="3"/>
  <c r="C277" i="3" l="1"/>
  <c r="AL276" i="3"/>
  <c r="I276" i="3"/>
  <c r="G276" i="3" s="1"/>
  <c r="W276" i="3" s="1"/>
  <c r="T276" i="3"/>
  <c r="W26" i="3"/>
  <c r="C278" i="3" l="1"/>
  <c r="AL277" i="3"/>
  <c r="I277" i="3"/>
  <c r="G277" i="3" s="1"/>
  <c r="W277" i="3" s="1"/>
  <c r="T277" i="3"/>
  <c r="P25" i="3"/>
  <c r="M25" i="3"/>
  <c r="M24" i="3"/>
  <c r="M23" i="3"/>
  <c r="M22" i="3"/>
  <c r="M21" i="3"/>
  <c r="J25" i="3"/>
  <c r="G25" i="3"/>
  <c r="F25" i="3"/>
  <c r="P24" i="3"/>
  <c r="J24" i="3"/>
  <c r="G24" i="3"/>
  <c r="F24" i="3"/>
  <c r="AL278" i="3" l="1"/>
  <c r="AD278" i="3"/>
  <c r="T278" i="3"/>
  <c r="T279" i="3" s="1"/>
  <c r="I278" i="3"/>
  <c r="G278" i="3" s="1"/>
  <c r="W278" i="3" s="1"/>
  <c r="C279" i="3"/>
  <c r="W25" i="3"/>
  <c r="W24" i="3"/>
  <c r="AL279" i="3" l="1"/>
  <c r="AD279" i="3"/>
  <c r="C280" i="3"/>
  <c r="I279" i="3"/>
  <c r="G279" i="3" s="1"/>
  <c r="W279" i="3" s="1"/>
  <c r="J23" i="3"/>
  <c r="C281" i="3" l="1"/>
  <c r="AL280" i="3"/>
  <c r="I280" i="3"/>
  <c r="G280" i="3" s="1"/>
  <c r="W280" i="3" s="1"/>
  <c r="AD280" i="3"/>
  <c r="T280" i="3"/>
  <c r="T281" i="3" s="1"/>
  <c r="P23" i="3"/>
  <c r="G23" i="3"/>
  <c r="F23" i="3"/>
  <c r="C282" i="3" l="1"/>
  <c r="AL281" i="3"/>
  <c r="AD281" i="3"/>
  <c r="I281" i="3"/>
  <c r="G281" i="3" s="1"/>
  <c r="W281" i="3" s="1"/>
  <c r="W23" i="3"/>
  <c r="P22" i="3"/>
  <c r="J22" i="3"/>
  <c r="G22" i="3"/>
  <c r="F22" i="3"/>
  <c r="P21" i="3"/>
  <c r="J21" i="3"/>
  <c r="G21" i="3"/>
  <c r="F21" i="3"/>
  <c r="C283" i="3" l="1"/>
  <c r="AL282" i="3"/>
  <c r="AD282" i="3"/>
  <c r="T282" i="3"/>
  <c r="I282" i="3"/>
  <c r="G282" i="3" s="1"/>
  <c r="W282" i="3" s="1"/>
  <c r="W22" i="3"/>
  <c r="W21" i="3"/>
  <c r="C284" i="3" l="1"/>
  <c r="AL283" i="3"/>
  <c r="T283" i="3"/>
  <c r="I283" i="3"/>
  <c r="G283" i="3" s="1"/>
  <c r="W283" i="3" s="1"/>
  <c r="AD283" i="3"/>
  <c r="P5" i="1"/>
  <c r="P20" i="3"/>
  <c r="M20" i="3"/>
  <c r="J20" i="3"/>
  <c r="G20" i="3"/>
  <c r="F20" i="3"/>
  <c r="AL284" i="3" l="1"/>
  <c r="I284" i="3"/>
  <c r="G284" i="3" s="1"/>
  <c r="W284" i="3" s="1"/>
  <c r="AD284" i="3"/>
  <c r="C285" i="3"/>
  <c r="T284" i="3"/>
  <c r="W20" i="3"/>
  <c r="C286" i="3" l="1"/>
  <c r="AL285" i="3"/>
  <c r="T285" i="3"/>
  <c r="I285" i="3"/>
  <c r="G285" i="3" s="1"/>
  <c r="W285" i="3" s="1"/>
  <c r="AD285" i="3"/>
  <c r="AD14" i="9"/>
  <c r="C15" i="9" s="1"/>
  <c r="AD15" i="9" s="1"/>
  <c r="C16" i="9" s="1"/>
  <c r="AD16" i="9" s="1"/>
  <c r="C17" i="9" s="1"/>
  <c r="AD17" i="9" s="1"/>
  <c r="C18" i="9" s="1"/>
  <c r="AD18" i="9" s="1"/>
  <c r="C19" i="9" s="1"/>
  <c r="AD19" i="9" s="1"/>
  <c r="C20" i="9" s="1"/>
  <c r="AD20" i="9" s="1"/>
  <c r="C21" i="9" s="1"/>
  <c r="C287" i="3" l="1"/>
  <c r="AL286" i="3"/>
  <c r="AD286" i="3"/>
  <c r="T286" i="3"/>
  <c r="I286" i="3"/>
  <c r="G286" i="3" s="1"/>
  <c r="W286" i="3" s="1"/>
  <c r="K158" i="9"/>
  <c r="K22" i="9"/>
  <c r="K21" i="9"/>
  <c r="AD21" i="9" s="1"/>
  <c r="X15" i="3" s="1"/>
  <c r="K23" i="9"/>
  <c r="P19" i="3"/>
  <c r="M19" i="3"/>
  <c r="J19" i="3"/>
  <c r="G19" i="3"/>
  <c r="F19" i="3"/>
  <c r="P18" i="3"/>
  <c r="M18" i="3"/>
  <c r="J18" i="3"/>
  <c r="G18" i="3"/>
  <c r="F18" i="3"/>
  <c r="P17" i="3"/>
  <c r="M17" i="3"/>
  <c r="J17" i="3"/>
  <c r="G17" i="3"/>
  <c r="F17" i="3"/>
  <c r="C22" i="9" l="1"/>
  <c r="AD22" i="9" s="1"/>
  <c r="X16" i="3" s="1"/>
  <c r="AL287" i="3"/>
  <c r="AD287" i="3"/>
  <c r="T287" i="3"/>
  <c r="I287" i="3"/>
  <c r="G287" i="3" s="1"/>
  <c r="W287" i="3" s="1"/>
  <c r="C288" i="3"/>
  <c r="K159" i="9"/>
  <c r="K24" i="9"/>
  <c r="W19" i="3"/>
  <c r="W18" i="3"/>
  <c r="W17" i="3"/>
  <c r="P16" i="3"/>
  <c r="M16" i="3"/>
  <c r="J16" i="3"/>
  <c r="G16" i="3"/>
  <c r="F16" i="3"/>
  <c r="C23" i="9" l="1"/>
  <c r="AD23" i="9" s="1"/>
  <c r="X17" i="3" s="1"/>
  <c r="C289" i="3"/>
  <c r="AL288" i="3"/>
  <c r="I288" i="3"/>
  <c r="G288" i="3" s="1"/>
  <c r="W288" i="3" s="1"/>
  <c r="AD288" i="3"/>
  <c r="T288" i="3"/>
  <c r="W16" i="3"/>
  <c r="K160" i="9"/>
  <c r="K25" i="9"/>
  <c r="S16" i="3"/>
  <c r="S17" i="3" s="1"/>
  <c r="S18" i="3" s="1"/>
  <c r="S19" i="3" s="1"/>
  <c r="S20" i="3" s="1"/>
  <c r="P15" i="3"/>
  <c r="M15" i="3"/>
  <c r="J15" i="3"/>
  <c r="C24" i="9" l="1"/>
  <c r="AD24" i="9" s="1"/>
  <c r="X18" i="3" s="1"/>
  <c r="C290" i="3"/>
  <c r="AL289" i="3"/>
  <c r="AD289" i="3"/>
  <c r="T289" i="3"/>
  <c r="I289" i="3"/>
  <c r="G289" i="3" s="1"/>
  <c r="W289" i="3" s="1"/>
  <c r="K161" i="9"/>
  <c r="S21" i="3"/>
  <c r="S22" i="3" s="1"/>
  <c r="S23" i="3" s="1"/>
  <c r="S24" i="3" s="1"/>
  <c r="S26" i="3" s="1"/>
  <c r="T27" i="3" s="1"/>
  <c r="T28" i="3" s="1"/>
  <c r="T29" i="3" s="1"/>
  <c r="T30" i="3" s="1"/>
  <c r="K26" i="9"/>
  <c r="G15" i="3"/>
  <c r="W15" i="3" s="1"/>
  <c r="F15" i="3"/>
  <c r="P8" i="1"/>
  <c r="P14" i="1"/>
  <c r="C25" i="9" l="1"/>
  <c r="AD25" i="9" s="1"/>
  <c r="X19" i="3" s="1"/>
  <c r="C291" i="3"/>
  <c r="AL290" i="3"/>
  <c r="AD290" i="3"/>
  <c r="I290" i="3"/>
  <c r="G290" i="3" s="1"/>
  <c r="W290" i="3" s="1"/>
  <c r="T290" i="3"/>
  <c r="K163" i="9"/>
  <c r="K162" i="9"/>
  <c r="K27" i="9"/>
  <c r="AD26" i="9"/>
  <c r="X20" i="3" s="1"/>
  <c r="G14" i="1"/>
  <c r="B15" i="7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C292" i="3" l="1"/>
  <c r="AL291" i="3"/>
  <c r="I291" i="3"/>
  <c r="G291" i="3" s="1"/>
  <c r="W291" i="3" s="1"/>
  <c r="T291" i="3"/>
  <c r="AD291" i="3"/>
  <c r="K166" i="9"/>
  <c r="K165" i="9"/>
  <c r="C26" i="9"/>
  <c r="K28" i="9"/>
  <c r="R25" i="1"/>
  <c r="P15" i="1"/>
  <c r="P12" i="1"/>
  <c r="K164" i="9" l="1"/>
  <c r="C293" i="3"/>
  <c r="AL292" i="3"/>
  <c r="T292" i="3"/>
  <c r="AD292" i="3"/>
  <c r="I292" i="3"/>
  <c r="G292" i="3" s="1"/>
  <c r="W292" i="3" s="1"/>
  <c r="K167" i="9"/>
  <c r="AD27" i="9"/>
  <c r="X21" i="3" s="1"/>
  <c r="K29" i="9"/>
  <c r="AD28" i="9"/>
  <c r="X22" i="3" s="1"/>
  <c r="G8" i="1"/>
  <c r="G28" i="1"/>
  <c r="G27" i="1"/>
  <c r="C294" i="3" l="1"/>
  <c r="AL293" i="3"/>
  <c r="I293" i="3"/>
  <c r="G293" i="3" s="1"/>
  <c r="W293" i="3" s="1"/>
  <c r="AD293" i="3"/>
  <c r="T293" i="3"/>
  <c r="K170" i="9"/>
  <c r="K168" i="9"/>
  <c r="C27" i="9"/>
  <c r="C28" i="9"/>
  <c r="K30" i="9"/>
  <c r="AD29" i="9"/>
  <c r="X23" i="3" s="1"/>
  <c r="K169" i="9" l="1"/>
  <c r="C295" i="3"/>
  <c r="AL294" i="3"/>
  <c r="T294" i="3"/>
  <c r="AD294" i="3"/>
  <c r="I294" i="3"/>
  <c r="G294" i="3" s="1"/>
  <c r="W294" i="3" s="1"/>
  <c r="K171" i="9"/>
  <c r="C29" i="9"/>
  <c r="K31" i="9"/>
  <c r="AD30" i="9"/>
  <c r="X24" i="3" s="1"/>
  <c r="G15" i="1"/>
  <c r="G12" i="1"/>
  <c r="G10" i="1"/>
  <c r="G9" i="1"/>
  <c r="G7" i="1"/>
  <c r="G6" i="1"/>
  <c r="G5" i="1"/>
  <c r="G4" i="1"/>
  <c r="C296" i="3" l="1"/>
  <c r="AL295" i="3"/>
  <c r="AD295" i="3"/>
  <c r="T295" i="3"/>
  <c r="I295" i="3"/>
  <c r="G295" i="3" s="1"/>
  <c r="W295" i="3" s="1"/>
  <c r="K172" i="9"/>
  <c r="K22" i="1"/>
  <c r="K32" i="9"/>
  <c r="AD31" i="9"/>
  <c r="X25" i="3" s="1"/>
  <c r="C30" i="9"/>
  <c r="C297" i="3" l="1"/>
  <c r="AL296" i="3"/>
  <c r="AD296" i="3"/>
  <c r="T296" i="3"/>
  <c r="I296" i="3"/>
  <c r="G296" i="3" s="1"/>
  <c r="W296" i="3" s="1"/>
  <c r="K173" i="9"/>
  <c r="K33" i="9"/>
  <c r="AD32" i="9"/>
  <c r="X26" i="3" s="1"/>
  <c r="C31" i="9"/>
  <c r="A5" i="1"/>
  <c r="A6" i="1" s="1"/>
  <c r="A7" i="1" s="1"/>
  <c r="A8" i="1" s="1"/>
  <c r="A9" i="1" s="1"/>
  <c r="A10" i="1" s="1"/>
  <c r="A12" i="1" s="1"/>
  <c r="A14" i="1" s="1"/>
  <c r="C298" i="3" l="1"/>
  <c r="AL297" i="3"/>
  <c r="AD297" i="3"/>
  <c r="T297" i="3"/>
  <c r="I297" i="3"/>
  <c r="G297" i="3" s="1"/>
  <c r="W297" i="3" s="1"/>
  <c r="K174" i="9"/>
  <c r="K34" i="9"/>
  <c r="AD33" i="9"/>
  <c r="X27" i="3" s="1"/>
  <c r="C32" i="9"/>
  <c r="K25" i="1"/>
  <c r="AL298" i="3" l="1"/>
  <c r="C299" i="3"/>
  <c r="I298" i="3"/>
  <c r="G298" i="3" s="1"/>
  <c r="W298" i="3" s="1"/>
  <c r="AD298" i="3"/>
  <c r="T298" i="3"/>
  <c r="K175" i="9"/>
  <c r="AD34" i="9"/>
  <c r="X28" i="3" s="1"/>
  <c r="K35" i="9"/>
  <c r="C33" i="9"/>
  <c r="C34" i="9" l="1"/>
  <c r="AL299" i="3"/>
  <c r="I299" i="3"/>
  <c r="G299" i="3" s="1"/>
  <c r="W299" i="3" s="1"/>
  <c r="AD299" i="3"/>
  <c r="T299" i="3"/>
  <c r="C300" i="3"/>
  <c r="K176" i="9"/>
  <c r="AD35" i="9"/>
  <c r="X29" i="3" s="1"/>
  <c r="K36" i="9"/>
  <c r="AL300" i="3" l="1"/>
  <c r="AD300" i="3"/>
  <c r="T300" i="3"/>
  <c r="I300" i="3"/>
  <c r="G300" i="3" s="1"/>
  <c r="W300" i="3" s="1"/>
  <c r="C301" i="3"/>
  <c r="K177" i="9"/>
  <c r="AD36" i="9"/>
  <c r="X30" i="3" s="1"/>
  <c r="K37" i="9"/>
  <c r="C35" i="9"/>
  <c r="K14" i="7"/>
  <c r="T14" i="7" s="1"/>
  <c r="C15" i="7" s="1"/>
  <c r="C36" i="9" l="1"/>
  <c r="C302" i="3"/>
  <c r="AL301" i="3"/>
  <c r="T301" i="3"/>
  <c r="I301" i="3"/>
  <c r="G301" i="3" s="1"/>
  <c r="W301" i="3" s="1"/>
  <c r="AD301" i="3"/>
  <c r="K178" i="9"/>
  <c r="K38" i="9"/>
  <c r="AD37" i="9"/>
  <c r="X31" i="3" s="1"/>
  <c r="C303" i="3" l="1"/>
  <c r="AL302" i="3"/>
  <c r="AD302" i="3"/>
  <c r="T302" i="3"/>
  <c r="K179" i="9"/>
  <c r="K180" i="9"/>
  <c r="AD38" i="9"/>
  <c r="X32" i="3" s="1"/>
  <c r="K39" i="9"/>
  <c r="C37" i="9"/>
  <c r="C38" i="9" l="1"/>
  <c r="C304" i="3"/>
  <c r="AL303" i="3"/>
  <c r="I303" i="3"/>
  <c r="G303" i="3" s="1"/>
  <c r="W303" i="3" s="1"/>
  <c r="T303" i="3"/>
  <c r="AD303" i="3"/>
  <c r="K181" i="9"/>
  <c r="AD39" i="9"/>
  <c r="X33" i="3" s="1"/>
  <c r="K40" i="9"/>
  <c r="C305" i="3" l="1"/>
  <c r="AL304" i="3"/>
  <c r="AD304" i="3"/>
  <c r="T304" i="3"/>
  <c r="I304" i="3"/>
  <c r="G304" i="3" s="1"/>
  <c r="W304" i="3" s="1"/>
  <c r="K182" i="9"/>
  <c r="AD40" i="9"/>
  <c r="X34" i="3" s="1"/>
  <c r="K41" i="9"/>
  <c r="C39" i="9"/>
  <c r="C40" i="9" l="1"/>
  <c r="AL305" i="3"/>
  <c r="I305" i="3"/>
  <c r="G305" i="3" s="1"/>
  <c r="W305" i="3" s="1"/>
  <c r="C306" i="3"/>
  <c r="AD305" i="3"/>
  <c r="T305" i="3"/>
  <c r="K183" i="9"/>
  <c r="AD41" i="9"/>
  <c r="X35" i="3" s="1"/>
  <c r="K42" i="9"/>
  <c r="C41" i="9" l="1"/>
  <c r="AL306" i="3"/>
  <c r="C307" i="3"/>
  <c r="I306" i="3"/>
  <c r="G306" i="3" s="1"/>
  <c r="W306" i="3" s="1"/>
  <c r="AD306" i="3"/>
  <c r="T306" i="3"/>
  <c r="K184" i="9"/>
  <c r="AD42" i="9"/>
  <c r="X36" i="3" s="1"/>
  <c r="K43" i="9"/>
  <c r="C42" i="9" l="1"/>
  <c r="AL307" i="3"/>
  <c r="C308" i="3"/>
  <c r="AD307" i="3"/>
  <c r="T307" i="3"/>
  <c r="I307" i="3"/>
  <c r="G307" i="3" s="1"/>
  <c r="W307" i="3" s="1"/>
  <c r="K185" i="9"/>
  <c r="K44" i="9"/>
  <c r="AD43" i="9"/>
  <c r="X37" i="3" s="1"/>
  <c r="AL308" i="3" l="1"/>
  <c r="T308" i="3"/>
  <c r="AD308" i="3"/>
  <c r="I308" i="3"/>
  <c r="G308" i="3" s="1"/>
  <c r="W308" i="3" s="1"/>
  <c r="C309" i="3"/>
  <c r="K186" i="9"/>
  <c r="AD44" i="9"/>
  <c r="X38" i="3" s="1"/>
  <c r="K45" i="9"/>
  <c r="C43" i="9"/>
  <c r="C44" i="9" l="1"/>
  <c r="C310" i="3"/>
  <c r="AL309" i="3"/>
  <c r="I309" i="3"/>
  <c r="G309" i="3" s="1"/>
  <c r="W309" i="3" s="1"/>
  <c r="AD309" i="3"/>
  <c r="T309" i="3"/>
  <c r="K187" i="9"/>
  <c r="AD45" i="9"/>
  <c r="X39" i="3" s="1"/>
  <c r="K46" i="9"/>
  <c r="C45" i="9" l="1"/>
  <c r="C311" i="3"/>
  <c r="AL310" i="3"/>
  <c r="AD310" i="3"/>
  <c r="I310" i="3"/>
  <c r="G310" i="3" s="1"/>
  <c r="W310" i="3" s="1"/>
  <c r="T310" i="3"/>
  <c r="K188" i="9"/>
  <c r="AD46" i="9"/>
  <c r="X40" i="3" s="1"/>
  <c r="K47" i="9"/>
  <c r="C312" i="3" l="1"/>
  <c r="AL311" i="3"/>
  <c r="T311" i="3"/>
  <c r="AD311" i="3"/>
  <c r="I311" i="3"/>
  <c r="G311" i="3" s="1"/>
  <c r="W311" i="3" s="1"/>
  <c r="K189" i="9"/>
  <c r="AD47" i="9"/>
  <c r="X41" i="3" s="1"/>
  <c r="K48" i="9"/>
  <c r="C46" i="9"/>
  <c r="C47" i="9" l="1"/>
  <c r="C313" i="3"/>
  <c r="AL312" i="3"/>
  <c r="I312" i="3"/>
  <c r="G312" i="3" s="1"/>
  <c r="W312" i="3" s="1"/>
  <c r="AD312" i="3"/>
  <c r="T312" i="3"/>
  <c r="K190" i="9"/>
  <c r="AD48" i="9"/>
  <c r="X42" i="3" s="1"/>
  <c r="K49" i="9"/>
  <c r="C48" i="9" l="1"/>
  <c r="C314" i="3"/>
  <c r="AL313" i="3"/>
  <c r="AD313" i="3"/>
  <c r="T313" i="3"/>
  <c r="I313" i="3"/>
  <c r="G313" i="3" s="1"/>
  <c r="W313" i="3" s="1"/>
  <c r="K191" i="9"/>
  <c r="AD49" i="9"/>
  <c r="X43" i="3" s="1"/>
  <c r="K50" i="9"/>
  <c r="C49" i="9" l="1"/>
  <c r="C315" i="3"/>
  <c r="AL314" i="3"/>
  <c r="T314" i="3"/>
  <c r="I314" i="3"/>
  <c r="G314" i="3" s="1"/>
  <c r="W314" i="3" s="1"/>
  <c r="AD314" i="3"/>
  <c r="AD50" i="9"/>
  <c r="X44" i="3" s="1"/>
  <c r="K51" i="9"/>
  <c r="C316" i="3" l="1"/>
  <c r="AL315" i="3"/>
  <c r="AD315" i="3"/>
  <c r="I315" i="3"/>
  <c r="G315" i="3" s="1"/>
  <c r="W315" i="3" s="1"/>
  <c r="T315" i="3"/>
  <c r="K192" i="9"/>
  <c r="AD51" i="9"/>
  <c r="X45" i="3" s="1"/>
  <c r="K52" i="9"/>
  <c r="C50" i="9"/>
  <c r="C317" i="3" l="1"/>
  <c r="AL316" i="3"/>
  <c r="AD316" i="3"/>
  <c r="T316" i="3"/>
  <c r="I316" i="3"/>
  <c r="G316" i="3" s="1"/>
  <c r="W316" i="3" s="1"/>
  <c r="K193" i="9"/>
  <c r="AD52" i="9"/>
  <c r="X46" i="3" s="1"/>
  <c r="K53" i="9"/>
  <c r="C51" i="9"/>
  <c r="Y15" i="3"/>
  <c r="C52" i="9" l="1"/>
  <c r="C318" i="3"/>
  <c r="AL317" i="3"/>
  <c r="I317" i="3"/>
  <c r="G317" i="3" s="1"/>
  <c r="W317" i="3" s="1"/>
  <c r="T317" i="3"/>
  <c r="AD317" i="3"/>
  <c r="K194" i="9"/>
  <c r="K54" i="9"/>
  <c r="AD53" i="9"/>
  <c r="X47" i="3" s="1"/>
  <c r="Z15" i="3"/>
  <c r="AA15" i="3"/>
  <c r="C319" i="3" l="1"/>
  <c r="AL318" i="3"/>
  <c r="T318" i="3"/>
  <c r="AD318" i="3"/>
  <c r="I318" i="3"/>
  <c r="G318" i="3" s="1"/>
  <c r="W318" i="3" s="1"/>
  <c r="K195" i="9"/>
  <c r="AD54" i="9"/>
  <c r="X48" i="3" s="1"/>
  <c r="K55" i="9"/>
  <c r="C53" i="9"/>
  <c r="C54" i="9" l="1"/>
  <c r="C320" i="3"/>
  <c r="AL319" i="3"/>
  <c r="AD319" i="3"/>
  <c r="I319" i="3"/>
  <c r="G319" i="3" s="1"/>
  <c r="W319" i="3" s="1"/>
  <c r="T319" i="3"/>
  <c r="K196" i="9"/>
  <c r="AD55" i="9"/>
  <c r="X49" i="3" s="1"/>
  <c r="K56" i="9"/>
  <c r="C321" i="3" l="1"/>
  <c r="AL320" i="3"/>
  <c r="I320" i="3"/>
  <c r="G320" i="3" s="1"/>
  <c r="W320" i="3" s="1"/>
  <c r="AD320" i="3"/>
  <c r="T320" i="3"/>
  <c r="T321" i="3" s="1"/>
  <c r="K197" i="9"/>
  <c r="AD56" i="9"/>
  <c r="X50" i="3" s="1"/>
  <c r="K57" i="9"/>
  <c r="C55" i="9"/>
  <c r="C56" i="9" l="1"/>
  <c r="C322" i="3"/>
  <c r="AL321" i="3"/>
  <c r="I321" i="3"/>
  <c r="G321" i="3" s="1"/>
  <c r="W321" i="3" s="1"/>
  <c r="AD321" i="3"/>
  <c r="K198" i="9"/>
  <c r="AD57" i="9"/>
  <c r="X51" i="3" s="1"/>
  <c r="K58" i="9"/>
  <c r="C323" i="3" l="1"/>
  <c r="AL322" i="3"/>
  <c r="AD322" i="3"/>
  <c r="I322" i="3"/>
  <c r="G322" i="3" s="1"/>
  <c r="W322" i="3" s="1"/>
  <c r="T322" i="3"/>
  <c r="T323" i="3" s="1"/>
  <c r="K199" i="9"/>
  <c r="AD58" i="9"/>
  <c r="X52" i="3" s="1"/>
  <c r="K59" i="9"/>
  <c r="C57" i="9"/>
  <c r="C324" i="3" l="1"/>
  <c r="AL323" i="3"/>
  <c r="AD323" i="3"/>
  <c r="I323" i="3"/>
  <c r="G323" i="3" s="1"/>
  <c r="W323" i="3" s="1"/>
  <c r="AD59" i="9"/>
  <c r="X53" i="3" s="1"/>
  <c r="K60" i="9"/>
  <c r="C58" i="9"/>
  <c r="C325" i="3" l="1"/>
  <c r="AL324" i="3"/>
  <c r="AD324" i="3"/>
  <c r="I324" i="3"/>
  <c r="G324" i="3" s="1"/>
  <c r="W324" i="3" s="1"/>
  <c r="T324" i="3"/>
  <c r="AD60" i="9"/>
  <c r="X54" i="3" s="1"/>
  <c r="K61" i="9"/>
  <c r="C59" i="9"/>
  <c r="C60" i="9" l="1"/>
  <c r="C326" i="3"/>
  <c r="AL325" i="3"/>
  <c r="I325" i="3"/>
  <c r="G325" i="3" s="1"/>
  <c r="W325" i="3" s="1"/>
  <c r="AD325" i="3"/>
  <c r="T325" i="3"/>
  <c r="AD61" i="9"/>
  <c r="X55" i="3" s="1"/>
  <c r="K62" i="9"/>
  <c r="C61" i="9" l="1"/>
  <c r="C327" i="3"/>
  <c r="AL326" i="3"/>
  <c r="I326" i="3"/>
  <c r="G326" i="3" s="1"/>
  <c r="W326" i="3" s="1"/>
  <c r="T326" i="3"/>
  <c r="AD326" i="3"/>
  <c r="AD62" i="9"/>
  <c r="X56" i="3" s="1"/>
  <c r="K63" i="9"/>
  <c r="C62" i="9" l="1"/>
  <c r="C328" i="3"/>
  <c r="AL327" i="3"/>
  <c r="I327" i="3"/>
  <c r="G327" i="3" s="1"/>
  <c r="W327" i="3" s="1"/>
  <c r="AD327" i="3"/>
  <c r="T327" i="3"/>
  <c r="AD63" i="9"/>
  <c r="X57" i="3" s="1"/>
  <c r="K64" i="9"/>
  <c r="C63" i="9" l="1"/>
  <c r="C329" i="3"/>
  <c r="AL328" i="3"/>
  <c r="AD328" i="3"/>
  <c r="I328" i="3"/>
  <c r="G328" i="3" s="1"/>
  <c r="W328" i="3" s="1"/>
  <c r="T328" i="3"/>
  <c r="AD64" i="9"/>
  <c r="X58" i="3" s="1"/>
  <c r="K65" i="9"/>
  <c r="C330" i="3" l="1"/>
  <c r="AL329" i="3"/>
  <c r="AD329" i="3"/>
  <c r="T329" i="3"/>
  <c r="I329" i="3"/>
  <c r="G329" i="3" s="1"/>
  <c r="W329" i="3" s="1"/>
  <c r="AD65" i="9"/>
  <c r="X59" i="3" s="1"/>
  <c r="K66" i="9"/>
  <c r="C64" i="9"/>
  <c r="C65" i="9" l="1"/>
  <c r="C331" i="3"/>
  <c r="AL330" i="3"/>
  <c r="T330" i="3"/>
  <c r="I330" i="3"/>
  <c r="G330" i="3" s="1"/>
  <c r="W330" i="3" s="1"/>
  <c r="AD330" i="3"/>
  <c r="AD66" i="9"/>
  <c r="X60" i="3" s="1"/>
  <c r="K67" i="9"/>
  <c r="C66" i="9" l="1"/>
  <c r="C332" i="3"/>
  <c r="AL331" i="3"/>
  <c r="AD331" i="3"/>
  <c r="T331" i="3"/>
  <c r="I331" i="3"/>
  <c r="G331" i="3" s="1"/>
  <c r="W331" i="3" s="1"/>
  <c r="AD67" i="9"/>
  <c r="X61" i="3" s="1"/>
  <c r="K68" i="9"/>
  <c r="C67" i="9" l="1"/>
  <c r="C333" i="3"/>
  <c r="AL332" i="3"/>
  <c r="AD332" i="3"/>
  <c r="T332" i="3"/>
  <c r="I332" i="3"/>
  <c r="G332" i="3" s="1"/>
  <c r="W332" i="3" s="1"/>
  <c r="AD68" i="9"/>
  <c r="X62" i="3" s="1"/>
  <c r="K69" i="9"/>
  <c r="C334" i="3" l="1"/>
  <c r="AL333" i="3"/>
  <c r="AD333" i="3"/>
  <c r="T333" i="3"/>
  <c r="I333" i="3"/>
  <c r="G333" i="3" s="1"/>
  <c r="W333" i="3" s="1"/>
  <c r="AD69" i="9"/>
  <c r="X63" i="3" s="1"/>
  <c r="K70" i="9"/>
  <c r="C68" i="9"/>
  <c r="C69" i="9" l="1"/>
  <c r="C335" i="3"/>
  <c r="AL334" i="3"/>
  <c r="AD334" i="3"/>
  <c r="I334" i="3"/>
  <c r="G334" i="3" s="1"/>
  <c r="W334" i="3" s="1"/>
  <c r="T334" i="3"/>
  <c r="AD70" i="9"/>
  <c r="X64" i="3" s="1"/>
  <c r="K71" i="9"/>
  <c r="C70" i="9" l="1"/>
  <c r="C336" i="3"/>
  <c r="AL335" i="3"/>
  <c r="I335" i="3"/>
  <c r="G335" i="3" s="1"/>
  <c r="W335" i="3" s="1"/>
  <c r="AD335" i="3"/>
  <c r="T335" i="3"/>
  <c r="AD71" i="9"/>
  <c r="X65" i="3" s="1"/>
  <c r="C337" i="3" l="1"/>
  <c r="AL336" i="3"/>
  <c r="AD336" i="3"/>
  <c r="T336" i="3"/>
  <c r="I336" i="3"/>
  <c r="G336" i="3" s="1"/>
  <c r="W336" i="3" s="1"/>
  <c r="K72" i="9"/>
  <c r="AD72" i="9" s="1"/>
  <c r="X66" i="3" s="1"/>
  <c r="C71" i="9"/>
  <c r="C338" i="3" l="1"/>
  <c r="AL337" i="3"/>
  <c r="T337" i="3"/>
  <c r="I337" i="3"/>
  <c r="G337" i="3" s="1"/>
  <c r="W337" i="3" s="1"/>
  <c r="AD337" i="3"/>
  <c r="C72" i="9"/>
  <c r="K73" i="9"/>
  <c r="AD73" i="9" s="1"/>
  <c r="X67" i="3" s="1"/>
  <c r="I77" i="3"/>
  <c r="G77" i="3" s="1"/>
  <c r="W77" i="3" s="1"/>
  <c r="C339" i="3" l="1"/>
  <c r="AL338" i="3"/>
  <c r="AD338" i="3"/>
  <c r="T338" i="3"/>
  <c r="I338" i="3"/>
  <c r="G338" i="3" s="1"/>
  <c r="W338" i="3" s="1"/>
  <c r="K74" i="9"/>
  <c r="AD74" i="9" s="1"/>
  <c r="X68" i="3" s="1"/>
  <c r="C73" i="9"/>
  <c r="C340" i="3" l="1"/>
  <c r="AL339" i="3"/>
  <c r="I339" i="3"/>
  <c r="G339" i="3" s="1"/>
  <c r="W339" i="3" s="1"/>
  <c r="AD339" i="3"/>
  <c r="T339" i="3"/>
  <c r="T340" i="3" s="1"/>
  <c r="K75" i="9"/>
  <c r="AD75" i="9" s="1"/>
  <c r="X69" i="3" s="1"/>
  <c r="C74" i="9"/>
  <c r="C341" i="3" l="1"/>
  <c r="AL340" i="3"/>
  <c r="I340" i="3"/>
  <c r="G340" i="3" s="1"/>
  <c r="W340" i="3" s="1"/>
  <c r="AD340" i="3"/>
  <c r="K76" i="9"/>
  <c r="AD76" i="9" s="1"/>
  <c r="X70" i="3" s="1"/>
  <c r="C75" i="9"/>
  <c r="C342" i="3" l="1"/>
  <c r="AL341" i="3"/>
  <c r="I341" i="3"/>
  <c r="G341" i="3" s="1"/>
  <c r="W341" i="3" s="1"/>
  <c r="AD341" i="3"/>
  <c r="T341" i="3"/>
  <c r="T342" i="3" s="1"/>
  <c r="K77" i="9"/>
  <c r="AD77" i="9" s="1"/>
  <c r="X71" i="3" s="1"/>
  <c r="C76" i="9"/>
  <c r="AL342" i="3" l="1"/>
  <c r="I342" i="3"/>
  <c r="G342" i="3" s="1"/>
  <c r="W342" i="3" s="1"/>
  <c r="AD342" i="3"/>
  <c r="C343" i="3"/>
  <c r="K78" i="9"/>
  <c r="AD78" i="9" s="1"/>
  <c r="X72" i="3" s="1"/>
  <c r="C77" i="9"/>
  <c r="AL343" i="3" l="1"/>
  <c r="C344" i="3"/>
  <c r="T343" i="3"/>
  <c r="AD343" i="3"/>
  <c r="I343" i="3"/>
  <c r="G343" i="3" s="1"/>
  <c r="W343" i="3" s="1"/>
  <c r="K79" i="9"/>
  <c r="AD79" i="9" s="1"/>
  <c r="X73" i="3" s="1"/>
  <c r="C78" i="9"/>
  <c r="AL344" i="3" l="1"/>
  <c r="AD344" i="3"/>
  <c r="T344" i="3"/>
  <c r="I344" i="3"/>
  <c r="G344" i="3" s="1"/>
  <c r="W344" i="3" s="1"/>
  <c r="C345" i="3"/>
  <c r="K80" i="9"/>
  <c r="AD80" i="9" s="1"/>
  <c r="X74" i="3" s="1"/>
  <c r="C79" i="9"/>
  <c r="AL345" i="3" l="1"/>
  <c r="C346" i="3"/>
  <c r="AD345" i="3"/>
  <c r="T345" i="3"/>
  <c r="I345" i="3"/>
  <c r="G345" i="3" s="1"/>
  <c r="W345" i="3" s="1"/>
  <c r="K81" i="9"/>
  <c r="AD81" i="9" s="1"/>
  <c r="X75" i="3" s="1"/>
  <c r="C80" i="9"/>
  <c r="AL346" i="3" l="1"/>
  <c r="T346" i="3"/>
  <c r="AD346" i="3"/>
  <c r="C347" i="3"/>
  <c r="I346" i="3"/>
  <c r="G346" i="3" s="1"/>
  <c r="W346" i="3" s="1"/>
  <c r="K82" i="9"/>
  <c r="AD82" i="9" s="1"/>
  <c r="X76" i="3" s="1"/>
  <c r="C81" i="9"/>
  <c r="AL347" i="3" l="1"/>
  <c r="C348" i="3"/>
  <c r="AD347" i="3"/>
  <c r="T347" i="3"/>
  <c r="I347" i="3"/>
  <c r="G347" i="3" s="1"/>
  <c r="W347" i="3" s="1"/>
  <c r="K83" i="9"/>
  <c r="AD83" i="9" s="1"/>
  <c r="X77" i="3" s="1"/>
  <c r="C82" i="9"/>
  <c r="AL348" i="3" l="1"/>
  <c r="AD348" i="3"/>
  <c r="T348" i="3"/>
  <c r="I348" i="3"/>
  <c r="G348" i="3" s="1"/>
  <c r="W348" i="3" s="1"/>
  <c r="C349" i="3"/>
  <c r="K84" i="9"/>
  <c r="AD84" i="9" s="1"/>
  <c r="X78" i="3" s="1"/>
  <c r="C83" i="9"/>
  <c r="AL349" i="3" l="1"/>
  <c r="C350" i="3"/>
  <c r="AD349" i="3"/>
  <c r="I349" i="3"/>
  <c r="G349" i="3" s="1"/>
  <c r="W349" i="3" s="1"/>
  <c r="T349" i="3"/>
  <c r="K85" i="9"/>
  <c r="AD85" i="9" s="1"/>
  <c r="X79" i="3" s="1"/>
  <c r="C84" i="9"/>
  <c r="AL350" i="3" l="1"/>
  <c r="C351" i="3"/>
  <c r="T350" i="3"/>
  <c r="AD350" i="3"/>
  <c r="I350" i="3"/>
  <c r="G350" i="3" s="1"/>
  <c r="W350" i="3" s="1"/>
  <c r="K86" i="9"/>
  <c r="C85" i="9"/>
  <c r="AL351" i="3" l="1"/>
  <c r="T351" i="3"/>
  <c r="C352" i="3"/>
  <c r="AD351" i="3"/>
  <c r="I351" i="3"/>
  <c r="G351" i="3" s="1"/>
  <c r="W351" i="3" s="1"/>
  <c r="K87" i="9"/>
  <c r="AL352" i="3" l="1"/>
  <c r="T352" i="3"/>
  <c r="AD352" i="3"/>
  <c r="C353" i="3"/>
  <c r="I352" i="3"/>
  <c r="G352" i="3" s="1"/>
  <c r="W352" i="3" s="1"/>
  <c r="K88" i="9"/>
  <c r="AL353" i="3" l="1"/>
  <c r="C354" i="3"/>
  <c r="AD353" i="3"/>
  <c r="T353" i="3"/>
  <c r="I353" i="3"/>
  <c r="G353" i="3" s="1"/>
  <c r="W353" i="3" s="1"/>
  <c r="K89" i="9"/>
  <c r="AL354" i="3" l="1"/>
  <c r="AD354" i="3"/>
  <c r="T354" i="3"/>
  <c r="C355" i="3"/>
  <c r="I354" i="3"/>
  <c r="G354" i="3" s="1"/>
  <c r="W354" i="3" s="1"/>
  <c r="K90" i="9"/>
  <c r="AL355" i="3" l="1"/>
  <c r="C356" i="3"/>
  <c r="AD355" i="3"/>
  <c r="T355" i="3"/>
  <c r="I355" i="3"/>
  <c r="G355" i="3" s="1"/>
  <c r="W355" i="3" s="1"/>
  <c r="K91" i="9"/>
  <c r="AL356" i="3" l="1"/>
  <c r="I356" i="3"/>
  <c r="G356" i="3" s="1"/>
  <c r="W356" i="3" s="1"/>
  <c r="C357" i="3"/>
  <c r="T356" i="3"/>
  <c r="AD356" i="3"/>
  <c r="K92" i="9"/>
  <c r="AL357" i="3" l="1"/>
  <c r="C358" i="3"/>
  <c r="AD357" i="3"/>
  <c r="T357" i="3"/>
  <c r="I357" i="3"/>
  <c r="G357" i="3" s="1"/>
  <c r="W357" i="3" s="1"/>
  <c r="K93" i="9"/>
  <c r="AL358" i="3" l="1"/>
  <c r="C359" i="3"/>
  <c r="AD358" i="3"/>
  <c r="I358" i="3"/>
  <c r="G358" i="3" s="1"/>
  <c r="W358" i="3" s="1"/>
  <c r="T358" i="3"/>
  <c r="K94" i="9"/>
  <c r="C360" i="3" l="1"/>
  <c r="AL359" i="3"/>
  <c r="I359" i="3"/>
  <c r="G359" i="3" s="1"/>
  <c r="W359" i="3" s="1"/>
  <c r="T359" i="3"/>
  <c r="AD359" i="3"/>
  <c r="K95" i="9"/>
  <c r="C361" i="3" l="1"/>
  <c r="AL360" i="3"/>
  <c r="AD360" i="3"/>
  <c r="T360" i="3"/>
  <c r="T361" i="3" s="1"/>
  <c r="I360" i="3"/>
  <c r="G360" i="3" s="1"/>
  <c r="W360" i="3" s="1"/>
  <c r="K96" i="9"/>
  <c r="AL361" i="3" l="1"/>
  <c r="C362" i="3"/>
  <c r="AD361" i="3"/>
  <c r="I361" i="3"/>
  <c r="G361" i="3" s="1"/>
  <c r="W361" i="3" s="1"/>
  <c r="K97" i="9"/>
  <c r="AL362" i="3" l="1"/>
  <c r="I362" i="3"/>
  <c r="G362" i="3" s="1"/>
  <c r="W362" i="3" s="1"/>
  <c r="AD362" i="3"/>
  <c r="C363" i="3"/>
  <c r="T362" i="3"/>
  <c r="K98" i="9"/>
  <c r="AL363" i="3" l="1"/>
  <c r="C364" i="3"/>
  <c r="I363" i="3"/>
  <c r="G363" i="3" s="1"/>
  <c r="W363" i="3" s="1"/>
  <c r="AD363" i="3"/>
  <c r="T363" i="3"/>
  <c r="K99" i="9"/>
  <c r="AL364" i="3" l="1"/>
  <c r="AD364" i="3"/>
  <c r="C365" i="3"/>
  <c r="I364" i="3"/>
  <c r="G364" i="3" s="1"/>
  <c r="W364" i="3" s="1"/>
  <c r="T364" i="3"/>
  <c r="K100" i="9"/>
  <c r="T365" i="3" l="1"/>
  <c r="I365" i="3"/>
  <c r="G365" i="3" s="1"/>
  <c r="W365" i="3" s="1"/>
  <c r="C366" i="3"/>
  <c r="AL365" i="3"/>
  <c r="AD365" i="3"/>
  <c r="K101" i="9"/>
  <c r="I366" i="3" l="1"/>
  <c r="G366" i="3" s="1"/>
  <c r="W366" i="3" s="1"/>
  <c r="T366" i="3"/>
  <c r="AD366" i="3"/>
  <c r="C367" i="3"/>
  <c r="AL366" i="3"/>
  <c r="K102" i="9"/>
  <c r="I367" i="3" l="1"/>
  <c r="G367" i="3" s="1"/>
  <c r="W367" i="3" s="1"/>
  <c r="C368" i="3"/>
  <c r="AL367" i="3"/>
  <c r="AD367" i="3"/>
  <c r="T367" i="3"/>
  <c r="K103" i="9"/>
  <c r="AL368" i="3" l="1"/>
  <c r="AD368" i="3"/>
  <c r="T368" i="3"/>
  <c r="I368" i="3"/>
  <c r="G368" i="3" s="1"/>
  <c r="W368" i="3" s="1"/>
  <c r="C369" i="3"/>
  <c r="K104" i="9"/>
  <c r="C370" i="3" l="1"/>
  <c r="AD369" i="3"/>
  <c r="T369" i="3"/>
  <c r="I369" i="3"/>
  <c r="G369" i="3" s="1"/>
  <c r="W369" i="3" s="1"/>
  <c r="AL369" i="3"/>
  <c r="K105" i="9"/>
  <c r="AD370" i="3" l="1"/>
  <c r="T370" i="3"/>
  <c r="AL370" i="3"/>
  <c r="I370" i="3"/>
  <c r="G370" i="3" s="1"/>
  <c r="W370" i="3" s="1"/>
  <c r="C371" i="3"/>
  <c r="K106" i="9"/>
  <c r="AD371" i="3" l="1"/>
  <c r="T371" i="3"/>
  <c r="I371" i="3"/>
  <c r="G371" i="3" s="1"/>
  <c r="W371" i="3" s="1"/>
  <c r="C372" i="3"/>
  <c r="AL371" i="3"/>
  <c r="K107" i="9"/>
  <c r="AD372" i="3" l="1"/>
  <c r="T372" i="3"/>
  <c r="AL372" i="3"/>
  <c r="I372" i="3"/>
  <c r="G372" i="3" s="1"/>
  <c r="W372" i="3" s="1"/>
  <c r="C373" i="3"/>
  <c r="K108" i="9"/>
  <c r="C374" i="3" l="1"/>
  <c r="AL373" i="3"/>
  <c r="AD373" i="3"/>
  <c r="T373" i="3"/>
  <c r="I373" i="3"/>
  <c r="G373" i="3" s="1"/>
  <c r="W373" i="3" s="1"/>
  <c r="K109" i="9"/>
  <c r="I374" i="3" l="1"/>
  <c r="G374" i="3" s="1"/>
  <c r="W374" i="3" s="1"/>
  <c r="C375" i="3"/>
  <c r="AL374" i="3"/>
  <c r="AD374" i="3"/>
  <c r="T374" i="3"/>
  <c r="K110" i="9"/>
  <c r="C376" i="3" l="1"/>
  <c r="AL375" i="3"/>
  <c r="AD375" i="3"/>
  <c r="T375" i="3"/>
  <c r="I375" i="3"/>
  <c r="G375" i="3" s="1"/>
  <c r="W375" i="3" s="1"/>
  <c r="K111" i="9"/>
  <c r="I376" i="3" l="1"/>
  <c r="G376" i="3" s="1"/>
  <c r="W376" i="3" s="1"/>
  <c r="C377" i="3"/>
  <c r="AL376" i="3"/>
  <c r="AD376" i="3"/>
  <c r="T376" i="3"/>
  <c r="K112" i="9"/>
  <c r="C378" i="3" l="1"/>
  <c r="AL377" i="3"/>
  <c r="AD377" i="3"/>
  <c r="T377" i="3"/>
  <c r="I377" i="3"/>
  <c r="G377" i="3" s="1"/>
  <c r="W377" i="3" s="1"/>
  <c r="K113" i="9"/>
  <c r="C379" i="3" l="1"/>
  <c r="AL378" i="3"/>
  <c r="AD378" i="3"/>
  <c r="T378" i="3"/>
  <c r="I378" i="3"/>
  <c r="G378" i="3" s="1"/>
  <c r="W378" i="3" s="1"/>
  <c r="K114" i="9"/>
  <c r="C380" i="3" l="1"/>
  <c r="AL379" i="3"/>
  <c r="AD379" i="3"/>
  <c r="T379" i="3"/>
  <c r="I379" i="3"/>
  <c r="G379" i="3" s="1"/>
  <c r="W379" i="3" s="1"/>
  <c r="K115" i="9"/>
  <c r="I380" i="3" l="1"/>
  <c r="AL380" i="3"/>
  <c r="AD380" i="3"/>
  <c r="T380" i="3"/>
  <c r="J27" i="1"/>
  <c r="K116" i="9"/>
  <c r="G380" i="3" l="1"/>
  <c r="W380" i="3" s="1"/>
  <c r="K27" i="1"/>
  <c r="K28" i="1" s="1"/>
  <c r="K117" i="9"/>
  <c r="L27" i="1" l="1"/>
  <c r="M27" i="1" s="1"/>
  <c r="K118" i="9"/>
  <c r="K119" i="9" l="1"/>
  <c r="K120" i="9" l="1"/>
  <c r="K121" i="9" l="1"/>
  <c r="K122" i="9" l="1"/>
  <c r="K123" i="9" l="1"/>
  <c r="K124" i="9" l="1"/>
  <c r="K125" i="9" l="1"/>
  <c r="K126" i="9" l="1"/>
  <c r="K127" i="9" l="1"/>
  <c r="K128" i="9" l="1"/>
  <c r="K129" i="9" l="1"/>
  <c r="K130" i="9" l="1"/>
  <c r="K131" i="9" l="1"/>
  <c r="K132" i="9" l="1"/>
  <c r="K133" i="9" l="1"/>
  <c r="K134" i="9" l="1"/>
  <c r="K135" i="9" l="1"/>
  <c r="K136" i="9" l="1"/>
  <c r="K137" i="9" l="1"/>
  <c r="K138" i="9" l="1"/>
  <c r="K139" i="9" l="1"/>
  <c r="K140" i="9" l="1"/>
  <c r="K141" i="9" l="1"/>
  <c r="K142" i="9" l="1"/>
  <c r="K143" i="9" l="1"/>
  <c r="K144" i="9" l="1"/>
  <c r="K145" i="9" l="1"/>
  <c r="K146" i="9" l="1"/>
  <c r="K147" i="9" l="1"/>
  <c r="K148" i="9" l="1"/>
  <c r="K149" i="9" l="1"/>
  <c r="K150" i="9" l="1"/>
  <c r="K151" i="9" l="1"/>
  <c r="K152" i="9" l="1"/>
  <c r="K153" i="9" l="1"/>
  <c r="K154" i="9" l="1"/>
  <c r="K155" i="9" l="1"/>
  <c r="K156" i="9" l="1"/>
  <c r="K157" i="9"/>
  <c r="I173" i="3" l="1"/>
  <c r="G173" i="3" s="1"/>
  <c r="W173" i="3" s="1"/>
  <c r="I171" i="3"/>
  <c r="G171" i="3" s="1"/>
  <c r="W171" i="3" s="1"/>
  <c r="I172" i="3"/>
  <c r="G172" i="3" s="1"/>
  <c r="W172" i="3" s="1"/>
  <c r="I170" i="3"/>
  <c r="G170" i="3" s="1"/>
  <c r="W170" i="3" s="1"/>
  <c r="I169" i="3"/>
  <c r="G169" i="3" s="1"/>
  <c r="W169" i="3" s="1"/>
  <c r="I166" i="3"/>
  <c r="G166" i="3" s="1"/>
  <c r="W166" i="3" s="1"/>
  <c r="I167" i="3"/>
  <c r="G167" i="3" s="1"/>
  <c r="W167" i="3" s="1"/>
  <c r="I164" i="3"/>
  <c r="G164" i="3" s="1"/>
  <c r="W164" i="3" s="1"/>
  <c r="I165" i="3"/>
  <c r="G165" i="3" s="1"/>
  <c r="W165" i="3" s="1"/>
  <c r="I168" i="3"/>
  <c r="G168" i="3" s="1"/>
  <c r="W168" i="3" s="1"/>
  <c r="I161" i="3"/>
  <c r="G161" i="3" s="1"/>
  <c r="W161" i="3" s="1"/>
  <c r="I162" i="3"/>
  <c r="G162" i="3" s="1"/>
  <c r="W162" i="3" s="1"/>
  <c r="I163" i="3"/>
  <c r="G163" i="3" s="1"/>
  <c r="W163" i="3" s="1"/>
  <c r="I160" i="3"/>
  <c r="G160" i="3" s="1"/>
  <c r="W160" i="3" s="1"/>
  <c r="I157" i="3"/>
  <c r="G157" i="3" s="1"/>
  <c r="W157" i="3" s="1"/>
  <c r="I158" i="3"/>
  <c r="G158" i="3" s="1"/>
  <c r="W158" i="3" s="1"/>
  <c r="I159" i="3"/>
  <c r="G159" i="3" s="1"/>
  <c r="W159" i="3" s="1"/>
  <c r="I155" i="3"/>
  <c r="G155" i="3" s="1"/>
  <c r="W155" i="3" s="1"/>
  <c r="I156" i="3"/>
  <c r="G156" i="3" s="1"/>
  <c r="W156" i="3" s="1"/>
  <c r="I153" i="3"/>
  <c r="G153" i="3" s="1"/>
  <c r="W153" i="3" s="1"/>
  <c r="I154" i="3"/>
  <c r="G154" i="3" s="1"/>
  <c r="W154" i="3" s="1"/>
  <c r="K201" i="9" l="1"/>
  <c r="K202" i="9" l="1"/>
  <c r="K203" i="9" l="1"/>
  <c r="K204" i="9" l="1"/>
  <c r="K205" i="9" l="1"/>
  <c r="K206" i="9" l="1"/>
  <c r="K207" i="9" l="1"/>
  <c r="K208" i="9" l="1"/>
  <c r="S26" i="1"/>
  <c r="K30" i="1" s="1"/>
  <c r="K209" i="9" l="1"/>
  <c r="K210" i="9" l="1"/>
  <c r="K211" i="9" l="1"/>
  <c r="K212" i="9" l="1"/>
  <c r="K213" i="9" l="1"/>
  <c r="K214" i="9" l="1"/>
  <c r="K216" i="9" l="1"/>
  <c r="K215" i="9"/>
  <c r="K217" i="9"/>
  <c r="K218" i="9" l="1"/>
  <c r="K220" i="9" l="1"/>
  <c r="K219" i="9"/>
  <c r="K221" i="9"/>
  <c r="K222" i="9" l="1"/>
  <c r="K223" i="9" l="1"/>
  <c r="K224" i="9" l="1"/>
  <c r="K225" i="9"/>
  <c r="K226" i="9" l="1"/>
  <c r="K227" i="9" l="1"/>
  <c r="K228" i="9" l="1"/>
  <c r="K229" i="9" l="1"/>
  <c r="K230" i="9" l="1"/>
  <c r="K231" i="9" l="1"/>
  <c r="K232" i="9" l="1"/>
  <c r="K233" i="9" l="1"/>
  <c r="K234" i="9" l="1"/>
  <c r="K235" i="9" l="1"/>
  <c r="K236" i="9" l="1"/>
  <c r="K237" i="9" l="1"/>
  <c r="K239" i="9" l="1"/>
  <c r="K240" i="9" l="1"/>
  <c r="K238" i="9"/>
  <c r="K241" i="9" l="1"/>
  <c r="K242" i="9" l="1"/>
  <c r="K243" i="9" l="1"/>
  <c r="K244" i="9" l="1"/>
  <c r="K245" i="9" l="1"/>
  <c r="K246" i="9" l="1"/>
  <c r="K247" i="9" l="1"/>
  <c r="K248" i="9" l="1"/>
  <c r="K249" i="9" l="1"/>
  <c r="K250" i="9" l="1"/>
  <c r="K251" i="9" l="1"/>
  <c r="K252" i="9" l="1"/>
  <c r="K253" i="9" l="1"/>
  <c r="K254" i="9" l="1"/>
  <c r="K255" i="9" l="1"/>
  <c r="K256" i="9" l="1"/>
  <c r="K257" i="9" l="1"/>
  <c r="K258" i="9" l="1"/>
  <c r="K259" i="9" l="1"/>
  <c r="K260" i="9" l="1"/>
  <c r="K261" i="9" l="1"/>
  <c r="K262" i="9" l="1"/>
  <c r="K263" i="9" l="1"/>
  <c r="K264" i="9" l="1"/>
  <c r="K265" i="9" l="1"/>
  <c r="K266" i="9"/>
  <c r="K268" i="9" l="1"/>
  <c r="K267" i="9" l="1"/>
  <c r="K269" i="9" l="1"/>
  <c r="K270" i="9" l="1"/>
  <c r="K271" i="9" l="1"/>
  <c r="K272" i="9" l="1"/>
  <c r="K273" i="9" l="1"/>
  <c r="K274" i="9" l="1"/>
  <c r="K275" i="9" l="1"/>
  <c r="K276" i="9" l="1"/>
  <c r="K277" i="9" l="1"/>
  <c r="K278" i="9" l="1"/>
  <c r="K279" i="9" l="1"/>
  <c r="K280" i="9" l="1"/>
  <c r="K281" i="9" l="1"/>
  <c r="K282" i="9" l="1"/>
  <c r="K283" i="9" l="1"/>
  <c r="K284" i="9" l="1"/>
  <c r="K285" i="9" l="1"/>
  <c r="K286" i="9" l="1"/>
  <c r="K287" i="9" l="1"/>
  <c r="K288" i="9" l="1"/>
  <c r="K289" i="9" l="1"/>
  <c r="K290" i="9" l="1"/>
  <c r="K291" i="9" l="1"/>
  <c r="K292" i="9" l="1"/>
  <c r="K293" i="9" l="1"/>
  <c r="K294" i="9" l="1"/>
  <c r="K295" i="9" l="1"/>
  <c r="K296" i="9" l="1"/>
  <c r="K297" i="9" l="1"/>
  <c r="K298" i="9" l="1"/>
  <c r="K299" i="9" l="1"/>
  <c r="K300" i="9" l="1"/>
  <c r="K301" i="9" l="1"/>
  <c r="K302" i="9" l="1"/>
  <c r="K303" i="9" l="1"/>
  <c r="J11" i="1" l="1"/>
  <c r="L11" i="1" s="1"/>
  <c r="M11" i="1" s="1"/>
  <c r="K304" i="9" l="1"/>
  <c r="K305" i="9" l="1"/>
  <c r="K306" i="9" l="1"/>
  <c r="K307" i="9" l="1"/>
  <c r="L7" i="12"/>
  <c r="P7" i="12" s="1"/>
  <c r="L5" i="12"/>
  <c r="P5" i="12" s="1"/>
  <c r="M6" i="12"/>
  <c r="Q6" i="12" s="1"/>
  <c r="L4" i="12"/>
  <c r="P4" i="12" s="1"/>
  <c r="M4" i="12"/>
  <c r="Q4" i="12" s="1"/>
  <c r="M5" i="12"/>
  <c r="Q5" i="12" s="1"/>
  <c r="K308" i="9" l="1"/>
  <c r="I302" i="3" l="1"/>
  <c r="G302" i="3" s="1"/>
  <c r="W302" i="3" s="1"/>
  <c r="K309" i="9" l="1"/>
  <c r="K310" i="9" l="1"/>
  <c r="K311" i="9" l="1"/>
  <c r="K312" i="9" l="1"/>
  <c r="M7" i="12" l="1"/>
  <c r="Q7" i="12" s="1"/>
  <c r="M8" i="12"/>
  <c r="Q8" i="12" s="1"/>
  <c r="J12" i="1"/>
  <c r="L12" i="1" s="1"/>
  <c r="M12" i="1" s="1"/>
  <c r="L8" i="12"/>
  <c r="P8" i="12" s="1"/>
  <c r="L6" i="12"/>
  <c r="P6" i="12" s="1"/>
  <c r="J20" i="1"/>
  <c r="L20" i="1" s="1"/>
  <c r="M20" i="1" s="1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7" i="9"/>
  <c r="K366" i="9"/>
  <c r="K368" i="9"/>
  <c r="K365" i="9"/>
  <c r="K362" i="9"/>
  <c r="K354" i="9"/>
  <c r="K355" i="9"/>
  <c r="K353" i="9"/>
  <c r="K328" i="9"/>
  <c r="K344" i="9"/>
  <c r="K349" i="9"/>
  <c r="K352" i="9"/>
  <c r="K321" i="9"/>
  <c r="K336" i="9"/>
  <c r="K351" i="9"/>
  <c r="K340" i="9"/>
  <c r="K341" i="9"/>
  <c r="K327" i="9"/>
  <c r="K325" i="9"/>
  <c r="K329" i="9"/>
  <c r="K346" i="9"/>
  <c r="K345" i="9"/>
  <c r="K334" i="9"/>
  <c r="K331" i="9"/>
  <c r="K315" i="9"/>
  <c r="K320" i="9"/>
  <c r="K332" i="9"/>
  <c r="K319" i="9"/>
  <c r="K324" i="9"/>
  <c r="K347" i="9"/>
  <c r="K333" i="9"/>
  <c r="K343" i="9"/>
  <c r="K323" i="9"/>
  <c r="K350" i="9"/>
  <c r="K330" i="9"/>
  <c r="K338" i="9"/>
  <c r="K314" i="9"/>
  <c r="K326" i="9"/>
  <c r="K348" i="9"/>
  <c r="K339" i="9"/>
  <c r="K318" i="9"/>
  <c r="K337" i="9"/>
  <c r="K317" i="9"/>
  <c r="K313" i="9"/>
  <c r="K335" i="9"/>
  <c r="K316" i="9"/>
  <c r="K322" i="9"/>
  <c r="K342" i="9"/>
  <c r="K404" i="9" l="1"/>
  <c r="K403" i="9"/>
  <c r="K405" i="9"/>
  <c r="K406" i="9" l="1"/>
  <c r="K407" i="9" l="1"/>
  <c r="K408" i="9" l="1"/>
  <c r="K410" i="9" l="1"/>
  <c r="K409" i="9"/>
  <c r="K411" i="9"/>
  <c r="K412" i="9" l="1"/>
  <c r="K415" i="9" l="1"/>
  <c r="K413" i="9"/>
  <c r="K414" i="9"/>
  <c r="K416" i="9"/>
  <c r="K417" i="9" l="1"/>
  <c r="K418" i="9" l="1"/>
  <c r="K419" i="9" l="1"/>
  <c r="K420" i="9" l="1"/>
  <c r="K421" i="9" l="1"/>
  <c r="K422" i="9" l="1"/>
  <c r="K423" i="9" l="1"/>
  <c r="K425" i="9" l="1"/>
  <c r="K424" i="9"/>
  <c r="K426" i="9"/>
  <c r="K427" i="9" l="1"/>
  <c r="K428" i="9" l="1"/>
  <c r="K429" i="9"/>
  <c r="K430" i="9" l="1"/>
  <c r="K431" i="9" l="1"/>
  <c r="K432" i="9" l="1"/>
  <c r="K433" i="9" l="1"/>
  <c r="M9" i="12"/>
  <c r="Q9" i="12" s="1"/>
  <c r="L9" i="12"/>
  <c r="P9" i="12" s="1"/>
  <c r="K434" i="9" l="1"/>
  <c r="K435" i="9" l="1"/>
  <c r="K436" i="9" l="1"/>
  <c r="K438" i="9" l="1"/>
  <c r="K437" i="9"/>
  <c r="K439" i="9" l="1"/>
  <c r="K440" i="9" l="1"/>
  <c r="K441" i="9" l="1"/>
  <c r="K442" i="9" l="1"/>
  <c r="K443" i="9" l="1"/>
  <c r="K444" i="9" l="1"/>
  <c r="K445" i="9" l="1"/>
  <c r="K446" i="9" l="1"/>
  <c r="K447" i="9"/>
  <c r="K448" i="9" l="1"/>
  <c r="K449" i="9" l="1"/>
  <c r="K450" i="9" l="1"/>
  <c r="K451" i="9" l="1"/>
  <c r="K452" i="9" l="1"/>
  <c r="K453" i="9" l="1"/>
  <c r="K454" i="9" l="1"/>
  <c r="K456" i="9" l="1"/>
  <c r="K455" i="9" l="1"/>
  <c r="K458" i="9" l="1"/>
  <c r="K459" i="9"/>
  <c r="J4" i="1"/>
  <c r="L4" i="1" s="1"/>
  <c r="M4" i="1" s="1"/>
  <c r="K457" i="9"/>
  <c r="K461" i="9" l="1"/>
  <c r="K460" i="9" l="1"/>
  <c r="AD86" i="9" l="1"/>
  <c r="C86" i="9" l="1"/>
  <c r="X80" i="3"/>
  <c r="K465" i="9" l="1"/>
  <c r="K467" i="9"/>
  <c r="K466" i="9"/>
  <c r="K469" i="9" l="1"/>
  <c r="K468" i="9"/>
  <c r="K471" i="9" l="1"/>
  <c r="K472" i="9"/>
  <c r="K473" i="9"/>
  <c r="K482" i="9" l="1"/>
  <c r="K483" i="9"/>
  <c r="K494" i="9" l="1"/>
  <c r="K493" i="9"/>
  <c r="K505" i="9" l="1"/>
  <c r="K504" i="9"/>
  <c r="K503" i="9"/>
  <c r="X474" i="9" l="1"/>
  <c r="X200" i="9"/>
  <c r="X487" i="9"/>
  <c r="X495" i="9"/>
  <c r="X507" i="9"/>
  <c r="X481" i="9"/>
  <c r="X484" i="9"/>
  <c r="X506" i="9"/>
  <c r="X496" i="9"/>
  <c r="X479" i="9"/>
  <c r="X478" i="9"/>
  <c r="X357" i="9"/>
  <c r="X490" i="9"/>
  <c r="X488" i="9"/>
  <c r="X499" i="9"/>
  <c r="X356" i="9"/>
  <c r="X363" i="9"/>
  <c r="X360" i="9"/>
  <c r="X475" i="9"/>
  <c r="X470" i="9"/>
  <c r="X502" i="9"/>
  <c r="X492" i="9"/>
  <c r="X498" i="9"/>
  <c r="X501" i="9"/>
  <c r="X477" i="9"/>
  <c r="X486" i="9"/>
  <c r="X500" i="9"/>
  <c r="X358" i="9"/>
  <c r="X489" i="9"/>
  <c r="X485" i="9"/>
  <c r="X476" i="9"/>
  <c r="X497" i="9"/>
  <c r="X464" i="9"/>
  <c r="X359" i="9"/>
  <c r="X480" i="9"/>
  <c r="X463" i="9"/>
  <c r="X462" i="9"/>
  <c r="X491" i="9"/>
  <c r="X364" i="9"/>
  <c r="X361" i="9"/>
  <c r="X505" i="9"/>
  <c r="AD505" i="9" s="1"/>
  <c r="X499" i="3" s="1"/>
  <c r="X503" i="9"/>
  <c r="AD503" i="9" s="1"/>
  <c r="C503" i="9" s="1"/>
  <c r="X504" i="9"/>
  <c r="AD504" i="9" s="1"/>
  <c r="X498" i="3" s="1"/>
  <c r="X494" i="9"/>
  <c r="AD494" i="9" s="1"/>
  <c r="C494" i="9" s="1"/>
  <c r="X493" i="9"/>
  <c r="AD493" i="9" s="1"/>
  <c r="X487" i="3" s="1"/>
  <c r="X483" i="9"/>
  <c r="AD483" i="9" s="1"/>
  <c r="X477" i="3" s="1"/>
  <c r="X482" i="9"/>
  <c r="AD482" i="9" s="1"/>
  <c r="X476" i="3" s="1"/>
  <c r="X473" i="9"/>
  <c r="AD473" i="9" s="1"/>
  <c r="C473" i="9" s="1"/>
  <c r="X472" i="9"/>
  <c r="AD472" i="9" s="1"/>
  <c r="C472" i="9" s="1"/>
  <c r="X471" i="9"/>
  <c r="AD471" i="9" s="1"/>
  <c r="X465" i="3" s="1"/>
  <c r="X469" i="9"/>
  <c r="AD469" i="9" s="1"/>
  <c r="X463" i="3" s="1"/>
  <c r="X468" i="9"/>
  <c r="AD468" i="9" s="1"/>
  <c r="X462" i="3" s="1"/>
  <c r="X467" i="9"/>
  <c r="AD467" i="9" s="1"/>
  <c r="C467" i="9" s="1"/>
  <c r="X466" i="9"/>
  <c r="AD466" i="9" s="1"/>
  <c r="C466" i="9" s="1"/>
  <c r="X465" i="9"/>
  <c r="AD465" i="9" s="1"/>
  <c r="X459" i="3" s="1"/>
  <c r="X255" i="9"/>
  <c r="AD255" i="9" s="1"/>
  <c r="C255" i="9" s="1"/>
  <c r="X374" i="9"/>
  <c r="AD374" i="9" s="1"/>
  <c r="X368" i="3" s="1"/>
  <c r="X345" i="9"/>
  <c r="AD345" i="9" s="1"/>
  <c r="X339" i="3" s="1"/>
  <c r="X351" i="9"/>
  <c r="AD351" i="9" s="1"/>
  <c r="X345" i="3" s="1"/>
  <c r="X349" i="9"/>
  <c r="AD349" i="9" s="1"/>
  <c r="X343" i="3" s="1"/>
  <c r="X459" i="9"/>
  <c r="AD459" i="9" s="1"/>
  <c r="C459" i="9" s="1"/>
  <c r="X385" i="9"/>
  <c r="AD385" i="9" s="1"/>
  <c r="X379" i="3" s="1"/>
  <c r="X167" i="9"/>
  <c r="AD167" i="9" s="1"/>
  <c r="C167" i="9" s="1"/>
  <c r="X369" i="9"/>
  <c r="AD369" i="9" s="1"/>
  <c r="X363" i="3" s="1"/>
  <c r="X352" i="9"/>
  <c r="AD352" i="9" s="1"/>
  <c r="X346" i="3" s="1"/>
  <c r="X257" i="9"/>
  <c r="AD257" i="9" s="1"/>
  <c r="C257" i="9" s="1"/>
  <c r="X393" i="9"/>
  <c r="AD393" i="9" s="1"/>
  <c r="C393" i="9" s="1"/>
  <c r="X290" i="9"/>
  <c r="AD290" i="9" s="1"/>
  <c r="C290" i="9" s="1"/>
  <c r="X404" i="9"/>
  <c r="AD404" i="9" s="1"/>
  <c r="X110" i="9"/>
  <c r="AD110" i="9" s="1"/>
  <c r="C110" i="9" s="1"/>
  <c r="X159" i="9"/>
  <c r="AD159" i="9" s="1"/>
  <c r="C159" i="9" s="1"/>
  <c r="X366" i="9"/>
  <c r="AD366" i="9" s="1"/>
  <c r="X269" i="9"/>
  <c r="AD269" i="9" s="1"/>
  <c r="X301" i="9"/>
  <c r="AD301" i="9" s="1"/>
  <c r="C301" i="9" s="1"/>
  <c r="X399" i="9"/>
  <c r="AD399" i="9" s="1"/>
  <c r="X393" i="3" s="1"/>
  <c r="X285" i="9"/>
  <c r="AD285" i="9" s="1"/>
  <c r="X171" i="9"/>
  <c r="AD171" i="9" s="1"/>
  <c r="X347" i="9"/>
  <c r="AD347" i="9" s="1"/>
  <c r="X341" i="3" s="1"/>
  <c r="X350" i="9"/>
  <c r="AD350" i="9" s="1"/>
  <c r="X327" i="9"/>
  <c r="AD327" i="9" s="1"/>
  <c r="X331" i="9"/>
  <c r="AD331" i="9" s="1"/>
  <c r="X441" i="9"/>
  <c r="AD441" i="9" s="1"/>
  <c r="C441" i="9" s="1"/>
  <c r="X433" i="9"/>
  <c r="AD433" i="9" s="1"/>
  <c r="X313" i="9"/>
  <c r="AD313" i="9" s="1"/>
  <c r="X206" i="9"/>
  <c r="AD206" i="9" s="1"/>
  <c r="X131" i="9"/>
  <c r="AD131" i="9" s="1"/>
  <c r="X247" i="9"/>
  <c r="AD247" i="9" s="1"/>
  <c r="X230" i="9"/>
  <c r="AD230" i="9" s="1"/>
  <c r="X214" i="9"/>
  <c r="AD214" i="9" s="1"/>
  <c r="X127" i="9"/>
  <c r="AD127" i="9" s="1"/>
  <c r="X278" i="9"/>
  <c r="AD278" i="9" s="1"/>
  <c r="X123" i="9"/>
  <c r="AD123" i="9" s="1"/>
  <c r="X268" i="9"/>
  <c r="AD268" i="9" s="1"/>
  <c r="X265" i="9"/>
  <c r="AD265" i="9" s="1"/>
  <c r="X149" i="9"/>
  <c r="AD149" i="9" s="1"/>
  <c r="X299" i="9"/>
  <c r="AD299" i="9" s="1"/>
  <c r="X281" i="9"/>
  <c r="AD281" i="9" s="1"/>
  <c r="X129" i="9"/>
  <c r="AD129" i="9" s="1"/>
  <c r="X248" i="9"/>
  <c r="AD248" i="9" s="1"/>
  <c r="X114" i="9"/>
  <c r="AD114" i="9" s="1"/>
  <c r="X194" i="9"/>
  <c r="AD194" i="9" s="1"/>
  <c r="X175" i="9"/>
  <c r="AD175" i="9" s="1"/>
  <c r="X102" i="9"/>
  <c r="AD102" i="9" s="1"/>
  <c r="X184" i="9"/>
  <c r="AD184" i="9" s="1"/>
  <c r="X217" i="9"/>
  <c r="AD217" i="9" s="1"/>
  <c r="X140" i="9"/>
  <c r="AD140" i="9" s="1"/>
  <c r="X191" i="9"/>
  <c r="AD191" i="9" s="1"/>
  <c r="X124" i="9"/>
  <c r="AD124" i="9" s="1"/>
  <c r="X190" i="9"/>
  <c r="AD190" i="9" s="1"/>
  <c r="X316" i="9"/>
  <c r="AD316" i="9" s="1"/>
  <c r="X389" i="9"/>
  <c r="AD389" i="9" s="1"/>
  <c r="X166" i="9"/>
  <c r="AD166" i="9" s="1"/>
  <c r="X300" i="9"/>
  <c r="AD300" i="9" s="1"/>
  <c r="X401" i="9"/>
  <c r="AD401" i="9" s="1"/>
  <c r="X112" i="9"/>
  <c r="AD112" i="9" s="1"/>
  <c r="X293" i="9"/>
  <c r="AD293" i="9" s="1"/>
  <c r="X403" i="9"/>
  <c r="AD403" i="9" s="1"/>
  <c r="X177" i="9"/>
  <c r="AD177" i="9" s="1"/>
  <c r="X370" i="9"/>
  <c r="AD370" i="9" s="1"/>
  <c r="X368" i="9"/>
  <c r="AD368" i="9" s="1"/>
  <c r="X456" i="9"/>
  <c r="AD456" i="9" s="1"/>
  <c r="X294" i="9"/>
  <c r="AD294" i="9" s="1"/>
  <c r="X372" i="9"/>
  <c r="AD372" i="9" s="1"/>
  <c r="X387" i="9"/>
  <c r="AD387" i="9" s="1"/>
  <c r="X319" i="9"/>
  <c r="AD319" i="9" s="1"/>
  <c r="X461" i="9"/>
  <c r="AD461" i="9" s="1"/>
  <c r="X422" i="9"/>
  <c r="AD422" i="9" s="1"/>
  <c r="X367" i="9"/>
  <c r="AD367" i="9" s="1"/>
  <c r="X435" i="9"/>
  <c r="AD435" i="9" s="1"/>
  <c r="X330" i="9"/>
  <c r="AD330" i="9" s="1"/>
  <c r="X292" i="9"/>
  <c r="AD292" i="9" s="1"/>
  <c r="X434" i="9"/>
  <c r="AD434" i="9" s="1"/>
  <c r="X380" i="9"/>
  <c r="AD380" i="9" s="1"/>
  <c r="X427" i="9"/>
  <c r="AD427" i="9" s="1"/>
  <c r="X421" i="3" s="1"/>
  <c r="X325" i="9"/>
  <c r="AD325" i="9" s="1"/>
  <c r="X319" i="3" s="1"/>
  <c r="X426" i="9"/>
  <c r="AD426" i="9" s="1"/>
  <c r="X344" i="9"/>
  <c r="AD344" i="9" s="1"/>
  <c r="X438" i="9"/>
  <c r="AD438" i="9" s="1"/>
  <c r="C438" i="9" s="1"/>
  <c r="X411" i="9"/>
  <c r="AD411" i="9" s="1"/>
  <c r="C411" i="9" s="1"/>
  <c r="X445" i="9"/>
  <c r="AD445" i="9" s="1"/>
  <c r="X384" i="9"/>
  <c r="AD384" i="9" s="1"/>
  <c r="X452" i="9"/>
  <c r="AD452" i="9" s="1"/>
  <c r="C452" i="9" s="1"/>
  <c r="X414" i="9"/>
  <c r="AD414" i="9" s="1"/>
  <c r="C414" i="9" s="1"/>
  <c r="X274" i="9"/>
  <c r="AD274" i="9" s="1"/>
  <c r="X151" i="9"/>
  <c r="AD151" i="9" s="1"/>
  <c r="X284" i="9"/>
  <c r="AD284" i="9" s="1"/>
  <c r="X278" i="3" s="1"/>
  <c r="X242" i="9"/>
  <c r="AD242" i="9" s="1"/>
  <c r="X236" i="3" s="1"/>
  <c r="X226" i="9"/>
  <c r="AD226" i="9" s="1"/>
  <c r="X210" i="9"/>
  <c r="AD210" i="9" s="1"/>
  <c r="X119" i="9"/>
  <c r="AD119" i="9" s="1"/>
  <c r="X113" i="3" s="1"/>
  <c r="X262" i="9"/>
  <c r="AD262" i="9" s="1"/>
  <c r="X256" i="3" s="1"/>
  <c r="X304" i="9"/>
  <c r="AD304" i="9" s="1"/>
  <c r="X256" i="9"/>
  <c r="AD256" i="9" s="1"/>
  <c r="X250" i="9"/>
  <c r="AD250" i="9" s="1"/>
  <c r="X244" i="3" s="1"/>
  <c r="X141" i="9"/>
  <c r="AD141" i="9" s="1"/>
  <c r="X135" i="3" s="1"/>
  <c r="X287" i="9"/>
  <c r="AD287" i="9" s="1"/>
  <c r="X244" i="9"/>
  <c r="AD244" i="9" s="1"/>
  <c r="X228" i="9"/>
  <c r="AD228" i="9" s="1"/>
  <c r="C228" i="9" s="1"/>
  <c r="X212" i="9"/>
  <c r="AD212" i="9" s="1"/>
  <c r="C212" i="9" s="1"/>
  <c r="X133" i="9"/>
  <c r="AD133" i="9" s="1"/>
  <c r="X270" i="9"/>
  <c r="AD270" i="9" s="1"/>
  <c r="X264" i="3" s="1"/>
  <c r="X311" i="9"/>
  <c r="AD311" i="9" s="1"/>
  <c r="X117" i="9"/>
  <c r="AD117" i="9" s="1"/>
  <c r="C117" i="9" s="1"/>
  <c r="X104" i="9"/>
  <c r="AD104" i="9" s="1"/>
  <c r="X186" i="9"/>
  <c r="AD186" i="9" s="1"/>
  <c r="X180" i="3" s="1"/>
  <c r="X241" i="9"/>
  <c r="AD241" i="9" s="1"/>
  <c r="X209" i="9"/>
  <c r="AD209" i="9" s="1"/>
  <c r="C209" i="9" s="1"/>
  <c r="X103" i="9"/>
  <c r="AD103" i="9" s="1"/>
  <c r="C103" i="9" s="1"/>
  <c r="X185" i="9"/>
  <c r="AD185" i="9" s="1"/>
  <c r="C185" i="9" s="1"/>
  <c r="X165" i="9"/>
  <c r="AD165" i="9" s="1"/>
  <c r="X159" i="3" s="1"/>
  <c r="X94" i="9"/>
  <c r="AD94" i="9" s="1"/>
  <c r="C94" i="9" s="1"/>
  <c r="X240" i="9"/>
  <c r="AD240" i="9" s="1"/>
  <c r="X234" i="3" s="1"/>
  <c r="X207" i="9"/>
  <c r="AD207" i="9" s="1"/>
  <c r="X201" i="3" s="1"/>
  <c r="X100" i="9"/>
  <c r="AD100" i="9" s="1"/>
  <c r="X94" i="3" s="1"/>
  <c r="X183" i="9"/>
  <c r="AD183" i="9" s="1"/>
  <c r="X177" i="3" s="1"/>
  <c r="X101" i="9"/>
  <c r="AD101" i="9" s="1"/>
  <c r="X95" i="3" s="1"/>
  <c r="X182" i="9"/>
  <c r="AD182" i="9" s="1"/>
  <c r="X176" i="3" s="1"/>
  <c r="X220" i="9"/>
  <c r="AD220" i="9" s="1"/>
  <c r="C220" i="9" s="1"/>
  <c r="X146" i="9"/>
  <c r="AD146" i="9" s="1"/>
  <c r="C146" i="9" s="1"/>
  <c r="X197" i="9"/>
  <c r="AD197" i="9" s="1"/>
  <c r="C197" i="9" s="1"/>
  <c r="X158" i="9"/>
  <c r="AD158" i="9" s="1"/>
  <c r="C158" i="9" s="1"/>
  <c r="X106" i="9"/>
  <c r="AD106" i="9" s="1"/>
  <c r="C106" i="9" s="1"/>
  <c r="X188" i="9"/>
  <c r="AD188" i="9" s="1"/>
  <c r="X182" i="3" s="1"/>
  <c r="X227" i="9"/>
  <c r="AD227" i="9" s="1"/>
  <c r="C227" i="9" s="1"/>
  <c r="X152" i="9"/>
  <c r="AD152" i="9" s="1"/>
  <c r="C152" i="9" s="1"/>
  <c r="X105" i="9"/>
  <c r="AD105" i="9" s="1"/>
  <c r="C105" i="9" s="1"/>
  <c r="X187" i="9"/>
  <c r="AD187" i="9" s="1"/>
  <c r="C187" i="9" s="1"/>
  <c r="X339" i="9"/>
  <c r="AD339" i="9" s="1"/>
  <c r="X333" i="3" s="1"/>
  <c r="X355" i="9"/>
  <c r="AD355" i="9" s="1"/>
  <c r="X349" i="3" s="1"/>
  <c r="X326" i="9"/>
  <c r="AD326" i="9" s="1"/>
  <c r="X320" i="3" s="1"/>
  <c r="X296" i="9"/>
  <c r="AD296" i="9" s="1"/>
  <c r="C296" i="9" s="1"/>
  <c r="X308" i="9"/>
  <c r="AD308" i="9" s="1"/>
  <c r="C308" i="9" s="1"/>
  <c r="X328" i="9"/>
  <c r="AD328" i="9" s="1"/>
  <c r="X322" i="3" s="1"/>
  <c r="X354" i="9"/>
  <c r="AD354" i="9" s="1"/>
  <c r="X348" i="3" s="1"/>
  <c r="X324" i="9"/>
  <c r="AD324" i="9" s="1"/>
  <c r="C324" i="9" s="1"/>
  <c r="X375" i="9"/>
  <c r="AD375" i="9" s="1"/>
  <c r="X369" i="3" s="1"/>
  <c r="X259" i="9"/>
  <c r="AD259" i="9" s="1"/>
  <c r="C259" i="9" s="1"/>
  <c r="X116" i="9"/>
  <c r="AD116" i="9" s="1"/>
  <c r="C116" i="9" s="1"/>
  <c r="X332" i="9"/>
  <c r="AD332" i="9" s="1"/>
  <c r="X326" i="3" s="1"/>
  <c r="X451" i="9"/>
  <c r="AD451" i="9" s="1"/>
  <c r="X416" i="9"/>
  <c r="AD416" i="9" s="1"/>
  <c r="C416" i="9" s="1"/>
  <c r="X400" i="9"/>
  <c r="AD400" i="9" s="1"/>
  <c r="X394" i="3" s="1"/>
  <c r="X421" i="9"/>
  <c r="AD421" i="9" s="1"/>
  <c r="C421" i="9" s="1"/>
  <c r="X320" i="9"/>
  <c r="AD320" i="9" s="1"/>
  <c r="X446" i="9"/>
  <c r="AD446" i="9" s="1"/>
  <c r="C446" i="9" s="1"/>
  <c r="X418" i="9"/>
  <c r="AD418" i="9" s="1"/>
  <c r="C418" i="9" s="1"/>
  <c r="X305" i="9"/>
  <c r="AD305" i="9" s="1"/>
  <c r="X299" i="3" s="1"/>
  <c r="X431" i="9"/>
  <c r="AD431" i="9" s="1"/>
  <c r="X430" i="9"/>
  <c r="AD430" i="9" s="1"/>
  <c r="C430" i="9" s="1"/>
  <c r="X323" i="9"/>
  <c r="AD323" i="9" s="1"/>
  <c r="X317" i="3" s="1"/>
  <c r="X444" i="9"/>
  <c r="AD444" i="9" s="1"/>
  <c r="C444" i="9" s="1"/>
  <c r="X383" i="9"/>
  <c r="AD383" i="9" s="1"/>
  <c r="X279" i="9"/>
  <c r="AD279" i="9" s="1"/>
  <c r="C279" i="9" s="1"/>
  <c r="X251" i="9"/>
  <c r="AD251" i="9" s="1"/>
  <c r="C251" i="9" s="1"/>
  <c r="X276" i="9"/>
  <c r="AD276" i="9" s="1"/>
  <c r="C276" i="9" s="1"/>
  <c r="X238" i="9"/>
  <c r="AD238" i="9" s="1"/>
  <c r="X225" i="9"/>
  <c r="AD225" i="9" s="1"/>
  <c r="C225" i="9" s="1"/>
  <c r="X204" i="9"/>
  <c r="AD204" i="9" s="1"/>
  <c r="C204" i="9" s="1"/>
  <c r="X121" i="9"/>
  <c r="AD121" i="9" s="1"/>
  <c r="X266" i="9"/>
  <c r="AD266" i="9" s="1"/>
  <c r="X233" i="9"/>
  <c r="AD233" i="9" s="1"/>
  <c r="C233" i="9" s="1"/>
  <c r="X201" i="9"/>
  <c r="AD201" i="9" s="1"/>
  <c r="C201" i="9" s="1"/>
  <c r="X95" i="9"/>
  <c r="AD95" i="9" s="1"/>
  <c r="X164" i="9"/>
  <c r="AD164" i="9" s="1"/>
  <c r="X163" i="9"/>
  <c r="AD163" i="9" s="1"/>
  <c r="X213" i="9"/>
  <c r="AD213" i="9" s="1"/>
  <c r="C213" i="9" s="1"/>
  <c r="X107" i="9"/>
  <c r="AD107" i="9" s="1"/>
  <c r="X189" i="9"/>
  <c r="AD189" i="9" s="1"/>
  <c r="X128" i="9"/>
  <c r="AD128" i="9" s="1"/>
  <c r="X98" i="9"/>
  <c r="AD98" i="9" s="1"/>
  <c r="X180" i="9"/>
  <c r="AD180" i="9" s="1"/>
  <c r="X221" i="9"/>
  <c r="AD221" i="9" s="1"/>
  <c r="X96" i="9"/>
  <c r="AD96" i="9" s="1"/>
  <c r="X302" i="9"/>
  <c r="AD302" i="9" s="1"/>
  <c r="X395" i="9"/>
  <c r="AD395" i="9" s="1"/>
  <c r="X321" i="9"/>
  <c r="AD321" i="9" s="1"/>
  <c r="X245" i="9"/>
  <c r="AD245" i="9" s="1"/>
  <c r="X341" i="9"/>
  <c r="AD341" i="9" s="1"/>
  <c r="X263" i="9"/>
  <c r="AD263" i="9" s="1"/>
  <c r="X386" i="9"/>
  <c r="AD386" i="9" s="1"/>
  <c r="X373" i="9"/>
  <c r="AD373" i="9" s="1"/>
  <c r="X179" i="9"/>
  <c r="AD179" i="9" s="1"/>
  <c r="X362" i="9"/>
  <c r="AD362" i="9" s="1"/>
  <c r="X396" i="9"/>
  <c r="AD396" i="9" s="1"/>
  <c r="X382" i="9"/>
  <c r="AD382" i="9" s="1"/>
  <c r="X365" i="9"/>
  <c r="AD365" i="9" s="1"/>
  <c r="X379" i="9"/>
  <c r="AD379" i="9" s="1"/>
  <c r="X455" i="9"/>
  <c r="AD455" i="9" s="1"/>
  <c r="X420" i="9"/>
  <c r="AD420" i="9" s="1"/>
  <c r="C420" i="9" s="1"/>
  <c r="X448" i="9"/>
  <c r="AD448" i="9" s="1"/>
  <c r="C448" i="9" s="1"/>
  <c r="X419" i="9"/>
  <c r="AD419" i="9" s="1"/>
  <c r="X376" i="9"/>
  <c r="AD376" i="9" s="1"/>
  <c r="X394" i="9"/>
  <c r="AD394" i="9" s="1"/>
  <c r="C394" i="9" s="1"/>
  <c r="X388" i="9"/>
  <c r="AD388" i="9" s="1"/>
  <c r="X382" i="3" s="1"/>
  <c r="X258" i="9"/>
  <c r="AD258" i="9" s="1"/>
  <c r="X147" i="9"/>
  <c r="AD147" i="9" s="1"/>
  <c r="X239" i="9"/>
  <c r="AD239" i="9" s="1"/>
  <c r="C239" i="9" s="1"/>
  <c r="X222" i="9"/>
  <c r="AD222" i="9" s="1"/>
  <c r="C222" i="9" s="1"/>
  <c r="X202" i="9"/>
  <c r="AD202" i="9" s="1"/>
  <c r="X309" i="9"/>
  <c r="AD309" i="9" s="1"/>
  <c r="X246" i="9"/>
  <c r="AD246" i="9" s="1"/>
  <c r="C246" i="9" s="1"/>
  <c r="X288" i="9"/>
  <c r="AD288" i="9" s="1"/>
  <c r="C288" i="9" s="1"/>
  <c r="X113" i="9"/>
  <c r="AD113" i="9" s="1"/>
  <c r="X208" i="9"/>
  <c r="AD208" i="9" s="1"/>
  <c r="X202" i="3" s="1"/>
  <c r="X137" i="9"/>
  <c r="AD137" i="9" s="1"/>
  <c r="X271" i="9"/>
  <c r="AD271" i="9" s="1"/>
  <c r="X265" i="3" s="1"/>
  <c r="X295" i="9"/>
  <c r="AD295" i="9" s="1"/>
  <c r="X280" i="9"/>
  <c r="AD280" i="9" s="1"/>
  <c r="X274" i="3" s="1"/>
  <c r="X132" i="9"/>
  <c r="AD132" i="9" s="1"/>
  <c r="X97" i="9"/>
  <c r="AD97" i="9" s="1"/>
  <c r="X91" i="3" s="1"/>
  <c r="X178" i="9"/>
  <c r="AD178" i="9" s="1"/>
  <c r="X161" i="9"/>
  <c r="AD161" i="9" s="1"/>
  <c r="X155" i="3" s="1"/>
  <c r="X136" i="9"/>
  <c r="AD136" i="9" s="1"/>
  <c r="X231" i="9"/>
  <c r="AD231" i="9" s="1"/>
  <c r="C231" i="9" s="1"/>
  <c r="X157" i="9"/>
  <c r="AD157" i="9" s="1"/>
  <c r="C157" i="9" s="1"/>
  <c r="X93" i="9"/>
  <c r="AD93" i="9" s="1"/>
  <c r="X87" i="3" s="1"/>
  <c r="X176" i="9"/>
  <c r="AD176" i="9" s="1"/>
  <c r="X92" i="9"/>
  <c r="AD92" i="9" s="1"/>
  <c r="C92" i="9" s="1"/>
  <c r="X173" i="9"/>
  <c r="AD173" i="9" s="1"/>
  <c r="C173" i="9" s="1"/>
  <c r="X289" i="9"/>
  <c r="AD289" i="9" s="1"/>
  <c r="X283" i="3" s="1"/>
  <c r="X371" i="9"/>
  <c r="AD371" i="9" s="1"/>
  <c r="X408" i="9"/>
  <c r="AD408" i="9" s="1"/>
  <c r="X402" i="3" s="1"/>
  <c r="X170" i="9"/>
  <c r="AD170" i="9" s="1"/>
  <c r="C170" i="9" s="1"/>
  <c r="X126" i="9"/>
  <c r="AD126" i="9" s="1"/>
  <c r="X120" i="3" s="1"/>
  <c r="X134" i="9"/>
  <c r="AD134" i="9" s="1"/>
  <c r="X108" i="9"/>
  <c r="AD108" i="9" s="1"/>
  <c r="C108" i="9" s="1"/>
  <c r="X405" i="9"/>
  <c r="AD405" i="9" s="1"/>
  <c r="X399" i="3" s="1"/>
  <c r="X298" i="9"/>
  <c r="AD298" i="9" s="1"/>
  <c r="X292" i="3" s="1"/>
  <c r="X381" i="9"/>
  <c r="AD381" i="9" s="1"/>
  <c r="X375" i="3" s="1"/>
  <c r="X335" i="9"/>
  <c r="AD335" i="9" s="1"/>
  <c r="C335" i="9" s="1"/>
  <c r="X392" i="9"/>
  <c r="AD392" i="9" s="1"/>
  <c r="X386" i="3" s="1"/>
  <c r="X144" i="9"/>
  <c r="AD144" i="9" s="1"/>
  <c r="X138" i="3" s="1"/>
  <c r="X333" i="9"/>
  <c r="AD333" i="9" s="1"/>
  <c r="X327" i="3" s="1"/>
  <c r="X443" i="9"/>
  <c r="AD443" i="9" s="1"/>
  <c r="C443" i="9" s="1"/>
  <c r="X415" i="9"/>
  <c r="AD415" i="9" s="1"/>
  <c r="C415" i="9" s="1"/>
  <c r="X439" i="9"/>
  <c r="AD439" i="9" s="1"/>
  <c r="C439" i="9" s="1"/>
  <c r="X410" i="9"/>
  <c r="AD410" i="9" s="1"/>
  <c r="C410" i="9" s="1"/>
  <c r="X454" i="9"/>
  <c r="AD454" i="9" s="1"/>
  <c r="C454" i="9" s="1"/>
  <c r="X425" i="9"/>
  <c r="AD425" i="9" s="1"/>
  <c r="C425" i="9" s="1"/>
  <c r="X348" i="9"/>
  <c r="AD348" i="9" s="1"/>
  <c r="X342" i="3" s="1"/>
  <c r="X424" i="9"/>
  <c r="AD424" i="9" s="1"/>
  <c r="C424" i="9" s="1"/>
  <c r="X307" i="9"/>
  <c r="AD307" i="9" s="1"/>
  <c r="X301" i="3" s="1"/>
  <c r="X428" i="9"/>
  <c r="AD428" i="9" s="1"/>
  <c r="C428" i="9" s="1"/>
  <c r="X342" i="9"/>
  <c r="AD342" i="9" s="1"/>
  <c r="C342" i="9" s="1"/>
  <c r="X253" i="9"/>
  <c r="AD253" i="9" s="1"/>
  <c r="C253" i="9" s="1"/>
  <c r="X267" i="9"/>
  <c r="AD267" i="9" s="1"/>
  <c r="C267" i="9" s="1"/>
  <c r="X283" i="9"/>
  <c r="AD283" i="9" s="1"/>
  <c r="C283" i="9" s="1"/>
  <c r="X236" i="9"/>
  <c r="AD236" i="9" s="1"/>
  <c r="C236" i="9" s="1"/>
  <c r="X219" i="9"/>
  <c r="AD219" i="9" s="1"/>
  <c r="C219" i="9" s="1"/>
  <c r="X153" i="9"/>
  <c r="AD153" i="9" s="1"/>
  <c r="C153" i="9" s="1"/>
  <c r="X291" i="9"/>
  <c r="AD291" i="9" s="1"/>
  <c r="C291" i="9" s="1"/>
  <c r="X254" i="9"/>
  <c r="AD254" i="9" s="1"/>
  <c r="C254" i="9" s="1"/>
  <c r="X224" i="9"/>
  <c r="AD224" i="9" s="1"/>
  <c r="C224" i="9" s="1"/>
  <c r="X150" i="9"/>
  <c r="AD150" i="9" s="1"/>
  <c r="C150" i="9" s="1"/>
  <c r="X87" i="9"/>
  <c r="AD87" i="9" s="1"/>
  <c r="C87" i="9" s="1"/>
  <c r="X237" i="9"/>
  <c r="AD237" i="9" s="1"/>
  <c r="C237" i="9" s="1"/>
  <c r="X205" i="9"/>
  <c r="AD205" i="9" s="1"/>
  <c r="C205" i="9" s="1"/>
  <c r="X99" i="9"/>
  <c r="AD99" i="9" s="1"/>
  <c r="X93" i="3" s="1"/>
  <c r="X181" i="9"/>
  <c r="AD181" i="9" s="1"/>
  <c r="C181" i="9" s="1"/>
  <c r="X122" i="9"/>
  <c r="AD122" i="9" s="1"/>
  <c r="C122" i="9" s="1"/>
  <c r="X90" i="9"/>
  <c r="AD90" i="9" s="1"/>
  <c r="C90" i="9" s="1"/>
  <c r="X168" i="9"/>
  <c r="AD168" i="9" s="1"/>
  <c r="X162" i="3" s="1"/>
  <c r="X211" i="9"/>
  <c r="AD211" i="9" s="1"/>
  <c r="C211" i="9" s="1"/>
  <c r="X115" i="9"/>
  <c r="AD115" i="9" s="1"/>
  <c r="C115" i="9" s="1"/>
  <c r="X89" i="9"/>
  <c r="AD89" i="9" s="1"/>
  <c r="C89" i="9" s="1"/>
  <c r="X275" i="9"/>
  <c r="AD275" i="9" s="1"/>
  <c r="C275" i="9" s="1"/>
  <c r="X310" i="9"/>
  <c r="AD310" i="9" s="1"/>
  <c r="C310" i="9" s="1"/>
  <c r="X334" i="9"/>
  <c r="AD334" i="9" s="1"/>
  <c r="X328" i="3" s="1"/>
  <c r="X377" i="9"/>
  <c r="AD377" i="9" s="1"/>
  <c r="X371" i="3" s="1"/>
  <c r="X315" i="9"/>
  <c r="AD315" i="9" s="1"/>
  <c r="X309" i="3" s="1"/>
  <c r="X336" i="9"/>
  <c r="AD336" i="9" s="1"/>
  <c r="X330" i="3" s="1"/>
  <c r="X402" i="9"/>
  <c r="AD402" i="9" s="1"/>
  <c r="X396" i="3" s="1"/>
  <c r="X353" i="9"/>
  <c r="AD353" i="9" s="1"/>
  <c r="C353" i="9" s="1"/>
  <c r="X378" i="9"/>
  <c r="AD378" i="9" s="1"/>
  <c r="X372" i="3" s="1"/>
  <c r="X340" i="9"/>
  <c r="AD340" i="9" s="1"/>
  <c r="X334" i="3" s="1"/>
  <c r="X337" i="9"/>
  <c r="AD337" i="9" s="1"/>
  <c r="X331" i="3" s="1"/>
  <c r="X277" i="9"/>
  <c r="AD277" i="9" s="1"/>
  <c r="C277" i="9" s="1"/>
  <c r="X130" i="9"/>
  <c r="AD130" i="9" s="1"/>
  <c r="C130" i="9" s="1"/>
  <c r="X407" i="9"/>
  <c r="AD407" i="9" s="1"/>
  <c r="C407" i="9" s="1"/>
  <c r="X460" i="9"/>
  <c r="AD460" i="9" s="1"/>
  <c r="C460" i="9" s="1"/>
  <c r="X343" i="9"/>
  <c r="AD343" i="9" s="1"/>
  <c r="C343" i="9" s="1"/>
  <c r="X450" i="9"/>
  <c r="AD450" i="9" s="1"/>
  <c r="C450" i="9" s="1"/>
  <c r="X397" i="9"/>
  <c r="AD397" i="9" s="1"/>
  <c r="X391" i="3" s="1"/>
  <c r="X457" i="9"/>
  <c r="AD457" i="9" s="1"/>
  <c r="C457" i="9" s="1"/>
  <c r="X436" i="9"/>
  <c r="AD436" i="9" s="1"/>
  <c r="X430" i="3" s="1"/>
  <c r="X318" i="9"/>
  <c r="AD318" i="9" s="1"/>
  <c r="X312" i="3" s="1"/>
  <c r="X442" i="9"/>
  <c r="AD442" i="9" s="1"/>
  <c r="X436" i="3" s="1"/>
  <c r="X406" i="9"/>
  <c r="AD406" i="9" s="1"/>
  <c r="X400" i="3" s="1"/>
  <c r="X306" i="9"/>
  <c r="AD306" i="9" s="1"/>
  <c r="C306" i="9" s="1"/>
  <c r="X449" i="9"/>
  <c r="AD449" i="9" s="1"/>
  <c r="C449" i="9" s="1"/>
  <c r="X412" i="9"/>
  <c r="AD412" i="9" s="1"/>
  <c r="C412" i="9" s="1"/>
  <c r="X440" i="9"/>
  <c r="AD440" i="9" s="1"/>
  <c r="X434" i="3" s="1"/>
  <c r="X409" i="9"/>
  <c r="AD409" i="9" s="1"/>
  <c r="C409" i="9" s="1"/>
  <c r="X432" i="9"/>
  <c r="AD432" i="9" s="1"/>
  <c r="X426" i="3" s="1"/>
  <c r="X346" i="9"/>
  <c r="AD346" i="9" s="1"/>
  <c r="X340" i="3" s="1"/>
  <c r="X447" i="9"/>
  <c r="AD447" i="9" s="1"/>
  <c r="C447" i="9" s="1"/>
  <c r="X417" i="9"/>
  <c r="AD417" i="9" s="1"/>
  <c r="X411" i="3" s="1"/>
  <c r="X453" i="9"/>
  <c r="AD453" i="9" s="1"/>
  <c r="C453" i="9" s="1"/>
  <c r="X413" i="9"/>
  <c r="AD413" i="9" s="1"/>
  <c r="X407" i="3" s="1"/>
  <c r="X458" i="9"/>
  <c r="AD458" i="9" s="1"/>
  <c r="C458" i="9" s="1"/>
  <c r="X423" i="9"/>
  <c r="AD423" i="9" s="1"/>
  <c r="X417" i="3" s="1"/>
  <c r="X312" i="9"/>
  <c r="AD312" i="9" s="1"/>
  <c r="C312" i="9" s="1"/>
  <c r="X243" i="9"/>
  <c r="AD243" i="9" s="1"/>
  <c r="C243" i="9" s="1"/>
  <c r="X143" i="9"/>
  <c r="AD143" i="9" s="1"/>
  <c r="X137" i="3" s="1"/>
  <c r="X252" i="9"/>
  <c r="AD252" i="9" s="1"/>
  <c r="X246" i="3" s="1"/>
  <c r="X234" i="9"/>
  <c r="AD234" i="9" s="1"/>
  <c r="X228" i="3" s="1"/>
  <c r="X218" i="9"/>
  <c r="AD218" i="9" s="1"/>
  <c r="C218" i="9" s="1"/>
  <c r="X155" i="9"/>
  <c r="AD155" i="9" s="1"/>
  <c r="X149" i="3" s="1"/>
  <c r="X297" i="9"/>
  <c r="AD297" i="9" s="1"/>
  <c r="C297" i="9" s="1"/>
  <c r="X135" i="9"/>
  <c r="AD135" i="9" s="1"/>
  <c r="C135" i="9" s="1"/>
  <c r="X272" i="9"/>
  <c r="AD272" i="9" s="1"/>
  <c r="X266" i="3" s="1"/>
  <c r="X282" i="9"/>
  <c r="AD282" i="9" s="1"/>
  <c r="X276" i="3" s="1"/>
  <c r="X156" i="9"/>
  <c r="AD156" i="9" s="1"/>
  <c r="C156" i="9" s="1"/>
  <c r="X125" i="9"/>
  <c r="AD125" i="9" s="1"/>
  <c r="C125" i="9" s="1"/>
  <c r="X260" i="9"/>
  <c r="AD260" i="9" s="1"/>
  <c r="C260" i="9" s="1"/>
  <c r="X232" i="9"/>
  <c r="AD232" i="9" s="1"/>
  <c r="X226" i="3" s="1"/>
  <c r="X215" i="9"/>
  <c r="AD215" i="9" s="1"/>
  <c r="X209" i="3" s="1"/>
  <c r="X145" i="9"/>
  <c r="AD145" i="9" s="1"/>
  <c r="X139" i="3" s="1"/>
  <c r="X286" i="9"/>
  <c r="AD286" i="9" s="1"/>
  <c r="X280" i="3" s="1"/>
  <c r="X249" i="9"/>
  <c r="AD249" i="9" s="1"/>
  <c r="X243" i="3" s="1"/>
  <c r="X264" i="9"/>
  <c r="AD264" i="9" s="1"/>
  <c r="C264" i="9" s="1"/>
  <c r="X120" i="9"/>
  <c r="AD120" i="9" s="1"/>
  <c r="C120" i="9" s="1"/>
  <c r="X88" i="9"/>
  <c r="AD88" i="9" s="1"/>
  <c r="C88" i="9" s="1"/>
  <c r="X172" i="9"/>
  <c r="AD172" i="9" s="1"/>
  <c r="X166" i="3" s="1"/>
  <c r="X216" i="9"/>
  <c r="AD216" i="9" s="1"/>
  <c r="X210" i="3" s="1"/>
  <c r="X142" i="9"/>
  <c r="AD142" i="9" s="1"/>
  <c r="X136" i="3" s="1"/>
  <c r="X193" i="9"/>
  <c r="AD193" i="9" s="1"/>
  <c r="X187" i="3" s="1"/>
  <c r="X160" i="9"/>
  <c r="AD160" i="9" s="1"/>
  <c r="X154" i="3" s="1"/>
  <c r="X118" i="9"/>
  <c r="AD118" i="9" s="1"/>
  <c r="C118" i="9" s="1"/>
  <c r="X192" i="9"/>
  <c r="AD192" i="9" s="1"/>
  <c r="X186" i="3" s="1"/>
  <c r="X223" i="9"/>
  <c r="AD223" i="9" s="1"/>
  <c r="C223" i="9" s="1"/>
  <c r="X148" i="9"/>
  <c r="AD148" i="9" s="1"/>
  <c r="X199" i="9"/>
  <c r="AD199" i="9" s="1"/>
  <c r="C199" i="9" s="1"/>
  <c r="X169" i="9"/>
  <c r="AD169" i="9" s="1"/>
  <c r="X198" i="9"/>
  <c r="AD198" i="9" s="1"/>
  <c r="C198" i="9" s="1"/>
  <c r="X229" i="9"/>
  <c r="AD229" i="9" s="1"/>
  <c r="X154" i="9"/>
  <c r="AD154" i="9" s="1"/>
  <c r="X148" i="3" s="1"/>
  <c r="X91" i="9"/>
  <c r="AD91" i="9" s="1"/>
  <c r="X174" i="9"/>
  <c r="AD174" i="9" s="1"/>
  <c r="C174" i="9" s="1"/>
  <c r="X111" i="9"/>
  <c r="AD111" i="9" s="1"/>
  <c r="X105" i="3" s="1"/>
  <c r="X196" i="9"/>
  <c r="AD196" i="9" s="1"/>
  <c r="X190" i="3" s="1"/>
  <c r="X235" i="9"/>
  <c r="AD235" i="9" s="1"/>
  <c r="X203" i="9"/>
  <c r="AD203" i="9" s="1"/>
  <c r="X197" i="3" s="1"/>
  <c r="X109" i="9"/>
  <c r="AD109" i="9" s="1"/>
  <c r="X195" i="9"/>
  <c r="AD195" i="9" s="1"/>
  <c r="X189" i="3" s="1"/>
  <c r="X162" i="9"/>
  <c r="AD162" i="9" s="1"/>
  <c r="X138" i="9"/>
  <c r="AD138" i="9" s="1"/>
  <c r="C139" i="9" s="1"/>
  <c r="X261" i="9"/>
  <c r="AD261" i="9" s="1"/>
  <c r="X314" i="9"/>
  <c r="AD314" i="9" s="1"/>
  <c r="C314" i="9" s="1"/>
  <c r="X317" i="9"/>
  <c r="AD317" i="9" s="1"/>
  <c r="X303" i="9"/>
  <c r="AD303" i="9" s="1"/>
  <c r="X429" i="9"/>
  <c r="AD429" i="9" s="1"/>
  <c r="X338" i="9"/>
  <c r="AD338" i="9" s="1"/>
  <c r="C338" i="9" s="1"/>
  <c r="X329" i="9"/>
  <c r="AD329" i="9" s="1"/>
  <c r="X437" i="9"/>
  <c r="AD437" i="9" s="1"/>
  <c r="X273" i="9"/>
  <c r="AD273" i="9" s="1"/>
  <c r="X267" i="3" s="1"/>
  <c r="X390" i="9"/>
  <c r="AD390" i="9" s="1"/>
  <c r="X384" i="3" s="1"/>
  <c r="X322" i="9"/>
  <c r="AD322" i="9" s="1"/>
  <c r="C322" i="9" s="1"/>
  <c r="X391" i="9"/>
  <c r="AD391" i="9" s="1"/>
  <c r="X385" i="3" s="1"/>
  <c r="X139" i="9"/>
  <c r="AD139" i="9" s="1"/>
  <c r="X133" i="3" s="1"/>
  <c r="X398" i="9"/>
  <c r="AD398" i="9" s="1"/>
  <c r="X446" i="3" l="1"/>
  <c r="C215" i="9"/>
  <c r="C119" i="9"/>
  <c r="X237" i="3"/>
  <c r="C232" i="9"/>
  <c r="X119" i="3"/>
  <c r="X447" i="3"/>
  <c r="C298" i="9"/>
  <c r="C154" i="9"/>
  <c r="X291" i="3"/>
  <c r="C165" i="9"/>
  <c r="C141" i="9"/>
  <c r="X167" i="3"/>
  <c r="X448" i="3"/>
  <c r="X423" i="3"/>
  <c r="C429" i="9"/>
  <c r="X255" i="3"/>
  <c r="C261" i="9"/>
  <c r="X258" i="3"/>
  <c r="X129" i="3"/>
  <c r="X452" i="3"/>
  <c r="X144" i="3"/>
  <c r="C142" i="9"/>
  <c r="X261" i="3"/>
  <c r="C144" i="9"/>
  <c r="C262" i="9"/>
  <c r="X150" i="3"/>
  <c r="X306" i="3"/>
  <c r="X233" i="3"/>
  <c r="X99" i="3"/>
  <c r="X114" i="3"/>
  <c r="C234" i="9"/>
  <c r="C423" i="9"/>
  <c r="C148" i="9"/>
  <c r="X142" i="3"/>
  <c r="C195" i="9"/>
  <c r="X112" i="3"/>
  <c r="C286" i="9"/>
  <c r="X403" i="3"/>
  <c r="C168" i="9"/>
  <c r="C307" i="9"/>
  <c r="X329" i="3"/>
  <c r="X282" i="3"/>
  <c r="C270" i="9"/>
  <c r="C242" i="9"/>
  <c r="X488" i="3"/>
  <c r="C390" i="9"/>
  <c r="C145" i="9"/>
  <c r="C252" i="9"/>
  <c r="C417" i="9"/>
  <c r="X437" i="3"/>
  <c r="C126" i="9"/>
  <c r="C289" i="9"/>
  <c r="X240" i="3"/>
  <c r="X100" i="3"/>
  <c r="C284" i="9"/>
  <c r="X151" i="3"/>
  <c r="X442" i="3"/>
  <c r="C100" i="9"/>
  <c r="X97" i="3"/>
  <c r="X111" i="3"/>
  <c r="X206" i="3"/>
  <c r="C325" i="9"/>
  <c r="C192" i="9"/>
  <c r="C111" i="9"/>
  <c r="C216" i="9"/>
  <c r="C432" i="9"/>
  <c r="X147" i="3"/>
  <c r="X102" i="3"/>
  <c r="C408" i="9"/>
  <c r="C388" i="9"/>
  <c r="X222" i="3"/>
  <c r="X405" i="3"/>
  <c r="C427" i="9"/>
  <c r="X216" i="3"/>
  <c r="X214" i="3"/>
  <c r="X408" i="3"/>
  <c r="C317" i="9"/>
  <c r="X311" i="3"/>
  <c r="C329" i="9"/>
  <c r="X323" i="3"/>
  <c r="C235" i="9"/>
  <c r="X229" i="3"/>
  <c r="C109" i="9"/>
  <c r="X103" i="3"/>
  <c r="X85" i="3"/>
  <c r="C91" i="9"/>
  <c r="X392" i="3"/>
  <c r="C398" i="9"/>
  <c r="C229" i="9"/>
  <c r="X223" i="3"/>
  <c r="C437" i="9"/>
  <c r="X431" i="3"/>
  <c r="C303" i="9"/>
  <c r="X297" i="3"/>
  <c r="X156" i="3"/>
  <c r="C162" i="9"/>
  <c r="X163" i="3"/>
  <c r="C169" i="9"/>
  <c r="C136" i="9"/>
  <c r="X130" i="3"/>
  <c r="C132" i="9"/>
  <c r="X126" i="3"/>
  <c r="C137" i="9"/>
  <c r="X131" i="3"/>
  <c r="C376" i="9"/>
  <c r="X370" i="3"/>
  <c r="X373" i="3"/>
  <c r="C379" i="9"/>
  <c r="C263" i="9"/>
  <c r="X257" i="3"/>
  <c r="C180" i="9"/>
  <c r="X174" i="3"/>
  <c r="C95" i="9"/>
  <c r="X89" i="3"/>
  <c r="C249" i="9"/>
  <c r="C143" i="9"/>
  <c r="C391" i="9"/>
  <c r="C203" i="9"/>
  <c r="X192" i="3"/>
  <c r="X82" i="3"/>
  <c r="X212" i="3"/>
  <c r="X406" i="3"/>
  <c r="C442" i="9"/>
  <c r="C397" i="9"/>
  <c r="X401" i="3"/>
  <c r="C340" i="9"/>
  <c r="C336" i="9"/>
  <c r="X304" i="3"/>
  <c r="X205" i="3"/>
  <c r="X175" i="3"/>
  <c r="X81" i="3"/>
  <c r="X285" i="3"/>
  <c r="X277" i="3"/>
  <c r="X422" i="3"/>
  <c r="X419" i="3"/>
  <c r="X409" i="3"/>
  <c r="C392" i="9"/>
  <c r="C405" i="9"/>
  <c r="C93" i="9"/>
  <c r="C147" i="9"/>
  <c r="X141" i="3"/>
  <c r="C419" i="9"/>
  <c r="X413" i="3"/>
  <c r="C365" i="9"/>
  <c r="X359" i="3"/>
  <c r="X335" i="3"/>
  <c r="C341" i="9"/>
  <c r="C98" i="9"/>
  <c r="X92" i="3"/>
  <c r="X164" i="3"/>
  <c r="C161" i="9"/>
  <c r="C280" i="9"/>
  <c r="C208" i="9"/>
  <c r="X303" i="3"/>
  <c r="C309" i="9"/>
  <c r="C258" i="9"/>
  <c r="X252" i="3"/>
  <c r="X376" i="3"/>
  <c r="C382" i="9"/>
  <c r="C245" i="9"/>
  <c r="X239" i="3"/>
  <c r="C128" i="9"/>
  <c r="X122" i="3"/>
  <c r="X443" i="3"/>
  <c r="C318" i="9"/>
  <c r="X444" i="3"/>
  <c r="X124" i="3"/>
  <c r="C378" i="9"/>
  <c r="C315" i="9"/>
  <c r="X269" i="3"/>
  <c r="C99" i="9"/>
  <c r="C202" i="9"/>
  <c r="X196" i="3"/>
  <c r="X390" i="3"/>
  <c r="C396" i="9"/>
  <c r="C321" i="9"/>
  <c r="X315" i="3"/>
  <c r="C189" i="9"/>
  <c r="X183" i="3"/>
  <c r="C266" i="9"/>
  <c r="X260" i="3"/>
  <c r="C383" i="9"/>
  <c r="X377" i="3"/>
  <c r="X314" i="3"/>
  <c r="C320" i="9"/>
  <c r="X316" i="3"/>
  <c r="C273" i="9"/>
  <c r="C160" i="9"/>
  <c r="C282" i="9"/>
  <c r="X441" i="3"/>
  <c r="C178" i="9"/>
  <c r="X172" i="3"/>
  <c r="X289" i="3"/>
  <c r="C295" i="9"/>
  <c r="C113" i="9"/>
  <c r="X107" i="3"/>
  <c r="X356" i="3"/>
  <c r="C362" i="9"/>
  <c r="X389" i="3"/>
  <c r="C395" i="9"/>
  <c r="C107" i="9"/>
  <c r="X101" i="3"/>
  <c r="C121" i="9"/>
  <c r="X115" i="3"/>
  <c r="X132" i="3"/>
  <c r="X308" i="3"/>
  <c r="C138" i="9"/>
  <c r="X168" i="3"/>
  <c r="X217" i="3"/>
  <c r="X254" i="3"/>
  <c r="C413" i="9"/>
  <c r="X300" i="3"/>
  <c r="C436" i="9"/>
  <c r="X337" i="3"/>
  <c r="X271" i="3"/>
  <c r="X347" i="3"/>
  <c r="C377" i="9"/>
  <c r="X83" i="3"/>
  <c r="X84" i="3"/>
  <c r="X199" i="3"/>
  <c r="X218" i="3"/>
  <c r="X213" i="3"/>
  <c r="X247" i="3"/>
  <c r="X418" i="3"/>
  <c r="X404" i="3"/>
  <c r="C333" i="9"/>
  <c r="C381" i="9"/>
  <c r="C134" i="9"/>
  <c r="X128" i="3"/>
  <c r="X86" i="3"/>
  <c r="X414" i="3"/>
  <c r="X173" i="3"/>
  <c r="C179" i="9"/>
  <c r="C302" i="9"/>
  <c r="X296" i="3"/>
  <c r="C440" i="9"/>
  <c r="C371" i="9"/>
  <c r="X365" i="3"/>
  <c r="X225" i="3"/>
  <c r="C97" i="9"/>
  <c r="C271" i="9"/>
  <c r="X388" i="3"/>
  <c r="X367" i="3"/>
  <c r="C373" i="9"/>
  <c r="C96" i="9"/>
  <c r="X90" i="3"/>
  <c r="C163" i="9"/>
  <c r="X157" i="3"/>
  <c r="C172" i="9"/>
  <c r="C155" i="9"/>
  <c r="X332" i="3"/>
  <c r="C196" i="9"/>
  <c r="X193" i="3"/>
  <c r="C193" i="9"/>
  <c r="C272" i="9"/>
  <c r="C346" i="9"/>
  <c r="C406" i="9"/>
  <c r="X451" i="3"/>
  <c r="X454" i="3"/>
  <c r="C337" i="9"/>
  <c r="C402" i="9"/>
  <c r="C334" i="9"/>
  <c r="X109" i="3"/>
  <c r="X116" i="3"/>
  <c r="X231" i="3"/>
  <c r="X248" i="3"/>
  <c r="X230" i="3"/>
  <c r="X336" i="3"/>
  <c r="C348" i="9"/>
  <c r="X433" i="3"/>
  <c r="C176" i="9"/>
  <c r="X170" i="3"/>
  <c r="C455" i="9"/>
  <c r="X449" i="3"/>
  <c r="C386" i="9"/>
  <c r="X380" i="3"/>
  <c r="C221" i="9"/>
  <c r="X215" i="3"/>
  <c r="C164" i="9"/>
  <c r="X158" i="3"/>
  <c r="C238" i="9"/>
  <c r="X232" i="3"/>
  <c r="C431" i="9"/>
  <c r="X425" i="3"/>
  <c r="C451" i="9"/>
  <c r="X445" i="3"/>
  <c r="C375" i="9"/>
  <c r="X302" i="3"/>
  <c r="C339" i="9"/>
  <c r="X221" i="3"/>
  <c r="X191" i="3"/>
  <c r="C101" i="9"/>
  <c r="C240" i="9"/>
  <c r="X98" i="3"/>
  <c r="C104" i="9"/>
  <c r="C133" i="9"/>
  <c r="X127" i="3"/>
  <c r="X374" i="3"/>
  <c r="C380" i="9"/>
  <c r="X313" i="3"/>
  <c r="C319" i="9"/>
  <c r="X397" i="3"/>
  <c r="C403" i="9"/>
  <c r="C190" i="9"/>
  <c r="X184" i="3"/>
  <c r="C194" i="9"/>
  <c r="X188" i="3"/>
  <c r="C268" i="9"/>
  <c r="X262" i="3"/>
  <c r="C206" i="9"/>
  <c r="X200" i="3"/>
  <c r="C171" i="9"/>
  <c r="X165" i="3"/>
  <c r="X398" i="3"/>
  <c r="C404" i="9"/>
  <c r="X338" i="3"/>
  <c r="C344" i="9"/>
  <c r="X428" i="3"/>
  <c r="C434" i="9"/>
  <c r="C387" i="9"/>
  <c r="X381" i="3"/>
  <c r="C293" i="9"/>
  <c r="X287" i="3"/>
  <c r="C124" i="9"/>
  <c r="X118" i="3"/>
  <c r="C114" i="9"/>
  <c r="X108" i="3"/>
  <c r="C123" i="9"/>
  <c r="X117" i="3"/>
  <c r="X307" i="3"/>
  <c r="C313" i="9"/>
  <c r="C285" i="9"/>
  <c r="X279" i="3"/>
  <c r="X270" i="3"/>
  <c r="X438" i="3"/>
  <c r="C305" i="9"/>
  <c r="X415" i="3"/>
  <c r="C332" i="9"/>
  <c r="X318" i="3"/>
  <c r="X290" i="3"/>
  <c r="X181" i="3"/>
  <c r="C188" i="9"/>
  <c r="X140" i="3"/>
  <c r="C183" i="9"/>
  <c r="X88" i="3"/>
  <c r="X203" i="3"/>
  <c r="X378" i="3"/>
  <c r="C384" i="9"/>
  <c r="C426" i="9"/>
  <c r="X420" i="3"/>
  <c r="C292" i="9"/>
  <c r="X286" i="3"/>
  <c r="C372" i="9"/>
  <c r="X366" i="3"/>
  <c r="C112" i="9"/>
  <c r="X106" i="3"/>
  <c r="C191" i="9"/>
  <c r="X185" i="3"/>
  <c r="C248" i="9"/>
  <c r="X242" i="3"/>
  <c r="C278" i="9"/>
  <c r="X272" i="3"/>
  <c r="C433" i="9"/>
  <c r="X427" i="3"/>
  <c r="C250" i="9"/>
  <c r="X145" i="3"/>
  <c r="C151" i="9"/>
  <c r="C445" i="9"/>
  <c r="X439" i="3"/>
  <c r="C330" i="9"/>
  <c r="X324" i="3"/>
  <c r="C294" i="9"/>
  <c r="X288" i="3"/>
  <c r="C401" i="9"/>
  <c r="X395" i="3"/>
  <c r="C140" i="9"/>
  <c r="X134" i="3"/>
  <c r="C129" i="9"/>
  <c r="X123" i="3"/>
  <c r="C127" i="9"/>
  <c r="X121" i="3"/>
  <c r="X207" i="3"/>
  <c r="X195" i="3"/>
  <c r="X198" i="3"/>
  <c r="X245" i="3"/>
  <c r="C323" i="9"/>
  <c r="X412" i="3"/>
  <c r="C400" i="9"/>
  <c r="X110" i="3"/>
  <c r="C354" i="9"/>
  <c r="C326" i="9"/>
  <c r="C241" i="9"/>
  <c r="X235" i="3"/>
  <c r="C311" i="9"/>
  <c r="X305" i="3"/>
  <c r="X204" i="3"/>
  <c r="C210" i="9"/>
  <c r="C274" i="9"/>
  <c r="X268" i="3"/>
  <c r="C435" i="9"/>
  <c r="X429" i="3"/>
  <c r="C456" i="9"/>
  <c r="X450" i="3"/>
  <c r="X294" i="3"/>
  <c r="C300" i="9"/>
  <c r="C217" i="9"/>
  <c r="X211" i="3"/>
  <c r="C281" i="9"/>
  <c r="X275" i="3"/>
  <c r="C214" i="9"/>
  <c r="X208" i="3"/>
  <c r="X325" i="3"/>
  <c r="C331" i="9"/>
  <c r="C269" i="9"/>
  <c r="X263" i="3"/>
  <c r="X250" i="3"/>
  <c r="C256" i="9"/>
  <c r="X220" i="3"/>
  <c r="C226" i="9"/>
  <c r="X361" i="3"/>
  <c r="C367" i="9"/>
  <c r="C368" i="9"/>
  <c r="X362" i="3"/>
  <c r="C166" i="9"/>
  <c r="X160" i="3"/>
  <c r="C184" i="9"/>
  <c r="X178" i="3"/>
  <c r="X293" i="3"/>
  <c r="C299" i="9"/>
  <c r="C230" i="9"/>
  <c r="X224" i="3"/>
  <c r="X321" i="3"/>
  <c r="C327" i="9"/>
  <c r="X360" i="3"/>
  <c r="C366" i="9"/>
  <c r="X227" i="3"/>
  <c r="X219" i="3"/>
  <c r="X273" i="3"/>
  <c r="X424" i="3"/>
  <c r="X440" i="3"/>
  <c r="X410" i="3"/>
  <c r="X253" i="3"/>
  <c r="C328" i="9"/>
  <c r="C355" i="9"/>
  <c r="X146" i="3"/>
  <c r="X152" i="3"/>
  <c r="C182" i="9"/>
  <c r="C207" i="9"/>
  <c r="X179" i="3"/>
  <c r="C186" i="9"/>
  <c r="C244" i="9"/>
  <c r="X238" i="3"/>
  <c r="X298" i="3"/>
  <c r="C304" i="9"/>
  <c r="C422" i="9"/>
  <c r="X416" i="3"/>
  <c r="X364" i="3"/>
  <c r="C370" i="9"/>
  <c r="X383" i="3"/>
  <c r="C389" i="9"/>
  <c r="C102" i="9"/>
  <c r="X96" i="3"/>
  <c r="C149" i="9"/>
  <c r="X143" i="3"/>
  <c r="C247" i="9"/>
  <c r="X241" i="3"/>
  <c r="X344" i="3"/>
  <c r="C350" i="9"/>
  <c r="C287" i="9"/>
  <c r="X281" i="3"/>
  <c r="X432" i="3"/>
  <c r="C461" i="9"/>
  <c r="X455" i="3"/>
  <c r="C177" i="9"/>
  <c r="X171" i="3"/>
  <c r="X310" i="3"/>
  <c r="C316" i="9"/>
  <c r="C175" i="9"/>
  <c r="X169" i="3"/>
  <c r="C265" i="9"/>
  <c r="X259" i="3"/>
  <c r="C131" i="9"/>
  <c r="X125" i="3"/>
  <c r="C352" i="9"/>
  <c r="X453" i="3"/>
  <c r="C374" i="9"/>
  <c r="X461" i="3"/>
  <c r="X466" i="3"/>
  <c r="C493" i="9"/>
  <c r="C505" i="9"/>
  <c r="X284" i="3"/>
  <c r="C369" i="9"/>
  <c r="C349" i="9"/>
  <c r="X249" i="3"/>
  <c r="C468" i="9"/>
  <c r="X467" i="3"/>
  <c r="C399" i="9"/>
  <c r="X153" i="3"/>
  <c r="X387" i="3"/>
  <c r="X161" i="3"/>
  <c r="C351" i="9"/>
  <c r="C465" i="9"/>
  <c r="C469" i="9"/>
  <c r="C482" i="9"/>
  <c r="C504" i="9"/>
  <c r="X435" i="3"/>
  <c r="C347" i="9"/>
  <c r="X295" i="3"/>
  <c r="X104" i="3"/>
  <c r="X251" i="3"/>
  <c r="C385" i="9"/>
  <c r="C345" i="9"/>
  <c r="X460" i="3"/>
  <c r="C471" i="9"/>
  <c r="C483" i="9"/>
  <c r="X497" i="3"/>
  <c r="J15" i="1" l="1"/>
  <c r="L15" i="1" s="1"/>
  <c r="M15" i="1" s="1"/>
  <c r="K508" i="9"/>
  <c r="J13" i="1"/>
  <c r="L13" i="1" s="1"/>
  <c r="M13" i="1" s="1"/>
  <c r="J16" i="1"/>
  <c r="L16" i="1" s="1"/>
  <c r="M16" i="1" s="1"/>
  <c r="J18" i="1"/>
  <c r="L18" i="1" s="1"/>
  <c r="M18" i="1" s="1"/>
  <c r="J14" i="1"/>
  <c r="L14" i="1" s="1"/>
  <c r="M14" i="1" s="1"/>
  <c r="J17" i="1"/>
  <c r="L17" i="1" s="1"/>
  <c r="M17" i="1" s="1"/>
  <c r="X508" i="9" l="1"/>
  <c r="AD508" i="9" s="1"/>
  <c r="J6" i="1"/>
  <c r="L6" i="1" s="1"/>
  <c r="M6" i="1" s="1"/>
  <c r="J7" i="1"/>
  <c r="L7" i="1" s="1"/>
  <c r="M7" i="1" s="1"/>
  <c r="J8" i="1"/>
  <c r="L8" i="1" s="1"/>
  <c r="M8" i="1" s="1"/>
  <c r="J9" i="1"/>
  <c r="L9" i="1" s="1"/>
  <c r="M9" i="1" s="1"/>
  <c r="C508" i="9" l="1"/>
  <c r="X502" i="3"/>
  <c r="X509" i="9" l="1"/>
  <c r="X510" i="9" l="1"/>
  <c r="X511" i="9" l="1"/>
  <c r="K514" i="9" l="1"/>
  <c r="K512" i="9"/>
  <c r="K513" i="9"/>
  <c r="X513" i="9" l="1"/>
  <c r="AD513" i="9" s="1"/>
  <c r="X512" i="9"/>
  <c r="AD512" i="9" s="1"/>
  <c r="X514" i="9"/>
  <c r="AD514" i="9" s="1"/>
  <c r="C512" i="9" l="1"/>
  <c r="X506" i="3"/>
  <c r="X507" i="3"/>
  <c r="C513" i="9"/>
  <c r="C514" i="9"/>
  <c r="X508" i="3"/>
  <c r="X515" i="9" l="1"/>
  <c r="X516" i="9" l="1"/>
  <c r="X517" i="9" l="1"/>
  <c r="X518" i="9" l="1"/>
  <c r="X519" i="9" l="1"/>
  <c r="X520" i="9" l="1"/>
  <c r="X521" i="9" l="1"/>
  <c r="X522" i="9" l="1"/>
  <c r="K523" i="9" l="1"/>
  <c r="K524" i="9"/>
  <c r="X524" i="9" l="1"/>
  <c r="AD524" i="9" s="1"/>
  <c r="X523" i="9"/>
  <c r="AD523" i="9" s="1"/>
  <c r="X517" i="3" l="1"/>
  <c r="C523" i="9"/>
  <c r="X518" i="3"/>
  <c r="C524" i="9"/>
  <c r="X525" i="9" l="1"/>
  <c r="X526" i="9" l="1"/>
  <c r="N9" i="12" l="1"/>
  <c r="R9" i="12" s="1"/>
  <c r="N6" i="12"/>
  <c r="R6" i="12" s="1"/>
  <c r="N5" i="12"/>
  <c r="R5" i="12" s="1"/>
  <c r="N7" i="12"/>
  <c r="R7" i="12" s="1"/>
  <c r="N4" i="12"/>
  <c r="R4" i="12" s="1"/>
  <c r="N8" i="12"/>
  <c r="R8" i="12" s="1"/>
  <c r="U8" i="12" l="1"/>
  <c r="V8" i="12" s="1"/>
  <c r="T8" i="12"/>
  <c r="T4" i="12"/>
  <c r="U4" i="12"/>
  <c r="V4" i="12" s="1"/>
  <c r="T7" i="12"/>
  <c r="U7" i="12"/>
  <c r="V7" i="12" s="1"/>
  <c r="T5" i="12"/>
  <c r="U5" i="12"/>
  <c r="V5" i="12" s="1"/>
  <c r="U6" i="12"/>
  <c r="V6" i="12" s="1"/>
  <c r="T6" i="12"/>
  <c r="U9" i="12"/>
  <c r="V9" i="12" s="1"/>
  <c r="T9" i="12"/>
  <c r="V1" i="12" l="1"/>
  <c r="J10" i="1" s="1"/>
  <c r="L10" i="1" s="1"/>
  <c r="M10" i="1" s="1"/>
  <c r="X527" i="9" l="1"/>
  <c r="X528" i="9" l="1"/>
  <c r="X529" i="9" l="1"/>
  <c r="X530" i="9" l="1"/>
  <c r="X531" i="9" l="1"/>
  <c r="X532" i="9" l="1"/>
  <c r="X533" i="9" l="1"/>
  <c r="X534" i="9" l="1"/>
  <c r="X535" i="9" l="1"/>
  <c r="X536" i="9" l="1"/>
  <c r="X537" i="9" l="1"/>
  <c r="X538" i="9" l="1"/>
  <c r="X539" i="9" l="1"/>
  <c r="K540" i="9" l="1"/>
  <c r="K541" i="9"/>
  <c r="X540" i="9" l="1"/>
  <c r="AD540" i="9" s="1"/>
  <c r="X541" i="9"/>
  <c r="AD541" i="9" s="1"/>
  <c r="X535" i="3" l="1"/>
  <c r="C541" i="9"/>
  <c r="C540" i="9"/>
  <c r="X534" i="3"/>
  <c r="X542" i="9" l="1"/>
  <c r="AE371" i="3" l="1"/>
  <c r="AE272" i="3"/>
  <c r="AE237" i="3"/>
  <c r="AE245" i="3" l="1"/>
  <c r="AE471" i="3"/>
  <c r="K477" i="9" s="1"/>
  <c r="AD477" i="9" s="1"/>
  <c r="AE499" i="3"/>
  <c r="AE72" i="3"/>
  <c r="AE452" i="3"/>
  <c r="AE420" i="3"/>
  <c r="AE213" i="3"/>
  <c r="AE158" i="3"/>
  <c r="AE514" i="3"/>
  <c r="K520" i="9" s="1"/>
  <c r="AD520" i="9" s="1"/>
  <c r="C520" i="9" s="1"/>
  <c r="AE475" i="3"/>
  <c r="K481" i="9" s="1"/>
  <c r="AD481" i="9" s="1"/>
  <c r="AE218" i="3"/>
  <c r="AE258" i="3"/>
  <c r="AE145" i="3"/>
  <c r="AE99" i="3"/>
  <c r="AE385" i="3"/>
  <c r="AE242" i="3"/>
  <c r="AE396" i="3"/>
  <c r="AE66" i="3"/>
  <c r="AE48" i="3"/>
  <c r="AE509" i="3"/>
  <c r="K515" i="9" s="1"/>
  <c r="AD515" i="9" s="1"/>
  <c r="AE334" i="3"/>
  <c r="AE197" i="3"/>
  <c r="AE65" i="3"/>
  <c r="AE273" i="3"/>
  <c r="AE133" i="3"/>
  <c r="AE265" i="3"/>
  <c r="AE107" i="3"/>
  <c r="AE398" i="3"/>
  <c r="AE239" i="3"/>
  <c r="AE185" i="3"/>
  <c r="AE175" i="3"/>
  <c r="AE411" i="3"/>
  <c r="AE243" i="3"/>
  <c r="AE127" i="3"/>
  <c r="AE337" i="3"/>
  <c r="AE388" i="3"/>
  <c r="AE123" i="3"/>
  <c r="AE124" i="3"/>
  <c r="AE142" i="3"/>
  <c r="AE464" i="3"/>
  <c r="AE447" i="3"/>
  <c r="AE30" i="3"/>
  <c r="AE90" i="3"/>
  <c r="AE260" i="3"/>
  <c r="AE201" i="3"/>
  <c r="AE89" i="3"/>
  <c r="AE44" i="3"/>
  <c r="AE439" i="3"/>
  <c r="AE423" i="3"/>
  <c r="AE518" i="3"/>
  <c r="AE128" i="3"/>
  <c r="AE470" i="3"/>
  <c r="K476" i="9" s="1"/>
  <c r="AD476" i="9" s="1"/>
  <c r="AE481" i="3"/>
  <c r="K487" i="9" s="1"/>
  <c r="AD487" i="9" s="1"/>
  <c r="AE486" i="3"/>
  <c r="K492" i="9" s="1"/>
  <c r="AD492" i="9" s="1"/>
  <c r="AE209" i="3"/>
  <c r="AE381" i="3"/>
  <c r="AE126" i="3"/>
  <c r="AE159" i="3"/>
  <c r="AE366" i="3"/>
  <c r="AE404" i="3"/>
  <c r="AE335" i="3"/>
  <c r="AE83" i="3"/>
  <c r="AE196" i="3"/>
  <c r="AE336" i="3"/>
  <c r="AE45" i="3"/>
  <c r="AE455" i="3"/>
  <c r="AE342" i="3"/>
  <c r="AE453" i="3"/>
  <c r="AE535" i="3"/>
  <c r="AE517" i="3"/>
  <c r="AE73" i="3"/>
  <c r="AE461" i="3"/>
  <c r="AE458" i="3"/>
  <c r="AE241" i="3"/>
  <c r="AE199" i="3"/>
  <c r="AE64" i="3"/>
  <c r="AE191" i="3"/>
  <c r="AE67" i="3"/>
  <c r="AE400" i="3"/>
  <c r="AE416" i="3"/>
  <c r="AE437" i="3"/>
  <c r="AE412" i="3"/>
  <c r="AE361" i="3"/>
  <c r="AE378" i="3"/>
  <c r="AE340" i="3"/>
  <c r="AE369" i="3"/>
  <c r="AE480" i="3"/>
  <c r="K486" i="9" s="1"/>
  <c r="AD486" i="9" s="1"/>
  <c r="AE129" i="3"/>
  <c r="AE236" i="3"/>
  <c r="AE84" i="3"/>
  <c r="AE457" i="3"/>
  <c r="K463" i="9" s="1"/>
  <c r="AD463" i="9" s="1"/>
  <c r="AE358" i="3"/>
  <c r="K364" i="9" s="1"/>
  <c r="AD364" i="9" s="1"/>
  <c r="AE267" i="3"/>
  <c r="AE180" i="3"/>
  <c r="AE502" i="3"/>
  <c r="AE507" i="3"/>
  <c r="AE131" i="3"/>
  <c r="AE82" i="3"/>
  <c r="AE511" i="3"/>
  <c r="K517" i="9" s="1"/>
  <c r="AD517" i="9" s="1"/>
  <c r="AE71" i="3"/>
  <c r="AE394" i="3"/>
  <c r="AE374" i="3"/>
  <c r="AE36" i="3"/>
  <c r="AE408" i="3"/>
  <c r="AE255" i="3"/>
  <c r="AE373" i="3"/>
  <c r="AE207" i="3"/>
  <c r="AE382" i="3"/>
  <c r="AE372" i="3"/>
  <c r="AE379" i="3"/>
  <c r="AE526" i="3"/>
  <c r="K532" i="9" s="1"/>
  <c r="AD532" i="9" s="1"/>
  <c r="AE492" i="3"/>
  <c r="K498" i="9" s="1"/>
  <c r="AD498" i="9" s="1"/>
  <c r="AE46" i="3"/>
  <c r="AE376" i="3"/>
  <c r="AE438" i="3"/>
  <c r="AE339" i="3"/>
  <c r="AE244" i="3"/>
  <c r="AE352" i="3"/>
  <c r="K358" i="9" s="1"/>
  <c r="AD358" i="9" s="1"/>
  <c r="AE108" i="3"/>
  <c r="AE157" i="3"/>
  <c r="AE249" i="3"/>
  <c r="AE380" i="3"/>
  <c r="AE181" i="3"/>
  <c r="AE357" i="3"/>
  <c r="K363" i="9" s="1"/>
  <c r="AD363" i="9" s="1"/>
  <c r="AE515" i="3"/>
  <c r="K521" i="9" s="1"/>
  <c r="AD521" i="9" s="1"/>
  <c r="AE441" i="3"/>
  <c r="AE214" i="3"/>
  <c r="AE418" i="3"/>
  <c r="AE20" i="3"/>
  <c r="AE35" i="3"/>
  <c r="AE240" i="3"/>
  <c r="AE211" i="3"/>
  <c r="AE38" i="3"/>
  <c r="AE494" i="3"/>
  <c r="AE450" i="3"/>
  <c r="AE32" i="3"/>
  <c r="AE31" i="3"/>
  <c r="AE462" i="3"/>
  <c r="X471" i="3"/>
  <c r="C477" i="9"/>
  <c r="AE18" i="3"/>
  <c r="AE98" i="3"/>
  <c r="AE383" i="3"/>
  <c r="AE402" i="3"/>
  <c r="AE192" i="3"/>
  <c r="AE474" i="3"/>
  <c r="K480" i="9" s="1"/>
  <c r="AD480" i="9" s="1"/>
  <c r="AE415" i="3"/>
  <c r="AE100" i="3"/>
  <c r="AE407" i="3"/>
  <c r="AE274" i="3"/>
  <c r="AE105" i="3"/>
  <c r="AE70" i="3"/>
  <c r="AE135" i="3"/>
  <c r="AE251" i="3"/>
  <c r="AE34" i="3"/>
  <c r="AE360" i="3"/>
  <c r="AE233" i="3"/>
  <c r="AE476" i="3"/>
  <c r="AE161" i="3"/>
  <c r="AE377" i="3"/>
  <c r="AE488" i="3"/>
  <c r="AE85" i="3"/>
  <c r="AE353" i="3"/>
  <c r="K359" i="9" s="1"/>
  <c r="AD359" i="9" s="1"/>
  <c r="AE167" i="3"/>
  <c r="AE194" i="3"/>
  <c r="K200" i="9" s="1"/>
  <c r="AD200" i="9" s="1"/>
  <c r="AE29" i="3"/>
  <c r="AE42" i="3"/>
  <c r="AE467" i="3"/>
  <c r="AE261" i="3"/>
  <c r="AE459" i="3"/>
  <c r="AE168" i="3"/>
  <c r="AE104" i="3"/>
  <c r="AE137" i="3"/>
  <c r="AE184" i="3"/>
  <c r="AE529" i="3"/>
  <c r="K535" i="9" s="1"/>
  <c r="AD535" i="9" s="1"/>
  <c r="AE103" i="3"/>
  <c r="AE140" i="3"/>
  <c r="AE533" i="3"/>
  <c r="K539" i="9" s="1"/>
  <c r="AD539" i="9" s="1"/>
  <c r="AE268" i="3"/>
  <c r="AE512" i="3"/>
  <c r="K518" i="9" s="1"/>
  <c r="AD518" i="9" s="1"/>
  <c r="AE117" i="3"/>
  <c r="AE347" i="3"/>
  <c r="AE33" i="3"/>
  <c r="AE333" i="3"/>
  <c r="AE198" i="3"/>
  <c r="AE527" i="3"/>
  <c r="K533" i="9" s="1"/>
  <c r="AD533" i="9" s="1"/>
  <c r="AE490" i="3"/>
  <c r="K496" i="9" s="1"/>
  <c r="AD496" i="9" s="1"/>
  <c r="AE254" i="3"/>
  <c r="AE176" i="3"/>
  <c r="AE409" i="3"/>
  <c r="AE234" i="3"/>
  <c r="AE163" i="3"/>
  <c r="AE528" i="3"/>
  <c r="K534" i="9" s="1"/>
  <c r="AD534" i="9" s="1"/>
  <c r="AE40" i="3"/>
  <c r="AE206" i="3"/>
  <c r="AE505" i="3"/>
  <c r="K511" i="9" s="1"/>
  <c r="AD511" i="9" s="1"/>
  <c r="AE410" i="3"/>
  <c r="AE427" i="3"/>
  <c r="AE375" i="3"/>
  <c r="AE148" i="3"/>
  <c r="AE166" i="3"/>
  <c r="AE523" i="3"/>
  <c r="K529" i="9" s="1"/>
  <c r="AD529" i="9" s="1"/>
  <c r="AE429" i="3"/>
  <c r="AE257" i="3"/>
  <c r="AE247" i="3"/>
  <c r="AE216" i="3"/>
  <c r="AE355" i="3"/>
  <c r="K361" i="9" s="1"/>
  <c r="AD361" i="9" s="1"/>
  <c r="AE170" i="3"/>
  <c r="AE210" i="3"/>
  <c r="AE187" i="3"/>
  <c r="AE446" i="3"/>
  <c r="AE443" i="3"/>
  <c r="AE521" i="3"/>
  <c r="K527" i="9" s="1"/>
  <c r="AD527" i="9" s="1"/>
  <c r="AE504" i="3"/>
  <c r="K510" i="9" s="1"/>
  <c r="AD510" i="9" s="1"/>
  <c r="AE487" i="3"/>
  <c r="AE428" i="3"/>
  <c r="AE28" i="3"/>
  <c r="AE365" i="3"/>
  <c r="AE259" i="3"/>
  <c r="AE419" i="3"/>
  <c r="AE74" i="3"/>
  <c r="AE401" i="3"/>
  <c r="AE225" i="3"/>
  <c r="AE531" i="3"/>
  <c r="K537" i="9" s="1"/>
  <c r="AD537" i="9" s="1"/>
  <c r="AE263" i="3"/>
  <c r="AE524" i="3"/>
  <c r="K530" i="9" s="1"/>
  <c r="AD530" i="9" s="1"/>
  <c r="AE219" i="3"/>
  <c r="AE52" i="3"/>
  <c r="AE406" i="3"/>
  <c r="AE520" i="3"/>
  <c r="K526" i="9" s="1"/>
  <c r="AD526" i="9" s="1"/>
  <c r="AE177" i="3"/>
  <c r="AE392" i="3"/>
  <c r="AE93" i="3"/>
  <c r="AE97" i="3"/>
  <c r="AE405" i="3"/>
  <c r="AE495" i="3"/>
  <c r="AE81" i="3"/>
  <c r="AE202" i="3"/>
  <c r="AE442" i="3"/>
  <c r="AE172" i="3"/>
  <c r="AE252" i="3"/>
  <c r="AE86" i="3"/>
  <c r="AE397" i="3"/>
  <c r="AE186" i="3"/>
  <c r="AE370" i="3"/>
  <c r="AE386" i="3"/>
  <c r="AE101" i="3"/>
  <c r="AE395" i="3"/>
  <c r="AE25" i="3"/>
  <c r="AE277" i="3"/>
  <c r="AE26" i="3"/>
  <c r="AE363" i="3"/>
  <c r="AE78" i="3"/>
  <c r="AE138" i="3"/>
  <c r="AE173" i="3"/>
  <c r="AE223" i="3"/>
  <c r="AE253" i="3"/>
  <c r="AE76" i="3"/>
  <c r="AE203" i="3"/>
  <c r="AE226" i="3"/>
  <c r="AE425" i="3"/>
  <c r="AE92" i="3"/>
  <c r="AE483" i="3"/>
  <c r="K489" i="9" s="1"/>
  <c r="AD489" i="9" s="1"/>
  <c r="AE149" i="3"/>
  <c r="AE532" i="3"/>
  <c r="K538" i="9" s="1"/>
  <c r="AD538" i="9" s="1"/>
  <c r="AE356" i="3"/>
  <c r="AE80" i="3"/>
  <c r="AE51" i="3"/>
  <c r="AE110" i="3"/>
  <c r="AE171" i="3"/>
  <c r="AE269" i="3"/>
  <c r="AE188" i="3"/>
  <c r="AE354" i="3"/>
  <c r="K360" i="9" s="1"/>
  <c r="AD360" i="9" s="1"/>
  <c r="AE271" i="3"/>
  <c r="AE141" i="3"/>
  <c r="AE456" i="3"/>
  <c r="K462" i="9" s="1"/>
  <c r="AD462" i="9" s="1"/>
  <c r="AE433" i="3"/>
  <c r="AE121" i="3"/>
  <c r="AE116" i="3"/>
  <c r="AE449" i="3"/>
  <c r="AE465" i="3"/>
  <c r="AE501" i="3"/>
  <c r="K507" i="9" s="1"/>
  <c r="AD507" i="9" s="1"/>
  <c r="AE146" i="3"/>
  <c r="AE516" i="3"/>
  <c r="K522" i="9" s="1"/>
  <c r="AD522" i="9" s="1"/>
  <c r="AE95" i="3"/>
  <c r="AE489" i="3"/>
  <c r="K495" i="9" s="1"/>
  <c r="AD495" i="9" s="1"/>
  <c r="AE440" i="3"/>
  <c r="AE519" i="3"/>
  <c r="K525" i="9" s="1"/>
  <c r="AD525" i="9" s="1"/>
  <c r="AE508" i="3"/>
  <c r="AE367" i="3"/>
  <c r="AE179" i="3"/>
  <c r="AE424" i="3"/>
  <c r="AE189" i="3"/>
  <c r="AE387" i="3"/>
  <c r="AE232" i="3"/>
  <c r="AE248" i="3"/>
  <c r="AE169" i="3"/>
  <c r="AE345" i="3"/>
  <c r="AE112" i="3"/>
  <c r="AE58" i="3"/>
  <c r="AE343" i="3"/>
  <c r="AE220" i="3"/>
  <c r="AE50" i="3"/>
  <c r="AE114" i="3"/>
  <c r="AE417" i="3"/>
  <c r="AE264" i="3"/>
  <c r="AE448" i="3"/>
  <c r="AE130" i="3"/>
  <c r="AE165" i="3"/>
  <c r="AE491" i="3"/>
  <c r="K497" i="9" s="1"/>
  <c r="AD497" i="9" s="1"/>
  <c r="AE88" i="3"/>
  <c r="AE231" i="3"/>
  <c r="AE119" i="3"/>
  <c r="AE341" i="3"/>
  <c r="AE174" i="3"/>
  <c r="AE473" i="3"/>
  <c r="K479" i="9" s="1"/>
  <c r="AD479" i="9" s="1"/>
  <c r="AE41" i="3"/>
  <c r="AE444" i="3"/>
  <c r="AE154" i="3"/>
  <c r="AE54" i="3"/>
  <c r="AE525" i="3"/>
  <c r="K531" i="9" s="1"/>
  <c r="AD531" i="9" s="1"/>
  <c r="AE190" i="3"/>
  <c r="AE230" i="3"/>
  <c r="AE246" i="3"/>
  <c r="AE53" i="3"/>
  <c r="AE15" i="3"/>
  <c r="AE155" i="3"/>
  <c r="AE111" i="3"/>
  <c r="AE468" i="3"/>
  <c r="K474" i="9" s="1"/>
  <c r="AD474" i="9" s="1"/>
  <c r="AE414" i="3"/>
  <c r="AE193" i="3"/>
  <c r="AE102" i="3"/>
  <c r="AE43" i="3"/>
  <c r="AE60" i="3"/>
  <c r="AE217" i="3"/>
  <c r="AE115" i="3"/>
  <c r="AE77" i="3"/>
  <c r="AE23" i="3"/>
  <c r="AE91" i="3"/>
  <c r="AE57" i="3"/>
  <c r="AE350" i="3"/>
  <c r="K356" i="9" s="1"/>
  <c r="AD356" i="9" s="1"/>
  <c r="AE160" i="3"/>
  <c r="AE125" i="3"/>
  <c r="AE349" i="3"/>
  <c r="AE118" i="3"/>
  <c r="AE113" i="3"/>
  <c r="AE497" i="3"/>
  <c r="K501" i="9" s="1"/>
  <c r="AD501" i="9" s="1"/>
  <c r="AE106" i="3"/>
  <c r="AE421" i="3"/>
  <c r="AE134" i="3"/>
  <c r="AE150" i="3"/>
  <c r="AE109" i="3"/>
  <c r="AE224" i="3"/>
  <c r="AE75" i="3"/>
  <c r="AE275" i="3"/>
  <c r="AE49" i="3"/>
  <c r="AE195" i="3"/>
  <c r="AE200" i="3"/>
  <c r="AE27" i="3"/>
  <c r="AE47" i="3"/>
  <c r="AE435" i="3"/>
  <c r="AE426" i="3"/>
  <c r="AE228" i="3"/>
  <c r="AE463" i="3"/>
  <c r="AE510" i="3"/>
  <c r="K516" i="9" s="1"/>
  <c r="AD516" i="9" s="1"/>
  <c r="AE430" i="3"/>
  <c r="AE256" i="3"/>
  <c r="AE432" i="3"/>
  <c r="AE364" i="3"/>
  <c r="AE39" i="3"/>
  <c r="AE498" i="3"/>
  <c r="K502" i="9" s="1"/>
  <c r="AD502" i="9" s="1"/>
  <c r="AE346" i="3"/>
  <c r="AE262" i="3"/>
  <c r="AE238" i="3"/>
  <c r="AE436" i="3"/>
  <c r="AE205" i="3"/>
  <c r="AE368" i="3"/>
  <c r="AE344" i="3"/>
  <c r="AE16" i="3"/>
  <c r="AE536" i="3"/>
  <c r="K542" i="9" s="1"/>
  <c r="AD542" i="9" s="1"/>
  <c r="AE270" i="3"/>
  <c r="AE445" i="3"/>
  <c r="AE513" i="3"/>
  <c r="K519" i="9" s="1"/>
  <c r="AD519" i="9" s="1"/>
  <c r="AE215" i="3"/>
  <c r="AE250" i="3"/>
  <c r="AE500" i="3"/>
  <c r="K506" i="9" s="1"/>
  <c r="AD506" i="9" s="1"/>
  <c r="AE162" i="3"/>
  <c r="AE122" i="3"/>
  <c r="AE348" i="3"/>
  <c r="AE506" i="3"/>
  <c r="AE37" i="3"/>
  <c r="AE152" i="3"/>
  <c r="AE422" i="3"/>
  <c r="AE266" i="3"/>
  <c r="AE62" i="3"/>
  <c r="AE120" i="3"/>
  <c r="AE478" i="3"/>
  <c r="K484" i="9" s="1"/>
  <c r="AD484" i="9" s="1"/>
  <c r="AE164" i="3"/>
  <c r="AE338" i="3"/>
  <c r="AE413" i="3"/>
  <c r="AE359" i="3"/>
  <c r="AE466" i="3"/>
  <c r="K470" i="9" s="1"/>
  <c r="AD470" i="9" s="1"/>
  <c r="AE94" i="3"/>
  <c r="AE484" i="3"/>
  <c r="K490" i="9" s="1"/>
  <c r="AD490" i="9" s="1"/>
  <c r="AE460" i="3"/>
  <c r="K464" i="9" s="1"/>
  <c r="AD464" i="9" s="1"/>
  <c r="AE503" i="3"/>
  <c r="K509" i="9" s="1"/>
  <c r="AD509" i="9" s="1"/>
  <c r="AE477" i="3"/>
  <c r="AE212" i="3"/>
  <c r="AE55" i="3"/>
  <c r="AE482" i="3"/>
  <c r="K488" i="9" s="1"/>
  <c r="AD488" i="9" s="1"/>
  <c r="AE534" i="3"/>
  <c r="X509" i="3"/>
  <c r="C515" i="9"/>
  <c r="X475" i="3"/>
  <c r="C481" i="9"/>
  <c r="AE79" i="3"/>
  <c r="AE451" i="3"/>
  <c r="AE276" i="3"/>
  <c r="AE399" i="3"/>
  <c r="AE403" i="3"/>
  <c r="AE183" i="3"/>
  <c r="AE96" i="3"/>
  <c r="AE229" i="3"/>
  <c r="AE59" i="3"/>
  <c r="AE479" i="3"/>
  <c r="K485" i="9" s="1"/>
  <c r="AD485" i="9" s="1"/>
  <c r="AE68" i="3"/>
  <c r="AE391" i="3"/>
  <c r="AE390" i="3"/>
  <c r="AE530" i="3"/>
  <c r="K536" i="9" s="1"/>
  <c r="AD536" i="9" s="1"/>
  <c r="AE235" i="3"/>
  <c r="AE143" i="3"/>
  <c r="AE362" i="3"/>
  <c r="AE63" i="3"/>
  <c r="AE182" i="3"/>
  <c r="AE227" i="3"/>
  <c r="AE351" i="3"/>
  <c r="K357" i="9" s="1"/>
  <c r="AD357" i="9" s="1"/>
  <c r="AE132" i="3"/>
  <c r="AE208" i="3"/>
  <c r="AE147" i="3"/>
  <c r="AE178" i="3"/>
  <c r="AE389" i="3"/>
  <c r="AE156" i="3"/>
  <c r="AE153" i="3"/>
  <c r="AE496" i="3"/>
  <c r="K500" i="9" s="1"/>
  <c r="AD500" i="9" s="1"/>
  <c r="AE139" i="3"/>
  <c r="AE24" i="3"/>
  <c r="AE56" i="3"/>
  <c r="AE136" i="3"/>
  <c r="AE17" i="3"/>
  <c r="AE384" i="3"/>
  <c r="AE469" i="3"/>
  <c r="K475" i="9" s="1"/>
  <c r="AD475" i="9" s="1"/>
  <c r="AE393" i="3"/>
  <c r="AE19" i="3"/>
  <c r="AE472" i="3"/>
  <c r="K478" i="9" s="1"/>
  <c r="AD478" i="9" s="1"/>
  <c r="AE493" i="3"/>
  <c r="K499" i="9" s="1"/>
  <c r="AD499" i="9" s="1"/>
  <c r="AE204" i="3"/>
  <c r="AE485" i="3"/>
  <c r="K491" i="9" s="1"/>
  <c r="AD491" i="9" s="1"/>
  <c r="AE221" i="3"/>
  <c r="AE69" i="3"/>
  <c r="AE431" i="3"/>
  <c r="AE22" i="3"/>
  <c r="AE87" i="3"/>
  <c r="AE21" i="3"/>
  <c r="AE434" i="3"/>
  <c r="AE454" i="3"/>
  <c r="AE144" i="3"/>
  <c r="AE222" i="3"/>
  <c r="AE522" i="3"/>
  <c r="K528" i="9" s="1"/>
  <c r="AD528" i="9" s="1"/>
  <c r="AE61" i="3"/>
  <c r="AE537" i="3"/>
  <c r="K543" i="9" s="1"/>
  <c r="X514" i="3" l="1"/>
  <c r="C528" i="9"/>
  <c r="X522" i="3"/>
  <c r="X494" i="3"/>
  <c r="C500" i="9"/>
  <c r="C357" i="9"/>
  <c r="X351" i="3"/>
  <c r="C490" i="9"/>
  <c r="X484" i="3"/>
  <c r="X536" i="3"/>
  <c r="C542" i="9"/>
  <c r="C497" i="9"/>
  <c r="X491" i="3"/>
  <c r="X489" i="3"/>
  <c r="C495" i="9"/>
  <c r="C526" i="9"/>
  <c r="X520" i="3"/>
  <c r="X504" i="3"/>
  <c r="C510" i="9"/>
  <c r="X352" i="3"/>
  <c r="C358" i="9"/>
  <c r="X486" i="3"/>
  <c r="C492" i="9"/>
  <c r="C475" i="9"/>
  <c r="X469" i="3"/>
  <c r="X496" i="3"/>
  <c r="C502" i="9"/>
  <c r="X350" i="3"/>
  <c r="C356" i="9"/>
  <c r="C527" i="9"/>
  <c r="X521" i="3"/>
  <c r="X194" i="3"/>
  <c r="C200" i="9"/>
  <c r="X515" i="3"/>
  <c r="C521" i="9"/>
  <c r="X481" i="3"/>
  <c r="C487" i="9"/>
  <c r="C488" i="9"/>
  <c r="X482" i="3"/>
  <c r="C470" i="9"/>
  <c r="X464" i="3"/>
  <c r="C506" i="9"/>
  <c r="X500" i="3"/>
  <c r="X473" i="3"/>
  <c r="C479" i="9"/>
  <c r="C522" i="9"/>
  <c r="X516" i="3"/>
  <c r="X456" i="3"/>
  <c r="C462" i="9"/>
  <c r="C511" i="9"/>
  <c r="X505" i="3"/>
  <c r="X512" i="3"/>
  <c r="C518" i="9"/>
  <c r="C363" i="9"/>
  <c r="X357" i="3"/>
  <c r="X358" i="3"/>
  <c r="C364" i="9"/>
  <c r="C476" i="9"/>
  <c r="X470" i="3"/>
  <c r="C491" i="9"/>
  <c r="X485" i="3"/>
  <c r="C485" i="9"/>
  <c r="X479" i="3"/>
  <c r="C501" i="9"/>
  <c r="X495" i="3"/>
  <c r="X490" i="3"/>
  <c r="C496" i="9"/>
  <c r="X353" i="3"/>
  <c r="C359" i="9"/>
  <c r="X511" i="3"/>
  <c r="C517" i="9"/>
  <c r="C463" i="9"/>
  <c r="X457" i="3"/>
  <c r="C507" i="9"/>
  <c r="X501" i="3"/>
  <c r="C530" i="9"/>
  <c r="X524" i="3"/>
  <c r="X523" i="3"/>
  <c r="C529" i="9"/>
  <c r="X527" i="3"/>
  <c r="C533" i="9"/>
  <c r="C539" i="9"/>
  <c r="X533" i="3"/>
  <c r="X474" i="3"/>
  <c r="C480" i="9"/>
  <c r="X493" i="3"/>
  <c r="C499" i="9"/>
  <c r="C519" i="9"/>
  <c r="X513" i="3"/>
  <c r="C474" i="9"/>
  <c r="X468" i="3"/>
  <c r="X525" i="3"/>
  <c r="C531" i="9"/>
  <c r="X354" i="3"/>
  <c r="C360" i="9"/>
  <c r="X532" i="3"/>
  <c r="C538" i="9"/>
  <c r="X528" i="3"/>
  <c r="C534" i="9"/>
  <c r="X472" i="3"/>
  <c r="C478" i="9"/>
  <c r="C509" i="9"/>
  <c r="X503" i="3"/>
  <c r="X519" i="3"/>
  <c r="C525" i="9"/>
  <c r="X531" i="3"/>
  <c r="C537" i="9"/>
  <c r="X492" i="3"/>
  <c r="C498" i="9"/>
  <c r="C536" i="9"/>
  <c r="X530" i="3"/>
  <c r="C464" i="9"/>
  <c r="X458" i="3"/>
  <c r="X478" i="3"/>
  <c r="C484" i="9"/>
  <c r="C516" i="9"/>
  <c r="X510" i="3"/>
  <c r="X483" i="3"/>
  <c r="C489" i="9"/>
  <c r="X355" i="3"/>
  <c r="C361" i="9"/>
  <c r="X529" i="3"/>
  <c r="C535" i="9"/>
  <c r="X526" i="3"/>
  <c r="C532" i="9"/>
  <c r="C486" i="9"/>
  <c r="X480" i="3"/>
  <c r="X543" i="9" l="1"/>
  <c r="AD543" i="9" s="1"/>
  <c r="C543" i="9" l="1"/>
  <c r="X537" i="3"/>
  <c r="J5" i="1" s="1"/>
  <c r="L5" i="1" l="1"/>
  <c r="M5" i="1" s="1"/>
  <c r="J22" i="1"/>
  <c r="L22" i="1" l="1"/>
  <c r="M22" i="1" s="1"/>
  <c r="J23" i="1"/>
  <c r="L23" i="1" l="1"/>
  <c r="M23" i="1" s="1"/>
  <c r="J28" i="1"/>
  <c r="J25" i="1"/>
  <c r="L25" i="1" s="1"/>
  <c r="M25" i="1" s="1"/>
  <c r="J30" i="1" l="1"/>
  <c r="L30" i="1" s="1"/>
  <c r="M30" i="1" s="1"/>
  <c r="L28" i="1"/>
  <c r="M2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tc={6D27C3B1-77D1-430A-AEA6-70FF67B567F7}</author>
    <author>tc={81AEBBAC-5022-41C3-992D-AA4CE0A4BA95}</author>
    <author>tc={A860CAEE-3388-4BB3-9106-4CA3BE26D7CE}</author>
    <author>tc={57BD87A1-1109-49D5-A495-A25D5180E336}</author>
    <author>tc={44A77567-1BF4-48C1-9466-F86872C6A8AD}</author>
    <author>tc={7C68EF80-1C02-4B49-AE27-A7258C24C217}</author>
    <author>tc={63E5224E-7241-48EB-BE5C-DADF31400A47}</author>
    <author>tc={3C28294F-7513-4EDC-A6CD-72C9A452F4FD}</author>
    <author>tc={ED227ABE-1CCE-4D86-ADD7-298BB1E40B48}</author>
  </authors>
  <commentList>
    <comment ref="D13" authorId="0" shapeId="0" xr:uid="{6D27C3B1-77D1-430A-AEA6-70FF67B567F7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BTG.</t>
      </text>
    </comment>
    <comment ref="E13" authorId="1" shapeId="0" xr:uid="{81AEBBAC-5022-41C3-992D-AA4CE0A4BA95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BTG.</t>
      </text>
    </comment>
    <comment ref="H13" authorId="2" shapeId="0" xr:uid="{A860CAEE-3388-4BB3-9106-4CA3BE26D7CE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 Master.</t>
      </text>
    </comment>
    <comment ref="K13" authorId="3" shapeId="0" xr:uid="{57BD87A1-1109-49D5-A495-A25D5180E336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 Master.</t>
      </text>
    </comment>
    <comment ref="N13" authorId="4" shapeId="0" xr:uid="{44A77567-1BF4-48C1-9466-F86872C6A8AD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 Master.</t>
      </text>
    </comment>
    <comment ref="Q13" authorId="5" shapeId="0" xr:uid="{7C68EF80-1C02-4B49-AE27-A7258C24C217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 Master.</t>
      </text>
    </comment>
    <comment ref="U13" authorId="6" shapeId="0" xr:uid="{63E5224E-7241-48EB-BE5C-DADF31400A47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 Master.</t>
      </text>
    </comment>
    <comment ref="X13" authorId="7" shapeId="0" xr:uid="{3C28294F-7513-4EDC-A6CD-72C9A452F4FD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do Caixa.</t>
      </text>
    </comment>
    <comment ref="AB13" authorId="8" shapeId="0" xr:uid="{ED227ABE-1CCE-4D86-ADD7-298BB1E40B48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tc={E240433C-52DA-4BF0-98E1-06590A37DFED}</author>
    <author>tc={A385502A-E716-4A62-B55F-E1FE622E4C41}</author>
    <author>tc={67F25694-4219-417B-B85C-8A1A5E51226C}</author>
    <author>tc={026C7766-199D-497E-BA45-BE09E4268C6E}</author>
    <author>tc={2F91674E-D6E2-44DA-B9E3-BE88B6329AFF}</author>
    <author>tc={2928D4DA-E00F-450A-8830-98868A16EED4}</author>
    <author>tc={28818B55-8261-40B9-BF02-01BCA8067F26}</author>
    <author>tc={C4E1AA6B-24A4-4653-B35D-D57DBC18E0D4}</author>
    <author>tc={B43E0C14-646F-498D-835B-1FDD7219B220}</author>
    <author>tc={257E085D-047E-40A4-A40A-60C1FB2BF6EF}</author>
    <author>tc={3073A94E-6CF8-4495-8C98-999193BC1A97}</author>
    <author>tc={6C1E1D59-FCE4-4038-A696-C43F8BFAEB7A}</author>
    <author>tc={03B92D04-7987-4B2F-A61D-9873085269B5}</author>
    <author>tc={3EC9E004-15E8-4903-B6E8-9498855F2B7A}</author>
    <author>tc={3398732F-F453-460E-8739-2F7793EA3BA3}</author>
    <author>tc={101A51F6-6577-447C-BF07-94E3FF5DD572}</author>
    <author>tc={798A0B55-000B-4372-ACC6-DD198598906B}</author>
    <author>tc={8BAF321E-D261-4AFD-8307-CA36697365B7}</author>
    <author>tc={E8315EC4-FE39-429D-A1E5-AC31F93E412E}</author>
    <author>tc={676EE512-F9DA-4FFD-81DF-EB80E02F1DE5}</author>
    <author>tc={668C4080-0154-4C96-BE77-07AADC6AD025}</author>
    <author>tc={CF6EE089-C9A6-498B-BFB0-1A26566FE7BD}</author>
    <author>tc={D91162FA-C89D-4A6F-8546-B1E1E30367AB}</author>
    <author>tc={DF906492-5FF7-4655-ADFA-309E4A4CB641}</author>
    <author>tc={EC11F87A-0631-4008-B7C3-374B62B77256}</author>
    <author>tc={DACA11E0-0592-48B0-9913-EFD120E03905}</author>
    <author>tc={A39B90B8-AFD3-4591-A07B-6E209B5EB54A}</author>
    <author>tc={3A4D6093-B428-4ABB-BD31-CAE87BBFEFEF}</author>
    <author>tc={FAB9EB70-A69F-4960-827B-19FAE79E71B5}</author>
    <author>tc={5FF346AB-E41B-4EB3-A33A-18A167B46B2A}</author>
    <author>tc={C7549ED5-F885-431F-9A97-7EF854AC92B9}</author>
    <author>tc={42D4191A-37D7-4E74-9BDC-646B1FBBDD26}</author>
    <author>tc={53226D00-16C2-4795-9756-BA3360CC783C}</author>
    <author>tc={F0B956B4-AE61-46BD-8228-E803CE2F181C}</author>
    <author>tc={1BE5C34E-1F14-4A56-BC53-846ACB26FCFE}</author>
    <author>tc={F0DAB6DC-5277-4C6E-92FC-BC67DE5585C1}</author>
    <author>tc={8D9B541A-CA33-42E5-983A-BB0087614337}</author>
    <author>tc={8305B02C-7F20-422B-AB77-D513ED7FEDAE}</author>
    <author>tc={F77ED34A-6D2D-47FB-A1CE-847099A2D3F5}</author>
    <author>tc={E1232477-78B3-444C-838E-051DDD2BE35B}</author>
    <author>tc={7ACEAF85-5124-44E6-B0FA-007A68760350}</author>
    <author>tc={4BD05A64-1AF5-4067-8AE3-84E401A2BC38}</author>
    <author>tc={F5B58C03-9D8F-4CFF-A364-BE13A0ED96E5}</author>
    <author>tc={590205C2-E780-4976-A8F1-74B1662893E6}</author>
    <author>tc={E7B91FF8-4C84-4B2C-95F1-63D754391D41}</author>
    <author>tc={2F600F99-B256-4F92-B4D9-F9E6F27048BB}</author>
  </authors>
  <commentList>
    <comment ref="D13" authorId="0" shapeId="0" xr:uid="{E240433C-52DA-4BF0-98E1-06590A37DFED}">
      <text>
        <t>[Threaded comment]
Your version of Excel allows you to read this threaded comment; however, any edits to it will get removed if the file is opened in a newer version of Excel. Learn more: https://go.microsoft.com/fwlink/?linkid=870924
Comment:
    No 5o dia útil, lembrar que cai o pagamento de taxa de administração.</t>
      </text>
    </comment>
    <comment ref="U13" authorId="1" shapeId="0" xr:uid="{A385502A-E716-4A62-B55F-E1FE622E4C4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Conferir no Caixa do Fundo no Portal do BTG o valor que foi aplicado no dia.</t>
      </text>
    </comment>
    <comment ref="W13" authorId="2" shapeId="0" xr:uid="{67F25694-4219-417B-B85C-8A1A5E51226C}">
      <text>
        <t>[Threaded comment]
Your version of Excel allows you to read this threaded comment; however, any edits to it will get removed if the file is opened in a newer version of Excel. Learn more: https://go.microsoft.com/fwlink/?linkid=870924
Comment:
    Conferir no Caixa do Fundo no Portal do BTG o valor que foi aplicado no dia.</t>
      </text>
    </comment>
    <comment ref="Y13" authorId="3" shapeId="0" xr:uid="{026C7766-199D-497E-BA45-BE09E4268C6E}">
      <text>
        <t>[Threaded comment]
Your version of Excel allows you to read this threaded comment; however, any edits to it will get removed if the file is opened in a newer version of Excel. Learn more: https://go.microsoft.com/fwlink/?linkid=870924
Comment:
    Conferir no Caixa do Fundo no Portal do BTG o valor que foi aplicado no dia.</t>
      </text>
    </comment>
    <comment ref="AA13" authorId="4" shapeId="0" xr:uid="{2F91674E-D6E2-44DA-B9E3-BE88B6329AFF}">
      <text>
        <t>[Threaded comment]
Your version of Excel allows you to read this threaded comment; however, any edits to it will get removed if the file is opened in a newer version of Excel. Learn more: https://go.microsoft.com/fwlink/?linkid=870924
Comment:
    Conferir no Caixa do Fundo no Portal do BTG o valor que foi resgatado no dia.</t>
      </text>
    </comment>
    <comment ref="AE13" authorId="5" shapeId="0" xr:uid="{2928D4DA-E00F-450A-8830-98868A16EED4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BTG.</t>
      </text>
    </comment>
    <comment ref="P208" authorId="6" shapeId="0" xr:uid="{28818B55-8261-40B9-BF02-01BCA8067F26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09" authorId="7" shapeId="0" xr:uid="{C4E1AA6B-24A4-4653-B35D-D57DBC18E0D4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10" authorId="8" shapeId="0" xr:uid="{B43E0C14-646F-498D-835B-1FDD7219B220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11" authorId="9" shapeId="0" xr:uid="{257E085D-047E-40A4-A40A-60C1FB2BF6EF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12" authorId="10" shapeId="0" xr:uid="{3073A94E-6CF8-4495-8C98-999193BC1A97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13" authorId="11" shapeId="0" xr:uid="{6C1E1D59-FCE4-4038-A696-C43F8BFAEB7A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14" authorId="12" shapeId="0" xr:uid="{03B92D04-7987-4B2F-A61D-9873085269B5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15" authorId="13" shapeId="0" xr:uid="{3EC9E004-15E8-4903-B6E8-9498855F2B7A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16" authorId="14" shapeId="0" xr:uid="{3398732F-F453-460E-8739-2F7793EA3BA3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17" authorId="15" shapeId="0" xr:uid="{101A51F6-6577-447C-BF07-94E3FF5DD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18" authorId="16" shapeId="0" xr:uid="{798A0B55-000B-4372-ACC6-DD198598906B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19" authorId="17" shapeId="0" xr:uid="{8BAF321E-D261-4AFD-8307-CA36697365B7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20" authorId="18" shapeId="0" xr:uid="{E8315EC4-FE39-429D-A1E5-AC31F93E412E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21" authorId="19" shapeId="0" xr:uid="{676EE512-F9DA-4FFD-81DF-EB80E02F1DE5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22" authorId="20" shapeId="0" xr:uid="{668C4080-0154-4C96-BE77-07AADC6AD0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23" authorId="21" shapeId="0" xr:uid="{CF6EE089-C9A6-498B-BFB0-1A26566FE7BD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24" authorId="22" shapeId="0" xr:uid="{D91162FA-C89D-4A6F-8546-B1E1E30367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25" authorId="23" shapeId="0" xr:uid="{DF906492-5FF7-4655-ADFA-309E4A4CB641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26" authorId="24" shapeId="0" xr:uid="{EC11F87A-0631-4008-B7C3-374B62B77256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27" authorId="25" shapeId="0" xr:uid="{DACA11E0-0592-48B0-9913-EFD120E03905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28" authorId="26" shapeId="0" xr:uid="{A39B90B8-AFD3-4591-A07B-6E209B5EB54A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29" authorId="27" shapeId="0" xr:uid="{3A4D6093-B428-4ABB-BD31-CAE87BBFEFEF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30" authorId="28" shapeId="0" xr:uid="{FAB9EB70-A69F-4960-827B-19FAE79E71B5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31" authorId="29" shapeId="0" xr:uid="{5FF346AB-E41B-4EB3-A33A-18A167B46B2A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32" authorId="30" shapeId="0" xr:uid="{C7549ED5-F885-431F-9A97-7EF854AC92B9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33" authorId="31" shapeId="0" xr:uid="{42D4191A-37D7-4E74-9BDC-646B1FBBDD26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34" authorId="32" shapeId="0" xr:uid="{53226D00-16C2-4795-9756-BA3360CC783C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35" authorId="33" shapeId="0" xr:uid="{F0B956B4-AE61-46BD-8228-E803CE2F181C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36" authorId="34" shapeId="0" xr:uid="{1BE5C34E-1F14-4A56-BC53-846ACB26FCFE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37" authorId="35" shapeId="0" xr:uid="{F0DAB6DC-5277-4C6E-92FC-BC67DE5585C1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38" authorId="36" shapeId="0" xr:uid="{8D9B541A-CA33-42E5-983A-BB0087614337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39" authorId="37" shapeId="0" xr:uid="{8305B02C-7F20-422B-AB77-D513ED7FEDAE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40" authorId="38" shapeId="0" xr:uid="{F77ED34A-6D2D-47FB-A1CE-847099A2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41" authorId="39" shapeId="0" xr:uid="{E1232477-78B3-444C-838E-051DDD2BE35B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42" authorId="40" shapeId="0" xr:uid="{7ACEAF85-5124-44E6-B0FA-007A68760350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43" authorId="41" shapeId="0" xr:uid="{4BD05A64-1AF5-4067-8AE3-84E401A2BC38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44" authorId="42" shapeId="0" xr:uid="{F5B58C03-9D8F-4CFF-A364-BE13A0ED96E5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45" authorId="43" shapeId="0" xr:uid="{590205C2-E780-4976-A8F1-74B1662893E6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246" authorId="44" shapeId="0" xr:uid="{E7B91FF8-4C84-4B2C-95F1-63D754391D41}">
      <text>
        <t>[Threaded comment]
Your version of Excel allows you to read this threaded comment; however, any edits to it will get removed if the file is opened in a newer version of Excel. Learn more: https://go.microsoft.com/fwlink/?linkid=870924
Comment:
    Taxa ANBIMA</t>
      </text>
    </comment>
    <comment ref="P343" authorId="45" shapeId="0" xr:uid="{2F600F99-B256-4F92-B4D9-F9E6F27048BB}">
      <text>
        <t>[Threaded comment]
Your version of Excel allows you to read this threaded comment; however, any edits to it will get removed if the file is opened in a newer version of Excel. Learn more: https://go.microsoft.com/fwlink/?linkid=870924
Comment:
    Auditoria_EY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tc={AA451C90-ABBB-41C1-B1DC-2F70EBA4B452}</author>
    <author>tc={E67FDC17-9B1E-47E5-B5EC-A5A25E5D6600}</author>
    <author>tc={49D71B50-4C37-4DFC-90BD-CB1371ECEE8B}</author>
    <author>tc={B28540B4-44D7-4405-A87D-8F8510C65AAF}</author>
  </authors>
  <commentList>
    <comment ref="D13" authorId="0" shapeId="0" xr:uid="{AA451C90-ABBB-41C1-B1DC-2F70EBA4B4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5o dia útil, lembrar que cai o pagamento de taxa de administração.</t>
      </text>
    </comment>
    <comment ref="Q13" authorId="1" shapeId="0" xr:uid="{E67FDC17-9B1E-47E5-B5EC-A5A25E5D6600}">
      <text>
        <t>[Threaded comment]
Your version of Excel allows you to read this threaded comment; however, any edits to it will get removed if the file is opened in a newer version of Excel. Learn more: https://go.microsoft.com/fwlink/?linkid=870924
Comment:
    Conferir no Caixa do Fundo no Portal do BTG o valor que foi aplicado no dia.</t>
      </text>
    </comment>
    <comment ref="R13" authorId="2" shapeId="0" xr:uid="{49D71B50-4C37-4DFC-90BD-CB1371ECEE8B}">
      <text>
        <t>[Threaded comment]
Your version of Excel allows you to read this threaded comment; however, any edits to it will get removed if the file is opened in a newer version of Excel. Learn more: https://go.microsoft.com/fwlink/?linkid=870924
Comment:
    Conferir no Caixa do Fundo no Portal do BTG o valor que foi resgatado no dia.</t>
      </text>
    </comment>
    <comment ref="U13" authorId="3" shapeId="0" xr:uid="{B28540B4-44D7-4405-A87D-8F8510C65AAF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<sst xmlns="http://schemas.openxmlformats.org/spreadsheetml/2006/main" count="396" uniqueCount="229">
  <si>
    <t>Data Carteira:</t>
  </si>
  <si>
    <t>Nome BTG?</t>
  </si>
  <si>
    <t>Nome BTG</t>
  </si>
  <si>
    <t>Resumo Carteira</t>
  </si>
  <si>
    <t>HSF FIA IE</t>
  </si>
  <si>
    <t>Sheets</t>
  </si>
  <si>
    <t>House</t>
  </si>
  <si>
    <t>BTG</t>
  </si>
  <si>
    <t>Diferença</t>
  </si>
  <si>
    <t>Posição</t>
  </si>
  <si>
    <t>Portfolio Investido</t>
  </si>
  <si>
    <t>Trades</t>
  </si>
  <si>
    <t>olhar para ativos novos na boletagem</t>
  </si>
  <si>
    <t>C/C SALDO FUNDO</t>
  </si>
  <si>
    <t>Caixa BRL</t>
  </si>
  <si>
    <t>Prices</t>
  </si>
  <si>
    <t>linkar melhor com BBG</t>
  </si>
  <si>
    <t>Despesa</t>
  </si>
  <si>
    <t>Despesas</t>
  </si>
  <si>
    <t>Caixa</t>
  </si>
  <si>
    <t>TAXA ADMINISTRACAO</t>
  </si>
  <si>
    <t>Taxa de Administração</t>
  </si>
  <si>
    <t>Contas a Pagar/Receber</t>
  </si>
  <si>
    <t>A PAGAR TX.ADM.</t>
  </si>
  <si>
    <t>Tx de Adm a Pagar</t>
  </si>
  <si>
    <t>Taxas</t>
  </si>
  <si>
    <t>TAXA CUSTODIA</t>
  </si>
  <si>
    <t>Taxa de Custódia</t>
  </si>
  <si>
    <t>Dividendos</t>
  </si>
  <si>
    <t>PRÊMIO DE PERFORMANCE</t>
  </si>
  <si>
    <t>Controle de Trades</t>
  </si>
  <si>
    <t>A RECEBER AQUISIçãO</t>
  </si>
  <si>
    <t>Controle de Passivo</t>
  </si>
  <si>
    <t>A RECEBER FINANCEIRO PI</t>
  </si>
  <si>
    <t>A Receber Resgate Master</t>
  </si>
  <si>
    <t>A REC. AQUISIÇÃO PI</t>
  </si>
  <si>
    <t>Cotas a Emitir Master</t>
  </si>
  <si>
    <t>LFT</t>
  </si>
  <si>
    <t>PROV. JUROS CAPITAL PROPRIO</t>
  </si>
  <si>
    <t>A REC. DIVIDENDOS</t>
  </si>
  <si>
    <t>A Pagar IR Cotista</t>
  </si>
  <si>
    <t>IR COTISTA</t>
  </si>
  <si>
    <t>Total PL</t>
  </si>
  <si>
    <t>Patrimonio</t>
  </si>
  <si>
    <t>Patrimônio Líquido</t>
  </si>
  <si>
    <t>Check</t>
  </si>
  <si>
    <t>Cota D-1</t>
  </si>
  <si>
    <t>Saldo Cotas</t>
  </si>
  <si>
    <t>Quantidade de Cotas:</t>
  </si>
  <si>
    <t>Número de Cotas HSF</t>
  </si>
  <si>
    <t>Cota Líquida</t>
  </si>
  <si>
    <t>Valor da Cota:</t>
  </si>
  <si>
    <t>Variação Carteira:</t>
  </si>
  <si>
    <t>Cota</t>
  </si>
  <si>
    <t>Port. Investido Master</t>
  </si>
  <si>
    <t>Cota Master</t>
  </si>
  <si>
    <t>Número de Cotas Master</t>
  </si>
  <si>
    <t>Port. Investido 3G rider</t>
  </si>
  <si>
    <t>Cota 3g rider</t>
  </si>
  <si>
    <t>Número de Cotas 3g rider</t>
  </si>
  <si>
    <t>Port. Investido 3G radar 360</t>
  </si>
  <si>
    <t>Cota 3g radar</t>
  </si>
  <si>
    <t>Número de Cotas 3g radar</t>
  </si>
  <si>
    <t>Port. Investido Tesouro Selic</t>
  </si>
  <si>
    <t>Cota Tesouro Selic</t>
  </si>
  <si>
    <t>Número de Cotas Tesouro Selic</t>
  </si>
  <si>
    <t>Tx de Adm</t>
  </si>
  <si>
    <t>tx de Custódia a pagar</t>
  </si>
  <si>
    <t>Portfólio Total Investido</t>
  </si>
  <si>
    <t>Saldo C/C R$</t>
  </si>
  <si>
    <t>Cotas a Emitir FIC</t>
  </si>
  <si>
    <t>Outras Despesas/Receitas</t>
  </si>
  <si>
    <t>Cotas a Emitir HSF</t>
  </si>
  <si>
    <t>*</t>
  </si>
  <si>
    <t/>
  </si>
  <si>
    <t>BR0DKVCTF004</t>
  </si>
  <si>
    <t>BRCSH4CTF005</t>
  </si>
  <si>
    <t>Cotas a Emitir</t>
  </si>
  <si>
    <t>Saldo Inicial</t>
  </si>
  <si>
    <t>Pendências Bolsa</t>
  </si>
  <si>
    <t>Liquidações de Bolsa</t>
  </si>
  <si>
    <t>Liquidações SELIC</t>
  </si>
  <si>
    <t>Ajuste de BM&amp;F</t>
  </si>
  <si>
    <t>Dividendos a Receber</t>
  </si>
  <si>
    <t>Dividendos a Pagar</t>
  </si>
  <si>
    <t>Aquisição de Cotas Neuler Master</t>
  </si>
  <si>
    <t>Despesas Aluguel</t>
  </si>
  <si>
    <t>Despesas Provisionadas</t>
  </si>
  <si>
    <t>Taxa CVM</t>
  </si>
  <si>
    <t>Câmbio</t>
  </si>
  <si>
    <t>Venda LFT</t>
  </si>
  <si>
    <t>Resgate de Cotas do Fundo</t>
  </si>
  <si>
    <t>IR - Resgate</t>
  </si>
  <si>
    <t>Resgate Cotas Neuler Master</t>
  </si>
  <si>
    <t>Aquisição de Cotas 3g rider</t>
  </si>
  <si>
    <t>Resgate Cotas 3g rider</t>
  </si>
  <si>
    <t>Aquisição de Cotas Tesouro Selic</t>
  </si>
  <si>
    <t>Resgate Cotas Tesouro Selic</t>
  </si>
  <si>
    <t>Aquisição de Cotas 3g radar</t>
  </si>
  <si>
    <t>Resgate Cotas 3g radar</t>
  </si>
  <si>
    <t>Saldo Final</t>
  </si>
  <si>
    <t>Aplicação Compromissada</t>
  </si>
  <si>
    <t>Resgate Compromissada</t>
  </si>
  <si>
    <t>FERIADOS</t>
  </si>
  <si>
    <t>Data</t>
  </si>
  <si>
    <t>Descricao</t>
  </si>
  <si>
    <t>Financeiro</t>
  </si>
  <si>
    <t>Ganho Diario</t>
  </si>
  <si>
    <t>% PL</t>
  </si>
  <si>
    <t>PORTFOLIO INVESTIDO</t>
  </si>
  <si>
    <t>DESPESA</t>
  </si>
  <si>
    <t>Rentabilidade</t>
  </si>
  <si>
    <t>Rentabilidade_Dia</t>
  </si>
  <si>
    <t>Rentabilidade_Mes</t>
  </si>
  <si>
    <t>Rentabilidade_Semestre</t>
  </si>
  <si>
    <t>Rentabilidade_Ano</t>
  </si>
  <si>
    <t>Perc_CDI_Dia</t>
  </si>
  <si>
    <t>Perc_CDI_Mes</t>
  </si>
  <si>
    <t>Perc_CDI_Semestre</t>
  </si>
  <si>
    <t>Perc_CDI_Ano</t>
  </si>
  <si>
    <t>Aquisicao</t>
  </si>
  <si>
    <t>Resgate</t>
  </si>
  <si>
    <t>Cota Bruta</t>
  </si>
  <si>
    <t>Quantidade</t>
  </si>
  <si>
    <t>ISIN</t>
  </si>
  <si>
    <t>PU</t>
  </si>
  <si>
    <t>Portfolio_Investido</t>
  </si>
  <si>
    <t>CNPJ</t>
  </si>
  <si>
    <t>Portfólio Inv.</t>
  </si>
  <si>
    <t>Quota</t>
  </si>
  <si>
    <t>% P.L.</t>
  </si>
  <si>
    <t>Var.Diária</t>
  </si>
  <si>
    <t xml:space="preserve">47610569000132      </t>
  </si>
  <si>
    <t>NEULER MASTER FIA</t>
  </si>
  <si>
    <t xml:space="preserve">09215250000113      </t>
  </si>
  <si>
    <t>TESOURO SELIC FI RF</t>
  </si>
  <si>
    <t>DESPESAS</t>
  </si>
  <si>
    <t>Nome</t>
  </si>
  <si>
    <t>Data Início Vigência</t>
  </si>
  <si>
    <t>Data Fim Vigência</t>
  </si>
  <si>
    <t>Valor</t>
  </si>
  <si>
    <t>ANBIMA - Associação Brasileira das Entidades dos Mercados Financeiro e de Capitais</t>
  </si>
  <si>
    <t>Titulo</t>
  </si>
  <si>
    <t>Data Referencia</t>
  </si>
  <si>
    <t>Codigo SELIC</t>
  </si>
  <si>
    <t>Data Base/Emissao</t>
  </si>
  <si>
    <t>Data Vencimento</t>
  </si>
  <si>
    <t>Tx. Compra</t>
  </si>
  <si>
    <t>Tx. Venda</t>
  </si>
  <si>
    <t>Tx. Indicativas</t>
  </si>
  <si>
    <t>Desvio padrao</t>
  </si>
  <si>
    <t>Interv. Ind. Inf. (D0)</t>
  </si>
  <si>
    <t>Interv. Ind. Sup. (D0)</t>
  </si>
  <si>
    <t>Interv. Ind. Inf. (D+1)</t>
  </si>
  <si>
    <t>Interv. Ind. Sup. (D+1)</t>
  </si>
  <si>
    <t>Criterio</t>
  </si>
  <si>
    <t>LTN</t>
  </si>
  <si>
    <t>Calculado</t>
  </si>
  <si>
    <t>NTN-C</t>
  </si>
  <si>
    <t>NTN-B</t>
  </si>
  <si>
    <t>NTN-F</t>
  </si>
  <si>
    <t>HSF_FC_FIA</t>
  </si>
  <si>
    <t>Resumo</t>
  </si>
  <si>
    <t>Prêmio de Performance</t>
  </si>
  <si>
    <t>IMAB5+</t>
  </si>
  <si>
    <t>HSF FIA</t>
  </si>
  <si>
    <t>Data Hoje</t>
  </si>
  <si>
    <t>Data Base</t>
  </si>
  <si>
    <t>Variação</t>
  </si>
  <si>
    <t>Cota Hoje</t>
  </si>
  <si>
    <t>Cota Base</t>
  </si>
  <si>
    <t>Política</t>
  </si>
  <si>
    <t>Excesso</t>
  </si>
  <si>
    <t>Taxa perf.</t>
  </si>
  <si>
    <t>Patrimônio</t>
  </si>
  <si>
    <t>Prêmio Performance</t>
  </si>
  <si>
    <t>Hoje</t>
  </si>
  <si>
    <t>Base</t>
  </si>
  <si>
    <t>Total:</t>
  </si>
  <si>
    <t>Cliente</t>
  </si>
  <si>
    <t>Conta</t>
  </si>
  <si>
    <t>Data Solicitação</t>
  </si>
  <si>
    <t>Data Impacto</t>
  </si>
  <si>
    <t>Operação</t>
  </si>
  <si>
    <t>Tipo Movimento</t>
  </si>
  <si>
    <t>Fin. Previsto</t>
  </si>
  <si>
    <t>Qt Cotas</t>
  </si>
  <si>
    <t>Boleta Id</t>
  </si>
  <si>
    <t>Retorno Cotista Líquido</t>
  </si>
  <si>
    <t>Retorno Cotista Bruto</t>
  </si>
  <si>
    <t>Retorno Benchmark</t>
  </si>
  <si>
    <t>Índice Cotista Líquido</t>
  </si>
  <si>
    <t>Índice Cotista Bruto</t>
  </si>
  <si>
    <t>Índice Benchmark</t>
  </si>
  <si>
    <t>Diferencial Líquido</t>
  </si>
  <si>
    <t>Diferencial Bruto</t>
  </si>
  <si>
    <t>Performance R$ (12%)</t>
  </si>
  <si>
    <t>MARCELO BARROZO HENRIQUES</t>
  </si>
  <si>
    <t>APLICAÇÃO</t>
  </si>
  <si>
    <t>FINANCEIRO</t>
  </si>
  <si>
    <t>Aquisição de Cotas do Fundo</t>
  </si>
  <si>
    <t>GUSTAVO PINTO NOGUEIRA</t>
  </si>
  <si>
    <t>RESGATE</t>
  </si>
  <si>
    <t>Performance</t>
  </si>
  <si>
    <t>MASTER 25% A.A</t>
  </si>
  <si>
    <t>Fundo de Zeragem</t>
  </si>
  <si>
    <t>A PAGAR PREMIO</t>
  </si>
  <si>
    <t>A pagar Prêmio</t>
  </si>
  <si>
    <t>A PAGAR - PFEE.</t>
  </si>
  <si>
    <t xml:space="preserve"> </t>
  </si>
  <si>
    <t>Prêmio Perf</t>
  </si>
  <si>
    <t>23/01/2024</t>
  </si>
  <si>
    <t>Despesa de Auditoria - DIFERIMENTO  1/2024</t>
  </si>
  <si>
    <t>23/01/2025</t>
  </si>
  <si>
    <t>28/02/2024</t>
  </si>
  <si>
    <t>Despesa de Auditoria - DIFERIMENTO  2/2024</t>
  </si>
  <si>
    <t>28/02/2025</t>
  </si>
  <si>
    <t>Dia:</t>
  </si>
  <si>
    <t>22/04/2024</t>
  </si>
  <si>
    <t>Despesa de Auditoria - DIFERIMENTO  4/2024</t>
  </si>
  <si>
    <t>22/04/2025</t>
  </si>
  <si>
    <t>08/05/2024</t>
  </si>
  <si>
    <t>Despesa CVM - DIFERIMENTO  5/2024</t>
  </si>
  <si>
    <t>08/05/2025</t>
  </si>
  <si>
    <t>DANIEL HAUBEN</t>
  </si>
  <si>
    <t>17/10/2024</t>
  </si>
  <si>
    <t>Despesa Anbima - DIFERIMENTO  10/2024</t>
  </si>
  <si>
    <t>16/12/2024</t>
  </si>
  <si>
    <t>12/12/2024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</si>
</sst>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_(* #,##0.00_);_(* \(#,##0.00\);_(* &quot;-&quot;??_);_(@_)"/>
    <numFmt numFmtId="165" formatCode="_-&quot;£&quot;* #,##0.00_-;\-&quot;£&quot;* #,##0.00_-;_-&quot;£&quot;* &quot;-&quot;??_-;_-@_-"/>
    <numFmt numFmtId="166" formatCode="#,##0.0000%"/>
    <numFmt numFmtId="167" formatCode="#,##0.00000000"/>
    <numFmt numFmtId="168" formatCode="#,##0.0000"/>
    <numFmt numFmtId="169" formatCode="#,##0.00####"/>
    <numFmt numFmtId="170" formatCode="#,##0.00%"/>
    <numFmt numFmtId="171" formatCode="#,##0.00###%"/>
    <numFmt numFmtId="172" formatCode="_-* #,##0.000000_-;\-* #,##0.000000_-;_-* &quot;-&quot;??_-;_-@_-"/>
    <numFmt numFmtId="173" formatCode="0.0000000"/>
    <numFmt numFmtId="174" formatCode="#,##0.00000"/>
    <numFmt numFmtId="175" formatCode="[$-409]dd\-mmm\-yy;@"/>
    <numFmt numFmtId="176" formatCode="[$-409]d\-mmm\-yy;@"/>
    <numFmt numFmtId="177" formatCode="#,##0.0000000"/>
    <numFmt numFmtId="178" formatCode="#,##0.000"/>
    <numFmt numFmtId="179" formatCode="0.0"/>
    <numFmt numFmtId="180" formatCode="&quot;R$&quot;\ #,##0.00"/>
    <numFmt numFmtId="181" formatCode="0.000000%"/>
    <numFmt numFmtId="182" formatCode="_-[$R$-416]\ * #,##0.00_-;\-[$R$-416]\ * #,##0.00_-;_-[$R$-416]\ * &quot;-&quot;??_-;_-@_-"/>
    <numFmt numFmtId="183" formatCode="0.000%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indexed="60"/>
      <name val="Arial"/>
      <family val="2"/>
    </font>
    <font>
      <b/>
      <sz val="8"/>
      <color indexed="62"/>
      <name val="Arial"/>
      <family val="2"/>
    </font>
    <font>
      <sz val="8"/>
      <color indexed="62"/>
      <name val="Arial"/>
      <family val="2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1BF91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b/>
      <sz val="14"/>
      <color indexed="9"/>
      <name val="Wingdings"/>
      <charset val="2"/>
    </font>
    <font>
      <b/>
      <sz val="9"/>
      <color theme="1"/>
      <name val="Calibri"/>
      <family val="2"/>
      <scheme val="minor"/>
    </font>
    <font>
      <b/>
      <sz val="8"/>
      <color rgb="FF333399"/>
      <name val="Arial"/>
      <family val="2"/>
    </font>
    <font>
      <sz val="8"/>
      <color rgb="FF333399"/>
      <name val="Arial"/>
      <family val="2"/>
    </font>
    <font>
      <sz val="10"/>
      <color rgb="FF000000"/>
      <name val="Arial Unicode MS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5" tint="0.59999389629810485"/>
      <name val="Calibri"/>
      <family val="2"/>
      <scheme val="minor"/>
    </font>
    <font>
      <sz val="10"/>
      <name val="Arial"/>
      <family val="2"/>
    </font>
    <font>
      <b/>
      <sz val="11"/>
      <color theme="5" tint="0.59999389629810485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00232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8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6" fillId="0" borderId="0"/>
    <xf numFmtId="0" fontId="17" fillId="0" borderId="0"/>
    <xf numFmtId="0" fontId="18" fillId="0" borderId="0"/>
    <xf numFmtId="0" fontId="19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24" fillId="0" borderId="0"/>
    <xf numFmtId="0" fontId="25" fillId="0" borderId="0"/>
    <xf numFmtId="0" fontId="26" fillId="0" borderId="0"/>
    <xf numFmtId="0" fontId="28" fillId="0" borderId="0"/>
    <xf numFmtId="0" fontId="30" fillId="0" borderId="0"/>
    <xf numFmtId="0" fontId="31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38" fillId="0" borderId="0"/>
    <xf numFmtId="0" fontId="39" fillId="0" borderId="0"/>
    <xf numFmtId="0" fontId="40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5" fillId="0" borderId="0"/>
    <xf numFmtId="0" fontId="46" fillId="0" borderId="0" applyNumberFormat="0" applyFill="0" applyBorder="0" applyAlignment="0" applyProtection="0"/>
    <xf numFmtId="0" fontId="47" fillId="0" borderId="16" applyNumberFormat="0" applyFill="0" applyAlignment="0" applyProtection="0"/>
    <xf numFmtId="0" fontId="48" fillId="0" borderId="17" applyNumberFormat="0" applyFill="0" applyAlignment="0" applyProtection="0"/>
    <xf numFmtId="0" fontId="49" fillId="0" borderId="18" applyNumberFormat="0" applyFill="0" applyAlignment="0" applyProtection="0"/>
    <xf numFmtId="0" fontId="49" fillId="0" borderId="0" applyNumberFormat="0" applyFill="0" applyBorder="0" applyAlignment="0" applyProtection="0"/>
    <xf numFmtId="0" fontId="50" fillId="11" borderId="0" applyNumberFormat="0" applyBorder="0" applyAlignment="0" applyProtection="0"/>
    <xf numFmtId="0" fontId="51" fillId="12" borderId="0" applyNumberFormat="0" applyBorder="0" applyAlignment="0" applyProtection="0"/>
    <xf numFmtId="0" fontId="52" fillId="13" borderId="0" applyNumberFormat="0" applyBorder="0" applyAlignment="0" applyProtection="0"/>
    <xf numFmtId="0" fontId="53" fillId="14" borderId="19" applyNumberFormat="0" applyAlignment="0" applyProtection="0"/>
    <xf numFmtId="0" fontId="54" fillId="15" borderId="20" applyNumberFormat="0" applyAlignment="0" applyProtection="0"/>
    <xf numFmtId="0" fontId="55" fillId="15" borderId="19" applyNumberFormat="0" applyAlignment="0" applyProtection="0"/>
    <xf numFmtId="0" fontId="56" fillId="0" borderId="21" applyNumberFormat="0" applyFill="0" applyAlignment="0" applyProtection="0"/>
    <xf numFmtId="0" fontId="57" fillId="16" borderId="22" applyNumberFormat="0" applyAlignment="0" applyProtection="0"/>
    <xf numFmtId="0" fontId="58" fillId="0" borderId="0" applyNumberFormat="0" applyFill="0" applyBorder="0" applyAlignment="0" applyProtection="0"/>
    <xf numFmtId="0" fontId="1" fillId="17" borderId="23" applyNumberFormat="0" applyFont="0" applyAlignment="0" applyProtection="0"/>
    <xf numFmtId="0" fontId="59" fillId="0" borderId="0" applyNumberFormat="0" applyFill="0" applyBorder="0" applyAlignment="0" applyProtection="0"/>
    <xf numFmtId="0" fontId="2" fillId="0" borderId="24" applyNumberFormat="0" applyFill="0" applyAlignment="0" applyProtection="0"/>
    <xf numFmtId="0" fontId="6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6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6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6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60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60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61" fillId="0" borderId="0"/>
    <xf numFmtId="0" fontId="62" fillId="0" borderId="0"/>
    <xf numFmtId="0" fontId="63" fillId="0" borderId="0"/>
    <xf numFmtId="0" fontId="64" fillId="0" borderId="0"/>
    <xf numFmtId="0" fontId="65" fillId="0" borderId="0"/>
    <xf numFmtId="0" fontId="66" fillId="0" borderId="0"/>
    <xf numFmtId="0" fontId="67" fillId="0" borderId="0"/>
    <xf numFmtId="0" fontId="68" fillId="0" borderId="0"/>
    <xf numFmtId="0" fontId="69" fillId="0" borderId="0"/>
    <xf numFmtId="0" fontId="70" fillId="0" borderId="0"/>
    <xf numFmtId="0" fontId="71" fillId="0" borderId="0"/>
    <xf numFmtId="0" fontId="72" fillId="0" borderId="0"/>
    <xf numFmtId="0" fontId="73" fillId="0" borderId="0"/>
    <xf numFmtId="0" fontId="74" fillId="0" borderId="0"/>
    <xf numFmtId="0" fontId="75" fillId="0" borderId="0"/>
    <xf numFmtId="0" fontId="76" fillId="0" borderId="0"/>
    <xf numFmtId="0" fontId="77" fillId="0" borderId="0"/>
    <xf numFmtId="0" fontId="78" fillId="0" borderId="0"/>
    <xf numFmtId="0" fontId="79" fillId="0" borderId="0"/>
    <xf numFmtId="0" fontId="80" fillId="0" borderId="0"/>
    <xf numFmtId="0" fontId="81" fillId="0" borderId="0"/>
    <xf numFmtId="0" fontId="82" fillId="0" borderId="0"/>
    <xf numFmtId="0" fontId="83" fillId="0" borderId="0"/>
    <xf numFmtId="0" fontId="84" fillId="0" borderId="0"/>
    <xf numFmtId="0" fontId="85" fillId="0" borderId="0"/>
    <xf numFmtId="0" fontId="86" fillId="0" borderId="0"/>
    <xf numFmtId="0" fontId="87" fillId="0" borderId="0"/>
    <xf numFmtId="0" fontId="88" fillId="0" borderId="0"/>
    <xf numFmtId="0" fontId="89" fillId="0" borderId="0"/>
    <xf numFmtId="0" fontId="90" fillId="0" borderId="0"/>
    <xf numFmtId="0" fontId="91" fillId="0" borderId="0"/>
    <xf numFmtId="0" fontId="92" fillId="0" borderId="0"/>
    <xf numFmtId="0" fontId="93" fillId="0" borderId="0"/>
    <xf numFmtId="0" fontId="94" fillId="0" borderId="0"/>
  </cellStyleXfs>
  <cellXfs count="108">
    <xf numFmtId="0" fontId="0" fillId="0" borderId="0" xfId="0"/>
    <xf numFmtId="15" fontId="0" fillId="0" borderId="0" xfId="0" applyNumberFormat="1"/>
    <xf numFmtId="0" fontId="6" fillId="0" borderId="0" xfId="0" applyFont="1" applyAlignment="1">
      <alignment vertical="center"/>
    </xf>
    <xf numFmtId="0" fontId="0" fillId="0" borderId="2" xfId="0" applyBorder="1"/>
    <xf numFmtId="0" fontId="7" fillId="0" borderId="3" xfId="0" applyFont="1" applyBorder="1"/>
    <xf numFmtId="0" fontId="8" fillId="2" borderId="3" xfId="0" applyFont="1" applyFill="1" applyBorder="1" applyAlignment="1">
      <alignment horizontal="left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7" fillId="0" borderId="0" xfId="0" applyFont="1"/>
    <xf numFmtId="0" fontId="0" fillId="0" borderId="6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7" xfId="0" applyBorder="1"/>
    <xf numFmtId="0" fontId="9" fillId="0" borderId="0" xfId="0" applyFont="1"/>
    <xf numFmtId="0" fontId="2" fillId="0" borderId="0" xfId="0" applyFont="1"/>
    <xf numFmtId="4" fontId="0" fillId="0" borderId="0" xfId="0" applyNumberFormat="1"/>
    <xf numFmtId="0" fontId="10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8" xfId="0" applyBorder="1"/>
    <xf numFmtId="0" fontId="0" fillId="0" borderId="6" xfId="0" applyBorder="1"/>
    <xf numFmtId="0" fontId="0" fillId="0" borderId="9" xfId="0" applyBorder="1"/>
    <xf numFmtId="165" fontId="11" fillId="0" borderId="1" xfId="2" applyFont="1" applyBorder="1" applyAlignment="1">
      <alignment horizontal="center" vertical="center" wrapText="1"/>
    </xf>
    <xf numFmtId="172" fontId="11" fillId="0" borderId="1" xfId="1" applyNumberFormat="1" applyFont="1" applyBorder="1" applyAlignment="1">
      <alignment horizontal="center" vertical="center" wrapText="1"/>
    </xf>
    <xf numFmtId="164" fontId="11" fillId="0" borderId="1" xfId="1" applyFont="1" applyBorder="1" applyAlignment="1">
      <alignment horizontal="center" vertical="center" wrapText="1"/>
    </xf>
    <xf numFmtId="16" fontId="0" fillId="0" borderId="0" xfId="0" applyNumberFormat="1"/>
    <xf numFmtId="0" fontId="0" fillId="3" borderId="0" xfId="0" applyFill="1"/>
    <xf numFmtId="4" fontId="0" fillId="3" borderId="0" xfId="0" applyNumberFormat="1" applyFill="1"/>
    <xf numFmtId="0" fontId="2" fillId="0" borderId="10" xfId="0" applyFont="1" applyBorder="1" applyAlignment="1">
      <alignment horizontal="left" vertical="center"/>
    </xf>
    <xf numFmtId="10" fontId="0" fillId="0" borderId="10" xfId="0" applyNumberFormat="1" applyBorder="1"/>
    <xf numFmtId="10" fontId="0" fillId="0" borderId="10" xfId="3" applyNumberFormat="1" applyFont="1" applyFill="1" applyBorder="1"/>
    <xf numFmtId="0" fontId="10" fillId="0" borderId="10" xfId="0" applyFont="1" applyBorder="1" applyAlignment="1">
      <alignment horizontal="center" vertical="center"/>
    </xf>
    <xf numFmtId="173" fontId="0" fillId="0" borderId="0" xfId="0" applyNumberFormat="1"/>
    <xf numFmtId="167" fontId="0" fillId="4" borderId="0" xfId="0" applyNumberFormat="1" applyFill="1"/>
    <xf numFmtId="175" fontId="0" fillId="0" borderId="0" xfId="0" applyNumberFormat="1"/>
    <xf numFmtId="176" fontId="11" fillId="0" borderId="1" xfId="0" applyNumberFormat="1" applyFont="1" applyBorder="1" applyAlignment="1">
      <alignment horizontal="center" vertical="center" wrapText="1"/>
    </xf>
    <xf numFmtId="0" fontId="0" fillId="5" borderId="0" xfId="0" applyFill="1"/>
    <xf numFmtId="168" fontId="5" fillId="0" borderId="0" xfId="0" applyNumberFormat="1" applyFont="1"/>
    <xf numFmtId="0" fontId="0" fillId="0" borderId="0" xfId="0" applyAlignment="1">
      <alignment wrapText="1"/>
    </xf>
    <xf numFmtId="165" fontId="11" fillId="0" borderId="0" xfId="2" applyFont="1" applyBorder="1" applyAlignment="1">
      <alignment horizontal="center" vertical="center" wrapText="1"/>
    </xf>
    <xf numFmtId="174" fontId="0" fillId="4" borderId="0" xfId="0" applyNumberFormat="1" applyFill="1"/>
    <xf numFmtId="178" fontId="0" fillId="4" borderId="0" xfId="0" applyNumberFormat="1" applyFill="1"/>
    <xf numFmtId="4" fontId="0" fillId="4" borderId="0" xfId="0" applyNumberFormat="1" applyFill="1"/>
    <xf numFmtId="168" fontId="0" fillId="0" borderId="0" xfId="0" applyNumberFormat="1"/>
    <xf numFmtId="177" fontId="0" fillId="4" borderId="0" xfId="0" applyNumberFormat="1" applyFill="1"/>
    <xf numFmtId="0" fontId="0" fillId="0" borderId="0" xfId="0" quotePrefix="1"/>
    <xf numFmtId="0" fontId="0" fillId="0" borderId="0" xfId="0" applyAlignment="1">
      <alignment vertical="center"/>
    </xf>
    <xf numFmtId="0" fontId="14" fillId="0" borderId="0" xfId="0" applyFont="1" applyAlignment="1">
      <alignment vertical="center"/>
    </xf>
    <xf numFmtId="49" fontId="13" fillId="0" borderId="0" xfId="4" applyNumberFormat="1" applyFont="1" applyAlignment="1">
      <alignment horizontal="left"/>
    </xf>
    <xf numFmtId="4" fontId="13" fillId="0" borderId="0" xfId="4" applyNumberFormat="1" applyFont="1" applyAlignment="1">
      <alignment horizontal="right"/>
    </xf>
    <xf numFmtId="0" fontId="0" fillId="7" borderId="0" xfId="0" applyFill="1"/>
    <xf numFmtId="2" fontId="0" fillId="0" borderId="0" xfId="0" applyNumberFormat="1"/>
    <xf numFmtId="179" fontId="0" fillId="0" borderId="0" xfId="0" applyNumberFormat="1"/>
    <xf numFmtId="165" fontId="11" fillId="7" borderId="1" xfId="2" applyFont="1" applyFill="1" applyBorder="1" applyAlignment="1">
      <alignment horizontal="center" vertical="center" wrapText="1"/>
    </xf>
    <xf numFmtId="10" fontId="0" fillId="0" borderId="0" xfId="0" applyNumberFormat="1"/>
    <xf numFmtId="4" fontId="0" fillId="7" borderId="0" xfId="0" applyNumberFormat="1" applyFill="1"/>
    <xf numFmtId="0" fontId="27" fillId="8" borderId="0" xfId="0" applyFont="1" applyFill="1"/>
    <xf numFmtId="0" fontId="0" fillId="0" borderId="15" xfId="0" applyBorder="1"/>
    <xf numFmtId="10" fontId="0" fillId="0" borderId="15" xfId="3" applyNumberFormat="1" applyFont="1" applyBorder="1"/>
    <xf numFmtId="9" fontId="0" fillId="0" borderId="0" xfId="0" applyNumberFormat="1"/>
    <xf numFmtId="9" fontId="0" fillId="0" borderId="15" xfId="0" applyNumberFormat="1" applyBorder="1"/>
    <xf numFmtId="10" fontId="0" fillId="0" borderId="15" xfId="0" applyNumberFormat="1" applyBorder="1"/>
    <xf numFmtId="0" fontId="27" fillId="8" borderId="15" xfId="0" applyFont="1" applyFill="1" applyBorder="1"/>
    <xf numFmtId="14" fontId="0" fillId="0" borderId="15" xfId="0" applyNumberFormat="1" applyBorder="1"/>
    <xf numFmtId="14" fontId="2" fillId="0" borderId="0" xfId="0" applyNumberFormat="1" applyFont="1"/>
    <xf numFmtId="180" fontId="2" fillId="0" borderId="0" xfId="0" applyNumberFormat="1" applyFont="1"/>
    <xf numFmtId="4" fontId="0" fillId="0" borderId="0" xfId="0" applyNumberFormat="1" applyAlignment="1">
      <alignment horizontal="center" vertical="center"/>
    </xf>
    <xf numFmtId="174" fontId="0" fillId="0" borderId="0" xfId="3" applyNumberFormat="1" applyFont="1" applyAlignment="1">
      <alignment horizontal="center" vertical="center"/>
    </xf>
    <xf numFmtId="174" fontId="0" fillId="9" borderId="0" xfId="3" applyNumberFormat="1" applyFont="1" applyFill="1" applyAlignment="1">
      <alignment horizontal="center" vertical="center"/>
    </xf>
    <xf numFmtId="167" fontId="0" fillId="3" borderId="0" xfId="0" applyNumberFormat="1" applyFill="1"/>
    <xf numFmtId="0" fontId="29" fillId="8" borderId="0" xfId="0" applyFont="1" applyFill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9" fillId="8" borderId="0" xfId="0" applyFont="1" applyFill="1" applyAlignment="1">
      <alignment horizontal="center" vertical="center" wrapText="1"/>
    </xf>
    <xf numFmtId="179" fontId="0" fillId="7" borderId="0" xfId="0" applyNumberFormat="1" applyFill="1"/>
    <xf numFmtId="10" fontId="0" fillId="0" borderId="0" xfId="3" applyNumberFormat="1" applyFont="1"/>
    <xf numFmtId="4" fontId="0" fillId="42" borderId="0" xfId="0" applyNumberFormat="1" applyFill="1"/>
    <xf numFmtId="178" fontId="0" fillId="10" borderId="0" xfId="0" applyNumberFormat="1" applyFill="1"/>
    <xf numFmtId="181" fontId="0" fillId="0" borderId="0" xfId="3" applyNumberFormat="1" applyFont="1" applyAlignment="1">
      <alignment horizontal="center" vertical="center"/>
    </xf>
    <xf numFmtId="14" fontId="0" fillId="3" borderId="0" xfId="0" applyNumberFormat="1" applyFill="1"/>
    <xf numFmtId="165" fontId="11" fillId="0" borderId="0" xfId="2" applyFont="1" applyFill="1" applyBorder="1" applyAlignment="1">
      <alignment horizontal="center" vertical="center" wrapText="1"/>
    </xf>
    <xf numFmtId="182" fontId="0" fillId="0" borderId="0" xfId="2" applyNumberFormat="1" applyFont="1"/>
    <xf numFmtId="182" fontId="0" fillId="0" borderId="0" xfId="0" applyNumberFormat="1"/>
    <xf numFmtId="0" fontId="5" fillId="0" borderId="0" xfId="0" applyFont="1"/>
    <xf numFmtId="0" fontId="3" fillId="0" borderId="0" xfId="0" applyFont="1"/>
    <xf numFmtId="0" fontId="4" fillId="0" borderId="0" xfId="0" applyFont="1"/>
    <xf numFmtId="183" fontId="0" fillId="0" borderId="0" xfId="3" applyNumberFormat="1" applyFont="1"/>
    <xf numFmtId="15" fontId="0" fillId="7" borderId="0" xfId="0" applyNumberFormat="1" applyFill="1"/>
    <xf numFmtId="174" fontId="0" fillId="0" borderId="0" xfId="0" applyNumberFormat="1"/>
    <xf numFmtId="4" fontId="0" fillId="43" borderId="0" xfId="0" applyNumberFormat="1" applyFill="1"/>
    <xf numFmtId="49" fontId="4" fillId="0" borderId="0" xfId="0" applyNumberFormat="1" applyFont="1"/>
    <xf numFmtId="0" fontId="12" fillId="6" borderId="0" xfId="0" applyFont="1" applyFill="1"/>
    <xf numFmtId="49" fontId="13" fillId="0" borderId="0" xfId="0" applyNumberFormat="1" applyFont="1" applyAlignment="1">
      <alignment horizontal="left"/>
    </xf>
    <xf numFmtId="4" fontId="13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7" fontId="13" fillId="0" borderId="0" xfId="0" applyNumberFormat="1" applyFont="1" applyAlignment="1">
      <alignment horizontal="right"/>
    </xf>
    <xf numFmtId="168" fontId="13" fillId="0" borderId="0" xfId="0" applyNumberFormat="1" applyFont="1" applyAlignment="1">
      <alignment horizontal="right"/>
    </xf>
    <xf numFmtId="169" fontId="13" fillId="0" borderId="0" xfId="0" applyNumberFormat="1" applyFont="1" applyAlignment="1">
      <alignment horizontal="right"/>
    </xf>
    <xf numFmtId="170" fontId="13" fillId="0" borderId="0" xfId="0" applyNumberFormat="1" applyFont="1" applyAlignment="1">
      <alignment horizontal="right"/>
    </xf>
    <xf numFmtId="171" fontId="13" fillId="0" borderId="0" xfId="0" applyNumberFormat="1" applyFont="1" applyAlignment="1">
      <alignment horizontal="right"/>
    </xf>
    <xf numFmtId="49" fontId="13" fillId="0" borderId="0" xfId="0" applyNumberFormat="1" applyFont="1" applyAlignment="1">
      <alignment horizontal="right"/>
    </xf>
    <xf numFmtId="0" fontId="6" fillId="0" borderId="0" xfId="0" applyFont="1" applyAlignment="1">
      <alignment horizontal="center" vertical="center"/>
    </xf>
    <xf numFmtId="15" fontId="6" fillId="0" borderId="0" xfId="0" applyNumberFormat="1" applyFont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14" fillId="0" borderId="0" xfId="0" applyFont="1" applyAlignment="1">
      <alignment horizontal="center" vertical="center"/>
    </xf>
  </cellXfs>
  <cellStyles count="108">
    <cellStyle name="20% - Accent1" xfId="51" builtinId="30" customBuiltin="1"/>
    <cellStyle name="20% - Accent2" xfId="55" builtinId="34" customBuiltin="1"/>
    <cellStyle name="20% - Accent3" xfId="59" builtinId="38" customBuiltin="1"/>
    <cellStyle name="20% - Accent4" xfId="63" builtinId="42" customBuiltin="1"/>
    <cellStyle name="20% - Accent5" xfId="67" builtinId="46" customBuiltin="1"/>
    <cellStyle name="20% - Accent6" xfId="71" builtinId="50" customBuiltin="1"/>
    <cellStyle name="40% - Accent1" xfId="52" builtinId="31" customBuiltin="1"/>
    <cellStyle name="40% - Accent2" xfId="56" builtinId="35" customBuiltin="1"/>
    <cellStyle name="40% - Accent3" xfId="60" builtinId="39" customBuiltin="1"/>
    <cellStyle name="40% - Accent4" xfId="64" builtinId="43" customBuiltin="1"/>
    <cellStyle name="40% - Accent5" xfId="68" builtinId="47" customBuiltin="1"/>
    <cellStyle name="40% - Accent6" xfId="72" builtinId="51" customBuiltin="1"/>
    <cellStyle name="60% - Accent1" xfId="53" builtinId="32" customBuiltin="1"/>
    <cellStyle name="60% - Accent2" xfId="57" builtinId="36" customBuiltin="1"/>
    <cellStyle name="60% - Accent3" xfId="61" builtinId="40" customBuiltin="1"/>
    <cellStyle name="60% - Accent4" xfId="65" builtinId="44" customBuiltin="1"/>
    <cellStyle name="60% - Accent5" xfId="69" builtinId="48" customBuiltin="1"/>
    <cellStyle name="60% - Accent6" xfId="73" builtinId="52" customBuiltin="1"/>
    <cellStyle name="Accent1" xfId="50" builtinId="29" customBuiltin="1"/>
    <cellStyle name="Accent2" xfId="54" builtinId="33" customBuiltin="1"/>
    <cellStyle name="Accent3" xfId="58" builtinId="37" customBuiltin="1"/>
    <cellStyle name="Accent4" xfId="62" builtinId="41" customBuiltin="1"/>
    <cellStyle name="Accent5" xfId="66" builtinId="45" customBuiltin="1"/>
    <cellStyle name="Accent6" xfId="70" builtinId="49" customBuiltin="1"/>
    <cellStyle name="Bad" xfId="39" builtinId="27" customBuiltin="1"/>
    <cellStyle name="Calculation" xfId="43" builtinId="22" customBuiltin="1"/>
    <cellStyle name="Check Cell" xfId="45" builtinId="23" customBuiltin="1"/>
    <cellStyle name="Comma" xfId="1" builtinId="3"/>
    <cellStyle name="Currency" xfId="2" builtinId="4"/>
    <cellStyle name="Explanatory Text" xfId="48" builtinId="53" customBuiltin="1"/>
    <cellStyle name="Good" xfId="38" builtinId="26" customBuiltin="1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41" builtinId="20" customBuiltin="1"/>
    <cellStyle name="Linked Cell" xfId="44" builtinId="24" customBuiltin="1"/>
    <cellStyle name="Neutral" xfId="40" builtinId="28" customBuiltin="1"/>
    <cellStyle name="Normal" xfId="0" builtinId="0"/>
    <cellStyle name="Normal 10" xfId="12" xr:uid="{5142A33F-E182-47C1-B1C7-0790442A5343}"/>
    <cellStyle name="Normal 11" xfId="13" xr:uid="{E3429B56-708B-4D8D-86DC-DA0062367364}"/>
    <cellStyle name="Normal 12" xfId="14" xr:uid="{D0E37447-06C6-49B9-A836-4A248458ECBA}"/>
    <cellStyle name="Normal 13" xfId="15" xr:uid="{88DF2625-88DA-4F36-ADDD-41979C70F208}"/>
    <cellStyle name="Normal 14" xfId="16" xr:uid="{9BA2368E-840D-4B7E-BEFE-9C90014931E7}"/>
    <cellStyle name="Normal 15" xfId="17" xr:uid="{DA5F84C0-CDB3-4EA6-B0D9-988B5CC9BF41}"/>
    <cellStyle name="Normal 16" xfId="18" xr:uid="{E43601E9-D15C-462A-8D33-DC5F91BEF464}"/>
    <cellStyle name="Normal 17" xfId="19" xr:uid="{DEB950C4-986C-4FBC-B9C9-34059015A5B7}"/>
    <cellStyle name="Normal 18" xfId="20" xr:uid="{5947C796-F154-4226-9731-233A8A87C182}"/>
    <cellStyle name="Normal 19" xfId="21" xr:uid="{466963F2-DA91-45EC-A9AE-5BDE4B56BAC8}"/>
    <cellStyle name="Normal 2" xfId="4" xr:uid="{EECCD7E6-44F0-4E61-B0FB-7E27274EB3D5}"/>
    <cellStyle name="Normal 20" xfId="22" xr:uid="{C68526E9-7A54-4E39-B01D-8C9EEF03A2E5}"/>
    <cellStyle name="Normal 21" xfId="23" xr:uid="{671D75B1-FFAD-4393-BB0B-F9C0829CAA9C}"/>
    <cellStyle name="Normal 22" xfId="24" xr:uid="{252FA8CC-7CE3-4F95-80AA-1D6F9C881CC7}"/>
    <cellStyle name="Normal 23" xfId="25" xr:uid="{0C5738B7-B5CC-44FE-8444-107A31344E09}"/>
    <cellStyle name="Normal 24" xfId="26" xr:uid="{5FA7D093-E8B9-416E-B9C0-FB51ECF4E00C}"/>
    <cellStyle name="Normal 25" xfId="27" xr:uid="{7046B085-9285-4FC7-A4E8-1053B91A451A}"/>
    <cellStyle name="Normal 26" xfId="28" xr:uid="{6CAF1DEB-6EF0-4BC1-8778-F97B94CE49E5}"/>
    <cellStyle name="Normal 27" xfId="29" xr:uid="{D51957FE-FD47-43D5-8C50-617EBD58CBC5}"/>
    <cellStyle name="Normal 28" xfId="30" xr:uid="{0950EA6C-B172-45A8-9736-0E97B1A7818E}"/>
    <cellStyle name="Normal 29" xfId="31" xr:uid="{035E9A55-4C25-4D9B-8E56-A61A3454DE1F}"/>
    <cellStyle name="Normal 3" xfId="5" xr:uid="{7CE67CED-E8C3-4CBE-A61C-853FFB2D99A4}"/>
    <cellStyle name="Normal 30" xfId="32" xr:uid="{8B02C012-FE28-47F8-AEE2-66E3D4164F2A}"/>
    <cellStyle name="Normal 31" xfId="74" xr:uid="{0746C4E5-AF36-423B-BCFA-9615ED05E886}"/>
    <cellStyle name="Normal 32" xfId="75" xr:uid="{50E28B8F-99E9-4A88-9F73-9EC29C86DFCF}"/>
    <cellStyle name="Normal 33" xfId="76" xr:uid="{57D53013-9D94-4B60-B959-CA08474CA092}"/>
    <cellStyle name="Normal 34" xfId="77" xr:uid="{0D3861AC-96F2-483C-AB8B-80359F2DFE9A}"/>
    <cellStyle name="Normal 35" xfId="78" xr:uid="{E19081EC-0677-4FD4-B6D9-45590A472AFA}"/>
    <cellStyle name="Normal 36" xfId="79" xr:uid="{0C05BFEF-3991-4953-BDB6-EB995D84996C}"/>
    <cellStyle name="Normal 37" xfId="80" xr:uid="{38B275D8-3C9A-444B-9548-AEE2B3530461}"/>
    <cellStyle name="Normal 38" xfId="81" xr:uid="{BED372A8-B216-4FDE-AEBD-E6725BA30CF6}"/>
    <cellStyle name="Normal 39" xfId="82" xr:uid="{FAC84739-A4AB-46FE-A6DE-21FD9C6F5D2D}"/>
    <cellStyle name="Normal 4" xfId="6" xr:uid="{EE58375C-C1B0-4386-B851-CEA70A71F68A}"/>
    <cellStyle name="Normal 40" xfId="83" xr:uid="{3A3C9ABF-438A-4D03-9AFB-0B952A43C386}"/>
    <cellStyle name="Normal 41" xfId="84" xr:uid="{87BDCFDA-726A-4947-96A6-AD4B1420E056}"/>
    <cellStyle name="Normal 42" xfId="85" xr:uid="{C8A10930-A688-46EF-B713-970AA70FC653}"/>
    <cellStyle name="Normal 43" xfId="86" xr:uid="{89E06151-00DC-4D4C-A37D-0994808355A8}"/>
    <cellStyle name="Normal 44" xfId="87" xr:uid="{75EB0BB8-47DB-407F-BDA7-6F6381BB0106}"/>
    <cellStyle name="Normal 45" xfId="88" xr:uid="{143938F0-ACAB-4A97-8D68-D5544BAAF5CC}"/>
    <cellStyle name="Normal 46" xfId="89" xr:uid="{BCA47B26-BECE-47E6-889B-102F4DBF19C3}"/>
    <cellStyle name="Normal 47" xfId="90" xr:uid="{83E1A1E9-523A-44CD-98E2-1B4D4E487976}"/>
    <cellStyle name="Normal 48" xfId="91" xr:uid="{4DEA6F03-2696-4B1C-AB01-0A7F64B1A1A3}"/>
    <cellStyle name="Normal 49" xfId="92" xr:uid="{A3D6DAA0-E100-4D62-818C-3A607F31F782}"/>
    <cellStyle name="Normal 5" xfId="7" xr:uid="{BFAF818A-93D3-4F2B-867D-212011C297CB}"/>
    <cellStyle name="Normal 50" xfId="93" xr:uid="{61C132EA-F8EA-4B6A-82CA-2A75D7AD26CA}"/>
    <cellStyle name="Normal 51" xfId="94" xr:uid="{2CCEC566-B1EA-472E-ACB9-C63A3AA8CCEB}"/>
    <cellStyle name="Normal 52" xfId="95" xr:uid="{07F5DE38-A036-48ED-AFF3-42B720311CC1}"/>
    <cellStyle name="Normal 53" xfId="96" xr:uid="{38ABA1F2-8074-469F-BBD4-F28445042861}"/>
    <cellStyle name="Normal 54" xfId="97" xr:uid="{391C0197-0CED-478C-825F-7D7215B0CB7F}"/>
    <cellStyle name="Normal 55" xfId="98" xr:uid="{A39EAB41-9027-4E25-992C-F142070D746C}"/>
    <cellStyle name="Normal 56" xfId="99" xr:uid="{20117431-FCE1-436E-8D20-06B40FE90D26}"/>
    <cellStyle name="Normal 57" xfId="100" xr:uid="{361A1770-4987-4872-A0BE-C8630935AC74}"/>
    <cellStyle name="Normal 58" xfId="101" xr:uid="{531A8C31-826E-4637-A54C-E90FA3AFBC8E}"/>
    <cellStyle name="Normal 59" xfId="102" xr:uid="{5F5DAF35-0251-404B-91A2-29E94C4C645F}"/>
    <cellStyle name="Normal 6" xfId="8" xr:uid="{C296A2B2-B1DE-4633-83EA-2D0A75E19312}"/>
    <cellStyle name="Normal 60" xfId="103" xr:uid="{CD74FA43-E206-42F4-967D-86F060A4DD69}"/>
    <cellStyle name="Normal 61" xfId="104" xr:uid="{1F112280-73E9-4635-916E-676D2BC8FFD2}"/>
    <cellStyle name="Normal 62" xfId="105" xr:uid="{45DE61A0-8F14-4F9A-B2AB-5598AD1C71FF}"/>
    <cellStyle name="Normal 63" xfId="106" xr:uid="{334CC8E8-107F-4C21-9816-C485DEA11D2E}"/>
    <cellStyle name="Normal 64" xfId="107" xr:uid="{3F776372-6DFB-465D-8669-B9BD4C405186}"/>
    <cellStyle name="Normal 7" xfId="9" xr:uid="{59CF2B57-065F-4529-934F-7D3012950CFB}"/>
    <cellStyle name="Normal 8" xfId="10" xr:uid="{CC0D738A-7906-4B73-B700-46512D2D1DC0}"/>
    <cellStyle name="Normal 9" xfId="11" xr:uid="{1DAF41D1-DE50-4E72-BC78-C3AC789FEA63}"/>
    <cellStyle name="Note" xfId="47" builtinId="10" customBuiltin="1"/>
    <cellStyle name="Output" xfId="42" builtinId="21" customBuiltin="1"/>
    <cellStyle name="Percent" xfId="3" builtinId="5"/>
    <cellStyle name="Title" xfId="33" builtinId="15" customBuiltin="1"/>
    <cellStyle name="Total" xfId="49" builtinId="25" customBuiltin="1"/>
    <cellStyle name="Warning Text" xfId="46" builtinId="11" customBuiltin="1"/>
  </cellStyles>
  <dxfs count="4">
    <dxf>
      <font>
        <b/>
        <i val="0"/>
        <color theme="5" tint="-0.24994659260841701"/>
      </font>
      <fill>
        <patternFill patternType="solid">
          <bgColor rgb="FFFF0000"/>
        </patternFill>
      </fill>
    </dxf>
    <dxf>
      <font>
        <color rgb="FF92D050"/>
      </font>
      <fill>
        <patternFill patternType="solid">
          <bgColor rgb="FF003300"/>
        </patternFill>
      </fill>
    </dxf>
    <dxf>
      <font>
        <b/>
        <i val="0"/>
        <color theme="5" tint="-0.24994659260841701"/>
      </font>
      <fill>
        <patternFill patternType="solid">
          <bgColor rgb="FFFF0000"/>
        </patternFill>
      </fill>
    </dxf>
    <dxf>
      <font>
        <color rgb="FF92D050"/>
      </font>
      <fill>
        <patternFill patternType="solid">
          <bgColor rgb="FF0033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408214</xdr:colOff>
      <xdr:row>15</xdr:row>
      <xdr:rowOff>204107</xdr:rowOff>
    </xdr:from>
    <xdr:to>
      <xdr:col>2</xdr:col>
      <xdr:colOff>775607</xdr:colOff>
      <xdr:row>20</xdr:row>
      <xdr:rowOff>13608</xdr:rowOff>
    </xdr:to>
    <xdr:sp macro="[0]!Salvar_Fech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A20F73-6614-38C6-066A-AFFE33F0654B}"/>
            </a:ext>
          </a:extLst>
        </xdr:cNvPr>
        <xdr:cNvSpPr/>
      </xdr:nvSpPr>
      <xdr:spPr>
        <a:xfrm>
          <a:off x="408214" y="3660321"/>
          <a:ext cx="1700893" cy="966108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Salvar e Fechar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" name="Picture 5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" name="Picture 5">
          <a:extLst>
            <a:ext uri="{FF2B5EF4-FFF2-40B4-BE49-F238E27FC236}">
              <a16:creationId xmlns:a16="http://schemas.microsoft.com/office/drawing/2014/main" id="{4F07AE0F-B315-407A-982C-80162B5CD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" name="Picture 5">
          <a:extLst>
            <a:ext uri="{FF2B5EF4-FFF2-40B4-BE49-F238E27FC236}">
              <a16:creationId xmlns:a16="http://schemas.microsoft.com/office/drawing/2014/main" id="{44D7F618-034D-4D0C-8E58-C33B6EE2A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" name="Picture 5">
          <a:extLst>
            <a:ext uri="{FF2B5EF4-FFF2-40B4-BE49-F238E27FC236}">
              <a16:creationId xmlns:a16="http://schemas.microsoft.com/office/drawing/2014/main" id="{1C2877D6-2BEF-4ABC-A52B-A9D501B3F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" name="Picture 5">
          <a:extLst>
            <a:ext uri="{FF2B5EF4-FFF2-40B4-BE49-F238E27FC236}">
              <a16:creationId xmlns:a16="http://schemas.microsoft.com/office/drawing/2014/main" id="{19CAC4C0-E058-44AD-97D4-C4B93AE6E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" name="Picture 5">
          <a:extLst>
            <a:ext uri="{FF2B5EF4-FFF2-40B4-BE49-F238E27FC236}">
              <a16:creationId xmlns:a16="http://schemas.microsoft.com/office/drawing/2014/main" id="{40F7B7D5-E25D-480E-8EFD-D3BD2A36C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3" name="Picture 5">
          <a:extLst>
            <a:ext uri="{FF2B5EF4-FFF2-40B4-BE49-F238E27FC236}">
              <a16:creationId xmlns:a16="http://schemas.microsoft.com/office/drawing/2014/main" id="{E4FBAFC6-8915-4283-8B54-962D86DFC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4" name="Picture 5">
          <a:extLst>
            <a:ext uri="{FF2B5EF4-FFF2-40B4-BE49-F238E27FC236}">
              <a16:creationId xmlns:a16="http://schemas.microsoft.com/office/drawing/2014/main" id="{84C83344-3469-4806-96BB-1BBFF7B57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5" name="Picture 5">
          <a:extLst>
            <a:ext uri="{FF2B5EF4-FFF2-40B4-BE49-F238E27FC236}">
              <a16:creationId xmlns:a16="http://schemas.microsoft.com/office/drawing/2014/main" id="{76099649-F2BE-470B-B025-90E4CCA8A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6" name="Picture 5">
          <a:extLst>
            <a:ext uri="{FF2B5EF4-FFF2-40B4-BE49-F238E27FC236}">
              <a16:creationId xmlns:a16="http://schemas.microsoft.com/office/drawing/2014/main" id="{94135E2D-70A7-4F9A-9F62-C89B578FF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7" name="Picture 5">
          <a:extLst>
            <a:ext uri="{FF2B5EF4-FFF2-40B4-BE49-F238E27FC236}">
              <a16:creationId xmlns:a16="http://schemas.microsoft.com/office/drawing/2014/main" id="{0C74AB70-CCDE-4C6E-94A4-4F837FE18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8" name="Picture 5">
          <a:extLst>
            <a:ext uri="{FF2B5EF4-FFF2-40B4-BE49-F238E27FC236}">
              <a16:creationId xmlns:a16="http://schemas.microsoft.com/office/drawing/2014/main" id="{567C564A-EE75-4E42-AAE0-6A0FC7CA8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9" name="Picture 5">
          <a:extLst>
            <a:ext uri="{FF2B5EF4-FFF2-40B4-BE49-F238E27FC236}">
              <a16:creationId xmlns:a16="http://schemas.microsoft.com/office/drawing/2014/main" id="{CC43960A-9615-47C9-A6C5-537D66382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0" name="Picture 5">
          <a:extLst>
            <a:ext uri="{FF2B5EF4-FFF2-40B4-BE49-F238E27FC236}">
              <a16:creationId xmlns:a16="http://schemas.microsoft.com/office/drawing/2014/main" id="{29BF115A-7961-4D8B-884C-690DA0B68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1" name="Picture 5">
          <a:extLst>
            <a:ext uri="{FF2B5EF4-FFF2-40B4-BE49-F238E27FC236}">
              <a16:creationId xmlns:a16="http://schemas.microsoft.com/office/drawing/2014/main" id="{C3E1EBFA-1A8F-422D-9A1B-4F3B1DACB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2" name="Picture 5">
          <a:extLst>
            <a:ext uri="{FF2B5EF4-FFF2-40B4-BE49-F238E27FC236}">
              <a16:creationId xmlns:a16="http://schemas.microsoft.com/office/drawing/2014/main" id="{A73278EF-2AF8-49A3-AD87-1DA60B9D0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3" name="Picture 5">
          <a:extLst>
            <a:ext uri="{FF2B5EF4-FFF2-40B4-BE49-F238E27FC236}">
              <a16:creationId xmlns:a16="http://schemas.microsoft.com/office/drawing/2014/main" id="{D76B9545-F2E1-4DCA-9650-763F98D43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4" name="Picture 5">
          <a:extLst>
            <a:ext uri="{FF2B5EF4-FFF2-40B4-BE49-F238E27FC236}">
              <a16:creationId xmlns:a16="http://schemas.microsoft.com/office/drawing/2014/main" id="{38EB2EA5-7665-4644-9888-A390FBA8E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5" name="Picture 5">
          <a:extLst>
            <a:ext uri="{FF2B5EF4-FFF2-40B4-BE49-F238E27FC236}">
              <a16:creationId xmlns:a16="http://schemas.microsoft.com/office/drawing/2014/main" id="{92148D9F-1119-4E76-BC84-FE8B6936E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6" name="Picture 5">
          <a:extLst>
            <a:ext uri="{FF2B5EF4-FFF2-40B4-BE49-F238E27FC236}">
              <a16:creationId xmlns:a16="http://schemas.microsoft.com/office/drawing/2014/main" id="{EA267DA1-0621-4B20-9B4D-41BD47C89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7" name="Picture 5">
          <a:extLst>
            <a:ext uri="{FF2B5EF4-FFF2-40B4-BE49-F238E27FC236}">
              <a16:creationId xmlns:a16="http://schemas.microsoft.com/office/drawing/2014/main" id="{69930B4F-173E-4804-8D2A-D7FFAA442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8" name="Picture 5">
          <a:extLst>
            <a:ext uri="{FF2B5EF4-FFF2-40B4-BE49-F238E27FC236}">
              <a16:creationId xmlns:a16="http://schemas.microsoft.com/office/drawing/2014/main" id="{5FCDBAED-C997-4042-AF7C-B1FC7992E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9" name="Picture 5">
          <a:extLst>
            <a:ext uri="{FF2B5EF4-FFF2-40B4-BE49-F238E27FC236}">
              <a16:creationId xmlns:a16="http://schemas.microsoft.com/office/drawing/2014/main" id="{5C7BFE2C-EF14-4D25-BF95-5808039E5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0" name="Picture 5">
          <a:extLst>
            <a:ext uri="{FF2B5EF4-FFF2-40B4-BE49-F238E27FC236}">
              <a16:creationId xmlns:a16="http://schemas.microsoft.com/office/drawing/2014/main" id="{D58341D5-2F53-4AF6-9575-7F72EDD63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1" name="Picture 5">
          <a:extLst>
            <a:ext uri="{FF2B5EF4-FFF2-40B4-BE49-F238E27FC236}">
              <a16:creationId xmlns:a16="http://schemas.microsoft.com/office/drawing/2014/main" id="{4480EFE1-9711-4148-8DC4-E576FB20B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2" name="Picture 5">
          <a:extLst>
            <a:ext uri="{FF2B5EF4-FFF2-40B4-BE49-F238E27FC236}">
              <a16:creationId xmlns:a16="http://schemas.microsoft.com/office/drawing/2014/main" id="{ED256F34-FA8F-44BC-808C-44562B59B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3" name="Picture 5">
          <a:extLst>
            <a:ext uri="{FF2B5EF4-FFF2-40B4-BE49-F238E27FC236}">
              <a16:creationId xmlns:a16="http://schemas.microsoft.com/office/drawing/2014/main" id="{57B90EB4-E7F2-4FA2-BF14-090B46BEC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4" name="Picture 5">
          <a:extLst>
            <a:ext uri="{FF2B5EF4-FFF2-40B4-BE49-F238E27FC236}">
              <a16:creationId xmlns:a16="http://schemas.microsoft.com/office/drawing/2014/main" id="{184C2AAE-ECD3-4DDE-BB4B-4DC759A58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5" name="Picture 5">
          <a:extLst>
            <a:ext uri="{FF2B5EF4-FFF2-40B4-BE49-F238E27FC236}">
              <a16:creationId xmlns:a16="http://schemas.microsoft.com/office/drawing/2014/main" id="{34F8CB99-7824-44E1-A8A4-15C1916F4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6" name="Picture 5">
          <a:extLst>
            <a:ext uri="{FF2B5EF4-FFF2-40B4-BE49-F238E27FC236}">
              <a16:creationId xmlns:a16="http://schemas.microsoft.com/office/drawing/2014/main" id="{C0BB4090-F57C-4810-AB0B-5F33FF6E9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7" name="Picture 5">
          <a:extLst>
            <a:ext uri="{FF2B5EF4-FFF2-40B4-BE49-F238E27FC236}">
              <a16:creationId xmlns:a16="http://schemas.microsoft.com/office/drawing/2014/main" id="{89A4526B-74D1-453C-81AB-F2DA0C84D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8" name="Picture 5">
          <a:extLst>
            <a:ext uri="{FF2B5EF4-FFF2-40B4-BE49-F238E27FC236}">
              <a16:creationId xmlns:a16="http://schemas.microsoft.com/office/drawing/2014/main" id="{AAF9D5DD-4FD8-4E8A-9DCC-5F721CA36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9" name="Picture 5">
          <a:extLst>
            <a:ext uri="{FF2B5EF4-FFF2-40B4-BE49-F238E27FC236}">
              <a16:creationId xmlns:a16="http://schemas.microsoft.com/office/drawing/2014/main" id="{057D77B5-5641-43CE-83F9-E06FE9F81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0" name="Picture 5">
          <a:extLst>
            <a:ext uri="{FF2B5EF4-FFF2-40B4-BE49-F238E27FC236}">
              <a16:creationId xmlns:a16="http://schemas.microsoft.com/office/drawing/2014/main" id="{00485C8C-5103-484C-A164-5C37D9BB2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1" name="Picture 5">
          <a:extLst>
            <a:ext uri="{FF2B5EF4-FFF2-40B4-BE49-F238E27FC236}">
              <a16:creationId xmlns:a16="http://schemas.microsoft.com/office/drawing/2014/main" id="{F1357000-5FE3-4C80-9838-C86D1A957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2" name="Picture 5">
          <a:extLst>
            <a:ext uri="{FF2B5EF4-FFF2-40B4-BE49-F238E27FC236}">
              <a16:creationId xmlns:a16="http://schemas.microsoft.com/office/drawing/2014/main" id="{43CDA602-AD18-4F5E-BB11-D026F584A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3" name="Picture 5">
          <a:extLst>
            <a:ext uri="{FF2B5EF4-FFF2-40B4-BE49-F238E27FC236}">
              <a16:creationId xmlns:a16="http://schemas.microsoft.com/office/drawing/2014/main" id="{8B1C4451-6DAA-419A-8B7C-ADA4B11F6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4" name="Picture 5">
          <a:extLst>
            <a:ext uri="{FF2B5EF4-FFF2-40B4-BE49-F238E27FC236}">
              <a16:creationId xmlns:a16="http://schemas.microsoft.com/office/drawing/2014/main" id="{E000EF5D-3F60-46B6-BE4E-D0ADCD959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590" y="2159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5" name="Picture 5">
          <a:extLst>
            <a:ext uri="{FF2B5EF4-FFF2-40B4-BE49-F238E27FC236}">
              <a16:creationId xmlns:a16="http://schemas.microsoft.com/office/drawing/2014/main" id="{DF112D50-8CEC-452D-B753-8FAC4D617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6" name="Picture 5">
          <a:extLst>
            <a:ext uri="{FF2B5EF4-FFF2-40B4-BE49-F238E27FC236}">
              <a16:creationId xmlns:a16="http://schemas.microsoft.com/office/drawing/2014/main" id="{5005CB71-6B85-4E60-B31B-27DA216DB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7" name="Picture 5">
          <a:extLst>
            <a:ext uri="{FF2B5EF4-FFF2-40B4-BE49-F238E27FC236}">
              <a16:creationId xmlns:a16="http://schemas.microsoft.com/office/drawing/2014/main" id="{B5A38ABA-38E4-413E-B9A5-2D5DED374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8" name="Picture 5">
          <a:extLst>
            <a:ext uri="{FF2B5EF4-FFF2-40B4-BE49-F238E27FC236}">
              <a16:creationId xmlns:a16="http://schemas.microsoft.com/office/drawing/2014/main" id="{4CA86B0A-D51E-4C2B-9D71-AF604095C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9" name="Picture 5">
          <a:extLst>
            <a:ext uri="{FF2B5EF4-FFF2-40B4-BE49-F238E27FC236}">
              <a16:creationId xmlns:a16="http://schemas.microsoft.com/office/drawing/2014/main" id="{0A67FD14-FDF6-4DBE-A9DD-8A5615FA9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0" name="Picture 5">
          <a:extLst>
            <a:ext uri="{FF2B5EF4-FFF2-40B4-BE49-F238E27FC236}">
              <a16:creationId xmlns:a16="http://schemas.microsoft.com/office/drawing/2014/main" id="{5DAD7220-0C96-491D-B19F-C557A2AC2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1" name="Picture 5">
          <a:extLst>
            <a:ext uri="{FF2B5EF4-FFF2-40B4-BE49-F238E27FC236}">
              <a16:creationId xmlns:a16="http://schemas.microsoft.com/office/drawing/2014/main" id="{4F83986E-6154-4D1B-9DAC-6C03461BE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2" name="Picture 5">
          <a:extLst>
            <a:ext uri="{FF2B5EF4-FFF2-40B4-BE49-F238E27FC236}">
              <a16:creationId xmlns:a16="http://schemas.microsoft.com/office/drawing/2014/main" id="{250EE3F8-07C6-4D80-BAF8-11F0CAB1E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3" name="Picture 5">
          <a:extLst>
            <a:ext uri="{FF2B5EF4-FFF2-40B4-BE49-F238E27FC236}">
              <a16:creationId xmlns:a16="http://schemas.microsoft.com/office/drawing/2014/main" id="{EDC332E9-A006-4129-9DC1-DBD5D49E1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4" name="Picture 5">
          <a:extLst>
            <a:ext uri="{FF2B5EF4-FFF2-40B4-BE49-F238E27FC236}">
              <a16:creationId xmlns:a16="http://schemas.microsoft.com/office/drawing/2014/main" id="{84E31346-C45B-4C60-83A7-2A698AF31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5" name="Picture 5">
          <a:extLst>
            <a:ext uri="{FF2B5EF4-FFF2-40B4-BE49-F238E27FC236}">
              <a16:creationId xmlns:a16="http://schemas.microsoft.com/office/drawing/2014/main" id="{17D081AF-64D6-4E13-AD28-B3D0BECE4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6" name="Picture 5">
          <a:extLst>
            <a:ext uri="{FF2B5EF4-FFF2-40B4-BE49-F238E27FC236}">
              <a16:creationId xmlns:a16="http://schemas.microsoft.com/office/drawing/2014/main" id="{79D5D820-DB94-4835-B33A-A26D37643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7" name="Picture 5">
          <a:extLst>
            <a:ext uri="{FF2B5EF4-FFF2-40B4-BE49-F238E27FC236}">
              <a16:creationId xmlns:a16="http://schemas.microsoft.com/office/drawing/2014/main" id="{67B8EAAB-C40D-43A2-BCA1-AC13BAC8A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8" name="Picture 5">
          <a:extLst>
            <a:ext uri="{FF2B5EF4-FFF2-40B4-BE49-F238E27FC236}">
              <a16:creationId xmlns:a16="http://schemas.microsoft.com/office/drawing/2014/main" id="{C8A57EEF-F66F-46D6-83DE-14D1C6C7B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9" name="Picture 5">
          <a:extLst>
            <a:ext uri="{FF2B5EF4-FFF2-40B4-BE49-F238E27FC236}">
              <a16:creationId xmlns:a16="http://schemas.microsoft.com/office/drawing/2014/main" id="{F8F4365A-3998-4E10-BEFF-D9C5C8E0D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0" name="Picture 5">
          <a:extLst>
            <a:ext uri="{FF2B5EF4-FFF2-40B4-BE49-F238E27FC236}">
              <a16:creationId xmlns:a16="http://schemas.microsoft.com/office/drawing/2014/main" id="{BB8C4F5F-6F98-43DE-A3E3-9221ABED6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1" name="Picture 5">
          <a:extLst>
            <a:ext uri="{FF2B5EF4-FFF2-40B4-BE49-F238E27FC236}">
              <a16:creationId xmlns:a16="http://schemas.microsoft.com/office/drawing/2014/main" id="{D2043798-EF26-48B8-AD4C-66645C3C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2" name="Picture 5">
          <a:extLst>
            <a:ext uri="{FF2B5EF4-FFF2-40B4-BE49-F238E27FC236}">
              <a16:creationId xmlns:a16="http://schemas.microsoft.com/office/drawing/2014/main" id="{8B98126D-A111-4286-9A5C-01160779C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3" name="Picture 5">
          <a:extLst>
            <a:ext uri="{FF2B5EF4-FFF2-40B4-BE49-F238E27FC236}">
              <a16:creationId xmlns:a16="http://schemas.microsoft.com/office/drawing/2014/main" id="{27FC4B93-F141-4B46-8F10-02F567A34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4" name="Picture 5">
          <a:extLst>
            <a:ext uri="{FF2B5EF4-FFF2-40B4-BE49-F238E27FC236}">
              <a16:creationId xmlns:a16="http://schemas.microsoft.com/office/drawing/2014/main" id="{D6C4B918-6542-4A13-82E7-73FE873C8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5" name="Picture 5">
          <a:extLst>
            <a:ext uri="{FF2B5EF4-FFF2-40B4-BE49-F238E27FC236}">
              <a16:creationId xmlns:a16="http://schemas.microsoft.com/office/drawing/2014/main" id="{0AE876A7-939B-415E-B387-B82121B73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6" name="Picture 5">
          <a:extLst>
            <a:ext uri="{FF2B5EF4-FFF2-40B4-BE49-F238E27FC236}">
              <a16:creationId xmlns:a16="http://schemas.microsoft.com/office/drawing/2014/main" id="{7789CF85-473C-41EF-9C11-DCF9C668D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7" name="Picture 5">
          <a:extLst>
            <a:ext uri="{FF2B5EF4-FFF2-40B4-BE49-F238E27FC236}">
              <a16:creationId xmlns:a16="http://schemas.microsoft.com/office/drawing/2014/main" id="{A513D9AE-5ED6-4DC4-9702-3F2FF5C27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8" name="Picture 5">
          <a:extLst>
            <a:ext uri="{FF2B5EF4-FFF2-40B4-BE49-F238E27FC236}">
              <a16:creationId xmlns:a16="http://schemas.microsoft.com/office/drawing/2014/main" id="{44CF673F-90B3-43FD-9E23-BBA22418E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9" name="Picture 5">
          <a:extLst>
            <a:ext uri="{FF2B5EF4-FFF2-40B4-BE49-F238E27FC236}">
              <a16:creationId xmlns:a16="http://schemas.microsoft.com/office/drawing/2014/main" id="{798D33AF-12BA-4157-AA19-CD8D1615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0" name="Picture 5">
          <a:extLst>
            <a:ext uri="{FF2B5EF4-FFF2-40B4-BE49-F238E27FC236}">
              <a16:creationId xmlns:a16="http://schemas.microsoft.com/office/drawing/2014/main" id="{1D9F97E5-1B12-4716-AD31-BAF5C2A35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1" name="Picture 5">
          <a:extLst>
            <a:ext uri="{FF2B5EF4-FFF2-40B4-BE49-F238E27FC236}">
              <a16:creationId xmlns:a16="http://schemas.microsoft.com/office/drawing/2014/main" id="{B7DF009A-4277-4926-A760-25618C53C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2" name="Picture 5">
          <a:extLst>
            <a:ext uri="{FF2B5EF4-FFF2-40B4-BE49-F238E27FC236}">
              <a16:creationId xmlns:a16="http://schemas.microsoft.com/office/drawing/2014/main" id="{9A38F6D6-310C-4D58-9157-CAD3BB571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3" name="Picture 5">
          <a:extLst>
            <a:ext uri="{FF2B5EF4-FFF2-40B4-BE49-F238E27FC236}">
              <a16:creationId xmlns:a16="http://schemas.microsoft.com/office/drawing/2014/main" id="{792DFCBD-F956-42B9-A59D-A8FD7B729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4" name="Picture 5">
          <a:extLst>
            <a:ext uri="{FF2B5EF4-FFF2-40B4-BE49-F238E27FC236}">
              <a16:creationId xmlns:a16="http://schemas.microsoft.com/office/drawing/2014/main" id="{EA4F109A-9619-40AE-A448-39A6A4FB5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5" name="Picture 5">
          <a:extLst>
            <a:ext uri="{FF2B5EF4-FFF2-40B4-BE49-F238E27FC236}">
              <a16:creationId xmlns:a16="http://schemas.microsoft.com/office/drawing/2014/main" id="{63FEDEAC-A0CF-4047-A858-94A15C0EC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6" name="Picture 5">
          <a:extLst>
            <a:ext uri="{FF2B5EF4-FFF2-40B4-BE49-F238E27FC236}">
              <a16:creationId xmlns:a16="http://schemas.microsoft.com/office/drawing/2014/main" id="{706E4B4A-94E2-4560-B6F4-4FE53365C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7" name="Picture 5">
          <a:extLst>
            <a:ext uri="{FF2B5EF4-FFF2-40B4-BE49-F238E27FC236}">
              <a16:creationId xmlns:a16="http://schemas.microsoft.com/office/drawing/2014/main" id="{1CEFEE79-95E4-4471-95F8-1BAF277F8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8" name="Picture 5">
          <a:extLst>
            <a:ext uri="{FF2B5EF4-FFF2-40B4-BE49-F238E27FC236}">
              <a16:creationId xmlns:a16="http://schemas.microsoft.com/office/drawing/2014/main" id="{D3C260DC-C663-4B0E-A15A-616CAFB79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9" name="Picture 5">
          <a:extLst>
            <a:ext uri="{FF2B5EF4-FFF2-40B4-BE49-F238E27FC236}">
              <a16:creationId xmlns:a16="http://schemas.microsoft.com/office/drawing/2014/main" id="{F881E643-4DB9-4D40-A0AF-B03BEC2C1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0" name="Picture 5">
          <a:extLst>
            <a:ext uri="{FF2B5EF4-FFF2-40B4-BE49-F238E27FC236}">
              <a16:creationId xmlns:a16="http://schemas.microsoft.com/office/drawing/2014/main" id="{291791C4-1209-4C4B-8393-7BC9DF894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1" name="Picture 5">
          <a:extLst>
            <a:ext uri="{FF2B5EF4-FFF2-40B4-BE49-F238E27FC236}">
              <a16:creationId xmlns:a16="http://schemas.microsoft.com/office/drawing/2014/main" id="{8A99A803-5E57-4780-A833-A9743459D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2" name="Picture 5">
          <a:extLst>
            <a:ext uri="{FF2B5EF4-FFF2-40B4-BE49-F238E27FC236}">
              <a16:creationId xmlns:a16="http://schemas.microsoft.com/office/drawing/2014/main" id="{7E4669CF-6726-440C-BF1C-AAE3757DF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3" name="Picture 5">
          <a:extLst>
            <a:ext uri="{FF2B5EF4-FFF2-40B4-BE49-F238E27FC236}">
              <a16:creationId xmlns:a16="http://schemas.microsoft.com/office/drawing/2014/main" id="{69AF1B79-B5D0-4689-9E53-DC58810FE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4" name="Picture 5">
          <a:extLst>
            <a:ext uri="{FF2B5EF4-FFF2-40B4-BE49-F238E27FC236}">
              <a16:creationId xmlns:a16="http://schemas.microsoft.com/office/drawing/2014/main" id="{15F47FBF-96B0-44CC-AA1C-2446EE7B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5" name="Picture 5">
          <a:extLst>
            <a:ext uri="{FF2B5EF4-FFF2-40B4-BE49-F238E27FC236}">
              <a16:creationId xmlns:a16="http://schemas.microsoft.com/office/drawing/2014/main" id="{CF6C6BED-0AF2-4BB4-AE4D-FE1DD818E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6" name="Picture 5">
          <a:extLst>
            <a:ext uri="{FF2B5EF4-FFF2-40B4-BE49-F238E27FC236}">
              <a16:creationId xmlns:a16="http://schemas.microsoft.com/office/drawing/2014/main" id="{89250966-D5E7-47D4-9804-4F9CBAAC8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7" name="Picture 5">
          <a:extLst>
            <a:ext uri="{FF2B5EF4-FFF2-40B4-BE49-F238E27FC236}">
              <a16:creationId xmlns:a16="http://schemas.microsoft.com/office/drawing/2014/main" id="{6CBCFFA0-DF67-4702-A5F7-832F553BE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8" name="Picture 5">
          <a:extLst>
            <a:ext uri="{FF2B5EF4-FFF2-40B4-BE49-F238E27FC236}">
              <a16:creationId xmlns:a16="http://schemas.microsoft.com/office/drawing/2014/main" id="{CC166507-56D3-4973-9FE4-E792CA387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9" name="Picture 5">
          <a:extLst>
            <a:ext uri="{FF2B5EF4-FFF2-40B4-BE49-F238E27FC236}">
              <a16:creationId xmlns:a16="http://schemas.microsoft.com/office/drawing/2014/main" id="{7B001416-7E70-4F62-89B6-756577251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0" name="Picture 5">
          <a:extLst>
            <a:ext uri="{FF2B5EF4-FFF2-40B4-BE49-F238E27FC236}">
              <a16:creationId xmlns:a16="http://schemas.microsoft.com/office/drawing/2014/main" id="{2A10DE85-7970-4280-BD98-60771B88D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1" name="Picture 5">
          <a:extLst>
            <a:ext uri="{FF2B5EF4-FFF2-40B4-BE49-F238E27FC236}">
              <a16:creationId xmlns:a16="http://schemas.microsoft.com/office/drawing/2014/main" id="{C8097FF1-1CCE-4EF5-A9CF-D000C77E1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2" name="Picture 5">
          <a:extLst>
            <a:ext uri="{FF2B5EF4-FFF2-40B4-BE49-F238E27FC236}">
              <a16:creationId xmlns:a16="http://schemas.microsoft.com/office/drawing/2014/main" id="{73AC7CA6-9AC8-4758-89F5-BAD09D826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3" name="Picture 5">
          <a:extLst>
            <a:ext uri="{FF2B5EF4-FFF2-40B4-BE49-F238E27FC236}">
              <a16:creationId xmlns:a16="http://schemas.microsoft.com/office/drawing/2014/main" id="{45A61F2D-CBCD-4834-8236-4361A37FF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4" name="Picture 5">
          <a:extLst>
            <a:ext uri="{FF2B5EF4-FFF2-40B4-BE49-F238E27FC236}">
              <a16:creationId xmlns:a16="http://schemas.microsoft.com/office/drawing/2014/main" id="{3A7E8A38-6A71-4A49-80DD-E187EAE7D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5" name="Picture 5">
          <a:extLst>
            <a:ext uri="{FF2B5EF4-FFF2-40B4-BE49-F238E27FC236}">
              <a16:creationId xmlns:a16="http://schemas.microsoft.com/office/drawing/2014/main" id="{648E64E0-614B-4502-84A0-B9DBA828B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6" name="Picture 5">
          <a:extLst>
            <a:ext uri="{FF2B5EF4-FFF2-40B4-BE49-F238E27FC236}">
              <a16:creationId xmlns:a16="http://schemas.microsoft.com/office/drawing/2014/main" id="{77985E3C-8B05-42B1-99B0-A0845FB5F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7" name="Picture 5">
          <a:extLst>
            <a:ext uri="{FF2B5EF4-FFF2-40B4-BE49-F238E27FC236}">
              <a16:creationId xmlns:a16="http://schemas.microsoft.com/office/drawing/2014/main" id="{E92F91B3-BD03-476B-A2DA-962A237E4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8" name="Picture 5">
          <a:extLst>
            <a:ext uri="{FF2B5EF4-FFF2-40B4-BE49-F238E27FC236}">
              <a16:creationId xmlns:a16="http://schemas.microsoft.com/office/drawing/2014/main" id="{A69BC0CA-53E9-46D4-8F8D-40349CBE5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9" name="Picture 5">
          <a:extLst>
            <a:ext uri="{FF2B5EF4-FFF2-40B4-BE49-F238E27FC236}">
              <a16:creationId xmlns:a16="http://schemas.microsoft.com/office/drawing/2014/main" id="{76D5F6F4-6AED-4315-B7BE-69877A62A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0" name="Picture 5">
          <a:extLst>
            <a:ext uri="{FF2B5EF4-FFF2-40B4-BE49-F238E27FC236}">
              <a16:creationId xmlns:a16="http://schemas.microsoft.com/office/drawing/2014/main" id="{C829A6C1-DB25-41E0-86DC-19B0919D1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1" name="Picture 5">
          <a:extLst>
            <a:ext uri="{FF2B5EF4-FFF2-40B4-BE49-F238E27FC236}">
              <a16:creationId xmlns:a16="http://schemas.microsoft.com/office/drawing/2014/main" id="{F866D1CE-98F6-46FA-840D-3B2E1A726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2" name="Picture 5">
          <a:extLst>
            <a:ext uri="{FF2B5EF4-FFF2-40B4-BE49-F238E27FC236}">
              <a16:creationId xmlns:a16="http://schemas.microsoft.com/office/drawing/2014/main" id="{1051A59F-FF87-4739-8A26-FE6A2B1BE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3" name="Picture 5">
          <a:extLst>
            <a:ext uri="{FF2B5EF4-FFF2-40B4-BE49-F238E27FC236}">
              <a16:creationId xmlns:a16="http://schemas.microsoft.com/office/drawing/2014/main" id="{8A9709F2-F634-41B7-AFA1-FE7AA65C9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4" name="Picture 5">
          <a:extLst>
            <a:ext uri="{FF2B5EF4-FFF2-40B4-BE49-F238E27FC236}">
              <a16:creationId xmlns:a16="http://schemas.microsoft.com/office/drawing/2014/main" id="{4744EF90-54A7-40B8-83D0-6823E0A27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5" name="Picture 5">
          <a:extLst>
            <a:ext uri="{FF2B5EF4-FFF2-40B4-BE49-F238E27FC236}">
              <a16:creationId xmlns:a16="http://schemas.microsoft.com/office/drawing/2014/main" id="{E5E574FE-566C-43F0-996C-4F90D778B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6" name="Picture 5">
          <a:extLst>
            <a:ext uri="{FF2B5EF4-FFF2-40B4-BE49-F238E27FC236}">
              <a16:creationId xmlns:a16="http://schemas.microsoft.com/office/drawing/2014/main" id="{FE720D9F-BAA8-4FA6-92CA-F53B54184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7" name="Picture 5">
          <a:extLst>
            <a:ext uri="{FF2B5EF4-FFF2-40B4-BE49-F238E27FC236}">
              <a16:creationId xmlns:a16="http://schemas.microsoft.com/office/drawing/2014/main" id="{5B4AE651-DA90-4163-8ED4-6E3FA4870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8" name="Picture 5">
          <a:extLst>
            <a:ext uri="{FF2B5EF4-FFF2-40B4-BE49-F238E27FC236}">
              <a16:creationId xmlns:a16="http://schemas.microsoft.com/office/drawing/2014/main" id="{D56472A3-2060-4E9B-8B5A-E7E057590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9" name="Picture 5">
          <a:extLst>
            <a:ext uri="{FF2B5EF4-FFF2-40B4-BE49-F238E27FC236}">
              <a16:creationId xmlns:a16="http://schemas.microsoft.com/office/drawing/2014/main" id="{516304DA-FA61-4ED6-8060-BE4920619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0" name="Picture 5">
          <a:extLst>
            <a:ext uri="{FF2B5EF4-FFF2-40B4-BE49-F238E27FC236}">
              <a16:creationId xmlns:a16="http://schemas.microsoft.com/office/drawing/2014/main" id="{960EDCC3-781E-4B5D-BBB3-DAB9366B4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1" name="Picture 5">
          <a:extLst>
            <a:ext uri="{FF2B5EF4-FFF2-40B4-BE49-F238E27FC236}">
              <a16:creationId xmlns:a16="http://schemas.microsoft.com/office/drawing/2014/main" id="{9A2D452E-5D5A-483F-A155-3075D08BB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2" name="Picture 5">
          <a:extLst>
            <a:ext uri="{FF2B5EF4-FFF2-40B4-BE49-F238E27FC236}">
              <a16:creationId xmlns:a16="http://schemas.microsoft.com/office/drawing/2014/main" id="{C84BEF3D-9EB0-4F7D-888D-45548031A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3" name="Picture 5">
          <a:extLst>
            <a:ext uri="{FF2B5EF4-FFF2-40B4-BE49-F238E27FC236}">
              <a16:creationId xmlns:a16="http://schemas.microsoft.com/office/drawing/2014/main" id="{23A5D1D1-0EFF-47CF-91B0-A91D7B550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4" name="Picture 5">
          <a:extLst>
            <a:ext uri="{FF2B5EF4-FFF2-40B4-BE49-F238E27FC236}">
              <a16:creationId xmlns:a16="http://schemas.microsoft.com/office/drawing/2014/main" id="{4094F45E-85BC-44DE-B7E8-F4B779FE4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5" name="Picture 5">
          <a:extLst>
            <a:ext uri="{FF2B5EF4-FFF2-40B4-BE49-F238E27FC236}">
              <a16:creationId xmlns:a16="http://schemas.microsoft.com/office/drawing/2014/main" id="{86D0742A-9FE8-48B6-A763-84E034139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6" name="Picture 5">
          <a:extLst>
            <a:ext uri="{FF2B5EF4-FFF2-40B4-BE49-F238E27FC236}">
              <a16:creationId xmlns:a16="http://schemas.microsoft.com/office/drawing/2014/main" id="{B5E11C45-C149-4891-86A9-2F8CEC339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7" name="Picture 5">
          <a:extLst>
            <a:ext uri="{FF2B5EF4-FFF2-40B4-BE49-F238E27FC236}">
              <a16:creationId xmlns:a16="http://schemas.microsoft.com/office/drawing/2014/main" id="{DC167DF7-FDF6-46BD-AC5A-FEB1E80E5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8" name="Picture 5">
          <a:extLst>
            <a:ext uri="{FF2B5EF4-FFF2-40B4-BE49-F238E27FC236}">
              <a16:creationId xmlns:a16="http://schemas.microsoft.com/office/drawing/2014/main" id="{1EF8B7D7-1477-4437-9C17-3ABFAF19A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9" name="Picture 5">
          <a:extLst>
            <a:ext uri="{FF2B5EF4-FFF2-40B4-BE49-F238E27FC236}">
              <a16:creationId xmlns:a16="http://schemas.microsoft.com/office/drawing/2014/main" id="{FE459AAF-F9CF-45C8-B540-55D6DD1A3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0" name="Picture 5">
          <a:extLst>
            <a:ext uri="{FF2B5EF4-FFF2-40B4-BE49-F238E27FC236}">
              <a16:creationId xmlns:a16="http://schemas.microsoft.com/office/drawing/2014/main" id="{7D1AD615-BFC3-49F6-A09A-E58370FC3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1" name="Picture 5">
          <a:extLst>
            <a:ext uri="{FF2B5EF4-FFF2-40B4-BE49-F238E27FC236}">
              <a16:creationId xmlns:a16="http://schemas.microsoft.com/office/drawing/2014/main" id="{B7BEC457-DB4F-4F60-A236-AAB44F8A6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2" name="Picture 5">
          <a:extLst>
            <a:ext uri="{FF2B5EF4-FFF2-40B4-BE49-F238E27FC236}">
              <a16:creationId xmlns:a16="http://schemas.microsoft.com/office/drawing/2014/main" id="{1B5418A3-AE4C-454D-94F5-C08CDB4DDE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3" name="Picture 5">
          <a:extLst>
            <a:ext uri="{FF2B5EF4-FFF2-40B4-BE49-F238E27FC236}">
              <a16:creationId xmlns:a16="http://schemas.microsoft.com/office/drawing/2014/main" id="{FC612FC0-1FF0-4B8E-AA67-4C35A0440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4" name="Picture 5">
          <a:extLst>
            <a:ext uri="{FF2B5EF4-FFF2-40B4-BE49-F238E27FC236}">
              <a16:creationId xmlns:a16="http://schemas.microsoft.com/office/drawing/2014/main" id="{DC904759-ECE1-44B6-8980-AD6683A5F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5" name="Picture 5">
          <a:extLst>
            <a:ext uri="{FF2B5EF4-FFF2-40B4-BE49-F238E27FC236}">
              <a16:creationId xmlns:a16="http://schemas.microsoft.com/office/drawing/2014/main" id="{FFA39923-60BF-476D-8B85-67024CAEA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6" name="Picture 5">
          <a:extLst>
            <a:ext uri="{FF2B5EF4-FFF2-40B4-BE49-F238E27FC236}">
              <a16:creationId xmlns:a16="http://schemas.microsoft.com/office/drawing/2014/main" id="{82EEAD8C-5DFD-4A44-B5EE-34B69FBAF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7" name="Picture 5">
          <a:extLst>
            <a:ext uri="{FF2B5EF4-FFF2-40B4-BE49-F238E27FC236}">
              <a16:creationId xmlns:a16="http://schemas.microsoft.com/office/drawing/2014/main" id="{19501901-17B6-4F3B-A0C5-9E20088DD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N:\Comercial\Movimentacoes2.xlsx" TargetMode="External"/><Relationship Id="rId1" Type="http://schemas.openxmlformats.org/officeDocument/2006/relationships/externalLinkPath" Target="/Comercial/Movimentacoes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eulercapital.sharepoint.com/sites/Comercial/Documentos%20Compartilhados/General/Movimentacoe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N:\Comercial\Serie_Cotas_PL.xlsm" TargetMode="External"/><Relationship Id="rId1" Type="http://schemas.openxmlformats.org/officeDocument/2006/relationships/externalLinkPath" Target="/Comercial/Serie_Cotas_P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riados"/>
      <sheetName val="BTG"/>
      <sheetName val="FIC"/>
      <sheetName val="HSF"/>
      <sheetName val="Master"/>
      <sheetName val="Fluxo de Movimentações"/>
      <sheetName val="Check Aplicações"/>
      <sheetName val="resgates MH 2022"/>
    </sheetNames>
    <sheetDataSet>
      <sheetData sheetId="0"/>
      <sheetData sheetId="1"/>
      <sheetData sheetId="2"/>
      <sheetData sheetId="3">
        <row r="2">
          <cell r="H2" t="str">
            <v>APLICAÇÃO</v>
          </cell>
          <cell r="K2">
            <v>2190574.7510659993</v>
          </cell>
        </row>
        <row r="3">
          <cell r="H3" t="str">
            <v>APLICAÇÃO</v>
          </cell>
          <cell r="K3">
            <v>12540.210812982368</v>
          </cell>
        </row>
        <row r="4">
          <cell r="H4" t="str">
            <v>APLICAÇÃO</v>
          </cell>
          <cell r="K4">
            <v>11696.211218229173</v>
          </cell>
        </row>
        <row r="5">
          <cell r="H5" t="str">
            <v>APLICAÇÃO</v>
          </cell>
          <cell r="K5">
            <v>10688.660109758002</v>
          </cell>
        </row>
        <row r="6">
          <cell r="H6" t="str">
            <v>APLICAÇÃO</v>
          </cell>
          <cell r="K6">
            <v>10598.737745447954</v>
          </cell>
        </row>
        <row r="7">
          <cell r="H7" t="str">
            <v>APLICAÇÃO</v>
          </cell>
          <cell r="K7">
            <v>47853.543655400128</v>
          </cell>
        </row>
      </sheetData>
      <sheetData sheetId="4">
        <row r="1">
          <cell r="A1" t="str">
            <v>Cliente</v>
          </cell>
          <cell r="E1" t="str">
            <v>Data Solicitação</v>
          </cell>
          <cell r="G1" t="str">
            <v>Data Impacto</v>
          </cell>
          <cell r="J1" t="str">
            <v>Fin. Previsto</v>
          </cell>
        </row>
        <row r="2">
          <cell r="A2" t="str">
            <v>HSF FIA IE</v>
          </cell>
          <cell r="E2">
            <v>44833</v>
          </cell>
          <cell r="F2">
            <v>44833</v>
          </cell>
          <cell r="G2">
            <v>44833</v>
          </cell>
          <cell r="J2">
            <v>2800000</v>
          </cell>
          <cell r="K2">
            <v>2800000</v>
          </cell>
        </row>
        <row r="3">
          <cell r="A3" t="str">
            <v>NEULER ACOES FIC FIA</v>
          </cell>
          <cell r="E3">
            <v>44833</v>
          </cell>
          <cell r="F3">
            <v>44833</v>
          </cell>
          <cell r="G3">
            <v>44833</v>
          </cell>
          <cell r="J3">
            <v>5716299.0199999996</v>
          </cell>
          <cell r="K3">
            <v>5716299.0199999996</v>
          </cell>
        </row>
        <row r="4">
          <cell r="A4" t="str">
            <v>NEULER ACOES FIC FIA</v>
          </cell>
          <cell r="E4">
            <v>44834</v>
          </cell>
          <cell r="F4">
            <v>44837</v>
          </cell>
          <cell r="G4">
            <v>44834</v>
          </cell>
          <cell r="J4">
            <v>100000</v>
          </cell>
          <cell r="K4">
            <v>94638.197225624477</v>
          </cell>
        </row>
        <row r="5">
          <cell r="A5" t="str">
            <v>NEULER ACOES FIC FIA</v>
          </cell>
          <cell r="E5">
            <v>44834</v>
          </cell>
          <cell r="F5">
            <v>44837</v>
          </cell>
          <cell r="G5">
            <v>44834</v>
          </cell>
          <cell r="J5">
            <v>100000</v>
          </cell>
          <cell r="K5">
            <v>94638.197225624477</v>
          </cell>
        </row>
        <row r="6">
          <cell r="A6" t="str">
            <v>HSF FIA IE</v>
          </cell>
          <cell r="E6">
            <v>44837</v>
          </cell>
          <cell r="F6">
            <v>44838</v>
          </cell>
          <cell r="G6">
            <v>44837</v>
          </cell>
          <cell r="J6">
            <v>2200000</v>
          </cell>
          <cell r="K6">
            <v>2094887.7502010141</v>
          </cell>
        </row>
        <row r="7">
          <cell r="A7" t="str">
            <v>NEULER ACOES FIC FIA</v>
          </cell>
          <cell r="E7">
            <v>44841</v>
          </cell>
          <cell r="F7">
            <v>44844</v>
          </cell>
          <cell r="G7">
            <v>44841</v>
          </cell>
          <cell r="J7">
            <v>100000</v>
          </cell>
          <cell r="K7">
            <v>94367.612431460817</v>
          </cell>
        </row>
        <row r="8">
          <cell r="A8" t="str">
            <v>NEULER ACOES FIC FIA</v>
          </cell>
          <cell r="E8">
            <v>44848</v>
          </cell>
          <cell r="F8">
            <v>44851</v>
          </cell>
          <cell r="G8">
            <v>44848</v>
          </cell>
          <cell r="J8">
            <v>500000</v>
          </cell>
          <cell r="K8">
            <v>483589.76809162518</v>
          </cell>
        </row>
        <row r="9">
          <cell r="A9" t="str">
            <v>NEULER ACOES FIC FIA</v>
          </cell>
          <cell r="E9">
            <v>44852</v>
          </cell>
          <cell r="F9">
            <v>44853</v>
          </cell>
          <cell r="G9">
            <v>44852</v>
          </cell>
          <cell r="J9">
            <v>100000</v>
          </cell>
          <cell r="K9">
            <v>95748.709427082809</v>
          </cell>
        </row>
        <row r="10">
          <cell r="A10" t="str">
            <v>NEULER ACOES FIC FIA</v>
          </cell>
          <cell r="E10">
            <v>44854</v>
          </cell>
          <cell r="F10">
            <v>44855</v>
          </cell>
          <cell r="G10">
            <v>44854</v>
          </cell>
          <cell r="J10">
            <v>1000000</v>
          </cell>
          <cell r="K10">
            <v>942556.37311848078</v>
          </cell>
        </row>
        <row r="11">
          <cell r="A11" t="str">
            <v>NEULER ACOES FIC FIA</v>
          </cell>
          <cell r="E11">
            <v>44854</v>
          </cell>
          <cell r="F11">
            <v>44855</v>
          </cell>
          <cell r="G11">
            <v>44854</v>
          </cell>
          <cell r="J11">
            <v>1100000</v>
          </cell>
          <cell r="K11">
            <v>1036812.0104303289</v>
          </cell>
        </row>
        <row r="12">
          <cell r="A12" t="str">
            <v>NEULER ACOES FIC FIA</v>
          </cell>
          <cell r="E12">
            <v>44868</v>
          </cell>
          <cell r="F12">
            <v>44868</v>
          </cell>
          <cell r="G12">
            <v>44872</v>
          </cell>
          <cell r="J12">
            <v>-11000</v>
          </cell>
          <cell r="K12">
            <v>-9912.1298698068786</v>
          </cell>
        </row>
        <row r="13">
          <cell r="A13" t="str">
            <v>NEULER ACOES FIC FIA</v>
          </cell>
          <cell r="E13">
            <v>44879</v>
          </cell>
          <cell r="F13">
            <v>44881</v>
          </cell>
          <cell r="G13">
            <v>44879</v>
          </cell>
          <cell r="J13">
            <v>100000</v>
          </cell>
          <cell r="K13">
            <v>101366.92281750173</v>
          </cell>
        </row>
        <row r="14">
          <cell r="A14" t="str">
            <v>NEULER ACOES FIC FIA</v>
          </cell>
          <cell r="E14">
            <v>44881</v>
          </cell>
          <cell r="F14">
            <v>44882</v>
          </cell>
          <cell r="G14">
            <v>44881</v>
          </cell>
          <cell r="J14">
            <v>100000</v>
          </cell>
          <cell r="K14">
            <v>101490.53052753965</v>
          </cell>
        </row>
        <row r="15">
          <cell r="A15" t="str">
            <v>NEULER ACOES FIC FIA</v>
          </cell>
          <cell r="E15">
            <v>44881</v>
          </cell>
          <cell r="F15">
            <v>44882</v>
          </cell>
          <cell r="G15">
            <v>44881</v>
          </cell>
          <cell r="J15">
            <v>1000000</v>
          </cell>
          <cell r="K15">
            <v>1014905.3052753966</v>
          </cell>
        </row>
        <row r="16">
          <cell r="A16" t="str">
            <v>HSF FIA IE</v>
          </cell>
          <cell r="E16">
            <v>44888</v>
          </cell>
          <cell r="F16">
            <v>44889</v>
          </cell>
          <cell r="G16">
            <v>44888</v>
          </cell>
          <cell r="J16">
            <v>4000000</v>
          </cell>
          <cell r="K16">
            <v>3933318.065503709</v>
          </cell>
        </row>
        <row r="17">
          <cell r="A17" t="str">
            <v>NEULER ACOES FIC FIA</v>
          </cell>
          <cell r="E17">
            <v>44897</v>
          </cell>
          <cell r="F17">
            <v>44900</v>
          </cell>
          <cell r="G17">
            <v>44897</v>
          </cell>
          <cell r="J17">
            <v>1000000</v>
          </cell>
          <cell r="K17">
            <v>1030175.0638296469</v>
          </cell>
        </row>
        <row r="18">
          <cell r="A18" t="str">
            <v>HSF FIA IE</v>
          </cell>
          <cell r="E18">
            <v>44900</v>
          </cell>
          <cell r="F18">
            <v>44900</v>
          </cell>
          <cell r="G18">
            <v>44902</v>
          </cell>
          <cell r="J18">
            <v>-4000</v>
          </cell>
          <cell r="K18">
            <v>-4120.7002553185876</v>
          </cell>
        </row>
        <row r="19">
          <cell r="A19" t="str">
            <v>NEULER ACOES FIC FIA</v>
          </cell>
          <cell r="E19">
            <v>44900</v>
          </cell>
          <cell r="F19">
            <v>44900</v>
          </cell>
          <cell r="G19">
            <v>44902</v>
          </cell>
          <cell r="J19">
            <v>-14000</v>
          </cell>
          <cell r="K19">
            <v>-14422.450893615056</v>
          </cell>
        </row>
        <row r="20">
          <cell r="A20" t="str">
            <v>NEULER ACOES FIC FIA</v>
          </cell>
          <cell r="E20">
            <v>44904</v>
          </cell>
          <cell r="F20">
            <v>44907</v>
          </cell>
          <cell r="G20">
            <v>44904</v>
          </cell>
          <cell r="J20">
            <v>1000000</v>
          </cell>
          <cell r="K20">
            <v>1100277.2918831003</v>
          </cell>
        </row>
        <row r="21">
          <cell r="A21" t="str">
            <v>NEULER ACOES FIC FIA</v>
          </cell>
          <cell r="E21">
            <v>44907</v>
          </cell>
          <cell r="F21">
            <v>44908</v>
          </cell>
          <cell r="G21">
            <v>44907</v>
          </cell>
          <cell r="J21">
            <v>100000</v>
          </cell>
          <cell r="K21">
            <v>112897.59003159439</v>
          </cell>
        </row>
        <row r="22">
          <cell r="A22" t="str">
            <v>NEULER ACOES FIC FIA</v>
          </cell>
          <cell r="E22">
            <v>44914</v>
          </cell>
          <cell r="F22">
            <v>44915</v>
          </cell>
          <cell r="G22">
            <v>44914</v>
          </cell>
          <cell r="J22">
            <v>1000000</v>
          </cell>
          <cell r="K22">
            <v>1074686.2910115067</v>
          </cell>
        </row>
        <row r="23">
          <cell r="A23" t="str">
            <v>NEULER ACOES FIC FIA</v>
          </cell>
          <cell r="E23">
            <v>44918</v>
          </cell>
          <cell r="F23">
            <v>44921</v>
          </cell>
          <cell r="G23">
            <v>44918</v>
          </cell>
          <cell r="J23">
            <v>1000000</v>
          </cell>
          <cell r="K23">
            <v>1045231.7780563205</v>
          </cell>
        </row>
        <row r="24">
          <cell r="A24" t="str">
            <v>HSF FIA IE</v>
          </cell>
          <cell r="E24">
            <v>44929</v>
          </cell>
          <cell r="F24">
            <v>44929</v>
          </cell>
          <cell r="G24">
            <v>44931</v>
          </cell>
          <cell r="J24">
            <v>-3500</v>
          </cell>
          <cell r="K24">
            <v>-3865.9705563264179</v>
          </cell>
        </row>
        <row r="25">
          <cell r="A25" t="str">
            <v>NEULER ACOES FIC FIA</v>
          </cell>
          <cell r="E25">
            <v>44929</v>
          </cell>
          <cell r="F25">
            <v>44929</v>
          </cell>
          <cell r="G25">
            <v>44931</v>
          </cell>
          <cell r="J25">
            <v>-20000</v>
          </cell>
          <cell r="K25">
            <v>-22091.260321865244</v>
          </cell>
        </row>
        <row r="26">
          <cell r="A26" t="str">
            <v>NEULER ACOES FIC FIA</v>
          </cell>
          <cell r="E26">
            <v>44936</v>
          </cell>
          <cell r="F26">
            <v>44937</v>
          </cell>
          <cell r="G26">
            <v>44936</v>
          </cell>
          <cell r="J26">
            <v>300000</v>
          </cell>
          <cell r="K26">
            <v>306859.94615426235</v>
          </cell>
        </row>
        <row r="27">
          <cell r="A27" t="str">
            <v>HSF FIA IE</v>
          </cell>
          <cell r="E27">
            <v>44959</v>
          </cell>
          <cell r="F27">
            <v>44959</v>
          </cell>
          <cell r="G27">
            <v>44963</v>
          </cell>
          <cell r="J27">
            <v>-4000</v>
          </cell>
          <cell r="K27">
            <v>-4020.5251831123064</v>
          </cell>
        </row>
        <row r="28">
          <cell r="A28" t="str">
            <v>NEULER ACOES FIC FIA</v>
          </cell>
          <cell r="E28">
            <v>44959</v>
          </cell>
          <cell r="F28">
            <v>44959</v>
          </cell>
          <cell r="G28">
            <v>44963</v>
          </cell>
          <cell r="J28">
            <v>-23000</v>
          </cell>
          <cell r="K28">
            <v>-23118.019802895764</v>
          </cell>
        </row>
        <row r="29">
          <cell r="A29" t="str">
            <v>HSF FIA IE</v>
          </cell>
          <cell r="E29">
            <v>44965</v>
          </cell>
          <cell r="F29">
            <v>44966</v>
          </cell>
          <cell r="G29">
            <v>44965</v>
          </cell>
          <cell r="J29">
            <v>87000</v>
          </cell>
          <cell r="K29">
            <v>91033.265229289784</v>
          </cell>
        </row>
        <row r="30">
          <cell r="A30" t="str">
            <v>HSF FIA IE</v>
          </cell>
          <cell r="E30">
            <v>44987</v>
          </cell>
          <cell r="F30">
            <v>44987</v>
          </cell>
          <cell r="G30">
            <v>44991</v>
          </cell>
          <cell r="J30">
            <v>-9000</v>
          </cell>
          <cell r="K30">
            <v>-9945.1370986874736</v>
          </cell>
        </row>
        <row r="31">
          <cell r="A31" t="str">
            <v>NEULER ACOES FIC FIA</v>
          </cell>
          <cell r="E31">
            <v>44987</v>
          </cell>
          <cell r="F31">
            <v>44987</v>
          </cell>
          <cell r="G31">
            <v>44991</v>
          </cell>
          <cell r="J31">
            <v>-20000</v>
          </cell>
          <cell r="K31">
            <v>-22100.304663749943</v>
          </cell>
        </row>
        <row r="32">
          <cell r="A32" t="str">
            <v>NEULER ACOES FIC FIA</v>
          </cell>
          <cell r="E32">
            <v>44991</v>
          </cell>
          <cell r="F32">
            <v>44992</v>
          </cell>
          <cell r="G32">
            <v>44991</v>
          </cell>
          <cell r="J32">
            <v>200000</v>
          </cell>
          <cell r="K32">
            <v>220283.57986370174</v>
          </cell>
        </row>
        <row r="33">
          <cell r="A33" t="str">
            <v>HSF FIA IE</v>
          </cell>
          <cell r="E33">
            <v>45020</v>
          </cell>
          <cell r="F33">
            <v>45020</v>
          </cell>
          <cell r="G33">
            <v>45022</v>
          </cell>
          <cell r="J33">
            <v>-10000</v>
          </cell>
          <cell r="K33">
            <v>-11307.369351827667</v>
          </cell>
        </row>
        <row r="34">
          <cell r="A34" t="str">
            <v>NEULER ACOES FIC FIA</v>
          </cell>
          <cell r="E34">
            <v>45020</v>
          </cell>
          <cell r="F34">
            <v>45020</v>
          </cell>
          <cell r="G34">
            <v>45022</v>
          </cell>
          <cell r="J34">
            <v>-24000</v>
          </cell>
          <cell r="K34">
            <v>-27137.6864443864</v>
          </cell>
        </row>
        <row r="35">
          <cell r="A35" t="str">
            <v>HSF FIA IE</v>
          </cell>
          <cell r="E35">
            <v>45049</v>
          </cell>
          <cell r="F35">
            <v>45049</v>
          </cell>
          <cell r="G35">
            <v>45051</v>
          </cell>
          <cell r="J35">
            <v>-9000</v>
          </cell>
          <cell r="K35">
            <v>-10138.500934769787</v>
          </cell>
        </row>
        <row r="36">
          <cell r="A36" t="str">
            <v>NEULER ACOES FIC FIA</v>
          </cell>
          <cell r="E36">
            <v>45049</v>
          </cell>
          <cell r="F36">
            <v>45049</v>
          </cell>
          <cell r="G36">
            <v>45051</v>
          </cell>
          <cell r="J36">
            <v>-18000</v>
          </cell>
          <cell r="K36">
            <v>-20277.001869539574</v>
          </cell>
        </row>
        <row r="37">
          <cell r="A37" t="str">
            <v>HSF FIA IE</v>
          </cell>
          <cell r="E37">
            <v>45077</v>
          </cell>
          <cell r="F37">
            <v>45078</v>
          </cell>
          <cell r="G37">
            <v>45077</v>
          </cell>
          <cell r="J37">
            <v>50000</v>
          </cell>
          <cell r="K37">
            <v>50928.0620751963</v>
          </cell>
        </row>
        <row r="38">
          <cell r="A38" t="str">
            <v>HSF FIA IE</v>
          </cell>
          <cell r="E38">
            <v>45079</v>
          </cell>
          <cell r="F38">
            <v>45079</v>
          </cell>
          <cell r="G38">
            <v>45083</v>
          </cell>
          <cell r="J38">
            <v>-10000</v>
          </cell>
          <cell r="K38">
            <v>-10078.298299488728</v>
          </cell>
        </row>
        <row r="39">
          <cell r="A39" t="str">
            <v>NEULER ACOES FIC FIA</v>
          </cell>
          <cell r="E39">
            <v>45079</v>
          </cell>
          <cell r="F39">
            <v>45079</v>
          </cell>
          <cell r="G39">
            <v>45083</v>
          </cell>
          <cell r="J39">
            <v>-23000</v>
          </cell>
          <cell r="K39">
            <v>-23180.086088824075</v>
          </cell>
        </row>
        <row r="40">
          <cell r="A40" t="str">
            <v>HSF FIA IE</v>
          </cell>
          <cell r="E40">
            <v>45111</v>
          </cell>
          <cell r="F40">
            <v>45111</v>
          </cell>
          <cell r="G40">
            <v>45113</v>
          </cell>
          <cell r="J40">
            <v>-11500</v>
          </cell>
          <cell r="K40">
            <v>-10736.020487687932</v>
          </cell>
        </row>
        <row r="41">
          <cell r="A41" t="str">
            <v>NEULER ACOES FIC FIA</v>
          </cell>
          <cell r="E41">
            <v>45111</v>
          </cell>
          <cell r="F41">
            <v>45111</v>
          </cell>
          <cell r="G41">
            <v>45113</v>
          </cell>
          <cell r="J41">
            <v>-24500</v>
          </cell>
          <cell r="K41">
            <v>-22872.391473769945</v>
          </cell>
        </row>
        <row r="42">
          <cell r="A42" t="str">
            <v>HSF FIA IE</v>
          </cell>
          <cell r="E42">
            <v>45119</v>
          </cell>
          <cell r="F42">
            <v>45120</v>
          </cell>
          <cell r="G42">
            <v>45119</v>
          </cell>
          <cell r="J42">
            <v>50000</v>
          </cell>
          <cell r="K42">
            <v>47381.162595377093</v>
          </cell>
        </row>
        <row r="43">
          <cell r="A43" t="str">
            <v>NEULER ACOES FIC FIA</v>
          </cell>
          <cell r="E43">
            <v>45119</v>
          </cell>
          <cell r="F43">
            <v>45120</v>
          </cell>
          <cell r="G43">
            <v>45119</v>
          </cell>
          <cell r="J43">
            <v>100000</v>
          </cell>
          <cell r="K43">
            <v>94762.325190754185</v>
          </cell>
        </row>
        <row r="44">
          <cell r="A44" t="str">
            <v>HSF FIA IE</v>
          </cell>
          <cell r="E44">
            <v>45140</v>
          </cell>
          <cell r="F44">
            <v>45140</v>
          </cell>
          <cell r="G44">
            <v>45142</v>
          </cell>
          <cell r="J44">
            <v>-12000</v>
          </cell>
          <cell r="K44">
            <v>-11095.153609165633</v>
          </cell>
        </row>
        <row r="45">
          <cell r="A45" t="str">
            <v>NEULER ACOES FIC FIA</v>
          </cell>
          <cell r="E45">
            <v>45140</v>
          </cell>
          <cell r="F45">
            <v>45140</v>
          </cell>
          <cell r="G45">
            <v>45142</v>
          </cell>
          <cell r="J45">
            <v>-25000</v>
          </cell>
          <cell r="K45">
            <v>-23114.903352428402</v>
          </cell>
        </row>
        <row r="46">
          <cell r="A46" t="str">
            <v>NEULER ACOES FIC FIA</v>
          </cell>
          <cell r="E46">
            <v>45149</v>
          </cell>
          <cell r="F46">
            <v>45152</v>
          </cell>
          <cell r="G46">
            <v>45149</v>
          </cell>
          <cell r="J46">
            <v>100000</v>
          </cell>
          <cell r="K46">
            <v>95876.688771996036</v>
          </cell>
        </row>
        <row r="47">
          <cell r="A47" t="str">
            <v>HSF FIA IE</v>
          </cell>
          <cell r="E47">
            <v>45173</v>
          </cell>
          <cell r="F47">
            <v>45173</v>
          </cell>
          <cell r="G47">
            <v>45175</v>
          </cell>
          <cell r="J47">
            <v>-12500</v>
          </cell>
          <cell r="K47">
            <v>-11587.895858745589</v>
          </cell>
        </row>
        <row r="48">
          <cell r="A48" t="str">
            <v>NEULER ACOES FIC FIA</v>
          </cell>
          <cell r="E48">
            <v>45173</v>
          </cell>
          <cell r="F48">
            <v>45173</v>
          </cell>
          <cell r="G48">
            <v>45175</v>
          </cell>
          <cell r="J48">
            <v>-28000</v>
          </cell>
          <cell r="K48">
            <v>-25956.88672359012</v>
          </cell>
        </row>
        <row r="49">
          <cell r="A49" t="str">
            <v>HSF FIA IE</v>
          </cell>
          <cell r="E49">
            <v>45202</v>
          </cell>
          <cell r="F49">
            <v>45202</v>
          </cell>
          <cell r="G49">
            <v>45204</v>
          </cell>
          <cell r="J49">
            <v>-11500</v>
          </cell>
          <cell r="K49">
            <v>-10943.173053911303</v>
          </cell>
        </row>
        <row r="50">
          <cell r="A50" t="str">
            <v>NEULER ACOES FIC FIA</v>
          </cell>
          <cell r="E50">
            <v>45202</v>
          </cell>
          <cell r="F50">
            <v>45202</v>
          </cell>
          <cell r="G50">
            <v>45204</v>
          </cell>
          <cell r="J50">
            <v>-24000</v>
          </cell>
          <cell r="K50">
            <v>-22837.926373380113</v>
          </cell>
        </row>
        <row r="51">
          <cell r="A51" t="str">
            <v>NEULER ACOES FIC FIA</v>
          </cell>
          <cell r="E51">
            <v>45233</v>
          </cell>
          <cell r="F51">
            <v>45233</v>
          </cell>
          <cell r="G51">
            <v>45237</v>
          </cell>
          <cell r="J51">
            <v>-25000</v>
          </cell>
          <cell r="K51">
            <v>-22815.289967733705</v>
          </cell>
        </row>
        <row r="52">
          <cell r="A52" t="str">
            <v>HSF FIA IE</v>
          </cell>
          <cell r="E52">
            <v>45233</v>
          </cell>
          <cell r="F52">
            <v>45233</v>
          </cell>
          <cell r="G52">
            <v>45237</v>
          </cell>
          <cell r="J52">
            <v>-12000</v>
          </cell>
          <cell r="K52">
            <v>-10951.339184512179</v>
          </cell>
        </row>
        <row r="53">
          <cell r="A53" t="str">
            <v>NEULER ACOES FIC FIA</v>
          </cell>
          <cell r="E53">
            <v>45264</v>
          </cell>
          <cell r="F53">
            <v>45264</v>
          </cell>
          <cell r="G53">
            <v>45266</v>
          </cell>
          <cell r="J53">
            <v>-24500</v>
          </cell>
          <cell r="K53">
            <v>-20935.600895325926</v>
          </cell>
        </row>
        <row r="54">
          <cell r="A54" t="str">
            <v>HSF FIA IE</v>
          </cell>
          <cell r="E54">
            <v>45264</v>
          </cell>
          <cell r="F54">
            <v>45265</v>
          </cell>
          <cell r="G54">
            <v>45264</v>
          </cell>
          <cell r="J54">
            <v>50000</v>
          </cell>
          <cell r="K54">
            <v>42700.830975251112</v>
          </cell>
        </row>
        <row r="55">
          <cell r="A55" t="str">
            <v>HSF FIA IE</v>
          </cell>
          <cell r="E55">
            <v>45264</v>
          </cell>
          <cell r="F55">
            <v>45264</v>
          </cell>
          <cell r="G55">
            <v>45266</v>
          </cell>
          <cell r="J55">
            <v>-11500</v>
          </cell>
          <cell r="K55">
            <v>-9826.9147059693114</v>
          </cell>
        </row>
        <row r="56">
          <cell r="A56" t="str">
            <v>NEULER ACOES FIC FIA</v>
          </cell>
          <cell r="E56">
            <v>45293</v>
          </cell>
          <cell r="F56">
            <v>45293</v>
          </cell>
          <cell r="G56">
            <v>45295</v>
          </cell>
          <cell r="J56">
            <v>-26000</v>
          </cell>
          <cell r="K56">
            <v>-21447.195725540896</v>
          </cell>
        </row>
        <row r="57">
          <cell r="A57" t="str">
            <v>HSF FIA IE</v>
          </cell>
          <cell r="E57">
            <v>45293</v>
          </cell>
          <cell r="F57">
            <v>45293</v>
          </cell>
          <cell r="G57">
            <v>45295</v>
          </cell>
          <cell r="J57">
            <v>-12000</v>
          </cell>
          <cell r="K57">
            <v>-9898.7057194804129</v>
          </cell>
        </row>
        <row r="58">
          <cell r="A58" t="str">
            <v>NEULER ACOES FIC FIA</v>
          </cell>
          <cell r="E58">
            <v>45299</v>
          </cell>
          <cell r="F58">
            <v>45299</v>
          </cell>
          <cell r="G58">
            <v>45301</v>
          </cell>
          <cell r="J58">
            <v>-212000</v>
          </cell>
          <cell r="K58">
            <v>-172606.54362805441</v>
          </cell>
        </row>
        <row r="59">
          <cell r="A59" t="str">
            <v>HSF FIA IE</v>
          </cell>
          <cell r="E59">
            <v>45299</v>
          </cell>
          <cell r="F59">
            <v>45299</v>
          </cell>
          <cell r="G59">
            <v>45301</v>
          </cell>
          <cell r="J59">
            <v>-148000</v>
          </cell>
          <cell r="K59">
            <v>-120498.90781581157</v>
          </cell>
        </row>
        <row r="60">
          <cell r="A60" t="str">
            <v>NEULER ACOES FIC FIA</v>
          </cell>
          <cell r="E60">
            <v>45317</v>
          </cell>
          <cell r="F60">
            <v>45320</v>
          </cell>
          <cell r="G60">
            <v>45317</v>
          </cell>
          <cell r="J60">
            <v>1000000</v>
          </cell>
          <cell r="K60">
            <v>837679.63411493902</v>
          </cell>
        </row>
        <row r="61">
          <cell r="A61" t="str">
            <v>NEULER ACOES FIC FIA</v>
          </cell>
          <cell r="E61">
            <v>45320</v>
          </cell>
          <cell r="F61">
            <v>45321</v>
          </cell>
          <cell r="G61">
            <v>45320</v>
          </cell>
          <cell r="J61">
            <v>100000</v>
          </cell>
          <cell r="K61">
            <v>84679.985021804299</v>
          </cell>
        </row>
        <row r="62">
          <cell r="A62" t="str">
            <v>NEULER ACOES FIC FIA</v>
          </cell>
          <cell r="E62">
            <v>45321</v>
          </cell>
          <cell r="F62">
            <v>45322</v>
          </cell>
          <cell r="G62">
            <v>45320</v>
          </cell>
          <cell r="J62">
            <v>1000000</v>
          </cell>
          <cell r="K62">
            <v>841124.45891515003</v>
          </cell>
        </row>
        <row r="63">
          <cell r="A63" t="str">
            <v>NEULER ACOES FIC FIA</v>
          </cell>
          <cell r="E63">
            <v>45321</v>
          </cell>
          <cell r="F63">
            <v>45321</v>
          </cell>
          <cell r="G63">
            <v>45323</v>
          </cell>
          <cell r="J63">
            <v>-100000</v>
          </cell>
          <cell r="K63">
            <v>-84679.985021804256</v>
          </cell>
        </row>
        <row r="64">
          <cell r="A64" t="str">
            <v>HSF FIA IE</v>
          </cell>
          <cell r="E64">
            <v>45324</v>
          </cell>
          <cell r="F64">
            <v>45324</v>
          </cell>
          <cell r="G64">
            <v>45328</v>
          </cell>
          <cell r="J64">
            <v>-13000</v>
          </cell>
          <cell r="K64">
            <v>-11007.822921047744</v>
          </cell>
        </row>
        <row r="65">
          <cell r="A65" t="str">
            <v>NEULER ACOES FIC FIA</v>
          </cell>
          <cell r="E65">
            <v>45324</v>
          </cell>
          <cell r="F65">
            <v>45324</v>
          </cell>
          <cell r="G65">
            <v>45328</v>
          </cell>
          <cell r="J65">
            <v>-28500</v>
          </cell>
          <cell r="K65">
            <v>-24132.534865373902</v>
          </cell>
        </row>
        <row r="66">
          <cell r="A66" t="str">
            <v>HSF FIA IE</v>
          </cell>
          <cell r="E66">
            <v>45344</v>
          </cell>
          <cell r="F66">
            <v>45345</v>
          </cell>
          <cell r="G66">
            <v>45344</v>
          </cell>
          <cell r="J66">
            <v>50000</v>
          </cell>
          <cell r="K66">
            <v>42018.879418673801</v>
          </cell>
        </row>
        <row r="67">
          <cell r="A67" t="str">
            <v>NEULER ACOES FIC FIA</v>
          </cell>
          <cell r="E67">
            <v>45345</v>
          </cell>
          <cell r="F67">
            <v>45348</v>
          </cell>
          <cell r="G67">
            <v>45345</v>
          </cell>
          <cell r="J67">
            <v>400000</v>
          </cell>
          <cell r="K67">
            <v>335940.45522619202</v>
          </cell>
        </row>
        <row r="68">
          <cell r="A68" t="str">
            <v>NEULER ACOES FIC FIA</v>
          </cell>
          <cell r="E68">
            <v>45356</v>
          </cell>
          <cell r="F68">
            <v>45356</v>
          </cell>
          <cell r="G68">
            <v>45358</v>
          </cell>
          <cell r="J68">
            <v>-27000</v>
          </cell>
          <cell r="K68">
            <v>-22755.195727551873</v>
          </cell>
        </row>
        <row r="69">
          <cell r="A69" t="str">
            <v>HSF FIA IE</v>
          </cell>
          <cell r="E69">
            <v>45356</v>
          </cell>
          <cell r="F69">
            <v>45356</v>
          </cell>
          <cell r="G69">
            <v>45358</v>
          </cell>
          <cell r="J69">
            <v>-11000</v>
          </cell>
          <cell r="K69">
            <v>-9270.6352964100224</v>
          </cell>
        </row>
        <row r="70">
          <cell r="A70" t="str">
            <v>NEULER ACOES FIC FIA</v>
          </cell>
          <cell r="E70">
            <v>45385</v>
          </cell>
          <cell r="F70">
            <v>45385</v>
          </cell>
          <cell r="G70">
            <v>45387</v>
          </cell>
          <cell r="J70">
            <v>-29000</v>
          </cell>
          <cell r="K70">
            <v>-24795.477920439178</v>
          </cell>
        </row>
        <row r="71">
          <cell r="A71" t="str">
            <v>HSF FIA IE</v>
          </cell>
          <cell r="E71">
            <v>45385</v>
          </cell>
          <cell r="F71">
            <v>45385</v>
          </cell>
          <cell r="G71">
            <v>45387</v>
          </cell>
          <cell r="J71">
            <v>-12000</v>
          </cell>
          <cell r="K71">
            <v>-10260.197760181729</v>
          </cell>
        </row>
        <row r="72">
          <cell r="A72" t="str">
            <v>NEULER ACOES FIC FIA</v>
          </cell>
          <cell r="E72">
            <v>45418</v>
          </cell>
          <cell r="F72">
            <v>45418</v>
          </cell>
          <cell r="G72">
            <v>45420</v>
          </cell>
          <cell r="J72">
            <v>-30000</v>
          </cell>
          <cell r="K72">
            <v>-26570.733329211918</v>
          </cell>
        </row>
        <row r="73">
          <cell r="A73" t="str">
            <v>HSF FIA IE</v>
          </cell>
          <cell r="E73">
            <v>45418</v>
          </cell>
          <cell r="F73">
            <v>45418</v>
          </cell>
          <cell r="G73">
            <v>45420</v>
          </cell>
          <cell r="J73">
            <v>-12000</v>
          </cell>
          <cell r="K73">
            <v>-10628.293331684768</v>
          </cell>
        </row>
        <row r="74">
          <cell r="A74" t="str">
            <v>NEULER ACOES FIC FIA</v>
          </cell>
          <cell r="E74">
            <v>45418</v>
          </cell>
          <cell r="F74">
            <v>45418</v>
          </cell>
          <cell r="G74">
            <v>45420</v>
          </cell>
          <cell r="J74">
            <v>-7500</v>
          </cell>
          <cell r="K74">
            <v>-6642.6833323029796</v>
          </cell>
        </row>
        <row r="75">
          <cell r="A75" t="str">
            <v>NEULER ACOES FIC FIA</v>
          </cell>
          <cell r="E75">
            <v>45440</v>
          </cell>
          <cell r="F75">
            <v>45441</v>
          </cell>
          <cell r="G75">
            <v>45440</v>
          </cell>
          <cell r="J75">
            <v>50000</v>
          </cell>
          <cell r="K75">
            <v>47215.240399701557</v>
          </cell>
        </row>
        <row r="76">
          <cell r="A76" t="str">
            <v>NEULER ACOES FIC FIA</v>
          </cell>
          <cell r="E76">
            <v>45443</v>
          </cell>
          <cell r="F76">
            <v>45443</v>
          </cell>
          <cell r="G76">
            <v>45447</v>
          </cell>
          <cell r="J76">
            <v>-50000</v>
          </cell>
          <cell r="K76">
            <v>-47417.752485780838</v>
          </cell>
        </row>
        <row r="77">
          <cell r="A77" t="str">
            <v>NEULER ACOES FIC FIA</v>
          </cell>
          <cell r="E77">
            <v>45448</v>
          </cell>
          <cell r="F77">
            <v>45448</v>
          </cell>
          <cell r="G77">
            <v>45450</v>
          </cell>
          <cell r="J77">
            <v>-28000</v>
          </cell>
          <cell r="K77">
            <v>-26571.293437421944</v>
          </cell>
        </row>
        <row r="78">
          <cell r="A78" t="str">
            <v>HSF FIA IE</v>
          </cell>
          <cell r="E78">
            <v>45448</v>
          </cell>
          <cell r="F78">
            <v>45448</v>
          </cell>
          <cell r="G78">
            <v>45450</v>
          </cell>
          <cell r="J78">
            <v>-11000</v>
          </cell>
          <cell r="K78">
            <v>-10438.722421844335</v>
          </cell>
        </row>
        <row r="79">
          <cell r="A79" t="str">
            <v>HSF FIA IE</v>
          </cell>
          <cell r="E79">
            <v>45476</v>
          </cell>
          <cell r="F79">
            <v>45477</v>
          </cell>
          <cell r="G79">
            <v>45476</v>
          </cell>
          <cell r="J79">
            <v>200000</v>
          </cell>
          <cell r="K79">
            <v>188801.66356921804</v>
          </cell>
        </row>
        <row r="80">
          <cell r="A80" t="str">
            <v>NEULER ACOES FIC FIA</v>
          </cell>
          <cell r="E80">
            <v>45476</v>
          </cell>
          <cell r="F80">
            <v>45476</v>
          </cell>
          <cell r="G80">
            <v>45478</v>
          </cell>
          <cell r="J80">
            <v>-26000</v>
          </cell>
          <cell r="K80">
            <v>-25086.4372492683</v>
          </cell>
        </row>
        <row r="81">
          <cell r="A81" t="str">
            <v>HSF FIA IE</v>
          </cell>
          <cell r="E81">
            <v>45476</v>
          </cell>
          <cell r="F81">
            <v>45476</v>
          </cell>
          <cell r="G81">
            <v>45478</v>
          </cell>
          <cell r="J81">
            <v>-10000</v>
          </cell>
          <cell r="K81">
            <v>-9648.6297112570373</v>
          </cell>
        </row>
        <row r="82">
          <cell r="A82" t="str">
            <v>HSF FIA IE</v>
          </cell>
          <cell r="E82">
            <v>45509</v>
          </cell>
          <cell r="F82">
            <v>45509</v>
          </cell>
          <cell r="G82">
            <v>45511</v>
          </cell>
          <cell r="J82">
            <v>-12000</v>
          </cell>
          <cell r="K82">
            <v>-11282.251373261533</v>
          </cell>
        </row>
        <row r="83">
          <cell r="A83" t="str">
            <v>NEULER ACOES FIC FIA</v>
          </cell>
          <cell r="E83">
            <v>45509</v>
          </cell>
          <cell r="F83">
            <v>45509</v>
          </cell>
          <cell r="G83">
            <v>45511</v>
          </cell>
          <cell r="J83">
            <v>-29000</v>
          </cell>
          <cell r="K83">
            <v>-27265.440818715371</v>
          </cell>
        </row>
        <row r="84">
          <cell r="A84" t="str">
            <v>NEULER ACOES FIC FIA</v>
          </cell>
          <cell r="E84">
            <v>45524</v>
          </cell>
          <cell r="F84">
            <v>45525</v>
          </cell>
          <cell r="G84">
            <v>45524</v>
          </cell>
          <cell r="J84">
            <v>50000</v>
          </cell>
          <cell r="K84">
            <v>43579.380190000003</v>
          </cell>
        </row>
        <row r="85">
          <cell r="A85" t="str">
            <v>NEULER ACOES FIC FIA</v>
          </cell>
          <cell r="E85">
            <v>45525</v>
          </cell>
          <cell r="F85">
            <v>45526</v>
          </cell>
          <cell r="G85">
            <v>45525</v>
          </cell>
          <cell r="J85">
            <v>100000</v>
          </cell>
          <cell r="K85">
            <v>88548.939671</v>
          </cell>
        </row>
        <row r="86">
          <cell r="A86" t="str">
            <v>HSF FIA IE</v>
          </cell>
          <cell r="E86">
            <v>45539</v>
          </cell>
          <cell r="F86">
            <v>45539</v>
          </cell>
          <cell r="G86">
            <v>45541</v>
          </cell>
          <cell r="J86">
            <v>-12500</v>
          </cell>
          <cell r="K86">
            <v>-10997.215152999999</v>
          </cell>
        </row>
        <row r="87">
          <cell r="A87" t="str">
            <v>NEULER ACOES FIC FIA</v>
          </cell>
          <cell r="E87">
            <v>45539</v>
          </cell>
          <cell r="F87">
            <v>45539</v>
          </cell>
          <cell r="G87">
            <v>45541</v>
          </cell>
          <cell r="J87">
            <v>-30000</v>
          </cell>
          <cell r="K87">
            <v>-26393.316366999999</v>
          </cell>
        </row>
        <row r="88">
          <cell r="A88" t="str">
            <v>NEULER ACOES FIC FIA</v>
          </cell>
          <cell r="E88">
            <v>45558</v>
          </cell>
          <cell r="F88">
            <v>45558</v>
          </cell>
          <cell r="G88">
            <v>45560</v>
          </cell>
          <cell r="J88">
            <v>-32000</v>
          </cell>
          <cell r="K88">
            <v>-29897.637030914248</v>
          </cell>
        </row>
        <row r="89">
          <cell r="A89" t="str">
            <v>NEULER ACOES FIC FIA</v>
          </cell>
          <cell r="E89">
            <v>45568</v>
          </cell>
          <cell r="F89">
            <v>45568</v>
          </cell>
          <cell r="G89">
            <v>45572</v>
          </cell>
          <cell r="J89">
            <v>-28000</v>
          </cell>
          <cell r="K89">
            <v>-26827.036133718211</v>
          </cell>
        </row>
        <row r="90">
          <cell r="A90" t="str">
            <v>HSF FIA IE</v>
          </cell>
          <cell r="E90">
            <v>45568</v>
          </cell>
          <cell r="F90">
            <v>45568</v>
          </cell>
          <cell r="G90">
            <v>45572</v>
          </cell>
          <cell r="J90">
            <v>-11200</v>
          </cell>
          <cell r="K90">
            <v>-10730.814453487284</v>
          </cell>
        </row>
        <row r="91">
          <cell r="A91" t="str">
            <v>NEULER ACOES FIC FIA</v>
          </cell>
          <cell r="E91">
            <v>45583</v>
          </cell>
          <cell r="F91">
            <v>45583</v>
          </cell>
          <cell r="G91">
            <v>45587</v>
          </cell>
          <cell r="J91">
            <v>-42000</v>
          </cell>
          <cell r="K91">
            <v>-40004.682452000001</v>
          </cell>
        </row>
        <row r="92">
          <cell r="A92" t="str">
            <v>HSF FIA IE</v>
          </cell>
          <cell r="E92">
            <v>45601</v>
          </cell>
          <cell r="F92">
            <v>45601</v>
          </cell>
          <cell r="G92">
            <v>45603</v>
          </cell>
          <cell r="J92">
            <v>-12000</v>
          </cell>
          <cell r="K92">
            <v>-11329.68913882183</v>
          </cell>
        </row>
        <row r="93">
          <cell r="A93" t="str">
            <v>NEULER ACOES FIC FIA</v>
          </cell>
          <cell r="E93">
            <v>45601</v>
          </cell>
          <cell r="F93">
            <v>45601</v>
          </cell>
          <cell r="G93">
            <v>45603</v>
          </cell>
          <cell r="J93">
            <v>-29000</v>
          </cell>
          <cell r="K93">
            <v>-27380.08208548609</v>
          </cell>
        </row>
        <row r="94">
          <cell r="A94" t="str">
            <v>HSF FIA IE</v>
          </cell>
          <cell r="E94">
            <v>45630</v>
          </cell>
          <cell r="F94">
            <v>45630</v>
          </cell>
          <cell r="G94">
            <v>45632</v>
          </cell>
          <cell r="J94">
            <v>-9700</v>
          </cell>
          <cell r="K94">
            <v>-9876.021315</v>
          </cell>
        </row>
        <row r="95">
          <cell r="A95" t="str">
            <v>NEULER ACOES FIC FIA</v>
          </cell>
          <cell r="E95">
            <v>45630</v>
          </cell>
          <cell r="F95">
            <v>45630</v>
          </cell>
          <cell r="G95">
            <v>45632</v>
          </cell>
          <cell r="J95">
            <v>-23500</v>
          </cell>
          <cell r="K95">
            <v>-23926.443393000001</v>
          </cell>
        </row>
      </sheetData>
      <sheetData sheetId="5">
        <row r="5">
          <cell r="A5">
            <v>44833</v>
          </cell>
          <cell r="B5">
            <v>5841299.0199999996</v>
          </cell>
          <cell r="C5">
            <v>0</v>
          </cell>
          <cell r="E5">
            <v>8516299.0199999996</v>
          </cell>
          <cell r="F5">
            <v>0</v>
          </cell>
          <cell r="H5">
            <v>0</v>
          </cell>
        </row>
        <row r="6">
          <cell r="A6">
            <v>44834</v>
          </cell>
          <cell r="B6">
            <v>0</v>
          </cell>
          <cell r="C6">
            <v>0</v>
          </cell>
          <cell r="E6">
            <v>0</v>
          </cell>
          <cell r="F6">
            <v>0</v>
          </cell>
          <cell r="H6">
            <v>0</v>
          </cell>
        </row>
        <row r="7">
          <cell r="A7">
            <v>44837</v>
          </cell>
          <cell r="B7">
            <v>100000</v>
          </cell>
          <cell r="C7">
            <v>0</v>
          </cell>
          <cell r="E7">
            <v>200000</v>
          </cell>
          <cell r="F7">
            <v>0</v>
          </cell>
          <cell r="H7">
            <v>0</v>
          </cell>
        </row>
        <row r="8">
          <cell r="A8">
            <v>44838</v>
          </cell>
          <cell r="B8">
            <v>0</v>
          </cell>
          <cell r="C8">
            <v>0</v>
          </cell>
          <cell r="E8">
            <v>2200000</v>
          </cell>
          <cell r="F8">
            <v>0</v>
          </cell>
          <cell r="H8">
            <v>0</v>
          </cell>
        </row>
        <row r="9">
          <cell r="A9">
            <v>44839</v>
          </cell>
          <cell r="B9">
            <v>0</v>
          </cell>
          <cell r="C9">
            <v>0</v>
          </cell>
          <cell r="E9">
            <v>0</v>
          </cell>
          <cell r="F9">
            <v>0</v>
          </cell>
          <cell r="H9">
            <v>0</v>
          </cell>
        </row>
        <row r="10">
          <cell r="A10">
            <v>44840</v>
          </cell>
          <cell r="B10">
            <v>0</v>
          </cell>
          <cell r="C10">
            <v>0</v>
          </cell>
          <cell r="E10">
            <v>0</v>
          </cell>
          <cell r="F10">
            <v>0</v>
          </cell>
          <cell r="H10">
            <v>0</v>
          </cell>
        </row>
        <row r="11">
          <cell r="A11">
            <v>44841</v>
          </cell>
          <cell r="B11">
            <v>0</v>
          </cell>
          <cell r="C11">
            <v>0</v>
          </cell>
          <cell r="E11">
            <v>0</v>
          </cell>
          <cell r="F11">
            <v>0</v>
          </cell>
          <cell r="H11">
            <v>0</v>
          </cell>
        </row>
        <row r="12">
          <cell r="A12">
            <v>44844</v>
          </cell>
          <cell r="B12">
            <v>100000</v>
          </cell>
          <cell r="C12">
            <v>0</v>
          </cell>
          <cell r="E12">
            <v>100000</v>
          </cell>
          <cell r="F12">
            <v>0</v>
          </cell>
          <cell r="H12">
            <v>0</v>
          </cell>
        </row>
        <row r="13">
          <cell r="A13">
            <v>44845</v>
          </cell>
          <cell r="B13">
            <v>0</v>
          </cell>
          <cell r="C13">
            <v>0</v>
          </cell>
          <cell r="E13">
            <v>0</v>
          </cell>
          <cell r="F13">
            <v>0</v>
          </cell>
          <cell r="H13">
            <v>0</v>
          </cell>
        </row>
        <row r="14">
          <cell r="A14">
            <v>44846</v>
          </cell>
          <cell r="B14">
            <v>0</v>
          </cell>
          <cell r="C14">
            <v>0</v>
          </cell>
          <cell r="E14">
            <v>0</v>
          </cell>
          <cell r="F14">
            <v>0</v>
          </cell>
          <cell r="H14">
            <v>0</v>
          </cell>
        </row>
        <row r="15">
          <cell r="A15">
            <v>44847</v>
          </cell>
          <cell r="B15">
            <v>0</v>
          </cell>
          <cell r="C15">
            <v>0</v>
          </cell>
          <cell r="E15">
            <v>0</v>
          </cell>
          <cell r="F15">
            <v>0</v>
          </cell>
          <cell r="H15">
            <v>0</v>
          </cell>
        </row>
        <row r="16">
          <cell r="A16">
            <v>44848</v>
          </cell>
          <cell r="B16">
            <v>0</v>
          </cell>
          <cell r="C16">
            <v>0</v>
          </cell>
          <cell r="E16">
            <v>0</v>
          </cell>
          <cell r="F16">
            <v>0</v>
          </cell>
          <cell r="H16">
            <v>0</v>
          </cell>
        </row>
        <row r="17">
          <cell r="A17">
            <v>44851</v>
          </cell>
          <cell r="B17">
            <v>500000</v>
          </cell>
          <cell r="C17">
            <v>0</v>
          </cell>
          <cell r="E17">
            <v>500000</v>
          </cell>
          <cell r="F17">
            <v>0</v>
          </cell>
          <cell r="H17">
            <v>0</v>
          </cell>
        </row>
        <row r="18">
          <cell r="A18">
            <v>44852</v>
          </cell>
          <cell r="B18">
            <v>0</v>
          </cell>
          <cell r="C18">
            <v>0</v>
          </cell>
          <cell r="E18">
            <v>0</v>
          </cell>
          <cell r="F18">
            <v>0</v>
          </cell>
          <cell r="H18">
            <v>0</v>
          </cell>
        </row>
        <row r="19">
          <cell r="A19">
            <v>44853</v>
          </cell>
          <cell r="B19">
            <v>100000</v>
          </cell>
          <cell r="C19">
            <v>0</v>
          </cell>
          <cell r="E19">
            <v>100000</v>
          </cell>
          <cell r="F19">
            <v>0</v>
          </cell>
          <cell r="H19">
            <v>0</v>
          </cell>
        </row>
        <row r="20">
          <cell r="A20">
            <v>44854</v>
          </cell>
          <cell r="B20">
            <v>0</v>
          </cell>
          <cell r="C20">
            <v>0</v>
          </cell>
          <cell r="E20">
            <v>0</v>
          </cell>
          <cell r="F20">
            <v>0</v>
          </cell>
          <cell r="H20">
            <v>0</v>
          </cell>
        </row>
        <row r="21">
          <cell r="A21">
            <v>44855</v>
          </cell>
          <cell r="B21">
            <v>2100000</v>
          </cell>
          <cell r="C21">
            <v>0</v>
          </cell>
          <cell r="E21">
            <v>2100000</v>
          </cell>
          <cell r="F21">
            <v>0</v>
          </cell>
          <cell r="H21">
            <v>0</v>
          </cell>
        </row>
        <row r="22">
          <cell r="A22">
            <v>44858</v>
          </cell>
          <cell r="B22">
            <v>0</v>
          </cell>
          <cell r="C22">
            <v>0</v>
          </cell>
          <cell r="E22">
            <v>0</v>
          </cell>
          <cell r="F22">
            <v>0</v>
          </cell>
          <cell r="H22">
            <v>0</v>
          </cell>
        </row>
        <row r="23">
          <cell r="A23">
            <v>44859</v>
          </cell>
          <cell r="B23">
            <v>0</v>
          </cell>
          <cell r="C23">
            <v>0</v>
          </cell>
          <cell r="E23">
            <v>0</v>
          </cell>
          <cell r="F23">
            <v>0</v>
          </cell>
          <cell r="H23">
            <v>0</v>
          </cell>
        </row>
        <row r="24">
          <cell r="A24">
            <v>44860</v>
          </cell>
          <cell r="B24">
            <v>0</v>
          </cell>
          <cell r="C24">
            <v>0</v>
          </cell>
          <cell r="E24">
            <v>0</v>
          </cell>
          <cell r="F24">
            <v>0</v>
          </cell>
          <cell r="H24">
            <v>0</v>
          </cell>
        </row>
        <row r="25">
          <cell r="A25">
            <v>44861</v>
          </cell>
          <cell r="B25">
            <v>0</v>
          </cell>
          <cell r="C25">
            <v>0</v>
          </cell>
          <cell r="E25">
            <v>0</v>
          </cell>
          <cell r="F25">
            <v>0</v>
          </cell>
          <cell r="H25">
            <v>0</v>
          </cell>
        </row>
        <row r="26">
          <cell r="A26">
            <v>44862</v>
          </cell>
          <cell r="B26">
            <v>0</v>
          </cell>
          <cell r="C26">
            <v>0</v>
          </cell>
          <cell r="E26">
            <v>0</v>
          </cell>
          <cell r="F26">
            <v>0</v>
          </cell>
          <cell r="H26">
            <v>0</v>
          </cell>
        </row>
        <row r="27">
          <cell r="A27">
            <v>44865</v>
          </cell>
          <cell r="B27">
            <v>0</v>
          </cell>
          <cell r="C27">
            <v>0</v>
          </cell>
          <cell r="E27">
            <v>0</v>
          </cell>
          <cell r="F27">
            <v>0</v>
          </cell>
          <cell r="H27">
            <v>0</v>
          </cell>
        </row>
        <row r="28">
          <cell r="A28">
            <v>44866</v>
          </cell>
          <cell r="B28">
            <v>0</v>
          </cell>
          <cell r="C28">
            <v>0</v>
          </cell>
          <cell r="E28">
            <v>0</v>
          </cell>
          <cell r="F28">
            <v>0</v>
          </cell>
          <cell r="H28">
            <v>0</v>
          </cell>
        </row>
        <row r="29">
          <cell r="A29">
            <v>44868</v>
          </cell>
          <cell r="B29">
            <v>0</v>
          </cell>
          <cell r="C29">
            <v>0</v>
          </cell>
          <cell r="E29">
            <v>0</v>
          </cell>
          <cell r="F29">
            <v>-11000</v>
          </cell>
          <cell r="H29">
            <v>0</v>
          </cell>
        </row>
        <row r="30">
          <cell r="A30">
            <v>44869</v>
          </cell>
          <cell r="B30">
            <v>0</v>
          </cell>
          <cell r="C30">
            <v>0</v>
          </cell>
          <cell r="E30">
            <v>0</v>
          </cell>
          <cell r="F30">
            <v>0</v>
          </cell>
          <cell r="H30">
            <v>0</v>
          </cell>
        </row>
        <row r="31">
          <cell r="A31">
            <v>44872</v>
          </cell>
          <cell r="B31">
            <v>0</v>
          </cell>
          <cell r="C31">
            <v>0</v>
          </cell>
          <cell r="E31">
            <v>0</v>
          </cell>
          <cell r="F31">
            <v>0</v>
          </cell>
          <cell r="H31">
            <v>0</v>
          </cell>
        </row>
        <row r="32">
          <cell r="A32">
            <v>44873</v>
          </cell>
          <cell r="B32">
            <v>0</v>
          </cell>
          <cell r="C32">
            <v>0</v>
          </cell>
          <cell r="E32">
            <v>0</v>
          </cell>
          <cell r="F32">
            <v>0</v>
          </cell>
          <cell r="H32">
            <v>0</v>
          </cell>
        </row>
        <row r="33">
          <cell r="A33">
            <v>44874</v>
          </cell>
          <cell r="B33">
            <v>0</v>
          </cell>
          <cell r="C33">
            <v>0</v>
          </cell>
          <cell r="E33">
            <v>0</v>
          </cell>
          <cell r="F33">
            <v>0</v>
          </cell>
          <cell r="H33">
            <v>0</v>
          </cell>
        </row>
        <row r="34">
          <cell r="A34">
            <v>44875</v>
          </cell>
          <cell r="B34">
            <v>0</v>
          </cell>
          <cell r="C34">
            <v>0</v>
          </cell>
          <cell r="E34">
            <v>0</v>
          </cell>
          <cell r="F34">
            <v>0</v>
          </cell>
          <cell r="H34">
            <v>0</v>
          </cell>
        </row>
        <row r="35">
          <cell r="A35">
            <v>44876</v>
          </cell>
          <cell r="B35">
            <v>0</v>
          </cell>
          <cell r="C35">
            <v>0</v>
          </cell>
          <cell r="E35">
            <v>0</v>
          </cell>
          <cell r="F35">
            <v>0</v>
          </cell>
          <cell r="H35">
            <v>0</v>
          </cell>
        </row>
        <row r="36">
          <cell r="A36">
            <v>44879</v>
          </cell>
          <cell r="B36">
            <v>0</v>
          </cell>
          <cell r="C36">
            <v>0</v>
          </cell>
          <cell r="E36">
            <v>0</v>
          </cell>
          <cell r="F36">
            <v>0</v>
          </cell>
          <cell r="H36">
            <v>0</v>
          </cell>
        </row>
        <row r="37">
          <cell r="A37">
            <v>44881</v>
          </cell>
          <cell r="B37">
            <v>200000</v>
          </cell>
          <cell r="C37">
            <v>0</v>
          </cell>
          <cell r="E37">
            <v>100000</v>
          </cell>
          <cell r="F37">
            <v>0</v>
          </cell>
          <cell r="H37">
            <v>0</v>
          </cell>
        </row>
        <row r="38">
          <cell r="A38">
            <v>44882</v>
          </cell>
          <cell r="B38">
            <v>1000000</v>
          </cell>
          <cell r="C38">
            <v>0</v>
          </cell>
          <cell r="E38">
            <v>1100000</v>
          </cell>
          <cell r="F38">
            <v>0</v>
          </cell>
          <cell r="H38">
            <v>0</v>
          </cell>
        </row>
        <row r="39">
          <cell r="A39">
            <v>44883</v>
          </cell>
          <cell r="B39">
            <v>0</v>
          </cell>
          <cell r="C39">
            <v>0</v>
          </cell>
          <cell r="E39">
            <v>0</v>
          </cell>
          <cell r="F39">
            <v>0</v>
          </cell>
          <cell r="H39">
            <v>0</v>
          </cell>
        </row>
        <row r="40">
          <cell r="A40">
            <v>44886</v>
          </cell>
          <cell r="B40">
            <v>0</v>
          </cell>
          <cell r="C40">
            <v>0</v>
          </cell>
          <cell r="E40">
            <v>0</v>
          </cell>
          <cell r="F40">
            <v>0</v>
          </cell>
          <cell r="H40">
            <v>0</v>
          </cell>
        </row>
        <row r="41">
          <cell r="A41">
            <v>44887</v>
          </cell>
          <cell r="B41">
            <v>0</v>
          </cell>
          <cell r="C41">
            <v>0</v>
          </cell>
          <cell r="E41">
            <v>0</v>
          </cell>
          <cell r="F41">
            <v>0</v>
          </cell>
          <cell r="H41">
            <v>0</v>
          </cell>
        </row>
        <row r="42">
          <cell r="A42">
            <v>44888</v>
          </cell>
          <cell r="B42">
            <v>0</v>
          </cell>
          <cell r="C42">
            <v>0</v>
          </cell>
          <cell r="E42">
            <v>0</v>
          </cell>
          <cell r="F42">
            <v>0</v>
          </cell>
          <cell r="H42">
            <v>0</v>
          </cell>
        </row>
        <row r="43">
          <cell r="A43">
            <v>44889</v>
          </cell>
          <cell r="B43">
            <v>0</v>
          </cell>
          <cell r="C43">
            <v>0</v>
          </cell>
          <cell r="E43">
            <v>4000000</v>
          </cell>
          <cell r="F43">
            <v>0</v>
          </cell>
          <cell r="H43">
            <v>0</v>
          </cell>
        </row>
        <row r="44">
          <cell r="A44">
            <v>44890</v>
          </cell>
          <cell r="B44">
            <v>0</v>
          </cell>
          <cell r="C44">
            <v>0</v>
          </cell>
          <cell r="E44">
            <v>0</v>
          </cell>
          <cell r="F44">
            <v>0</v>
          </cell>
          <cell r="H44">
            <v>0</v>
          </cell>
        </row>
        <row r="45">
          <cell r="A45">
            <v>44893</v>
          </cell>
          <cell r="B45">
            <v>0</v>
          </cell>
          <cell r="C45">
            <v>0</v>
          </cell>
          <cell r="E45">
            <v>0</v>
          </cell>
          <cell r="F45">
            <v>0</v>
          </cell>
          <cell r="H45">
            <v>0</v>
          </cell>
        </row>
        <row r="46">
          <cell r="A46">
            <v>44894</v>
          </cell>
          <cell r="B46">
            <v>0</v>
          </cell>
          <cell r="C46">
            <v>0</v>
          </cell>
          <cell r="E46">
            <v>0</v>
          </cell>
          <cell r="F46">
            <v>0</v>
          </cell>
          <cell r="H46">
            <v>0</v>
          </cell>
        </row>
        <row r="47">
          <cell r="A47">
            <v>44895</v>
          </cell>
          <cell r="B47">
            <v>0</v>
          </cell>
          <cell r="C47">
            <v>0</v>
          </cell>
          <cell r="E47">
            <v>0</v>
          </cell>
          <cell r="F47">
            <v>0</v>
          </cell>
          <cell r="H47">
            <v>0</v>
          </cell>
        </row>
        <row r="48">
          <cell r="A48">
            <v>44896</v>
          </cell>
          <cell r="B48">
            <v>0</v>
          </cell>
          <cell r="C48">
            <v>0</v>
          </cell>
          <cell r="E48">
            <v>0</v>
          </cell>
          <cell r="F48">
            <v>0</v>
          </cell>
          <cell r="H48">
            <v>0</v>
          </cell>
        </row>
        <row r="49">
          <cell r="A49">
            <v>44897</v>
          </cell>
          <cell r="B49">
            <v>0</v>
          </cell>
          <cell r="C49">
            <v>0</v>
          </cell>
          <cell r="E49">
            <v>0</v>
          </cell>
          <cell r="F49">
            <v>0</v>
          </cell>
          <cell r="H49">
            <v>0</v>
          </cell>
        </row>
        <row r="50">
          <cell r="A50">
            <v>44900</v>
          </cell>
          <cell r="B50">
            <v>1000000</v>
          </cell>
          <cell r="C50">
            <v>0</v>
          </cell>
          <cell r="E50">
            <v>1000000</v>
          </cell>
          <cell r="F50">
            <v>-18000</v>
          </cell>
          <cell r="H50">
            <v>0</v>
          </cell>
        </row>
        <row r="51">
          <cell r="A51">
            <v>44901</v>
          </cell>
          <cell r="B51">
            <v>0</v>
          </cell>
          <cell r="C51">
            <v>0</v>
          </cell>
          <cell r="E51">
            <v>0</v>
          </cell>
          <cell r="F51">
            <v>0</v>
          </cell>
          <cell r="H51">
            <v>0</v>
          </cell>
        </row>
        <row r="52">
          <cell r="A52">
            <v>44902</v>
          </cell>
          <cell r="B52">
            <v>0</v>
          </cell>
          <cell r="C52">
            <v>0</v>
          </cell>
          <cell r="E52">
            <v>0</v>
          </cell>
          <cell r="F52">
            <v>0</v>
          </cell>
          <cell r="H52">
            <v>0</v>
          </cell>
        </row>
        <row r="53">
          <cell r="A53">
            <v>44903</v>
          </cell>
          <cell r="B53">
            <v>0</v>
          </cell>
          <cell r="C53">
            <v>0</v>
          </cell>
          <cell r="E53">
            <v>0</v>
          </cell>
          <cell r="F53">
            <v>0</v>
          </cell>
          <cell r="H53">
            <v>0</v>
          </cell>
        </row>
        <row r="54">
          <cell r="A54">
            <v>44904</v>
          </cell>
          <cell r="B54">
            <v>0</v>
          </cell>
          <cell r="C54">
            <v>0</v>
          </cell>
          <cell r="E54">
            <v>0</v>
          </cell>
          <cell r="F54">
            <v>0</v>
          </cell>
          <cell r="H54">
            <v>0</v>
          </cell>
        </row>
        <row r="55">
          <cell r="A55">
            <v>44907</v>
          </cell>
          <cell r="B55">
            <v>1000000</v>
          </cell>
          <cell r="C55">
            <v>0</v>
          </cell>
          <cell r="E55">
            <v>1000000</v>
          </cell>
          <cell r="F55">
            <v>0</v>
          </cell>
          <cell r="H55">
            <v>0</v>
          </cell>
        </row>
        <row r="56">
          <cell r="A56">
            <v>44908</v>
          </cell>
          <cell r="B56">
            <v>100000</v>
          </cell>
          <cell r="C56">
            <v>0</v>
          </cell>
          <cell r="E56">
            <v>100000</v>
          </cell>
          <cell r="F56">
            <v>0</v>
          </cell>
          <cell r="H56">
            <v>0</v>
          </cell>
        </row>
        <row r="57">
          <cell r="A57">
            <v>44909</v>
          </cell>
          <cell r="B57">
            <v>0</v>
          </cell>
          <cell r="C57">
            <v>0</v>
          </cell>
          <cell r="E57">
            <v>0</v>
          </cell>
          <cell r="F57">
            <v>0</v>
          </cell>
          <cell r="H57">
            <v>0</v>
          </cell>
        </row>
        <row r="58">
          <cell r="A58">
            <v>44910</v>
          </cell>
          <cell r="B58">
            <v>0</v>
          </cell>
          <cell r="C58">
            <v>0</v>
          </cell>
          <cell r="E58">
            <v>0</v>
          </cell>
          <cell r="F58">
            <v>0</v>
          </cell>
          <cell r="H58">
            <v>0</v>
          </cell>
        </row>
        <row r="59">
          <cell r="A59">
            <v>44911</v>
          </cell>
          <cell r="B59">
            <v>0</v>
          </cell>
          <cell r="C59">
            <v>0</v>
          </cell>
          <cell r="E59">
            <v>0</v>
          </cell>
          <cell r="F59">
            <v>0</v>
          </cell>
          <cell r="H59">
            <v>0</v>
          </cell>
        </row>
        <row r="60">
          <cell r="A60">
            <v>44914</v>
          </cell>
          <cell r="B60">
            <v>0</v>
          </cell>
          <cell r="C60">
            <v>0</v>
          </cell>
          <cell r="E60">
            <v>0</v>
          </cell>
          <cell r="F60">
            <v>0</v>
          </cell>
          <cell r="H60">
            <v>0</v>
          </cell>
        </row>
        <row r="61">
          <cell r="A61">
            <v>44915</v>
          </cell>
          <cell r="B61">
            <v>1000000</v>
          </cell>
          <cell r="C61">
            <v>0</v>
          </cell>
          <cell r="E61">
            <v>1000000</v>
          </cell>
          <cell r="F61">
            <v>0</v>
          </cell>
          <cell r="H61">
            <v>0</v>
          </cell>
        </row>
        <row r="62">
          <cell r="A62">
            <v>44916</v>
          </cell>
          <cell r="B62">
            <v>0</v>
          </cell>
          <cell r="C62">
            <v>0</v>
          </cell>
          <cell r="E62">
            <v>0</v>
          </cell>
          <cell r="F62">
            <v>0</v>
          </cell>
          <cell r="H62">
            <v>0</v>
          </cell>
        </row>
        <row r="63">
          <cell r="A63">
            <v>44917</v>
          </cell>
          <cell r="B63">
            <v>0</v>
          </cell>
          <cell r="C63">
            <v>0</v>
          </cell>
          <cell r="E63">
            <v>0</v>
          </cell>
          <cell r="F63">
            <v>0</v>
          </cell>
          <cell r="H63">
            <v>0</v>
          </cell>
        </row>
        <row r="64">
          <cell r="A64">
            <v>44918</v>
          </cell>
          <cell r="B64">
            <v>0</v>
          </cell>
          <cell r="C64">
            <v>0</v>
          </cell>
          <cell r="E64">
            <v>0</v>
          </cell>
          <cell r="F64">
            <v>0</v>
          </cell>
          <cell r="H64">
            <v>0</v>
          </cell>
        </row>
        <row r="65">
          <cell r="A65">
            <v>44921</v>
          </cell>
          <cell r="B65">
            <v>1000000</v>
          </cell>
          <cell r="C65">
            <v>0</v>
          </cell>
          <cell r="E65">
            <v>1000000</v>
          </cell>
          <cell r="F65">
            <v>0</v>
          </cell>
          <cell r="H65">
            <v>0</v>
          </cell>
        </row>
        <row r="66">
          <cell r="A66">
            <v>44922</v>
          </cell>
          <cell r="B66">
            <v>0</v>
          </cell>
          <cell r="C66">
            <v>0</v>
          </cell>
          <cell r="E66">
            <v>0</v>
          </cell>
          <cell r="F66">
            <v>0</v>
          </cell>
          <cell r="H66">
            <v>0</v>
          </cell>
        </row>
        <row r="67">
          <cell r="A67">
            <v>44923</v>
          </cell>
          <cell r="B67">
            <v>0</v>
          </cell>
          <cell r="C67">
            <v>0</v>
          </cell>
          <cell r="E67">
            <v>0</v>
          </cell>
          <cell r="F67">
            <v>0</v>
          </cell>
          <cell r="H67">
            <v>0</v>
          </cell>
        </row>
        <row r="68">
          <cell r="A68">
            <v>44924</v>
          </cell>
          <cell r="B68">
            <v>0</v>
          </cell>
          <cell r="C68">
            <v>0</v>
          </cell>
          <cell r="E68">
            <v>0</v>
          </cell>
          <cell r="F68">
            <v>0</v>
          </cell>
          <cell r="H68">
            <v>0</v>
          </cell>
        </row>
        <row r="69">
          <cell r="A69">
            <v>44925</v>
          </cell>
          <cell r="B69">
            <v>0</v>
          </cell>
          <cell r="C69">
            <v>0</v>
          </cell>
          <cell r="E69">
            <v>0</v>
          </cell>
          <cell r="F69">
            <v>0</v>
          </cell>
          <cell r="H69">
            <v>0</v>
          </cell>
        </row>
        <row r="70">
          <cell r="A70">
            <v>44926</v>
          </cell>
          <cell r="B70">
            <v>0</v>
          </cell>
          <cell r="C70">
            <v>0</v>
          </cell>
          <cell r="E70">
            <v>0</v>
          </cell>
          <cell r="F70">
            <v>0</v>
          </cell>
          <cell r="H70">
            <v>0</v>
          </cell>
        </row>
        <row r="71">
          <cell r="A71">
            <v>44928</v>
          </cell>
          <cell r="B71">
            <v>0</v>
          </cell>
          <cell r="C71">
            <v>0</v>
          </cell>
          <cell r="E71">
            <v>0</v>
          </cell>
          <cell r="F71">
            <v>0</v>
          </cell>
          <cell r="H71">
            <v>0</v>
          </cell>
        </row>
        <row r="72">
          <cell r="A72">
            <v>44929</v>
          </cell>
          <cell r="B72">
            <v>0</v>
          </cell>
          <cell r="C72">
            <v>0</v>
          </cell>
          <cell r="E72">
            <v>0</v>
          </cell>
          <cell r="F72">
            <v>-23500</v>
          </cell>
          <cell r="H72">
            <v>0</v>
          </cell>
        </row>
        <row r="73">
          <cell r="A73">
            <v>44930</v>
          </cell>
          <cell r="B73">
            <v>0</v>
          </cell>
          <cell r="C73">
            <v>0</v>
          </cell>
          <cell r="E73">
            <v>0</v>
          </cell>
          <cell r="F73">
            <v>0</v>
          </cell>
          <cell r="H73">
            <v>0</v>
          </cell>
        </row>
        <row r="74">
          <cell r="A74">
            <v>44931</v>
          </cell>
          <cell r="B74">
            <v>0</v>
          </cell>
          <cell r="C74">
            <v>0</v>
          </cell>
          <cell r="E74">
            <v>0</v>
          </cell>
          <cell r="F74">
            <v>0</v>
          </cell>
          <cell r="H74">
            <v>0</v>
          </cell>
        </row>
        <row r="75">
          <cell r="A75">
            <v>44932</v>
          </cell>
          <cell r="B75">
            <v>0</v>
          </cell>
          <cell r="C75">
            <v>0</v>
          </cell>
          <cell r="E75">
            <v>0</v>
          </cell>
          <cell r="F75">
            <v>0</v>
          </cell>
          <cell r="H75">
            <v>0</v>
          </cell>
        </row>
        <row r="76">
          <cell r="A76">
            <v>44935</v>
          </cell>
          <cell r="B76">
            <v>0</v>
          </cell>
          <cell r="C76">
            <v>0</v>
          </cell>
          <cell r="E76">
            <v>0</v>
          </cell>
          <cell r="F76">
            <v>0</v>
          </cell>
          <cell r="H76">
            <v>0</v>
          </cell>
        </row>
        <row r="77">
          <cell r="A77">
            <v>44936</v>
          </cell>
          <cell r="B77">
            <v>0</v>
          </cell>
          <cell r="C77">
            <v>0</v>
          </cell>
          <cell r="E77">
            <v>0</v>
          </cell>
          <cell r="F77">
            <v>0</v>
          </cell>
          <cell r="H77">
            <v>0</v>
          </cell>
        </row>
        <row r="78">
          <cell r="A78">
            <v>44937</v>
          </cell>
          <cell r="B78">
            <v>300000</v>
          </cell>
          <cell r="C78">
            <v>0</v>
          </cell>
          <cell r="E78">
            <v>300000</v>
          </cell>
          <cell r="F78">
            <v>0</v>
          </cell>
          <cell r="H78">
            <v>0</v>
          </cell>
        </row>
        <row r="79">
          <cell r="A79">
            <v>44938</v>
          </cell>
          <cell r="B79">
            <v>0</v>
          </cell>
          <cell r="C79">
            <v>0</v>
          </cell>
          <cell r="E79">
            <v>0</v>
          </cell>
          <cell r="F79">
            <v>0</v>
          </cell>
          <cell r="H79">
            <v>0</v>
          </cell>
        </row>
        <row r="80">
          <cell r="A80">
            <v>44939</v>
          </cell>
          <cell r="B80">
            <v>0</v>
          </cell>
          <cell r="C80">
            <v>0</v>
          </cell>
          <cell r="E80">
            <v>0</v>
          </cell>
          <cell r="F80">
            <v>0</v>
          </cell>
          <cell r="H80">
            <v>0</v>
          </cell>
        </row>
        <row r="81">
          <cell r="A81">
            <v>44942</v>
          </cell>
          <cell r="B81">
            <v>0</v>
          </cell>
          <cell r="C81">
            <v>0</v>
          </cell>
          <cell r="E81">
            <v>0</v>
          </cell>
          <cell r="F81">
            <v>0</v>
          </cell>
          <cell r="H81">
            <v>0</v>
          </cell>
        </row>
        <row r="82">
          <cell r="A82">
            <v>44943</v>
          </cell>
          <cell r="B82">
            <v>0</v>
          </cell>
          <cell r="C82">
            <v>0</v>
          </cell>
          <cell r="E82">
            <v>0</v>
          </cell>
          <cell r="F82">
            <v>0</v>
          </cell>
          <cell r="H82">
            <v>0</v>
          </cell>
        </row>
        <row r="83">
          <cell r="A83">
            <v>44944</v>
          </cell>
          <cell r="B83">
            <v>0</v>
          </cell>
          <cell r="C83">
            <v>0</v>
          </cell>
          <cell r="E83">
            <v>0</v>
          </cell>
          <cell r="F83">
            <v>0</v>
          </cell>
          <cell r="H83">
            <v>0</v>
          </cell>
        </row>
        <row r="84">
          <cell r="A84">
            <v>44945</v>
          </cell>
          <cell r="B84">
            <v>0</v>
          </cell>
          <cell r="C84">
            <v>0</v>
          </cell>
          <cell r="E84">
            <v>0</v>
          </cell>
          <cell r="F84">
            <v>0</v>
          </cell>
          <cell r="H84">
            <v>0</v>
          </cell>
        </row>
        <row r="85">
          <cell r="A85">
            <v>44946</v>
          </cell>
          <cell r="B85">
            <v>0</v>
          </cell>
          <cell r="C85">
            <v>0</v>
          </cell>
          <cell r="E85">
            <v>0</v>
          </cell>
          <cell r="F85">
            <v>0</v>
          </cell>
          <cell r="H85">
            <v>0</v>
          </cell>
        </row>
        <row r="86">
          <cell r="A86">
            <v>44949</v>
          </cell>
          <cell r="B86">
            <v>0</v>
          </cell>
          <cell r="C86">
            <v>0</v>
          </cell>
          <cell r="E86">
            <v>0</v>
          </cell>
          <cell r="F86">
            <v>0</v>
          </cell>
          <cell r="H86">
            <v>0</v>
          </cell>
        </row>
        <row r="87">
          <cell r="A87">
            <v>44950</v>
          </cell>
          <cell r="B87">
            <v>0</v>
          </cell>
          <cell r="C87">
            <v>0</v>
          </cell>
          <cell r="E87">
            <v>0</v>
          </cell>
          <cell r="F87">
            <v>0</v>
          </cell>
          <cell r="H87">
            <v>0</v>
          </cell>
        </row>
        <row r="88">
          <cell r="A88">
            <v>44951</v>
          </cell>
          <cell r="B88">
            <v>0</v>
          </cell>
          <cell r="C88">
            <v>0</v>
          </cell>
          <cell r="E88">
            <v>0</v>
          </cell>
          <cell r="F88">
            <v>0</v>
          </cell>
          <cell r="H88">
            <v>0</v>
          </cell>
        </row>
        <row r="89">
          <cell r="A89">
            <v>44952</v>
          </cell>
          <cell r="B89">
            <v>0</v>
          </cell>
          <cell r="C89">
            <v>0</v>
          </cell>
          <cell r="E89">
            <v>0</v>
          </cell>
          <cell r="F89">
            <v>0</v>
          </cell>
          <cell r="H89">
            <v>0</v>
          </cell>
        </row>
        <row r="90">
          <cell r="A90">
            <v>44953</v>
          </cell>
          <cell r="B90">
            <v>0</v>
          </cell>
          <cell r="C90">
            <v>0</v>
          </cell>
          <cell r="E90">
            <v>0</v>
          </cell>
          <cell r="F90">
            <v>0</v>
          </cell>
          <cell r="H90">
            <v>0</v>
          </cell>
        </row>
        <row r="91">
          <cell r="A91">
            <v>44956</v>
          </cell>
          <cell r="B91">
            <v>0</v>
          </cell>
          <cell r="C91">
            <v>0</v>
          </cell>
          <cell r="E91">
            <v>0</v>
          </cell>
          <cell r="F91">
            <v>0</v>
          </cell>
          <cell r="H91">
            <v>0</v>
          </cell>
        </row>
        <row r="92">
          <cell r="A92">
            <v>44957</v>
          </cell>
          <cell r="B92">
            <v>0</v>
          </cell>
          <cell r="C92">
            <v>0</v>
          </cell>
          <cell r="E92">
            <v>0</v>
          </cell>
          <cell r="F92">
            <v>0</v>
          </cell>
          <cell r="H92">
            <v>0</v>
          </cell>
        </row>
        <row r="93">
          <cell r="A93">
            <v>44958</v>
          </cell>
          <cell r="B93">
            <v>0</v>
          </cell>
          <cell r="C93">
            <v>0</v>
          </cell>
          <cell r="E93">
            <v>0</v>
          </cell>
          <cell r="F93">
            <v>0</v>
          </cell>
          <cell r="H93">
            <v>0</v>
          </cell>
        </row>
        <row r="94">
          <cell r="A94">
            <v>44959</v>
          </cell>
          <cell r="B94">
            <v>0</v>
          </cell>
          <cell r="C94">
            <v>0</v>
          </cell>
          <cell r="E94">
            <v>0</v>
          </cell>
          <cell r="F94">
            <v>-27000</v>
          </cell>
          <cell r="H94">
            <v>0</v>
          </cell>
        </row>
        <row r="95">
          <cell r="A95">
            <v>44960</v>
          </cell>
          <cell r="B95">
            <v>0</v>
          </cell>
          <cell r="C95">
            <v>0</v>
          </cell>
          <cell r="E95">
            <v>0</v>
          </cell>
          <cell r="F95">
            <v>0</v>
          </cell>
          <cell r="H95">
            <v>0</v>
          </cell>
        </row>
        <row r="96">
          <cell r="A96">
            <v>44963</v>
          </cell>
          <cell r="B96">
            <v>0</v>
          </cell>
          <cell r="C96">
            <v>0</v>
          </cell>
          <cell r="E96">
            <v>0</v>
          </cell>
          <cell r="F96">
            <v>0</v>
          </cell>
          <cell r="H96">
            <v>0</v>
          </cell>
        </row>
        <row r="97">
          <cell r="A97">
            <v>44964</v>
          </cell>
          <cell r="B97">
            <v>0</v>
          </cell>
          <cell r="C97">
            <v>0</v>
          </cell>
          <cell r="E97">
            <v>0</v>
          </cell>
          <cell r="F97">
            <v>0</v>
          </cell>
          <cell r="H97">
            <v>0</v>
          </cell>
        </row>
        <row r="98">
          <cell r="A98">
            <v>44965</v>
          </cell>
          <cell r="B98">
            <v>0</v>
          </cell>
          <cell r="C98">
            <v>0</v>
          </cell>
          <cell r="E98">
            <v>0</v>
          </cell>
          <cell r="F98">
            <v>0</v>
          </cell>
          <cell r="H98">
            <v>0</v>
          </cell>
        </row>
        <row r="99">
          <cell r="A99">
            <v>44966</v>
          </cell>
          <cell r="B99">
            <v>0</v>
          </cell>
          <cell r="C99">
            <v>0</v>
          </cell>
          <cell r="E99">
            <v>87000</v>
          </cell>
          <cell r="F99">
            <v>0</v>
          </cell>
          <cell r="H99">
            <v>0</v>
          </cell>
        </row>
        <row r="100">
          <cell r="A100">
            <v>44967</v>
          </cell>
          <cell r="B100">
            <v>0</v>
          </cell>
          <cell r="C100">
            <v>0</v>
          </cell>
          <cell r="E100">
            <v>0</v>
          </cell>
          <cell r="F100">
            <v>0</v>
          </cell>
          <cell r="H100">
            <v>0</v>
          </cell>
        </row>
        <row r="101">
          <cell r="A101">
            <v>44970</v>
          </cell>
          <cell r="B101">
            <v>0</v>
          </cell>
          <cell r="C101">
            <v>0</v>
          </cell>
          <cell r="E101">
            <v>0</v>
          </cell>
          <cell r="F101">
            <v>0</v>
          </cell>
          <cell r="H101">
            <v>0</v>
          </cell>
        </row>
        <row r="102">
          <cell r="A102">
            <v>44971</v>
          </cell>
          <cell r="B102">
            <v>0</v>
          </cell>
          <cell r="C102">
            <v>0</v>
          </cell>
          <cell r="E102">
            <v>0</v>
          </cell>
          <cell r="F102">
            <v>0</v>
          </cell>
          <cell r="H102">
            <v>0</v>
          </cell>
        </row>
        <row r="103">
          <cell r="A103">
            <v>44972</v>
          </cell>
          <cell r="B103">
            <v>0</v>
          </cell>
          <cell r="C103">
            <v>0</v>
          </cell>
          <cell r="E103">
            <v>0</v>
          </cell>
          <cell r="F103">
            <v>0</v>
          </cell>
          <cell r="H103">
            <v>0</v>
          </cell>
        </row>
        <row r="104">
          <cell r="A104">
            <v>44973</v>
          </cell>
          <cell r="B104">
            <v>0</v>
          </cell>
          <cell r="C104">
            <v>0</v>
          </cell>
          <cell r="E104">
            <v>0</v>
          </cell>
          <cell r="F104">
            <v>0</v>
          </cell>
          <cell r="H104">
            <v>0</v>
          </cell>
        </row>
        <row r="105">
          <cell r="A105">
            <v>44974</v>
          </cell>
          <cell r="B105">
            <v>0</v>
          </cell>
          <cell r="C105">
            <v>0</v>
          </cell>
          <cell r="E105">
            <v>0</v>
          </cell>
          <cell r="F105">
            <v>0</v>
          </cell>
          <cell r="H105">
            <v>0</v>
          </cell>
        </row>
        <row r="106">
          <cell r="A106">
            <v>44977</v>
          </cell>
          <cell r="B106">
            <v>0</v>
          </cell>
          <cell r="C106">
            <v>0</v>
          </cell>
          <cell r="E106">
            <v>0</v>
          </cell>
          <cell r="F106">
            <v>0</v>
          </cell>
          <cell r="H106">
            <v>0</v>
          </cell>
        </row>
        <row r="107">
          <cell r="A107">
            <v>44978</v>
          </cell>
          <cell r="B107">
            <v>0</v>
          </cell>
          <cell r="C107">
            <v>0</v>
          </cell>
          <cell r="E107">
            <v>0</v>
          </cell>
          <cell r="F107">
            <v>0</v>
          </cell>
          <cell r="H107">
            <v>0</v>
          </cell>
        </row>
        <row r="108">
          <cell r="A108">
            <v>44979</v>
          </cell>
          <cell r="B108">
            <v>0</v>
          </cell>
          <cell r="C108">
            <v>0</v>
          </cell>
          <cell r="E108">
            <v>0</v>
          </cell>
          <cell r="F108">
            <v>0</v>
          </cell>
          <cell r="H108">
            <v>0</v>
          </cell>
        </row>
        <row r="109">
          <cell r="A109">
            <v>44980</v>
          </cell>
          <cell r="B109">
            <v>0</v>
          </cell>
          <cell r="C109">
            <v>0</v>
          </cell>
          <cell r="E109">
            <v>0</v>
          </cell>
          <cell r="F109">
            <v>0</v>
          </cell>
          <cell r="H109">
            <v>0</v>
          </cell>
        </row>
        <row r="110">
          <cell r="A110">
            <v>44981</v>
          </cell>
          <cell r="B110">
            <v>0</v>
          </cell>
          <cell r="C110">
            <v>0</v>
          </cell>
          <cell r="E110">
            <v>0</v>
          </cell>
          <cell r="F110">
            <v>0</v>
          </cell>
          <cell r="H110">
            <v>0</v>
          </cell>
        </row>
        <row r="111">
          <cell r="A111">
            <v>44984</v>
          </cell>
          <cell r="B111">
            <v>0</v>
          </cell>
          <cell r="C111">
            <v>0</v>
          </cell>
          <cell r="E111">
            <v>0</v>
          </cell>
          <cell r="F111">
            <v>0</v>
          </cell>
          <cell r="H111">
            <v>0</v>
          </cell>
        </row>
        <row r="112">
          <cell r="A112">
            <v>44985</v>
          </cell>
          <cell r="B112">
            <v>0</v>
          </cell>
          <cell r="C112">
            <v>0</v>
          </cell>
          <cell r="E112">
            <v>0</v>
          </cell>
          <cell r="F112">
            <v>0</v>
          </cell>
          <cell r="H112">
            <v>0</v>
          </cell>
        </row>
        <row r="113">
          <cell r="A113">
            <v>44986</v>
          </cell>
          <cell r="B113">
            <v>0</v>
          </cell>
          <cell r="C113">
            <v>0</v>
          </cell>
          <cell r="E113">
            <v>0</v>
          </cell>
          <cell r="F113">
            <v>0</v>
          </cell>
          <cell r="H113">
            <v>0</v>
          </cell>
        </row>
        <row r="114">
          <cell r="A114">
            <v>44987</v>
          </cell>
          <cell r="B114">
            <v>0</v>
          </cell>
          <cell r="C114">
            <v>0</v>
          </cell>
          <cell r="E114">
            <v>0</v>
          </cell>
          <cell r="F114">
            <v>-29000</v>
          </cell>
          <cell r="H114">
            <v>0</v>
          </cell>
        </row>
        <row r="115">
          <cell r="A115">
            <v>44988</v>
          </cell>
          <cell r="B115">
            <v>0</v>
          </cell>
          <cell r="C115">
            <v>0</v>
          </cell>
          <cell r="E115">
            <v>0</v>
          </cell>
          <cell r="F115">
            <v>0</v>
          </cell>
          <cell r="H115">
            <v>0</v>
          </cell>
        </row>
        <row r="116">
          <cell r="A116">
            <v>44991</v>
          </cell>
          <cell r="B116">
            <v>0</v>
          </cell>
          <cell r="C116">
            <v>0</v>
          </cell>
          <cell r="E116">
            <v>0</v>
          </cell>
          <cell r="F116">
            <v>0</v>
          </cell>
          <cell r="H116">
            <v>0</v>
          </cell>
        </row>
        <row r="117">
          <cell r="A117">
            <v>44992</v>
          </cell>
          <cell r="B117">
            <v>200000</v>
          </cell>
          <cell r="C117">
            <v>0</v>
          </cell>
          <cell r="E117">
            <v>200000</v>
          </cell>
          <cell r="F117">
            <v>0</v>
          </cell>
          <cell r="H117">
            <v>0</v>
          </cell>
        </row>
        <row r="118">
          <cell r="A118">
            <v>44993</v>
          </cell>
          <cell r="B118">
            <v>0</v>
          </cell>
          <cell r="C118">
            <v>0</v>
          </cell>
          <cell r="E118">
            <v>0</v>
          </cell>
          <cell r="F118">
            <v>0</v>
          </cell>
          <cell r="H118">
            <v>0</v>
          </cell>
        </row>
        <row r="119">
          <cell r="A119">
            <v>44994</v>
          </cell>
          <cell r="B119">
            <v>0</v>
          </cell>
          <cell r="C119">
            <v>0</v>
          </cell>
          <cell r="E119">
            <v>0</v>
          </cell>
          <cell r="F119">
            <v>0</v>
          </cell>
          <cell r="H119">
            <v>0</v>
          </cell>
        </row>
        <row r="120">
          <cell r="A120">
            <v>44995</v>
          </cell>
          <cell r="B120">
            <v>0</v>
          </cell>
          <cell r="C120">
            <v>0</v>
          </cell>
          <cell r="E120">
            <v>0</v>
          </cell>
          <cell r="F120">
            <v>0</v>
          </cell>
          <cell r="H120">
            <v>0</v>
          </cell>
        </row>
        <row r="121">
          <cell r="A121">
            <v>44998</v>
          </cell>
          <cell r="B121">
            <v>0</v>
          </cell>
          <cell r="C121">
            <v>0</v>
          </cell>
          <cell r="E121">
            <v>0</v>
          </cell>
          <cell r="F121">
            <v>0</v>
          </cell>
          <cell r="H121">
            <v>0</v>
          </cell>
        </row>
        <row r="122">
          <cell r="A122">
            <v>44999</v>
          </cell>
          <cell r="B122">
            <v>0</v>
          </cell>
          <cell r="C122">
            <v>0</v>
          </cell>
          <cell r="E122">
            <v>0</v>
          </cell>
          <cell r="F122">
            <v>0</v>
          </cell>
          <cell r="H122">
            <v>0</v>
          </cell>
        </row>
        <row r="123">
          <cell r="A123">
            <v>45000</v>
          </cell>
          <cell r="B123">
            <v>0</v>
          </cell>
          <cell r="C123">
            <v>0</v>
          </cell>
          <cell r="E123">
            <v>0</v>
          </cell>
          <cell r="F123">
            <v>0</v>
          </cell>
          <cell r="H123">
            <v>0</v>
          </cell>
        </row>
        <row r="124">
          <cell r="A124">
            <v>45001</v>
          </cell>
          <cell r="B124">
            <v>0</v>
          </cell>
          <cell r="C124">
            <v>0</v>
          </cell>
          <cell r="E124">
            <v>0</v>
          </cell>
          <cell r="F124">
            <v>0</v>
          </cell>
          <cell r="H124">
            <v>0</v>
          </cell>
        </row>
        <row r="125">
          <cell r="A125">
            <v>45002</v>
          </cell>
          <cell r="B125">
            <v>0</v>
          </cell>
          <cell r="C125">
            <v>0</v>
          </cell>
          <cell r="E125">
            <v>0</v>
          </cell>
          <cell r="F125">
            <v>0</v>
          </cell>
          <cell r="H125">
            <v>0</v>
          </cell>
        </row>
        <row r="126">
          <cell r="A126">
            <v>45005</v>
          </cell>
          <cell r="B126">
            <v>0</v>
          </cell>
          <cell r="C126">
            <v>0</v>
          </cell>
          <cell r="E126">
            <v>0</v>
          </cell>
          <cell r="F126">
            <v>0</v>
          </cell>
          <cell r="H126">
            <v>0</v>
          </cell>
        </row>
        <row r="127">
          <cell r="A127">
            <v>45006</v>
          </cell>
          <cell r="B127">
            <v>0</v>
          </cell>
          <cell r="C127">
            <v>0</v>
          </cell>
          <cell r="E127">
            <v>0</v>
          </cell>
          <cell r="F127">
            <v>0</v>
          </cell>
          <cell r="H127">
            <v>0</v>
          </cell>
        </row>
        <row r="128">
          <cell r="A128">
            <v>45007</v>
          </cell>
          <cell r="B128">
            <v>0</v>
          </cell>
          <cell r="C128">
            <v>0</v>
          </cell>
          <cell r="E128">
            <v>0</v>
          </cell>
          <cell r="F128">
            <v>0</v>
          </cell>
          <cell r="H128">
            <v>0</v>
          </cell>
        </row>
        <row r="129">
          <cell r="A129">
            <v>45008</v>
          </cell>
          <cell r="B129">
            <v>0</v>
          </cell>
          <cell r="C129">
            <v>0</v>
          </cell>
          <cell r="E129">
            <v>0</v>
          </cell>
          <cell r="F129">
            <v>0</v>
          </cell>
          <cell r="H129">
            <v>0</v>
          </cell>
        </row>
        <row r="130">
          <cell r="A130">
            <v>45009</v>
          </cell>
          <cell r="B130">
            <v>0</v>
          </cell>
          <cell r="C130">
            <v>0</v>
          </cell>
          <cell r="E130">
            <v>0</v>
          </cell>
          <cell r="F130">
            <v>0</v>
          </cell>
          <cell r="H130">
            <v>0</v>
          </cell>
        </row>
        <row r="131">
          <cell r="A131">
            <v>45012</v>
          </cell>
          <cell r="B131">
            <v>0</v>
          </cell>
          <cell r="C131">
            <v>0</v>
          </cell>
          <cell r="E131">
            <v>0</v>
          </cell>
          <cell r="F131">
            <v>0</v>
          </cell>
          <cell r="H131">
            <v>0</v>
          </cell>
        </row>
        <row r="132">
          <cell r="A132">
            <v>45013</v>
          </cell>
          <cell r="B132">
            <v>0</v>
          </cell>
          <cell r="C132">
            <v>0</v>
          </cell>
          <cell r="E132">
            <v>0</v>
          </cell>
          <cell r="F132">
            <v>0</v>
          </cell>
          <cell r="H132">
            <v>0</v>
          </cell>
        </row>
        <row r="133">
          <cell r="A133">
            <v>45014</v>
          </cell>
          <cell r="B133">
            <v>0</v>
          </cell>
          <cell r="C133">
            <v>0</v>
          </cell>
          <cell r="E133">
            <v>0</v>
          </cell>
          <cell r="F133">
            <v>0</v>
          </cell>
          <cell r="H133">
            <v>0</v>
          </cell>
        </row>
        <row r="134">
          <cell r="A134">
            <v>45015</v>
          </cell>
          <cell r="B134">
            <v>0</v>
          </cell>
          <cell r="C134">
            <v>0</v>
          </cell>
          <cell r="E134">
            <v>0</v>
          </cell>
          <cell r="F134">
            <v>0</v>
          </cell>
          <cell r="H134">
            <v>0</v>
          </cell>
        </row>
        <row r="135">
          <cell r="A135">
            <v>45016</v>
          </cell>
          <cell r="B135">
            <v>0</v>
          </cell>
          <cell r="C135">
            <v>0</v>
          </cell>
          <cell r="E135">
            <v>0</v>
          </cell>
          <cell r="F135">
            <v>0</v>
          </cell>
          <cell r="H135">
            <v>0</v>
          </cell>
        </row>
        <row r="136">
          <cell r="A136">
            <v>45019</v>
          </cell>
          <cell r="B136">
            <v>0</v>
          </cell>
          <cell r="C136">
            <v>0</v>
          </cell>
          <cell r="E136">
            <v>0</v>
          </cell>
          <cell r="F136">
            <v>0</v>
          </cell>
          <cell r="H136">
            <v>0</v>
          </cell>
        </row>
        <row r="137">
          <cell r="A137">
            <v>45020</v>
          </cell>
          <cell r="B137">
            <v>0</v>
          </cell>
          <cell r="C137">
            <v>0</v>
          </cell>
          <cell r="E137">
            <v>0</v>
          </cell>
          <cell r="F137">
            <v>-34000</v>
          </cell>
          <cell r="H137">
            <v>0</v>
          </cell>
        </row>
        <row r="138">
          <cell r="A138">
            <v>45021</v>
          </cell>
          <cell r="B138">
            <v>0</v>
          </cell>
          <cell r="C138">
            <v>0</v>
          </cell>
          <cell r="E138">
            <v>0</v>
          </cell>
          <cell r="F138">
            <v>0</v>
          </cell>
          <cell r="H138">
            <v>0</v>
          </cell>
        </row>
        <row r="139">
          <cell r="A139">
            <v>45022</v>
          </cell>
          <cell r="B139">
            <v>0</v>
          </cell>
          <cell r="C139">
            <v>0</v>
          </cell>
          <cell r="E139">
            <v>0</v>
          </cell>
          <cell r="F139">
            <v>0</v>
          </cell>
          <cell r="H139">
            <v>0</v>
          </cell>
        </row>
        <row r="140">
          <cell r="A140">
            <v>45023</v>
          </cell>
          <cell r="B140">
            <v>0</v>
          </cell>
          <cell r="C140">
            <v>0</v>
          </cell>
          <cell r="E140">
            <v>0</v>
          </cell>
          <cell r="F140">
            <v>0</v>
          </cell>
          <cell r="H140">
            <v>0</v>
          </cell>
        </row>
        <row r="141">
          <cell r="A141">
            <v>45026</v>
          </cell>
          <cell r="B141">
            <v>0</v>
          </cell>
          <cell r="C141">
            <v>0</v>
          </cell>
          <cell r="E141">
            <v>0</v>
          </cell>
          <cell r="F141">
            <v>0</v>
          </cell>
          <cell r="H141">
            <v>0</v>
          </cell>
        </row>
        <row r="142">
          <cell r="A142">
            <v>45027</v>
          </cell>
          <cell r="B142">
            <v>0</v>
          </cell>
          <cell r="C142">
            <v>0</v>
          </cell>
          <cell r="E142">
            <v>0</v>
          </cell>
          <cell r="F142">
            <v>0</v>
          </cell>
          <cell r="H142">
            <v>0</v>
          </cell>
        </row>
        <row r="143">
          <cell r="A143">
            <v>45028</v>
          </cell>
          <cell r="B143">
            <v>0</v>
          </cell>
          <cell r="C143">
            <v>0</v>
          </cell>
          <cell r="E143">
            <v>0</v>
          </cell>
          <cell r="F143">
            <v>0</v>
          </cell>
          <cell r="H143">
            <v>0</v>
          </cell>
        </row>
        <row r="144">
          <cell r="A144">
            <v>45029</v>
          </cell>
          <cell r="B144">
            <v>0</v>
          </cell>
          <cell r="C144">
            <v>0</v>
          </cell>
          <cell r="E144">
            <v>0</v>
          </cell>
          <cell r="F144">
            <v>0</v>
          </cell>
          <cell r="H144">
            <v>0</v>
          </cell>
        </row>
        <row r="145">
          <cell r="A145">
            <v>45030</v>
          </cell>
          <cell r="B145">
            <v>0</v>
          </cell>
          <cell r="C145">
            <v>0</v>
          </cell>
          <cell r="E145">
            <v>0</v>
          </cell>
          <cell r="F145">
            <v>0</v>
          </cell>
          <cell r="H145">
            <v>0</v>
          </cell>
        </row>
        <row r="146">
          <cell r="A146">
            <v>45033</v>
          </cell>
          <cell r="B146">
            <v>0</v>
          </cell>
          <cell r="C146">
            <v>0</v>
          </cell>
          <cell r="E146">
            <v>0</v>
          </cell>
          <cell r="F146">
            <v>0</v>
          </cell>
          <cell r="H146">
            <v>0</v>
          </cell>
        </row>
        <row r="147">
          <cell r="A147">
            <v>45034</v>
          </cell>
          <cell r="B147">
            <v>0</v>
          </cell>
          <cell r="C147">
            <v>0</v>
          </cell>
          <cell r="E147">
            <v>0</v>
          </cell>
          <cell r="F147">
            <v>0</v>
          </cell>
          <cell r="H147">
            <v>0</v>
          </cell>
        </row>
        <row r="148">
          <cell r="A148">
            <v>45035</v>
          </cell>
          <cell r="B148">
            <v>0</v>
          </cell>
          <cell r="C148">
            <v>0</v>
          </cell>
          <cell r="E148">
            <v>0</v>
          </cell>
          <cell r="F148">
            <v>0</v>
          </cell>
          <cell r="H148">
            <v>0</v>
          </cell>
        </row>
        <row r="149">
          <cell r="A149">
            <v>45036</v>
          </cell>
          <cell r="B149">
            <v>0</v>
          </cell>
          <cell r="C149">
            <v>0</v>
          </cell>
          <cell r="E149">
            <v>0</v>
          </cell>
          <cell r="F149">
            <v>0</v>
          </cell>
          <cell r="H149">
            <v>0</v>
          </cell>
        </row>
        <row r="150">
          <cell r="A150">
            <v>45037</v>
          </cell>
          <cell r="B150">
            <v>0</v>
          </cell>
          <cell r="C150">
            <v>0</v>
          </cell>
          <cell r="E150">
            <v>0</v>
          </cell>
          <cell r="F150">
            <v>0</v>
          </cell>
          <cell r="H150">
            <v>0</v>
          </cell>
        </row>
        <row r="151">
          <cell r="A151">
            <v>45040</v>
          </cell>
          <cell r="B151">
            <v>0</v>
          </cell>
          <cell r="C151">
            <v>0</v>
          </cell>
          <cell r="E151">
            <v>0</v>
          </cell>
          <cell r="F151">
            <v>0</v>
          </cell>
          <cell r="H151">
            <v>0</v>
          </cell>
        </row>
        <row r="152">
          <cell r="A152">
            <v>45041</v>
          </cell>
          <cell r="B152">
            <v>0</v>
          </cell>
          <cell r="C152">
            <v>0</v>
          </cell>
          <cell r="E152">
            <v>0</v>
          </cell>
          <cell r="F152">
            <v>0</v>
          </cell>
          <cell r="H152">
            <v>0</v>
          </cell>
        </row>
        <row r="153">
          <cell r="A153">
            <v>45042</v>
          </cell>
          <cell r="B153">
            <v>0</v>
          </cell>
          <cell r="C153">
            <v>0</v>
          </cell>
          <cell r="E153">
            <v>0</v>
          </cell>
          <cell r="F153">
            <v>0</v>
          </cell>
          <cell r="H153">
            <v>0</v>
          </cell>
        </row>
        <row r="154">
          <cell r="A154">
            <v>45043</v>
          </cell>
          <cell r="B154">
            <v>0</v>
          </cell>
          <cell r="C154">
            <v>0</v>
          </cell>
          <cell r="E154">
            <v>0</v>
          </cell>
          <cell r="F154">
            <v>0</v>
          </cell>
          <cell r="H154">
            <v>0</v>
          </cell>
        </row>
        <row r="155">
          <cell r="A155">
            <v>45044</v>
          </cell>
          <cell r="B155">
            <v>0</v>
          </cell>
          <cell r="C155">
            <v>0</v>
          </cell>
          <cell r="E155">
            <v>0</v>
          </cell>
          <cell r="F155">
            <v>0</v>
          </cell>
          <cell r="H155">
            <v>0</v>
          </cell>
        </row>
        <row r="156">
          <cell r="A156">
            <v>45047</v>
          </cell>
          <cell r="B156">
            <v>0</v>
          </cell>
          <cell r="C156">
            <v>0</v>
          </cell>
          <cell r="E156">
            <v>0</v>
          </cell>
          <cell r="F156">
            <v>0</v>
          </cell>
          <cell r="H156">
            <v>0</v>
          </cell>
        </row>
        <row r="157">
          <cell r="A157">
            <v>45048</v>
          </cell>
          <cell r="B157">
            <v>0</v>
          </cell>
          <cell r="C157">
            <v>0</v>
          </cell>
          <cell r="E157">
            <v>0</v>
          </cell>
          <cell r="F157">
            <v>0</v>
          </cell>
          <cell r="H157">
            <v>0</v>
          </cell>
        </row>
        <row r="158">
          <cell r="A158">
            <v>45049</v>
          </cell>
          <cell r="B158">
            <v>0</v>
          </cell>
          <cell r="C158">
            <v>0</v>
          </cell>
          <cell r="E158">
            <v>0</v>
          </cell>
          <cell r="F158">
            <v>-27000</v>
          </cell>
          <cell r="H158">
            <v>0</v>
          </cell>
        </row>
        <row r="159">
          <cell r="A159">
            <v>45050</v>
          </cell>
          <cell r="B159">
            <v>0</v>
          </cell>
          <cell r="C159">
            <v>0</v>
          </cell>
          <cell r="E159">
            <v>0</v>
          </cell>
          <cell r="F159">
            <v>0</v>
          </cell>
          <cell r="H159">
            <v>0</v>
          </cell>
        </row>
        <row r="160">
          <cell r="A160">
            <v>45051</v>
          </cell>
          <cell r="B160">
            <v>0</v>
          </cell>
          <cell r="C160">
            <v>0</v>
          </cell>
          <cell r="E160">
            <v>0</v>
          </cell>
          <cell r="F160">
            <v>0</v>
          </cell>
          <cell r="H160">
            <v>0</v>
          </cell>
        </row>
        <row r="161">
          <cell r="A161">
            <v>45054</v>
          </cell>
          <cell r="B161">
            <v>0</v>
          </cell>
          <cell r="C161">
            <v>0</v>
          </cell>
          <cell r="E161">
            <v>0</v>
          </cell>
          <cell r="F161">
            <v>0</v>
          </cell>
          <cell r="H161">
            <v>0</v>
          </cell>
        </row>
        <row r="162">
          <cell r="A162">
            <v>45055</v>
          </cell>
          <cell r="B162">
            <v>0</v>
          </cell>
          <cell r="C162">
            <v>0</v>
          </cell>
          <cell r="E162">
            <v>0</v>
          </cell>
          <cell r="F162">
            <v>0</v>
          </cell>
          <cell r="H162">
            <v>0</v>
          </cell>
        </row>
        <row r="163">
          <cell r="A163">
            <v>45056</v>
          </cell>
          <cell r="B163">
            <v>0</v>
          </cell>
          <cell r="C163">
            <v>0</v>
          </cell>
          <cell r="E163">
            <v>0</v>
          </cell>
          <cell r="F163">
            <v>0</v>
          </cell>
          <cell r="H163">
            <v>0</v>
          </cell>
        </row>
        <row r="164">
          <cell r="A164">
            <v>45057</v>
          </cell>
          <cell r="B164">
            <v>0</v>
          </cell>
          <cell r="C164">
            <v>0</v>
          </cell>
          <cell r="E164">
            <v>0</v>
          </cell>
          <cell r="F164">
            <v>0</v>
          </cell>
          <cell r="H164">
            <v>0</v>
          </cell>
        </row>
        <row r="165">
          <cell r="A165">
            <v>45058</v>
          </cell>
          <cell r="B165">
            <v>0</v>
          </cell>
          <cell r="C165">
            <v>0</v>
          </cell>
          <cell r="E165">
            <v>0</v>
          </cell>
          <cell r="F165">
            <v>0</v>
          </cell>
          <cell r="H165">
            <v>0</v>
          </cell>
        </row>
        <row r="166">
          <cell r="A166">
            <v>45061</v>
          </cell>
          <cell r="B166">
            <v>0</v>
          </cell>
          <cell r="C166">
            <v>0</v>
          </cell>
          <cell r="E166">
            <v>0</v>
          </cell>
          <cell r="F166">
            <v>0</v>
          </cell>
          <cell r="H166">
            <v>0</v>
          </cell>
        </row>
        <row r="167">
          <cell r="A167">
            <v>45062</v>
          </cell>
          <cell r="B167">
            <v>0</v>
          </cell>
          <cell r="C167">
            <v>0</v>
          </cell>
          <cell r="E167">
            <v>0</v>
          </cell>
          <cell r="F167">
            <v>0</v>
          </cell>
          <cell r="H167">
            <v>0</v>
          </cell>
        </row>
        <row r="168">
          <cell r="A168">
            <v>45063</v>
          </cell>
          <cell r="B168">
            <v>0</v>
          </cell>
          <cell r="C168">
            <v>0</v>
          </cell>
          <cell r="E168">
            <v>0</v>
          </cell>
          <cell r="F168">
            <v>0</v>
          </cell>
          <cell r="H168">
            <v>0</v>
          </cell>
        </row>
        <row r="169">
          <cell r="A169">
            <v>45064</v>
          </cell>
          <cell r="B169">
            <v>0</v>
          </cell>
          <cell r="C169">
            <v>0</v>
          </cell>
          <cell r="E169">
            <v>0</v>
          </cell>
          <cell r="F169">
            <v>0</v>
          </cell>
          <cell r="H169">
            <v>0</v>
          </cell>
        </row>
        <row r="170">
          <cell r="A170">
            <v>45065</v>
          </cell>
          <cell r="B170">
            <v>0</v>
          </cell>
          <cell r="C170">
            <v>0</v>
          </cell>
          <cell r="E170">
            <v>0</v>
          </cell>
          <cell r="F170">
            <v>0</v>
          </cell>
          <cell r="H170">
            <v>0</v>
          </cell>
        </row>
        <row r="171">
          <cell r="A171">
            <v>45068</v>
          </cell>
          <cell r="B171">
            <v>0</v>
          </cell>
          <cell r="C171">
            <v>0</v>
          </cell>
          <cell r="E171">
            <v>0</v>
          </cell>
          <cell r="F171">
            <v>0</v>
          </cell>
          <cell r="H171">
            <v>0</v>
          </cell>
        </row>
        <row r="172">
          <cell r="A172">
            <v>45069</v>
          </cell>
          <cell r="B172">
            <v>0</v>
          </cell>
          <cell r="C172">
            <v>0</v>
          </cell>
          <cell r="E172">
            <v>0</v>
          </cell>
          <cell r="F172">
            <v>0</v>
          </cell>
          <cell r="H172">
            <v>0</v>
          </cell>
        </row>
        <row r="173">
          <cell r="A173">
            <v>45070</v>
          </cell>
          <cell r="B173">
            <v>0</v>
          </cell>
          <cell r="C173">
            <v>0</v>
          </cell>
          <cell r="E173">
            <v>0</v>
          </cell>
          <cell r="F173">
            <v>0</v>
          </cell>
          <cell r="H173">
            <v>0</v>
          </cell>
        </row>
        <row r="174">
          <cell r="A174">
            <v>45071</v>
          </cell>
          <cell r="B174">
            <v>0</v>
          </cell>
          <cell r="C174">
            <v>0</v>
          </cell>
          <cell r="E174">
            <v>0</v>
          </cell>
          <cell r="F174">
            <v>0</v>
          </cell>
          <cell r="H174">
            <v>0</v>
          </cell>
        </row>
        <row r="175">
          <cell r="A175">
            <v>45072</v>
          </cell>
          <cell r="B175">
            <v>0</v>
          </cell>
          <cell r="C175">
            <v>0</v>
          </cell>
          <cell r="E175">
            <v>0</v>
          </cell>
          <cell r="F175">
            <v>0</v>
          </cell>
          <cell r="H175">
            <v>0</v>
          </cell>
        </row>
        <row r="176">
          <cell r="A176">
            <v>45075</v>
          </cell>
          <cell r="B176">
            <v>0</v>
          </cell>
          <cell r="C176">
            <v>0</v>
          </cell>
          <cell r="E176">
            <v>0</v>
          </cell>
          <cell r="F176">
            <v>0</v>
          </cell>
          <cell r="H176">
            <v>0</v>
          </cell>
        </row>
        <row r="177">
          <cell r="A177">
            <v>45076</v>
          </cell>
          <cell r="B177">
            <v>0</v>
          </cell>
          <cell r="C177">
            <v>0</v>
          </cell>
          <cell r="E177">
            <v>0</v>
          </cell>
          <cell r="F177">
            <v>0</v>
          </cell>
          <cell r="H177">
            <v>0</v>
          </cell>
        </row>
        <row r="178">
          <cell r="A178">
            <v>45077</v>
          </cell>
          <cell r="B178">
            <v>0</v>
          </cell>
          <cell r="C178">
            <v>0</v>
          </cell>
          <cell r="E178">
            <v>0</v>
          </cell>
          <cell r="F178">
            <v>0</v>
          </cell>
          <cell r="H178">
            <v>8554113.6099999994</v>
          </cell>
        </row>
        <row r="179">
          <cell r="A179">
            <v>45078</v>
          </cell>
          <cell r="B179">
            <v>0</v>
          </cell>
          <cell r="C179">
            <v>0</v>
          </cell>
          <cell r="E179">
            <v>50000</v>
          </cell>
          <cell r="F179">
            <v>0</v>
          </cell>
          <cell r="H179">
            <v>50000</v>
          </cell>
        </row>
        <row r="180">
          <cell r="A180">
            <v>45079</v>
          </cell>
          <cell r="B180">
            <v>0</v>
          </cell>
          <cell r="C180">
            <v>0</v>
          </cell>
          <cell r="E180">
            <v>0</v>
          </cell>
          <cell r="F180">
            <v>-33000</v>
          </cell>
          <cell r="H180">
            <v>0</v>
          </cell>
        </row>
        <row r="181">
          <cell r="A181">
            <v>45082</v>
          </cell>
          <cell r="B181">
            <v>0</v>
          </cell>
          <cell r="C181">
            <v>0</v>
          </cell>
          <cell r="E181">
            <v>0</v>
          </cell>
          <cell r="F181">
            <v>0</v>
          </cell>
          <cell r="H181">
            <v>0</v>
          </cell>
        </row>
        <row r="182">
          <cell r="A182">
            <v>45083</v>
          </cell>
          <cell r="B182">
            <v>0</v>
          </cell>
          <cell r="C182">
            <v>0</v>
          </cell>
          <cell r="E182">
            <v>0</v>
          </cell>
          <cell r="F182">
            <v>0</v>
          </cell>
          <cell r="H182">
            <v>0</v>
          </cell>
        </row>
        <row r="183">
          <cell r="A183">
            <v>45084</v>
          </cell>
          <cell r="B183">
            <v>0</v>
          </cell>
          <cell r="C183">
            <v>0</v>
          </cell>
          <cell r="E183">
            <v>0</v>
          </cell>
          <cell r="F183">
            <v>0</v>
          </cell>
          <cell r="H183">
            <v>0</v>
          </cell>
        </row>
        <row r="184">
          <cell r="A184">
            <v>45085</v>
          </cell>
          <cell r="B184">
            <v>0</v>
          </cell>
          <cell r="C184">
            <v>0</v>
          </cell>
          <cell r="E184">
            <v>0</v>
          </cell>
          <cell r="F184">
            <v>0</v>
          </cell>
          <cell r="H184">
            <v>0</v>
          </cell>
        </row>
        <row r="185">
          <cell r="A185">
            <v>45086</v>
          </cell>
          <cell r="B185">
            <v>0</v>
          </cell>
          <cell r="C185">
            <v>0</v>
          </cell>
          <cell r="E185">
            <v>0</v>
          </cell>
          <cell r="F185">
            <v>0</v>
          </cell>
          <cell r="H185">
            <v>0</v>
          </cell>
        </row>
        <row r="186">
          <cell r="A186">
            <v>45089</v>
          </cell>
          <cell r="B186">
            <v>0</v>
          </cell>
          <cell r="C186">
            <v>0</v>
          </cell>
          <cell r="E186">
            <v>0</v>
          </cell>
          <cell r="F186">
            <v>0</v>
          </cell>
          <cell r="H186">
            <v>0</v>
          </cell>
        </row>
        <row r="187">
          <cell r="A187">
            <v>45090</v>
          </cell>
          <cell r="B187">
            <v>0</v>
          </cell>
          <cell r="C187">
            <v>0</v>
          </cell>
          <cell r="E187">
            <v>0</v>
          </cell>
          <cell r="F187">
            <v>0</v>
          </cell>
          <cell r="H187">
            <v>0</v>
          </cell>
        </row>
        <row r="188">
          <cell r="A188">
            <v>45091</v>
          </cell>
          <cell r="B188">
            <v>0</v>
          </cell>
          <cell r="C188">
            <v>0</v>
          </cell>
          <cell r="E188">
            <v>0</v>
          </cell>
          <cell r="F188">
            <v>0</v>
          </cell>
          <cell r="H188">
            <v>0</v>
          </cell>
        </row>
        <row r="189">
          <cell r="A189">
            <v>45092</v>
          </cell>
          <cell r="B189">
            <v>0</v>
          </cell>
          <cell r="C189">
            <v>0</v>
          </cell>
          <cell r="E189">
            <v>0</v>
          </cell>
          <cell r="F189">
            <v>0</v>
          </cell>
          <cell r="H189">
            <v>0</v>
          </cell>
        </row>
        <row r="190">
          <cell r="A190">
            <v>45093</v>
          </cell>
          <cell r="B190">
            <v>0</v>
          </cell>
          <cell r="C190">
            <v>0</v>
          </cell>
          <cell r="E190">
            <v>0</v>
          </cell>
          <cell r="F190">
            <v>0</v>
          </cell>
          <cell r="H190">
            <v>0</v>
          </cell>
        </row>
        <row r="191">
          <cell r="A191">
            <v>45096</v>
          </cell>
          <cell r="B191">
            <v>0</v>
          </cell>
          <cell r="C191">
            <v>0</v>
          </cell>
          <cell r="E191">
            <v>0</v>
          </cell>
          <cell r="F191">
            <v>0</v>
          </cell>
          <cell r="H191">
            <v>0</v>
          </cell>
        </row>
        <row r="192">
          <cell r="A192">
            <v>45097</v>
          </cell>
          <cell r="B192">
            <v>0</v>
          </cell>
          <cell r="C192">
            <v>0</v>
          </cell>
          <cell r="E192">
            <v>0</v>
          </cell>
          <cell r="F192">
            <v>0</v>
          </cell>
          <cell r="H192">
            <v>0</v>
          </cell>
        </row>
        <row r="193">
          <cell r="A193">
            <v>45098</v>
          </cell>
          <cell r="B193">
            <v>0</v>
          </cell>
          <cell r="C193">
            <v>0</v>
          </cell>
          <cell r="E193">
            <v>0</v>
          </cell>
          <cell r="F193">
            <v>0</v>
          </cell>
          <cell r="H193">
            <v>0</v>
          </cell>
        </row>
        <row r="194">
          <cell r="A194">
            <v>45099</v>
          </cell>
          <cell r="B194">
            <v>0</v>
          </cell>
          <cell r="C194">
            <v>0</v>
          </cell>
          <cell r="E194">
            <v>0</v>
          </cell>
          <cell r="F194">
            <v>0</v>
          </cell>
          <cell r="H194">
            <v>0</v>
          </cell>
        </row>
        <row r="195">
          <cell r="A195">
            <v>45100</v>
          </cell>
          <cell r="B195">
            <v>0</v>
          </cell>
          <cell r="C195">
            <v>0</v>
          </cell>
          <cell r="E195">
            <v>0</v>
          </cell>
          <cell r="F195">
            <v>0</v>
          </cell>
          <cell r="H195">
            <v>0</v>
          </cell>
        </row>
        <row r="196">
          <cell r="A196">
            <v>45103</v>
          </cell>
          <cell r="B196">
            <v>0</v>
          </cell>
          <cell r="C196">
            <v>0</v>
          </cell>
          <cell r="E196">
            <v>0</v>
          </cell>
          <cell r="F196">
            <v>0</v>
          </cell>
          <cell r="H196">
            <v>0</v>
          </cell>
        </row>
        <row r="197">
          <cell r="A197">
            <v>45104</v>
          </cell>
          <cell r="B197">
            <v>0</v>
          </cell>
          <cell r="C197">
            <v>0</v>
          </cell>
          <cell r="E197">
            <v>0</v>
          </cell>
          <cell r="F197">
            <v>0</v>
          </cell>
          <cell r="H197">
            <v>0</v>
          </cell>
        </row>
        <row r="198">
          <cell r="A198">
            <v>45105</v>
          </cell>
          <cell r="B198">
            <v>0</v>
          </cell>
          <cell r="C198">
            <v>0</v>
          </cell>
          <cell r="E198">
            <v>0</v>
          </cell>
          <cell r="F198">
            <v>0</v>
          </cell>
          <cell r="H198">
            <v>0</v>
          </cell>
        </row>
        <row r="199">
          <cell r="A199">
            <v>45106</v>
          </cell>
          <cell r="B199">
            <v>0</v>
          </cell>
          <cell r="C199">
            <v>0</v>
          </cell>
          <cell r="E199">
            <v>0</v>
          </cell>
          <cell r="F199">
            <v>0</v>
          </cell>
          <cell r="H199">
            <v>0</v>
          </cell>
        </row>
        <row r="200">
          <cell r="A200">
            <v>45107</v>
          </cell>
          <cell r="B200">
            <v>0</v>
          </cell>
          <cell r="C200">
            <v>0</v>
          </cell>
          <cell r="E200">
            <v>0</v>
          </cell>
          <cell r="F200">
            <v>0</v>
          </cell>
          <cell r="H200">
            <v>0</v>
          </cell>
        </row>
        <row r="201">
          <cell r="A201">
            <v>45110</v>
          </cell>
          <cell r="B201">
            <v>0</v>
          </cell>
          <cell r="C201">
            <v>0</v>
          </cell>
          <cell r="E201">
            <v>0</v>
          </cell>
          <cell r="F201">
            <v>0</v>
          </cell>
          <cell r="H201">
            <v>0</v>
          </cell>
        </row>
        <row r="202">
          <cell r="A202">
            <v>45111</v>
          </cell>
          <cell r="B202">
            <v>0</v>
          </cell>
          <cell r="C202">
            <v>0</v>
          </cell>
          <cell r="E202">
            <v>0</v>
          </cell>
          <cell r="F202">
            <v>-36000</v>
          </cell>
          <cell r="H202">
            <v>0</v>
          </cell>
        </row>
        <row r="203">
          <cell r="A203">
            <v>45112</v>
          </cell>
          <cell r="B203">
            <v>0</v>
          </cell>
          <cell r="C203">
            <v>0</v>
          </cell>
          <cell r="E203">
            <v>0</v>
          </cell>
          <cell r="F203">
            <v>0</v>
          </cell>
          <cell r="H203">
            <v>0</v>
          </cell>
        </row>
        <row r="204">
          <cell r="A204">
            <v>45113</v>
          </cell>
          <cell r="B204">
            <v>0</v>
          </cell>
          <cell r="C204">
            <v>0</v>
          </cell>
          <cell r="E204">
            <v>0</v>
          </cell>
          <cell r="F204">
            <v>0</v>
          </cell>
          <cell r="H204">
            <v>0</v>
          </cell>
        </row>
        <row r="205">
          <cell r="A205">
            <v>45114</v>
          </cell>
          <cell r="B205">
            <v>0</v>
          </cell>
          <cell r="C205">
            <v>0</v>
          </cell>
          <cell r="E205">
            <v>0</v>
          </cell>
          <cell r="F205">
            <v>0</v>
          </cell>
          <cell r="H205">
            <v>0</v>
          </cell>
        </row>
        <row r="206">
          <cell r="A206">
            <v>45117</v>
          </cell>
          <cell r="B206">
            <v>0</v>
          </cell>
          <cell r="C206">
            <v>0</v>
          </cell>
          <cell r="E206">
            <v>0</v>
          </cell>
          <cell r="F206">
            <v>0</v>
          </cell>
          <cell r="H206">
            <v>0</v>
          </cell>
        </row>
        <row r="207">
          <cell r="A207">
            <v>45118</v>
          </cell>
          <cell r="B207">
            <v>0</v>
          </cell>
          <cell r="C207">
            <v>0</v>
          </cell>
          <cell r="E207">
            <v>0</v>
          </cell>
          <cell r="F207">
            <v>0</v>
          </cell>
          <cell r="H207">
            <v>0</v>
          </cell>
        </row>
        <row r="208">
          <cell r="A208">
            <v>45119</v>
          </cell>
          <cell r="B208">
            <v>0</v>
          </cell>
          <cell r="C208">
            <v>0</v>
          </cell>
          <cell r="E208">
            <v>0</v>
          </cell>
          <cell r="F208">
            <v>0</v>
          </cell>
          <cell r="H208">
            <v>0</v>
          </cell>
        </row>
        <row r="209">
          <cell r="A209">
            <v>45120</v>
          </cell>
          <cell r="B209">
            <v>100000</v>
          </cell>
          <cell r="C209">
            <v>0</v>
          </cell>
          <cell r="E209">
            <v>150000</v>
          </cell>
          <cell r="F209">
            <v>0</v>
          </cell>
          <cell r="H209">
            <v>50000</v>
          </cell>
        </row>
        <row r="210">
          <cell r="A210">
            <v>45121</v>
          </cell>
          <cell r="B210">
            <v>0</v>
          </cell>
          <cell r="C210">
            <v>0</v>
          </cell>
          <cell r="E210">
            <v>0</v>
          </cell>
          <cell r="F210">
            <v>0</v>
          </cell>
          <cell r="H210">
            <v>0</v>
          </cell>
        </row>
        <row r="211">
          <cell r="A211">
            <v>45124</v>
          </cell>
          <cell r="B211">
            <v>0</v>
          </cell>
          <cell r="C211">
            <v>0</v>
          </cell>
          <cell r="E211">
            <v>0</v>
          </cell>
          <cell r="F211">
            <v>0</v>
          </cell>
          <cell r="H211">
            <v>0</v>
          </cell>
        </row>
        <row r="212">
          <cell r="A212">
            <v>45125</v>
          </cell>
          <cell r="B212">
            <v>0</v>
          </cell>
          <cell r="C212">
            <v>0</v>
          </cell>
          <cell r="E212">
            <v>0</v>
          </cell>
          <cell r="F212">
            <v>0</v>
          </cell>
          <cell r="H212">
            <v>0</v>
          </cell>
        </row>
        <row r="213">
          <cell r="A213">
            <v>45126</v>
          </cell>
          <cell r="B213">
            <v>0</v>
          </cell>
          <cell r="C213">
            <v>0</v>
          </cell>
          <cell r="E213">
            <v>0</v>
          </cell>
          <cell r="F213">
            <v>0</v>
          </cell>
          <cell r="H213">
            <v>0</v>
          </cell>
        </row>
        <row r="214">
          <cell r="A214">
            <v>45127</v>
          </cell>
          <cell r="B214">
            <v>0</v>
          </cell>
          <cell r="C214">
            <v>0</v>
          </cell>
          <cell r="E214">
            <v>0</v>
          </cell>
          <cell r="F214">
            <v>0</v>
          </cell>
          <cell r="H214">
            <v>0</v>
          </cell>
        </row>
        <row r="215">
          <cell r="A215">
            <v>45128</v>
          </cell>
          <cell r="B215">
            <v>0</v>
          </cell>
          <cell r="C215">
            <v>0</v>
          </cell>
          <cell r="E215">
            <v>0</v>
          </cell>
          <cell r="F215">
            <v>0</v>
          </cell>
          <cell r="H215">
            <v>0</v>
          </cell>
        </row>
        <row r="216">
          <cell r="A216">
            <v>45131</v>
          </cell>
          <cell r="B216">
            <v>0</v>
          </cell>
          <cell r="C216">
            <v>0</v>
          </cell>
          <cell r="E216">
            <v>0</v>
          </cell>
          <cell r="F216">
            <v>0</v>
          </cell>
          <cell r="H216">
            <v>0</v>
          </cell>
        </row>
        <row r="217">
          <cell r="A217">
            <v>45132</v>
          </cell>
          <cell r="B217">
            <v>0</v>
          </cell>
          <cell r="C217">
            <v>0</v>
          </cell>
          <cell r="E217">
            <v>0</v>
          </cell>
          <cell r="F217">
            <v>0</v>
          </cell>
          <cell r="H217">
            <v>0</v>
          </cell>
        </row>
        <row r="218">
          <cell r="A218">
            <v>45133</v>
          </cell>
          <cell r="B218">
            <v>0</v>
          </cell>
          <cell r="C218">
            <v>0</v>
          </cell>
          <cell r="E218">
            <v>0</v>
          </cell>
          <cell r="F218">
            <v>0</v>
          </cell>
          <cell r="H218">
            <v>0</v>
          </cell>
        </row>
        <row r="219">
          <cell r="A219">
            <v>45134</v>
          </cell>
          <cell r="B219">
            <v>0</v>
          </cell>
          <cell r="C219">
            <v>0</v>
          </cell>
          <cell r="E219">
            <v>0</v>
          </cell>
          <cell r="F219">
            <v>0</v>
          </cell>
          <cell r="H219">
            <v>0</v>
          </cell>
        </row>
        <row r="220">
          <cell r="A220">
            <v>45135</v>
          </cell>
          <cell r="B220">
            <v>0</v>
          </cell>
          <cell r="C220">
            <v>0</v>
          </cell>
          <cell r="E220">
            <v>0</v>
          </cell>
          <cell r="F220">
            <v>0</v>
          </cell>
          <cell r="H220">
            <v>0</v>
          </cell>
        </row>
        <row r="221">
          <cell r="A221">
            <v>45138</v>
          </cell>
          <cell r="B221">
            <v>0</v>
          </cell>
          <cell r="C221">
            <v>0</v>
          </cell>
          <cell r="E221">
            <v>0</v>
          </cell>
          <cell r="F221">
            <v>0</v>
          </cell>
          <cell r="H221">
            <v>0</v>
          </cell>
        </row>
        <row r="222">
          <cell r="A222">
            <v>45139</v>
          </cell>
          <cell r="B222">
            <v>0</v>
          </cell>
          <cell r="C222">
            <v>0</v>
          </cell>
          <cell r="E222">
            <v>0</v>
          </cell>
          <cell r="F222">
            <v>0</v>
          </cell>
          <cell r="H222">
            <v>0</v>
          </cell>
        </row>
        <row r="223">
          <cell r="A223">
            <v>45140</v>
          </cell>
          <cell r="B223">
            <v>0</v>
          </cell>
          <cell r="C223">
            <v>0</v>
          </cell>
          <cell r="E223">
            <v>0</v>
          </cell>
          <cell r="F223">
            <v>-37000</v>
          </cell>
          <cell r="H223">
            <v>0</v>
          </cell>
        </row>
        <row r="224">
          <cell r="A224">
            <v>45141</v>
          </cell>
          <cell r="B224">
            <v>0</v>
          </cell>
          <cell r="C224">
            <v>0</v>
          </cell>
          <cell r="E224">
            <v>0</v>
          </cell>
          <cell r="F224">
            <v>0</v>
          </cell>
          <cell r="H224">
            <v>0</v>
          </cell>
        </row>
        <row r="225">
          <cell r="A225">
            <v>45142</v>
          </cell>
          <cell r="B225">
            <v>0</v>
          </cell>
          <cell r="C225">
            <v>0</v>
          </cell>
          <cell r="E225">
            <v>0</v>
          </cell>
          <cell r="F225">
            <v>0</v>
          </cell>
          <cell r="H225">
            <v>0</v>
          </cell>
        </row>
        <row r="226">
          <cell r="A226">
            <v>45145</v>
          </cell>
          <cell r="B226">
            <v>0</v>
          </cell>
          <cell r="C226">
            <v>0</v>
          </cell>
          <cell r="E226">
            <v>0</v>
          </cell>
          <cell r="F226">
            <v>0</v>
          </cell>
          <cell r="H226">
            <v>0</v>
          </cell>
        </row>
        <row r="227">
          <cell r="A227">
            <v>45146</v>
          </cell>
          <cell r="B227">
            <v>0</v>
          </cell>
          <cell r="C227">
            <v>0</v>
          </cell>
          <cell r="E227">
            <v>0</v>
          </cell>
          <cell r="F227">
            <v>0</v>
          </cell>
          <cell r="H227">
            <v>0</v>
          </cell>
        </row>
        <row r="228">
          <cell r="A228">
            <v>45147</v>
          </cell>
          <cell r="B228">
            <v>0</v>
          </cell>
          <cell r="C228">
            <v>0</v>
          </cell>
          <cell r="E228">
            <v>0</v>
          </cell>
          <cell r="F228">
            <v>0</v>
          </cell>
          <cell r="H228">
            <v>0</v>
          </cell>
        </row>
        <row r="229">
          <cell r="A229">
            <v>45148</v>
          </cell>
          <cell r="B229">
            <v>0</v>
          </cell>
          <cell r="C229">
            <v>0</v>
          </cell>
          <cell r="E229">
            <v>0</v>
          </cell>
          <cell r="F229">
            <v>0</v>
          </cell>
          <cell r="H229">
            <v>0</v>
          </cell>
        </row>
        <row r="230">
          <cell r="A230">
            <v>45149</v>
          </cell>
          <cell r="B230">
            <v>0</v>
          </cell>
          <cell r="C230">
            <v>0</v>
          </cell>
          <cell r="E230">
            <v>0</v>
          </cell>
          <cell r="F230">
            <v>0</v>
          </cell>
          <cell r="H230">
            <v>0</v>
          </cell>
        </row>
        <row r="231">
          <cell r="A231">
            <v>45152</v>
          </cell>
          <cell r="B231">
            <v>100000</v>
          </cell>
          <cell r="C231">
            <v>0</v>
          </cell>
          <cell r="E231">
            <v>100000</v>
          </cell>
          <cell r="F231">
            <v>0</v>
          </cell>
          <cell r="H231">
            <v>0</v>
          </cell>
        </row>
        <row r="232">
          <cell r="A232">
            <v>45153</v>
          </cell>
          <cell r="B232">
            <v>0</v>
          </cell>
          <cell r="C232">
            <v>0</v>
          </cell>
          <cell r="E232">
            <v>0</v>
          </cell>
          <cell r="F232">
            <v>0</v>
          </cell>
          <cell r="H232">
            <v>0</v>
          </cell>
        </row>
        <row r="233">
          <cell r="A233">
            <v>45154</v>
          </cell>
          <cell r="B233">
            <v>0</v>
          </cell>
          <cell r="C233">
            <v>0</v>
          </cell>
          <cell r="E233">
            <v>0</v>
          </cell>
          <cell r="F233">
            <v>0</v>
          </cell>
          <cell r="H233">
            <v>0</v>
          </cell>
        </row>
        <row r="234">
          <cell r="A234">
            <v>45155</v>
          </cell>
          <cell r="B234">
            <v>0</v>
          </cell>
          <cell r="C234">
            <v>0</v>
          </cell>
          <cell r="E234">
            <v>0</v>
          </cell>
          <cell r="F234">
            <v>0</v>
          </cell>
          <cell r="H234">
            <v>0</v>
          </cell>
        </row>
        <row r="235">
          <cell r="A235">
            <v>45156</v>
          </cell>
          <cell r="B235">
            <v>0</v>
          </cell>
          <cell r="C235">
            <v>0</v>
          </cell>
          <cell r="E235">
            <v>0</v>
          </cell>
          <cell r="F235">
            <v>0</v>
          </cell>
          <cell r="H235">
            <v>0</v>
          </cell>
        </row>
        <row r="236">
          <cell r="A236">
            <v>45159</v>
          </cell>
          <cell r="B236">
            <v>0</v>
          </cell>
          <cell r="C236">
            <v>0</v>
          </cell>
          <cell r="E236">
            <v>0</v>
          </cell>
          <cell r="F236">
            <v>0</v>
          </cell>
          <cell r="H236">
            <v>0</v>
          </cell>
        </row>
        <row r="237">
          <cell r="A237">
            <v>45160</v>
          </cell>
          <cell r="B237">
            <v>0</v>
          </cell>
          <cell r="C237">
            <v>0</v>
          </cell>
          <cell r="E237">
            <v>0</v>
          </cell>
          <cell r="F237">
            <v>0</v>
          </cell>
          <cell r="H237">
            <v>0</v>
          </cell>
        </row>
        <row r="238">
          <cell r="A238">
            <v>45161</v>
          </cell>
          <cell r="B238">
            <v>0</v>
          </cell>
          <cell r="C238">
            <v>0</v>
          </cell>
          <cell r="E238">
            <v>0</v>
          </cell>
          <cell r="F238">
            <v>0</v>
          </cell>
          <cell r="H238">
            <v>0</v>
          </cell>
        </row>
        <row r="239">
          <cell r="A239">
            <v>45162</v>
          </cell>
          <cell r="B239">
            <v>0</v>
          </cell>
          <cell r="C239">
            <v>0</v>
          </cell>
          <cell r="E239">
            <v>0</v>
          </cell>
          <cell r="F239">
            <v>0</v>
          </cell>
          <cell r="H239">
            <v>0</v>
          </cell>
        </row>
        <row r="240">
          <cell r="A240">
            <v>45163</v>
          </cell>
          <cell r="B240">
            <v>0</v>
          </cell>
          <cell r="C240">
            <v>0</v>
          </cell>
          <cell r="E240">
            <v>0</v>
          </cell>
          <cell r="F240">
            <v>0</v>
          </cell>
          <cell r="H240">
            <v>0</v>
          </cell>
        </row>
        <row r="241">
          <cell r="A241">
            <v>45166</v>
          </cell>
          <cell r="B241">
            <v>0</v>
          </cell>
          <cell r="C241">
            <v>0</v>
          </cell>
          <cell r="E241">
            <v>0</v>
          </cell>
          <cell r="F241">
            <v>0</v>
          </cell>
          <cell r="H241">
            <v>0</v>
          </cell>
        </row>
        <row r="242">
          <cell r="A242">
            <v>45167</v>
          </cell>
          <cell r="B242">
            <v>0</v>
          </cell>
          <cell r="C242">
            <v>0</v>
          </cell>
          <cell r="E242">
            <v>0</v>
          </cell>
          <cell r="F242">
            <v>0</v>
          </cell>
          <cell r="H242">
            <v>0</v>
          </cell>
        </row>
        <row r="243">
          <cell r="A243">
            <v>45168</v>
          </cell>
          <cell r="B243">
            <v>0</v>
          </cell>
          <cell r="C243">
            <v>0</v>
          </cell>
          <cell r="E243">
            <v>0</v>
          </cell>
          <cell r="F243">
            <v>0</v>
          </cell>
          <cell r="H243">
            <v>0</v>
          </cell>
        </row>
        <row r="244">
          <cell r="A244">
            <v>45169</v>
          </cell>
          <cell r="B244">
            <v>0</v>
          </cell>
          <cell r="C244">
            <v>0</v>
          </cell>
          <cell r="E244">
            <v>0</v>
          </cell>
          <cell r="F244">
            <v>0</v>
          </cell>
          <cell r="H244">
            <v>0</v>
          </cell>
        </row>
        <row r="245">
          <cell r="A245">
            <v>45170</v>
          </cell>
          <cell r="B245">
            <v>0</v>
          </cell>
          <cell r="C245">
            <v>0</v>
          </cell>
          <cell r="E245">
            <v>0</v>
          </cell>
          <cell r="F245">
            <v>0</v>
          </cell>
          <cell r="H245">
            <v>0</v>
          </cell>
        </row>
        <row r="246">
          <cell r="A246">
            <v>45173</v>
          </cell>
          <cell r="B246">
            <v>0</v>
          </cell>
          <cell r="C246">
            <v>0</v>
          </cell>
          <cell r="E246">
            <v>0</v>
          </cell>
          <cell r="F246">
            <v>-40500</v>
          </cell>
          <cell r="H246">
            <v>0</v>
          </cell>
        </row>
        <row r="247">
          <cell r="A247">
            <v>45174</v>
          </cell>
          <cell r="B247">
            <v>0</v>
          </cell>
          <cell r="C247">
            <v>0</v>
          </cell>
          <cell r="E247">
            <v>0</v>
          </cell>
          <cell r="F247">
            <v>0</v>
          </cell>
          <cell r="H247">
            <v>0</v>
          </cell>
        </row>
        <row r="248">
          <cell r="A248">
            <v>45175</v>
          </cell>
          <cell r="B248">
            <v>0</v>
          </cell>
          <cell r="C248">
            <v>0</v>
          </cell>
          <cell r="E248">
            <v>0</v>
          </cell>
          <cell r="F248">
            <v>0</v>
          </cell>
          <cell r="H248">
            <v>0</v>
          </cell>
        </row>
        <row r="249">
          <cell r="A249">
            <v>45176</v>
          </cell>
          <cell r="B249">
            <v>0</v>
          </cell>
          <cell r="C249">
            <v>0</v>
          </cell>
          <cell r="E249">
            <v>0</v>
          </cell>
          <cell r="F249">
            <v>0</v>
          </cell>
          <cell r="H249">
            <v>0</v>
          </cell>
        </row>
        <row r="250">
          <cell r="A250">
            <v>45177</v>
          </cell>
          <cell r="B250">
            <v>0</v>
          </cell>
          <cell r="C250">
            <v>0</v>
          </cell>
          <cell r="E250">
            <v>0</v>
          </cell>
          <cell r="F250">
            <v>0</v>
          </cell>
          <cell r="H250">
            <v>0</v>
          </cell>
        </row>
        <row r="251">
          <cell r="A251">
            <v>45180</v>
          </cell>
          <cell r="B251">
            <v>0</v>
          </cell>
          <cell r="C251">
            <v>0</v>
          </cell>
          <cell r="E251">
            <v>0</v>
          </cell>
          <cell r="F251">
            <v>0</v>
          </cell>
          <cell r="H251">
            <v>0</v>
          </cell>
        </row>
        <row r="252">
          <cell r="A252">
            <v>45181</v>
          </cell>
          <cell r="B252">
            <v>0</v>
          </cell>
          <cell r="C252">
            <v>0</v>
          </cell>
          <cell r="E252">
            <v>0</v>
          </cell>
          <cell r="F252">
            <v>0</v>
          </cell>
          <cell r="H252">
            <v>0</v>
          </cell>
        </row>
        <row r="253">
          <cell r="A253">
            <v>45182</v>
          </cell>
          <cell r="B253">
            <v>0</v>
          </cell>
          <cell r="C253">
            <v>0</v>
          </cell>
          <cell r="E253">
            <v>0</v>
          </cell>
          <cell r="F253">
            <v>0</v>
          </cell>
          <cell r="H253">
            <v>0</v>
          </cell>
        </row>
        <row r="254">
          <cell r="A254">
            <v>45183</v>
          </cell>
          <cell r="B254">
            <v>0</v>
          </cell>
          <cell r="C254">
            <v>0</v>
          </cell>
          <cell r="E254">
            <v>0</v>
          </cell>
          <cell r="F254">
            <v>0</v>
          </cell>
          <cell r="H254">
            <v>0</v>
          </cell>
        </row>
        <row r="255">
          <cell r="A255">
            <v>45184</v>
          </cell>
          <cell r="B255">
            <v>0</v>
          </cell>
          <cell r="C255">
            <v>0</v>
          </cell>
          <cell r="E255">
            <v>0</v>
          </cell>
          <cell r="F255">
            <v>0</v>
          </cell>
          <cell r="H255">
            <v>0</v>
          </cell>
        </row>
        <row r="256">
          <cell r="A256">
            <v>45187</v>
          </cell>
          <cell r="B256">
            <v>0</v>
          </cell>
          <cell r="C256">
            <v>0</v>
          </cell>
          <cell r="E256">
            <v>0</v>
          </cell>
          <cell r="F256">
            <v>0</v>
          </cell>
          <cell r="H256">
            <v>0</v>
          </cell>
        </row>
        <row r="257">
          <cell r="A257">
            <v>45188</v>
          </cell>
          <cell r="B257">
            <v>0</v>
          </cell>
          <cell r="C257">
            <v>0</v>
          </cell>
          <cell r="E257">
            <v>0</v>
          </cell>
          <cell r="F257">
            <v>0</v>
          </cell>
          <cell r="H257">
            <v>0</v>
          </cell>
        </row>
        <row r="258">
          <cell r="A258">
            <v>45189</v>
          </cell>
          <cell r="B258">
            <v>0</v>
          </cell>
          <cell r="C258">
            <v>0</v>
          </cell>
          <cell r="E258">
            <v>0</v>
          </cell>
          <cell r="F258">
            <v>0</v>
          </cell>
          <cell r="H258">
            <v>0</v>
          </cell>
        </row>
        <row r="259">
          <cell r="A259">
            <v>45190</v>
          </cell>
          <cell r="B259">
            <v>0</v>
          </cell>
          <cell r="C259">
            <v>0</v>
          </cell>
          <cell r="E259">
            <v>0</v>
          </cell>
          <cell r="F259">
            <v>0</v>
          </cell>
          <cell r="H259">
            <v>0</v>
          </cell>
        </row>
        <row r="260">
          <cell r="A260">
            <v>45191</v>
          </cell>
          <cell r="B260">
            <v>0</v>
          </cell>
          <cell r="C260">
            <v>0</v>
          </cell>
          <cell r="E260">
            <v>0</v>
          </cell>
          <cell r="F260">
            <v>0</v>
          </cell>
          <cell r="H260">
            <v>0</v>
          </cell>
        </row>
        <row r="261">
          <cell r="A261">
            <v>45194</v>
          </cell>
          <cell r="B261">
            <v>0</v>
          </cell>
          <cell r="C261">
            <v>0</v>
          </cell>
          <cell r="E261">
            <v>0</v>
          </cell>
          <cell r="F261">
            <v>0</v>
          </cell>
          <cell r="H261">
            <v>0</v>
          </cell>
        </row>
        <row r="262">
          <cell r="A262">
            <v>45195</v>
          </cell>
          <cell r="B262">
            <v>0</v>
          </cell>
          <cell r="C262">
            <v>0</v>
          </cell>
          <cell r="E262">
            <v>0</v>
          </cell>
          <cell r="F262">
            <v>0</v>
          </cell>
          <cell r="H262">
            <v>0</v>
          </cell>
        </row>
        <row r="263">
          <cell r="A263">
            <v>45196</v>
          </cell>
          <cell r="B263">
            <v>0</v>
          </cell>
          <cell r="C263">
            <v>0</v>
          </cell>
          <cell r="E263">
            <v>0</v>
          </cell>
          <cell r="F263">
            <v>0</v>
          </cell>
          <cell r="H263">
            <v>0</v>
          </cell>
        </row>
        <row r="264">
          <cell r="A264">
            <v>45197</v>
          </cell>
          <cell r="B264">
            <v>0</v>
          </cell>
          <cell r="C264">
            <v>0</v>
          </cell>
          <cell r="E264">
            <v>0</v>
          </cell>
          <cell r="F264">
            <v>0</v>
          </cell>
          <cell r="H264">
            <v>0</v>
          </cell>
        </row>
        <row r="265">
          <cell r="A265">
            <v>45198</v>
          </cell>
          <cell r="B265">
            <v>0</v>
          </cell>
          <cell r="C265">
            <v>0</v>
          </cell>
          <cell r="E265">
            <v>0</v>
          </cell>
          <cell r="F265">
            <v>0</v>
          </cell>
          <cell r="H265">
            <v>0</v>
          </cell>
        </row>
        <row r="266">
          <cell r="A266">
            <v>45201</v>
          </cell>
          <cell r="B266">
            <v>0</v>
          </cell>
          <cell r="C266">
            <v>0</v>
          </cell>
          <cell r="E266">
            <v>0</v>
          </cell>
          <cell r="F266">
            <v>0</v>
          </cell>
          <cell r="H266">
            <v>0</v>
          </cell>
        </row>
        <row r="267">
          <cell r="A267">
            <v>45202</v>
          </cell>
          <cell r="B267">
            <v>0</v>
          </cell>
          <cell r="C267">
            <v>0</v>
          </cell>
          <cell r="E267">
            <v>0</v>
          </cell>
          <cell r="F267">
            <v>-35500</v>
          </cell>
          <cell r="H267">
            <v>0</v>
          </cell>
        </row>
        <row r="268">
          <cell r="A268">
            <v>45203</v>
          </cell>
          <cell r="B268">
            <v>0</v>
          </cell>
          <cell r="C268">
            <v>0</v>
          </cell>
          <cell r="E268">
            <v>0</v>
          </cell>
          <cell r="F268">
            <v>0</v>
          </cell>
          <cell r="H268">
            <v>0</v>
          </cell>
        </row>
        <row r="269">
          <cell r="A269">
            <v>45204</v>
          </cell>
          <cell r="B269">
            <v>0</v>
          </cell>
          <cell r="C269">
            <v>0</v>
          </cell>
          <cell r="E269">
            <v>0</v>
          </cell>
          <cell r="F269">
            <v>0</v>
          </cell>
          <cell r="H269">
            <v>0</v>
          </cell>
        </row>
        <row r="270">
          <cell r="A270">
            <v>45205</v>
          </cell>
          <cell r="B270">
            <v>0</v>
          </cell>
          <cell r="C270">
            <v>0</v>
          </cell>
          <cell r="E270">
            <v>0</v>
          </cell>
          <cell r="F270">
            <v>0</v>
          </cell>
          <cell r="H270">
            <v>0</v>
          </cell>
        </row>
        <row r="271">
          <cell r="A271">
            <v>45208</v>
          </cell>
          <cell r="B271">
            <v>0</v>
          </cell>
          <cell r="C271">
            <v>0</v>
          </cell>
          <cell r="E271">
            <v>0</v>
          </cell>
          <cell r="F271">
            <v>0</v>
          </cell>
          <cell r="H271">
            <v>0</v>
          </cell>
        </row>
        <row r="272">
          <cell r="A272">
            <v>45209</v>
          </cell>
          <cell r="B272">
            <v>0</v>
          </cell>
          <cell r="C272">
            <v>0</v>
          </cell>
          <cell r="E272">
            <v>0</v>
          </cell>
          <cell r="F272">
            <v>0</v>
          </cell>
          <cell r="H272">
            <v>0</v>
          </cell>
        </row>
        <row r="273">
          <cell r="A273">
            <v>45210</v>
          </cell>
          <cell r="B273">
            <v>0</v>
          </cell>
          <cell r="C273">
            <v>0</v>
          </cell>
          <cell r="E273">
            <v>0</v>
          </cell>
          <cell r="F273">
            <v>0</v>
          </cell>
          <cell r="H273">
            <v>0</v>
          </cell>
        </row>
        <row r="274">
          <cell r="A274">
            <v>45211</v>
          </cell>
          <cell r="B274">
            <v>0</v>
          </cell>
          <cell r="C274">
            <v>0</v>
          </cell>
          <cell r="E274">
            <v>0</v>
          </cell>
          <cell r="F274">
            <v>0</v>
          </cell>
          <cell r="H274">
            <v>0</v>
          </cell>
        </row>
        <row r="275">
          <cell r="A275">
            <v>45212</v>
          </cell>
          <cell r="B275">
            <v>0</v>
          </cell>
          <cell r="C275">
            <v>0</v>
          </cell>
          <cell r="E275">
            <v>0</v>
          </cell>
          <cell r="F275">
            <v>0</v>
          </cell>
          <cell r="H275">
            <v>0</v>
          </cell>
        </row>
        <row r="276">
          <cell r="A276">
            <v>45215</v>
          </cell>
          <cell r="B276">
            <v>0</v>
          </cell>
          <cell r="C276">
            <v>0</v>
          </cell>
          <cell r="E276">
            <v>0</v>
          </cell>
          <cell r="F276">
            <v>0</v>
          </cell>
          <cell r="H276">
            <v>0</v>
          </cell>
        </row>
        <row r="277">
          <cell r="A277">
            <v>45216</v>
          </cell>
          <cell r="B277">
            <v>0</v>
          </cell>
          <cell r="C277">
            <v>0</v>
          </cell>
          <cell r="E277">
            <v>0</v>
          </cell>
          <cell r="F277">
            <v>0</v>
          </cell>
          <cell r="H277">
            <v>0</v>
          </cell>
        </row>
        <row r="278">
          <cell r="A278">
            <v>45217</v>
          </cell>
          <cell r="B278">
            <v>0</v>
          </cell>
          <cell r="C278">
            <v>0</v>
          </cell>
          <cell r="E278">
            <v>0</v>
          </cell>
          <cell r="F278">
            <v>0</v>
          </cell>
          <cell r="H278">
            <v>0</v>
          </cell>
        </row>
        <row r="279">
          <cell r="A279">
            <v>45218</v>
          </cell>
          <cell r="B279">
            <v>0</v>
          </cell>
          <cell r="C279">
            <v>0</v>
          </cell>
          <cell r="E279">
            <v>0</v>
          </cell>
          <cell r="F279">
            <v>0</v>
          </cell>
          <cell r="H279">
            <v>0</v>
          </cell>
        </row>
        <row r="280">
          <cell r="A280">
            <v>45219</v>
          </cell>
          <cell r="B280">
            <v>0</v>
          </cell>
          <cell r="C280">
            <v>0</v>
          </cell>
          <cell r="E280">
            <v>0</v>
          </cell>
          <cell r="F280">
            <v>0</v>
          </cell>
          <cell r="H280">
            <v>0</v>
          </cell>
        </row>
        <row r="281">
          <cell r="A281">
            <v>45222</v>
          </cell>
          <cell r="B281">
            <v>0</v>
          </cell>
          <cell r="C281">
            <v>0</v>
          </cell>
          <cell r="E281">
            <v>0</v>
          </cell>
          <cell r="F281">
            <v>0</v>
          </cell>
          <cell r="H281">
            <v>0</v>
          </cell>
        </row>
        <row r="282">
          <cell r="A282">
            <v>45223</v>
          </cell>
          <cell r="B282">
            <v>0</v>
          </cell>
          <cell r="C282">
            <v>0</v>
          </cell>
          <cell r="E282">
            <v>0</v>
          </cell>
          <cell r="F282">
            <v>0</v>
          </cell>
          <cell r="H282">
            <v>0</v>
          </cell>
        </row>
        <row r="283">
          <cell r="A283">
            <v>45224</v>
          </cell>
          <cell r="B283">
            <v>0</v>
          </cell>
          <cell r="C283">
            <v>0</v>
          </cell>
          <cell r="E283">
            <v>0</v>
          </cell>
          <cell r="F283">
            <v>0</v>
          </cell>
          <cell r="H283">
            <v>0</v>
          </cell>
        </row>
        <row r="284">
          <cell r="A284">
            <v>45225</v>
          </cell>
          <cell r="B284">
            <v>0</v>
          </cell>
          <cell r="C284">
            <v>0</v>
          </cell>
          <cell r="E284">
            <v>0</v>
          </cell>
          <cell r="F284">
            <v>0</v>
          </cell>
          <cell r="H284">
            <v>0</v>
          </cell>
        </row>
        <row r="285">
          <cell r="A285">
            <v>45226</v>
          </cell>
          <cell r="B285">
            <v>0</v>
          </cell>
          <cell r="C285">
            <v>0</v>
          </cell>
          <cell r="E285">
            <v>0</v>
          </cell>
          <cell r="F285">
            <v>0</v>
          </cell>
          <cell r="H285">
            <v>0</v>
          </cell>
        </row>
        <row r="286">
          <cell r="A286">
            <v>45229</v>
          </cell>
          <cell r="B286">
            <v>0</v>
          </cell>
          <cell r="C286">
            <v>0</v>
          </cell>
          <cell r="E286">
            <v>0</v>
          </cell>
          <cell r="F286">
            <v>0</v>
          </cell>
          <cell r="H286">
            <v>0</v>
          </cell>
        </row>
        <row r="287">
          <cell r="A287">
            <v>45230</v>
          </cell>
          <cell r="B287">
            <v>0</v>
          </cell>
          <cell r="C287">
            <v>0</v>
          </cell>
          <cell r="E287">
            <v>0</v>
          </cell>
          <cell r="F287">
            <v>0</v>
          </cell>
          <cell r="H287">
            <v>0</v>
          </cell>
        </row>
        <row r="288">
          <cell r="A288">
            <v>45231</v>
          </cell>
          <cell r="B288">
            <v>0</v>
          </cell>
          <cell r="C288">
            <v>0</v>
          </cell>
          <cell r="E288">
            <v>0</v>
          </cell>
          <cell r="F288">
            <v>0</v>
          </cell>
          <cell r="H288">
            <v>0</v>
          </cell>
        </row>
        <row r="289">
          <cell r="A289">
            <v>45232</v>
          </cell>
          <cell r="B289">
            <v>0</v>
          </cell>
          <cell r="C289">
            <v>0</v>
          </cell>
          <cell r="E289">
            <v>0</v>
          </cell>
          <cell r="F289">
            <v>0</v>
          </cell>
          <cell r="H289">
            <v>0</v>
          </cell>
        </row>
        <row r="290">
          <cell r="A290">
            <v>45233</v>
          </cell>
          <cell r="B290">
            <v>0</v>
          </cell>
          <cell r="C290">
            <v>0</v>
          </cell>
          <cell r="E290">
            <v>0</v>
          </cell>
          <cell r="F290">
            <v>-37000</v>
          </cell>
          <cell r="H290">
            <v>0</v>
          </cell>
        </row>
        <row r="291">
          <cell r="A291">
            <v>45236</v>
          </cell>
          <cell r="B291">
            <v>0</v>
          </cell>
          <cell r="C291">
            <v>0</v>
          </cell>
          <cell r="E291">
            <v>0</v>
          </cell>
          <cell r="F291">
            <v>0</v>
          </cell>
          <cell r="H291">
            <v>0</v>
          </cell>
        </row>
        <row r="292">
          <cell r="A292">
            <v>45237</v>
          </cell>
          <cell r="B292">
            <v>0</v>
          </cell>
          <cell r="C292">
            <v>0</v>
          </cell>
          <cell r="E292">
            <v>0</v>
          </cell>
          <cell r="F292">
            <v>0</v>
          </cell>
          <cell r="H292">
            <v>0</v>
          </cell>
        </row>
        <row r="293">
          <cell r="A293">
            <v>45238</v>
          </cell>
          <cell r="B293">
            <v>0</v>
          </cell>
          <cell r="C293">
            <v>0</v>
          </cell>
          <cell r="E293">
            <v>0</v>
          </cell>
          <cell r="F293">
            <v>0</v>
          </cell>
          <cell r="H293">
            <v>0</v>
          </cell>
        </row>
        <row r="294">
          <cell r="A294">
            <v>45239</v>
          </cell>
          <cell r="B294">
            <v>0</v>
          </cell>
          <cell r="C294">
            <v>0</v>
          </cell>
          <cell r="E294">
            <v>0</v>
          </cell>
          <cell r="F294">
            <v>0</v>
          </cell>
          <cell r="H294">
            <v>0</v>
          </cell>
        </row>
        <row r="295">
          <cell r="A295">
            <v>45240</v>
          </cell>
          <cell r="B295">
            <v>0</v>
          </cell>
          <cell r="C295">
            <v>0</v>
          </cell>
          <cell r="E295">
            <v>0</v>
          </cell>
          <cell r="F295">
            <v>0</v>
          </cell>
          <cell r="H295">
            <v>0</v>
          </cell>
        </row>
        <row r="296">
          <cell r="A296">
            <v>45243</v>
          </cell>
          <cell r="B296">
            <v>0</v>
          </cell>
          <cell r="C296">
            <v>0</v>
          </cell>
          <cell r="E296">
            <v>0</v>
          </cell>
          <cell r="F296">
            <v>0</v>
          </cell>
          <cell r="H296">
            <v>0</v>
          </cell>
        </row>
        <row r="297">
          <cell r="A297">
            <v>45244</v>
          </cell>
          <cell r="B297">
            <v>0</v>
          </cell>
          <cell r="C297">
            <v>0</v>
          </cell>
          <cell r="E297">
            <v>0</v>
          </cell>
          <cell r="F297">
            <v>0</v>
          </cell>
          <cell r="H297">
            <v>0</v>
          </cell>
        </row>
        <row r="298">
          <cell r="A298">
            <v>45245</v>
          </cell>
          <cell r="B298">
            <v>0</v>
          </cell>
          <cell r="C298">
            <v>0</v>
          </cell>
          <cell r="E298">
            <v>0</v>
          </cell>
          <cell r="F298">
            <v>0</v>
          </cell>
          <cell r="H298">
            <v>0</v>
          </cell>
        </row>
        <row r="299">
          <cell r="A299">
            <v>45246</v>
          </cell>
          <cell r="B299">
            <v>0</v>
          </cell>
          <cell r="C299">
            <v>0</v>
          </cell>
          <cell r="E299">
            <v>0</v>
          </cell>
          <cell r="F299">
            <v>0</v>
          </cell>
          <cell r="H299">
            <v>0</v>
          </cell>
        </row>
        <row r="300">
          <cell r="A300">
            <v>45247</v>
          </cell>
          <cell r="B300">
            <v>0</v>
          </cell>
          <cell r="C300">
            <v>0</v>
          </cell>
          <cell r="E300">
            <v>0</v>
          </cell>
          <cell r="F300">
            <v>0</v>
          </cell>
          <cell r="H300">
            <v>0</v>
          </cell>
        </row>
        <row r="301">
          <cell r="A301">
            <v>45250</v>
          </cell>
          <cell r="B301">
            <v>0</v>
          </cell>
          <cell r="C301">
            <v>0</v>
          </cell>
          <cell r="E301">
            <v>0</v>
          </cell>
          <cell r="F301">
            <v>0</v>
          </cell>
          <cell r="H301">
            <v>0</v>
          </cell>
        </row>
        <row r="302">
          <cell r="A302">
            <v>45251</v>
          </cell>
          <cell r="B302">
            <v>0</v>
          </cell>
          <cell r="C302">
            <v>0</v>
          </cell>
          <cell r="E302">
            <v>0</v>
          </cell>
          <cell r="F302">
            <v>0</v>
          </cell>
          <cell r="H302">
            <v>0</v>
          </cell>
        </row>
        <row r="303">
          <cell r="A303">
            <v>45252</v>
          </cell>
          <cell r="B303">
            <v>0</v>
          </cell>
          <cell r="C303">
            <v>0</v>
          </cell>
          <cell r="E303">
            <v>0</v>
          </cell>
          <cell r="F303">
            <v>0</v>
          </cell>
          <cell r="H303">
            <v>0</v>
          </cell>
        </row>
        <row r="304">
          <cell r="A304">
            <v>45253</v>
          </cell>
          <cell r="B304">
            <v>0</v>
          </cell>
          <cell r="C304">
            <v>0</v>
          </cell>
          <cell r="E304">
            <v>0</v>
          </cell>
          <cell r="F304">
            <v>0</v>
          </cell>
          <cell r="H304">
            <v>0</v>
          </cell>
        </row>
        <row r="305">
          <cell r="A305">
            <v>45254</v>
          </cell>
          <cell r="B305">
            <v>0</v>
          </cell>
          <cell r="C305">
            <v>0</v>
          </cell>
          <cell r="E305">
            <v>0</v>
          </cell>
          <cell r="F305">
            <v>0</v>
          </cell>
          <cell r="H305">
            <v>0</v>
          </cell>
        </row>
        <row r="306">
          <cell r="A306">
            <v>45257</v>
          </cell>
          <cell r="B306">
            <v>0</v>
          </cell>
          <cell r="C306">
            <v>0</v>
          </cell>
          <cell r="E306">
            <v>0</v>
          </cell>
          <cell r="F306">
            <v>0</v>
          </cell>
          <cell r="H306">
            <v>0</v>
          </cell>
        </row>
        <row r="307">
          <cell r="A307">
            <v>45258</v>
          </cell>
          <cell r="B307">
            <v>0</v>
          </cell>
          <cell r="C307">
            <v>0</v>
          </cell>
          <cell r="E307">
            <v>0</v>
          </cell>
          <cell r="F307">
            <v>0</v>
          </cell>
          <cell r="H307">
            <v>0</v>
          </cell>
        </row>
        <row r="308">
          <cell r="A308">
            <v>45259</v>
          </cell>
          <cell r="B308">
            <v>0</v>
          </cell>
          <cell r="C308">
            <v>0</v>
          </cell>
          <cell r="E308">
            <v>0</v>
          </cell>
          <cell r="F308">
            <v>0</v>
          </cell>
          <cell r="H308">
            <v>0</v>
          </cell>
        </row>
        <row r="309">
          <cell r="A309">
            <v>45260</v>
          </cell>
          <cell r="B309">
            <v>0</v>
          </cell>
          <cell r="C309">
            <v>0</v>
          </cell>
          <cell r="E309">
            <v>0</v>
          </cell>
          <cell r="F309">
            <v>0</v>
          </cell>
          <cell r="H309">
            <v>0</v>
          </cell>
        </row>
        <row r="310">
          <cell r="A310">
            <v>45261</v>
          </cell>
          <cell r="B310">
            <v>0</v>
          </cell>
          <cell r="C310">
            <v>0</v>
          </cell>
          <cell r="E310">
            <v>0</v>
          </cell>
          <cell r="F310">
            <v>0</v>
          </cell>
          <cell r="H310">
            <v>0</v>
          </cell>
        </row>
        <row r="311">
          <cell r="A311">
            <v>45264</v>
          </cell>
          <cell r="B311">
            <v>0</v>
          </cell>
          <cell r="C311">
            <v>0</v>
          </cell>
          <cell r="E311">
            <v>0</v>
          </cell>
          <cell r="F311">
            <v>-36000</v>
          </cell>
          <cell r="H311">
            <v>50000</v>
          </cell>
        </row>
        <row r="312">
          <cell r="A312">
            <v>45265</v>
          </cell>
          <cell r="B312">
            <v>0</v>
          </cell>
          <cell r="C312">
            <v>0</v>
          </cell>
          <cell r="E312">
            <v>50000</v>
          </cell>
          <cell r="F312">
            <v>0</v>
          </cell>
          <cell r="H312">
            <v>0</v>
          </cell>
        </row>
        <row r="313">
          <cell r="A313">
            <v>45266</v>
          </cell>
          <cell r="B313">
            <v>0</v>
          </cell>
          <cell r="C313">
            <v>0</v>
          </cell>
          <cell r="E313">
            <v>0</v>
          </cell>
          <cell r="F313">
            <v>0</v>
          </cell>
          <cell r="H313">
            <v>0</v>
          </cell>
        </row>
        <row r="314">
          <cell r="A314">
            <v>45267</v>
          </cell>
          <cell r="B314">
            <v>0</v>
          </cell>
          <cell r="C314">
            <v>0</v>
          </cell>
          <cell r="E314">
            <v>0</v>
          </cell>
          <cell r="F314">
            <v>0</v>
          </cell>
          <cell r="H314">
            <v>0</v>
          </cell>
        </row>
        <row r="315">
          <cell r="A315">
            <v>45268</v>
          </cell>
          <cell r="B315">
            <v>0</v>
          </cell>
          <cell r="C315">
            <v>0</v>
          </cell>
          <cell r="E315">
            <v>0</v>
          </cell>
          <cell r="F315">
            <v>0</v>
          </cell>
          <cell r="H315">
            <v>0</v>
          </cell>
        </row>
        <row r="316">
          <cell r="A316">
            <v>45271</v>
          </cell>
          <cell r="B316">
            <v>0</v>
          </cell>
          <cell r="C316">
            <v>0</v>
          </cell>
          <cell r="E316">
            <v>0</v>
          </cell>
          <cell r="F316">
            <v>0</v>
          </cell>
          <cell r="H316">
            <v>0</v>
          </cell>
        </row>
        <row r="317">
          <cell r="A317">
            <v>45272</v>
          </cell>
          <cell r="B317">
            <v>0</v>
          </cell>
          <cell r="C317">
            <v>0</v>
          </cell>
          <cell r="E317">
            <v>0</v>
          </cell>
          <cell r="F317">
            <v>0</v>
          </cell>
          <cell r="H317">
            <v>0</v>
          </cell>
        </row>
        <row r="318">
          <cell r="A318">
            <v>45273</v>
          </cell>
          <cell r="B318">
            <v>0</v>
          </cell>
          <cell r="C318">
            <v>0</v>
          </cell>
          <cell r="E318">
            <v>0</v>
          </cell>
          <cell r="F318">
            <v>0</v>
          </cell>
          <cell r="H318">
            <v>0</v>
          </cell>
        </row>
        <row r="319">
          <cell r="A319">
            <v>45274</v>
          </cell>
          <cell r="B319">
            <v>0</v>
          </cell>
          <cell r="C319">
            <v>0</v>
          </cell>
          <cell r="E319">
            <v>0</v>
          </cell>
          <cell r="F319">
            <v>0</v>
          </cell>
          <cell r="H319">
            <v>0</v>
          </cell>
        </row>
        <row r="320">
          <cell r="A320">
            <v>45275</v>
          </cell>
          <cell r="B320">
            <v>0</v>
          </cell>
          <cell r="C320">
            <v>0</v>
          </cell>
          <cell r="E320">
            <v>0</v>
          </cell>
          <cell r="F320">
            <v>0</v>
          </cell>
          <cell r="H320">
            <v>0</v>
          </cell>
        </row>
        <row r="321">
          <cell r="A321">
            <v>45278</v>
          </cell>
          <cell r="B321">
            <v>0</v>
          </cell>
          <cell r="C321">
            <v>0</v>
          </cell>
          <cell r="E321">
            <v>0</v>
          </cell>
          <cell r="F321">
            <v>0</v>
          </cell>
          <cell r="H321">
            <v>0</v>
          </cell>
        </row>
        <row r="322">
          <cell r="A322">
            <v>45279</v>
          </cell>
          <cell r="B322">
            <v>0</v>
          </cell>
          <cell r="C322">
            <v>0</v>
          </cell>
          <cell r="E322">
            <v>0</v>
          </cell>
          <cell r="F322">
            <v>0</v>
          </cell>
          <cell r="H322">
            <v>0</v>
          </cell>
        </row>
        <row r="323">
          <cell r="A323">
            <v>45280</v>
          </cell>
          <cell r="B323">
            <v>0</v>
          </cell>
          <cell r="C323">
            <v>0</v>
          </cell>
          <cell r="E323">
            <v>0</v>
          </cell>
          <cell r="F323">
            <v>0</v>
          </cell>
          <cell r="H323">
            <v>0</v>
          </cell>
        </row>
        <row r="324">
          <cell r="A324">
            <v>45281</v>
          </cell>
          <cell r="B324">
            <v>0</v>
          </cell>
          <cell r="C324">
            <v>0</v>
          </cell>
          <cell r="E324">
            <v>0</v>
          </cell>
          <cell r="F324">
            <v>0</v>
          </cell>
          <cell r="H324">
            <v>0</v>
          </cell>
        </row>
        <row r="325">
          <cell r="A325">
            <v>45282</v>
          </cell>
          <cell r="B325">
            <v>0</v>
          </cell>
          <cell r="C325">
            <v>0</v>
          </cell>
          <cell r="E325">
            <v>0</v>
          </cell>
          <cell r="F325">
            <v>0</v>
          </cell>
          <cell r="H325">
            <v>0</v>
          </cell>
        </row>
        <row r="326">
          <cell r="A326">
            <v>45285</v>
          </cell>
          <cell r="B326">
            <v>0</v>
          </cell>
          <cell r="C326">
            <v>0</v>
          </cell>
          <cell r="E326">
            <v>0</v>
          </cell>
          <cell r="F326">
            <v>0</v>
          </cell>
          <cell r="H326">
            <v>0</v>
          </cell>
        </row>
        <row r="327">
          <cell r="A327">
            <v>45286</v>
          </cell>
          <cell r="B327">
            <v>0</v>
          </cell>
          <cell r="C327">
            <v>0</v>
          </cell>
          <cell r="E327">
            <v>0</v>
          </cell>
          <cell r="F327">
            <v>0</v>
          </cell>
          <cell r="H327">
            <v>0</v>
          </cell>
        </row>
        <row r="328">
          <cell r="A328">
            <v>45287</v>
          </cell>
          <cell r="B328">
            <v>0</v>
          </cell>
          <cell r="C328">
            <v>0</v>
          </cell>
          <cell r="E328">
            <v>0</v>
          </cell>
          <cell r="F328">
            <v>0</v>
          </cell>
          <cell r="H328">
            <v>0</v>
          </cell>
        </row>
        <row r="329">
          <cell r="A329">
            <v>45288</v>
          </cell>
          <cell r="B329">
            <v>0</v>
          </cell>
          <cell r="C329">
            <v>0</v>
          </cell>
          <cell r="E329">
            <v>0</v>
          </cell>
          <cell r="F329">
            <v>0</v>
          </cell>
          <cell r="H329">
            <v>0</v>
          </cell>
        </row>
        <row r="330">
          <cell r="A330">
            <v>45289</v>
          </cell>
          <cell r="B330">
            <v>0</v>
          </cell>
          <cell r="C330">
            <v>0</v>
          </cell>
          <cell r="E330">
            <v>0</v>
          </cell>
          <cell r="F330">
            <v>0</v>
          </cell>
          <cell r="H330">
            <v>0</v>
          </cell>
        </row>
        <row r="331">
          <cell r="A331">
            <v>45292</v>
          </cell>
          <cell r="B331">
            <v>0</v>
          </cell>
          <cell r="C331">
            <v>0</v>
          </cell>
          <cell r="E331">
            <v>0</v>
          </cell>
          <cell r="F331">
            <v>0</v>
          </cell>
          <cell r="H331">
            <v>0</v>
          </cell>
        </row>
        <row r="332">
          <cell r="A332">
            <v>45293</v>
          </cell>
          <cell r="B332">
            <v>0</v>
          </cell>
          <cell r="C332">
            <v>0</v>
          </cell>
          <cell r="E332">
            <v>0</v>
          </cell>
          <cell r="F332">
            <v>-38000</v>
          </cell>
          <cell r="H332">
            <v>0</v>
          </cell>
        </row>
        <row r="333">
          <cell r="A333">
            <v>45294</v>
          </cell>
          <cell r="B333">
            <v>0</v>
          </cell>
          <cell r="C333">
            <v>0</v>
          </cell>
          <cell r="E333">
            <v>0</v>
          </cell>
          <cell r="F333">
            <v>0</v>
          </cell>
          <cell r="H333">
            <v>0</v>
          </cell>
        </row>
        <row r="334">
          <cell r="A334">
            <v>45295</v>
          </cell>
          <cell r="B334">
            <v>0</v>
          </cell>
          <cell r="C334">
            <v>0</v>
          </cell>
          <cell r="E334">
            <v>0</v>
          </cell>
          <cell r="F334">
            <v>0</v>
          </cell>
          <cell r="H334">
            <v>0</v>
          </cell>
        </row>
        <row r="335">
          <cell r="A335">
            <v>45296</v>
          </cell>
          <cell r="B335">
            <v>0</v>
          </cell>
          <cell r="C335">
            <v>0</v>
          </cell>
          <cell r="E335">
            <v>0</v>
          </cell>
          <cell r="F335">
            <v>0</v>
          </cell>
          <cell r="H335">
            <v>0</v>
          </cell>
        </row>
        <row r="336">
          <cell r="A336">
            <v>45299</v>
          </cell>
          <cell r="B336">
            <v>0</v>
          </cell>
          <cell r="C336">
            <v>0</v>
          </cell>
          <cell r="E336">
            <v>0</v>
          </cell>
          <cell r="F336">
            <v>-360000</v>
          </cell>
          <cell r="H336">
            <v>0</v>
          </cell>
        </row>
        <row r="337">
          <cell r="A337">
            <v>45300</v>
          </cell>
          <cell r="B337">
            <v>0</v>
          </cell>
          <cell r="C337">
            <v>0</v>
          </cell>
          <cell r="E337">
            <v>0</v>
          </cell>
          <cell r="F337">
            <v>0</v>
          </cell>
          <cell r="H337">
            <v>0</v>
          </cell>
        </row>
        <row r="338">
          <cell r="A338">
            <v>45301</v>
          </cell>
          <cell r="B338">
            <v>0</v>
          </cell>
          <cell r="C338">
            <v>0</v>
          </cell>
          <cell r="E338">
            <v>0</v>
          </cell>
          <cell r="F338">
            <v>0</v>
          </cell>
          <cell r="H338">
            <v>0</v>
          </cell>
        </row>
        <row r="339">
          <cell r="A339">
            <v>45302</v>
          </cell>
          <cell r="B339">
            <v>0</v>
          </cell>
          <cell r="C339">
            <v>0</v>
          </cell>
          <cell r="E339">
            <v>0</v>
          </cell>
          <cell r="F339">
            <v>0</v>
          </cell>
          <cell r="H339">
            <v>0</v>
          </cell>
        </row>
        <row r="340">
          <cell r="A340">
            <v>45303</v>
          </cell>
          <cell r="B340">
            <v>0</v>
          </cell>
          <cell r="C340">
            <v>0</v>
          </cell>
          <cell r="E340">
            <v>0</v>
          </cell>
          <cell r="F340">
            <v>0</v>
          </cell>
          <cell r="H340">
            <v>0</v>
          </cell>
        </row>
        <row r="341">
          <cell r="A341">
            <v>45306</v>
          </cell>
          <cell r="B341">
            <v>0</v>
          </cell>
          <cell r="C341">
            <v>0</v>
          </cell>
          <cell r="E341">
            <v>0</v>
          </cell>
          <cell r="F341">
            <v>0</v>
          </cell>
          <cell r="H341">
            <v>0</v>
          </cell>
        </row>
        <row r="342">
          <cell r="A342">
            <v>45307</v>
          </cell>
          <cell r="B342">
            <v>0</v>
          </cell>
          <cell r="C342">
            <v>0</v>
          </cell>
          <cell r="E342">
            <v>0</v>
          </cell>
          <cell r="F342">
            <v>0</v>
          </cell>
          <cell r="H342">
            <v>0</v>
          </cell>
        </row>
        <row r="343">
          <cell r="A343">
            <v>45308</v>
          </cell>
          <cell r="B343">
            <v>0</v>
          </cell>
          <cell r="C343">
            <v>0</v>
          </cell>
          <cell r="E343">
            <v>0</v>
          </cell>
          <cell r="F343">
            <v>0</v>
          </cell>
          <cell r="H343">
            <v>0</v>
          </cell>
        </row>
        <row r="344">
          <cell r="A344">
            <v>45309</v>
          </cell>
          <cell r="B344">
            <v>0</v>
          </cell>
          <cell r="C344">
            <v>0</v>
          </cell>
          <cell r="E344">
            <v>0</v>
          </cell>
          <cell r="F344">
            <v>0</v>
          </cell>
          <cell r="H344">
            <v>0</v>
          </cell>
        </row>
        <row r="345">
          <cell r="A345">
            <v>45310</v>
          </cell>
          <cell r="B345">
            <v>0</v>
          </cell>
          <cell r="C345">
            <v>0</v>
          </cell>
          <cell r="E345">
            <v>0</v>
          </cell>
          <cell r="F345">
            <v>0</v>
          </cell>
          <cell r="H345">
            <v>0</v>
          </cell>
        </row>
        <row r="346">
          <cell r="A346">
            <v>45313</v>
          </cell>
          <cell r="B346">
            <v>0</v>
          </cell>
          <cell r="C346">
            <v>0</v>
          </cell>
          <cell r="E346">
            <v>0</v>
          </cell>
          <cell r="F346">
            <v>0</v>
          </cell>
          <cell r="H346">
            <v>0</v>
          </cell>
        </row>
        <row r="347">
          <cell r="A347">
            <v>45314</v>
          </cell>
          <cell r="B347">
            <v>0</v>
          </cell>
          <cell r="C347">
            <v>0</v>
          </cell>
          <cell r="E347">
            <v>0</v>
          </cell>
          <cell r="F347">
            <v>0</v>
          </cell>
          <cell r="H347">
            <v>0</v>
          </cell>
        </row>
        <row r="348">
          <cell r="A348">
            <v>45315</v>
          </cell>
          <cell r="B348">
            <v>0</v>
          </cell>
          <cell r="C348">
            <v>0</v>
          </cell>
          <cell r="E348">
            <v>0</v>
          </cell>
          <cell r="F348">
            <v>0</v>
          </cell>
          <cell r="H348">
            <v>0</v>
          </cell>
        </row>
        <row r="349">
          <cell r="A349">
            <v>45316</v>
          </cell>
          <cell r="B349">
            <v>0</v>
          </cell>
          <cell r="C349">
            <v>0</v>
          </cell>
          <cell r="E349">
            <v>0</v>
          </cell>
          <cell r="F349">
            <v>0</v>
          </cell>
          <cell r="H349">
            <v>0</v>
          </cell>
        </row>
        <row r="350">
          <cell r="A350">
            <v>45317</v>
          </cell>
          <cell r="B350">
            <v>0</v>
          </cell>
          <cell r="C350">
            <v>0</v>
          </cell>
          <cell r="E350">
            <v>0</v>
          </cell>
          <cell r="F350">
            <v>0</v>
          </cell>
          <cell r="H350">
            <v>0</v>
          </cell>
        </row>
        <row r="351">
          <cell r="A351">
            <v>45320</v>
          </cell>
          <cell r="B351">
            <v>1000000</v>
          </cell>
          <cell r="C351">
            <v>0</v>
          </cell>
          <cell r="E351">
            <v>1000000</v>
          </cell>
          <cell r="F351">
            <v>0</v>
          </cell>
          <cell r="H351">
            <v>0</v>
          </cell>
        </row>
        <row r="352">
          <cell r="A352">
            <v>45321</v>
          </cell>
          <cell r="B352">
            <v>100000</v>
          </cell>
          <cell r="C352">
            <v>-101797.86999919746</v>
          </cell>
          <cell r="E352">
            <v>100000</v>
          </cell>
          <cell r="F352">
            <v>-100000</v>
          </cell>
          <cell r="H352">
            <v>0</v>
          </cell>
        </row>
        <row r="353">
          <cell r="A353">
            <v>45322</v>
          </cell>
          <cell r="B353">
            <v>1000000</v>
          </cell>
          <cell r="C353">
            <v>0</v>
          </cell>
          <cell r="E353">
            <v>1000000</v>
          </cell>
          <cell r="F353">
            <v>0</v>
          </cell>
          <cell r="H353">
            <v>0</v>
          </cell>
        </row>
        <row r="354">
          <cell r="A354">
            <v>45323</v>
          </cell>
          <cell r="B354">
            <v>0</v>
          </cell>
          <cell r="C354">
            <v>0</v>
          </cell>
          <cell r="E354">
            <v>0</v>
          </cell>
          <cell r="F354">
            <v>0</v>
          </cell>
          <cell r="H354">
            <v>0</v>
          </cell>
        </row>
        <row r="355">
          <cell r="A355">
            <v>45324</v>
          </cell>
          <cell r="B355">
            <v>0</v>
          </cell>
          <cell r="C355">
            <v>0</v>
          </cell>
          <cell r="E355">
            <v>0</v>
          </cell>
          <cell r="F355">
            <v>-41500</v>
          </cell>
          <cell r="H355">
            <v>0</v>
          </cell>
        </row>
        <row r="356">
          <cell r="A356">
            <v>45327</v>
          </cell>
          <cell r="B356">
            <v>0</v>
          </cell>
          <cell r="C356">
            <v>0</v>
          </cell>
          <cell r="E356">
            <v>0</v>
          </cell>
          <cell r="F356">
            <v>0</v>
          </cell>
          <cell r="H356">
            <v>0</v>
          </cell>
        </row>
        <row r="357">
          <cell r="A357">
            <v>45328</v>
          </cell>
          <cell r="B357">
            <v>0</v>
          </cell>
          <cell r="C357">
            <v>0</v>
          </cell>
          <cell r="E357">
            <v>0</v>
          </cell>
          <cell r="F357">
            <v>0</v>
          </cell>
          <cell r="H357">
            <v>0</v>
          </cell>
        </row>
        <row r="358">
          <cell r="A358">
            <v>45329</v>
          </cell>
          <cell r="B358">
            <v>0</v>
          </cell>
          <cell r="C358">
            <v>0</v>
          </cell>
          <cell r="E358">
            <v>0</v>
          </cell>
          <cell r="F358">
            <v>0</v>
          </cell>
          <cell r="H358">
            <v>0</v>
          </cell>
        </row>
        <row r="359">
          <cell r="A359">
            <v>45330</v>
          </cell>
          <cell r="B359">
            <v>0</v>
          </cell>
          <cell r="C359">
            <v>0</v>
          </cell>
          <cell r="E359">
            <v>0</v>
          </cell>
          <cell r="F359">
            <v>0</v>
          </cell>
          <cell r="H359">
            <v>0</v>
          </cell>
        </row>
        <row r="360">
          <cell r="A360">
            <v>45331</v>
          </cell>
          <cell r="B360">
            <v>0</v>
          </cell>
          <cell r="C360">
            <v>0</v>
          </cell>
          <cell r="E360">
            <v>0</v>
          </cell>
          <cell r="F360">
            <v>0</v>
          </cell>
          <cell r="H360">
            <v>0</v>
          </cell>
        </row>
        <row r="361">
          <cell r="A361">
            <v>45334</v>
          </cell>
          <cell r="B361">
            <v>0</v>
          </cell>
          <cell r="C361">
            <v>0</v>
          </cell>
          <cell r="E361">
            <v>0</v>
          </cell>
          <cell r="F361">
            <v>0</v>
          </cell>
          <cell r="H361">
            <v>0</v>
          </cell>
        </row>
        <row r="362">
          <cell r="A362">
            <v>45335</v>
          </cell>
          <cell r="B362">
            <v>0</v>
          </cell>
          <cell r="C362">
            <v>0</v>
          </cell>
          <cell r="E362">
            <v>0</v>
          </cell>
          <cell r="F362">
            <v>0</v>
          </cell>
          <cell r="H362">
            <v>0</v>
          </cell>
        </row>
        <row r="363">
          <cell r="A363">
            <v>45336</v>
          </cell>
          <cell r="B363">
            <v>0</v>
          </cell>
          <cell r="C363">
            <v>0</v>
          </cell>
          <cell r="E363">
            <v>0</v>
          </cell>
          <cell r="F363">
            <v>0</v>
          </cell>
          <cell r="H363">
            <v>0</v>
          </cell>
        </row>
        <row r="364">
          <cell r="A364">
            <v>45337</v>
          </cell>
          <cell r="B364">
            <v>0</v>
          </cell>
          <cell r="C364">
            <v>0</v>
          </cell>
          <cell r="E364">
            <v>0</v>
          </cell>
          <cell r="F364">
            <v>0</v>
          </cell>
          <cell r="H364">
            <v>0</v>
          </cell>
        </row>
        <row r="365">
          <cell r="A365">
            <v>45338</v>
          </cell>
          <cell r="B365">
            <v>0</v>
          </cell>
          <cell r="C365">
            <v>0</v>
          </cell>
          <cell r="E365">
            <v>0</v>
          </cell>
          <cell r="F365">
            <v>0</v>
          </cell>
          <cell r="H365">
            <v>0</v>
          </cell>
        </row>
        <row r="366">
          <cell r="A366">
            <v>45341</v>
          </cell>
          <cell r="B366">
            <v>0</v>
          </cell>
          <cell r="C366">
            <v>0</v>
          </cell>
          <cell r="E366">
            <v>0</v>
          </cell>
          <cell r="F366">
            <v>0</v>
          </cell>
          <cell r="H366">
            <v>0</v>
          </cell>
        </row>
        <row r="367">
          <cell r="A367">
            <v>45342</v>
          </cell>
          <cell r="B367">
            <v>0</v>
          </cell>
          <cell r="C367">
            <v>0</v>
          </cell>
          <cell r="E367">
            <v>0</v>
          </cell>
          <cell r="F367">
            <v>0</v>
          </cell>
          <cell r="H367">
            <v>0</v>
          </cell>
        </row>
        <row r="368">
          <cell r="A368">
            <v>45343</v>
          </cell>
          <cell r="B368">
            <v>0</v>
          </cell>
          <cell r="C368">
            <v>0</v>
          </cell>
          <cell r="E368">
            <v>0</v>
          </cell>
          <cell r="F368">
            <v>0</v>
          </cell>
          <cell r="H368">
            <v>0</v>
          </cell>
        </row>
        <row r="369">
          <cell r="A369">
            <v>45344</v>
          </cell>
          <cell r="B369">
            <v>0</v>
          </cell>
          <cell r="C369">
            <v>0</v>
          </cell>
          <cell r="E369">
            <v>0</v>
          </cell>
          <cell r="F369">
            <v>0</v>
          </cell>
          <cell r="H369">
            <v>0</v>
          </cell>
        </row>
        <row r="370">
          <cell r="A370">
            <v>45345</v>
          </cell>
          <cell r="B370">
            <v>0</v>
          </cell>
          <cell r="C370">
            <v>0</v>
          </cell>
          <cell r="E370">
            <v>50000</v>
          </cell>
          <cell r="F370">
            <v>0</v>
          </cell>
          <cell r="H370">
            <v>50000</v>
          </cell>
        </row>
        <row r="371">
          <cell r="A371">
            <v>45348</v>
          </cell>
          <cell r="B371">
            <v>400000</v>
          </cell>
          <cell r="C371">
            <v>0</v>
          </cell>
          <cell r="E371">
            <v>400000</v>
          </cell>
          <cell r="F371">
            <v>0</v>
          </cell>
          <cell r="H371">
            <v>0</v>
          </cell>
        </row>
        <row r="372">
          <cell r="A372">
            <v>45349</v>
          </cell>
          <cell r="B372">
            <v>0</v>
          </cell>
          <cell r="C372">
            <v>0</v>
          </cell>
          <cell r="E372">
            <v>0</v>
          </cell>
          <cell r="F372">
            <v>0</v>
          </cell>
          <cell r="H372">
            <v>0</v>
          </cell>
        </row>
        <row r="373">
          <cell r="A373">
            <v>45350</v>
          </cell>
          <cell r="B373">
            <v>0</v>
          </cell>
          <cell r="C373">
            <v>0</v>
          </cell>
          <cell r="E373">
            <v>0</v>
          </cell>
          <cell r="F373">
            <v>0</v>
          </cell>
          <cell r="H373">
            <v>0</v>
          </cell>
        </row>
        <row r="374">
          <cell r="A374">
            <v>45351</v>
          </cell>
          <cell r="B374">
            <v>0</v>
          </cell>
          <cell r="C374">
            <v>0</v>
          </cell>
          <cell r="E374">
            <v>0</v>
          </cell>
          <cell r="F374">
            <v>0</v>
          </cell>
          <cell r="H374">
            <v>0</v>
          </cell>
        </row>
        <row r="375">
          <cell r="A375">
            <v>45352</v>
          </cell>
          <cell r="B375">
            <v>0</v>
          </cell>
          <cell r="C375">
            <v>0</v>
          </cell>
          <cell r="E375">
            <v>0</v>
          </cell>
          <cell r="F375">
            <v>0</v>
          </cell>
          <cell r="H375">
            <v>0</v>
          </cell>
        </row>
        <row r="376">
          <cell r="A376">
            <v>45355</v>
          </cell>
          <cell r="B376">
            <v>0</v>
          </cell>
          <cell r="C376">
            <v>0</v>
          </cell>
          <cell r="E376">
            <v>0</v>
          </cell>
          <cell r="F376">
            <v>0</v>
          </cell>
          <cell r="H376">
            <v>0</v>
          </cell>
        </row>
        <row r="377">
          <cell r="A377">
            <v>45356</v>
          </cell>
          <cell r="B377">
            <v>0</v>
          </cell>
          <cell r="C377">
            <v>0</v>
          </cell>
          <cell r="E377">
            <v>0</v>
          </cell>
          <cell r="F377">
            <v>-38000</v>
          </cell>
          <cell r="H377">
            <v>0</v>
          </cell>
        </row>
        <row r="378">
          <cell r="A378">
            <v>45357</v>
          </cell>
          <cell r="B378">
            <v>0</v>
          </cell>
          <cell r="C378">
            <v>0</v>
          </cell>
          <cell r="E378">
            <v>0</v>
          </cell>
          <cell r="F378">
            <v>0</v>
          </cell>
          <cell r="H378">
            <v>0</v>
          </cell>
        </row>
        <row r="379">
          <cell r="A379">
            <v>45358</v>
          </cell>
          <cell r="B379">
            <v>0</v>
          </cell>
          <cell r="C379">
            <v>0</v>
          </cell>
          <cell r="E379">
            <v>0</v>
          </cell>
          <cell r="F379">
            <v>0</v>
          </cell>
          <cell r="H379">
            <v>0</v>
          </cell>
        </row>
        <row r="380">
          <cell r="A380">
            <v>45359</v>
          </cell>
          <cell r="B380">
            <v>0</v>
          </cell>
          <cell r="C380">
            <v>0</v>
          </cell>
          <cell r="E380">
            <v>0</v>
          </cell>
          <cell r="F380">
            <v>0</v>
          </cell>
          <cell r="H380">
            <v>0</v>
          </cell>
        </row>
        <row r="381">
          <cell r="A381">
            <v>45362</v>
          </cell>
          <cell r="B381">
            <v>0</v>
          </cell>
          <cell r="C381">
            <v>0</v>
          </cell>
          <cell r="E381">
            <v>0</v>
          </cell>
          <cell r="F381">
            <v>0</v>
          </cell>
          <cell r="H381">
            <v>0</v>
          </cell>
        </row>
        <row r="382">
          <cell r="A382">
            <v>45363</v>
          </cell>
          <cell r="B382">
            <v>0</v>
          </cell>
          <cell r="C382">
            <v>0</v>
          </cell>
          <cell r="E382">
            <v>0</v>
          </cell>
          <cell r="F382">
            <v>0</v>
          </cell>
          <cell r="H382">
            <v>0</v>
          </cell>
        </row>
        <row r="383">
          <cell r="A383">
            <v>45364</v>
          </cell>
          <cell r="B383">
            <v>0</v>
          </cell>
          <cell r="C383">
            <v>0</v>
          </cell>
          <cell r="E383">
            <v>0</v>
          </cell>
          <cell r="F383">
            <v>0</v>
          </cell>
          <cell r="H383">
            <v>0</v>
          </cell>
        </row>
        <row r="384">
          <cell r="A384">
            <v>45365</v>
          </cell>
          <cell r="B384">
            <v>0</v>
          </cell>
          <cell r="C384">
            <v>0</v>
          </cell>
          <cell r="E384">
            <v>0</v>
          </cell>
          <cell r="F384">
            <v>0</v>
          </cell>
          <cell r="H384">
            <v>0</v>
          </cell>
        </row>
        <row r="385">
          <cell r="A385">
            <v>45366</v>
          </cell>
          <cell r="B385">
            <v>0</v>
          </cell>
          <cell r="C385">
            <v>0</v>
          </cell>
          <cell r="E385">
            <v>0</v>
          </cell>
          <cell r="F385">
            <v>0</v>
          </cell>
          <cell r="H385">
            <v>0</v>
          </cell>
        </row>
        <row r="386">
          <cell r="A386">
            <v>45369</v>
          </cell>
          <cell r="B386">
            <v>0</v>
          </cell>
          <cell r="C386">
            <v>0</v>
          </cell>
          <cell r="E386">
            <v>0</v>
          </cell>
          <cell r="F386">
            <v>0</v>
          </cell>
          <cell r="H386">
            <v>0</v>
          </cell>
        </row>
        <row r="387">
          <cell r="A387">
            <v>45370</v>
          </cell>
          <cell r="B387">
            <v>0</v>
          </cell>
          <cell r="C387">
            <v>0</v>
          </cell>
          <cell r="E387">
            <v>0</v>
          </cell>
          <cell r="F387">
            <v>0</v>
          </cell>
          <cell r="H387">
            <v>0</v>
          </cell>
        </row>
        <row r="388">
          <cell r="A388">
            <v>45371</v>
          </cell>
          <cell r="B388">
            <v>0</v>
          </cell>
          <cell r="C388">
            <v>0</v>
          </cell>
          <cell r="E388">
            <v>0</v>
          </cell>
          <cell r="F388">
            <v>0</v>
          </cell>
          <cell r="H388">
            <v>0</v>
          </cell>
        </row>
        <row r="389">
          <cell r="A389">
            <v>45372</v>
          </cell>
          <cell r="B389">
            <v>0</v>
          </cell>
          <cell r="C389">
            <v>0</v>
          </cell>
          <cell r="E389">
            <v>0</v>
          </cell>
          <cell r="F389">
            <v>0</v>
          </cell>
          <cell r="H389">
            <v>0</v>
          </cell>
        </row>
        <row r="390">
          <cell r="A390">
            <v>45373</v>
          </cell>
          <cell r="B390">
            <v>0</v>
          </cell>
          <cell r="C390">
            <v>0</v>
          </cell>
          <cell r="E390">
            <v>0</v>
          </cell>
          <cell r="F390">
            <v>0</v>
          </cell>
          <cell r="H390">
            <v>0</v>
          </cell>
        </row>
        <row r="391">
          <cell r="A391">
            <v>45376</v>
          </cell>
          <cell r="B391">
            <v>0</v>
          </cell>
          <cell r="C391">
            <v>0</v>
          </cell>
          <cell r="E391">
            <v>0</v>
          </cell>
          <cell r="F391">
            <v>0</v>
          </cell>
          <cell r="H391">
            <v>0</v>
          </cell>
        </row>
        <row r="392">
          <cell r="A392">
            <v>45377</v>
          </cell>
          <cell r="B392">
            <v>0</v>
          </cell>
          <cell r="C392">
            <v>0</v>
          </cell>
          <cell r="E392">
            <v>0</v>
          </cell>
          <cell r="F392">
            <v>0</v>
          </cell>
          <cell r="H392">
            <v>0</v>
          </cell>
        </row>
        <row r="393">
          <cell r="A393">
            <v>45378</v>
          </cell>
          <cell r="B393">
            <v>0</v>
          </cell>
          <cell r="C393">
            <v>0</v>
          </cell>
          <cell r="E393">
            <v>0</v>
          </cell>
          <cell r="F393">
            <v>0</v>
          </cell>
          <cell r="H393">
            <v>0</v>
          </cell>
        </row>
        <row r="394">
          <cell r="A394">
            <v>45379</v>
          </cell>
          <cell r="B394">
            <v>0</v>
          </cell>
          <cell r="C394">
            <v>0</v>
          </cell>
          <cell r="E394">
            <v>0</v>
          </cell>
          <cell r="F394">
            <v>0</v>
          </cell>
          <cell r="H394">
            <v>0</v>
          </cell>
        </row>
        <row r="395">
          <cell r="A395">
            <v>45380</v>
          </cell>
          <cell r="B395">
            <v>0</v>
          </cell>
          <cell r="C395">
            <v>0</v>
          </cell>
          <cell r="E395">
            <v>0</v>
          </cell>
          <cell r="F395">
            <v>0</v>
          </cell>
          <cell r="H395">
            <v>0</v>
          </cell>
        </row>
        <row r="396">
          <cell r="A396">
            <v>45383</v>
          </cell>
          <cell r="B396">
            <v>0</v>
          </cell>
          <cell r="C396">
            <v>0</v>
          </cell>
          <cell r="E396">
            <v>0</v>
          </cell>
          <cell r="F396">
            <v>0</v>
          </cell>
          <cell r="H396">
            <v>0</v>
          </cell>
        </row>
        <row r="397">
          <cell r="A397">
            <v>45384</v>
          </cell>
          <cell r="B397">
            <v>0</v>
          </cell>
          <cell r="C397">
            <v>0</v>
          </cell>
          <cell r="E397">
            <v>0</v>
          </cell>
          <cell r="F397">
            <v>0</v>
          </cell>
          <cell r="H397">
            <v>0</v>
          </cell>
        </row>
        <row r="398">
          <cell r="A398">
            <v>45385</v>
          </cell>
          <cell r="B398">
            <v>0</v>
          </cell>
          <cell r="C398">
            <v>0</v>
          </cell>
          <cell r="E398">
            <v>0</v>
          </cell>
          <cell r="F398">
            <v>-41000</v>
          </cell>
          <cell r="H398">
            <v>0</v>
          </cell>
        </row>
        <row r="399">
          <cell r="A399">
            <v>45386</v>
          </cell>
          <cell r="B399">
            <v>0</v>
          </cell>
          <cell r="C399">
            <v>0</v>
          </cell>
          <cell r="E399">
            <v>0</v>
          </cell>
          <cell r="F399">
            <v>0</v>
          </cell>
          <cell r="H399">
            <v>0</v>
          </cell>
        </row>
        <row r="400">
          <cell r="A400">
            <v>45387</v>
          </cell>
          <cell r="B400">
            <v>0</v>
          </cell>
          <cell r="C400">
            <v>0</v>
          </cell>
          <cell r="E400">
            <v>0</v>
          </cell>
          <cell r="F400">
            <v>0</v>
          </cell>
          <cell r="H400">
            <v>0</v>
          </cell>
        </row>
        <row r="401">
          <cell r="A401">
            <v>45390</v>
          </cell>
          <cell r="B401">
            <v>0</v>
          </cell>
          <cell r="C401">
            <v>0</v>
          </cell>
          <cell r="E401">
            <v>0</v>
          </cell>
          <cell r="F401">
            <v>0</v>
          </cell>
          <cell r="H401">
            <v>0</v>
          </cell>
        </row>
        <row r="402">
          <cell r="A402">
            <v>45391</v>
          </cell>
          <cell r="B402">
            <v>0</v>
          </cell>
          <cell r="C402">
            <v>0</v>
          </cell>
          <cell r="E402">
            <v>0</v>
          </cell>
          <cell r="F402">
            <v>0</v>
          </cell>
          <cell r="H402">
            <v>0</v>
          </cell>
        </row>
        <row r="403">
          <cell r="A403">
            <v>45392</v>
          </cell>
          <cell r="B403">
            <v>0</v>
          </cell>
          <cell r="C403">
            <v>0</v>
          </cell>
          <cell r="E403">
            <v>0</v>
          </cell>
          <cell r="F403">
            <v>0</v>
          </cell>
          <cell r="H403">
            <v>0</v>
          </cell>
        </row>
        <row r="404">
          <cell r="A404">
            <v>45393</v>
          </cell>
          <cell r="B404">
            <v>0</v>
          </cell>
          <cell r="C404">
            <v>0</v>
          </cell>
          <cell r="E404">
            <v>0</v>
          </cell>
          <cell r="F404">
            <v>0</v>
          </cell>
          <cell r="H404">
            <v>0</v>
          </cell>
        </row>
        <row r="405">
          <cell r="A405">
            <v>45394</v>
          </cell>
          <cell r="B405">
            <v>0</v>
          </cell>
          <cell r="C405">
            <v>0</v>
          </cell>
          <cell r="E405">
            <v>0</v>
          </cell>
          <cell r="F405">
            <v>0</v>
          </cell>
          <cell r="H405">
            <v>0</v>
          </cell>
        </row>
        <row r="406">
          <cell r="A406">
            <v>45397</v>
          </cell>
          <cell r="B406">
            <v>0</v>
          </cell>
          <cell r="C406">
            <v>0</v>
          </cell>
          <cell r="E406">
            <v>0</v>
          </cell>
          <cell r="F406">
            <v>0</v>
          </cell>
          <cell r="H406">
            <v>0</v>
          </cell>
        </row>
        <row r="407">
          <cell r="A407">
            <v>45398</v>
          </cell>
          <cell r="B407">
            <v>0</v>
          </cell>
          <cell r="C407">
            <v>0</v>
          </cell>
          <cell r="E407">
            <v>0</v>
          </cell>
          <cell r="F407">
            <v>0</v>
          </cell>
          <cell r="H407">
            <v>0</v>
          </cell>
        </row>
        <row r="408">
          <cell r="A408">
            <v>45399</v>
          </cell>
          <cell r="B408">
            <v>0</v>
          </cell>
          <cell r="C408">
            <v>0</v>
          </cell>
          <cell r="E408">
            <v>0</v>
          </cell>
          <cell r="F408">
            <v>0</v>
          </cell>
          <cell r="H408">
            <v>0</v>
          </cell>
        </row>
        <row r="409">
          <cell r="A409">
            <v>45400</v>
          </cell>
          <cell r="B409">
            <v>0</v>
          </cell>
          <cell r="C409">
            <v>0</v>
          </cell>
          <cell r="E409">
            <v>0</v>
          </cell>
          <cell r="F409">
            <v>0</v>
          </cell>
          <cell r="H409">
            <v>0</v>
          </cell>
        </row>
        <row r="410">
          <cell r="A410">
            <v>45401</v>
          </cell>
          <cell r="B410">
            <v>0</v>
          </cell>
          <cell r="C410">
            <v>0</v>
          </cell>
          <cell r="E410">
            <v>0</v>
          </cell>
          <cell r="F410">
            <v>0</v>
          </cell>
          <cell r="H410">
            <v>0</v>
          </cell>
        </row>
        <row r="411">
          <cell r="A411">
            <v>45404</v>
          </cell>
          <cell r="B411">
            <v>0</v>
          </cell>
          <cell r="C411">
            <v>0</v>
          </cell>
          <cell r="E411">
            <v>0</v>
          </cell>
          <cell r="F411">
            <v>0</v>
          </cell>
          <cell r="H411">
            <v>0</v>
          </cell>
        </row>
        <row r="412">
          <cell r="A412">
            <v>45405</v>
          </cell>
          <cell r="B412">
            <v>0</v>
          </cell>
          <cell r="C412">
            <v>0</v>
          </cell>
          <cell r="E412">
            <v>0</v>
          </cell>
          <cell r="F412">
            <v>0</v>
          </cell>
          <cell r="H412">
            <v>0</v>
          </cell>
        </row>
        <row r="413">
          <cell r="A413">
            <v>45406</v>
          </cell>
          <cell r="B413">
            <v>0</v>
          </cell>
          <cell r="C413">
            <v>0</v>
          </cell>
          <cell r="E413">
            <v>0</v>
          </cell>
          <cell r="F413">
            <v>0</v>
          </cell>
          <cell r="H413">
            <v>0</v>
          </cell>
        </row>
        <row r="414">
          <cell r="A414">
            <v>45407</v>
          </cell>
          <cell r="B414">
            <v>0</v>
          </cell>
          <cell r="C414">
            <v>0</v>
          </cell>
          <cell r="E414">
            <v>0</v>
          </cell>
          <cell r="F414">
            <v>0</v>
          </cell>
          <cell r="H414">
            <v>0</v>
          </cell>
        </row>
        <row r="415">
          <cell r="A415">
            <v>45408</v>
          </cell>
          <cell r="B415">
            <v>0</v>
          </cell>
          <cell r="C415">
            <v>0</v>
          </cell>
          <cell r="E415">
            <v>0</v>
          </cell>
          <cell r="F415">
            <v>0</v>
          </cell>
          <cell r="H415">
            <v>0</v>
          </cell>
        </row>
        <row r="416">
          <cell r="A416">
            <v>45411</v>
          </cell>
          <cell r="B416">
            <v>0</v>
          </cell>
          <cell r="C416">
            <v>0</v>
          </cell>
          <cell r="E416">
            <v>0</v>
          </cell>
          <cell r="F416">
            <v>0</v>
          </cell>
          <cell r="H416">
            <v>0</v>
          </cell>
        </row>
        <row r="417">
          <cell r="A417">
            <v>45412</v>
          </cell>
          <cell r="B417">
            <v>0</v>
          </cell>
          <cell r="C417">
            <v>0</v>
          </cell>
          <cell r="E417">
            <v>0</v>
          </cell>
          <cell r="F417">
            <v>0</v>
          </cell>
          <cell r="H417">
            <v>0</v>
          </cell>
        </row>
        <row r="418">
          <cell r="A418">
            <v>45413</v>
          </cell>
          <cell r="B418">
            <v>0</v>
          </cell>
          <cell r="C418">
            <v>0</v>
          </cell>
          <cell r="E418">
            <v>0</v>
          </cell>
          <cell r="F418">
            <v>0</v>
          </cell>
          <cell r="H418">
            <v>0</v>
          </cell>
        </row>
        <row r="419">
          <cell r="A419">
            <v>45414</v>
          </cell>
          <cell r="B419">
            <v>0</v>
          </cell>
          <cell r="C419">
            <v>0</v>
          </cell>
          <cell r="E419">
            <v>0</v>
          </cell>
          <cell r="F419">
            <v>0</v>
          </cell>
          <cell r="H419">
            <v>0</v>
          </cell>
        </row>
        <row r="420">
          <cell r="A420">
            <v>45415</v>
          </cell>
          <cell r="B420">
            <v>0</v>
          </cell>
          <cell r="C420">
            <v>0</v>
          </cell>
          <cell r="E420">
            <v>0</v>
          </cell>
          <cell r="F420">
            <v>0</v>
          </cell>
          <cell r="H420">
            <v>0</v>
          </cell>
        </row>
        <row r="421">
          <cell r="A421">
            <v>45418</v>
          </cell>
          <cell r="B421">
            <v>0</v>
          </cell>
          <cell r="C421">
            <v>0</v>
          </cell>
          <cell r="E421">
            <v>0</v>
          </cell>
          <cell r="F421">
            <v>-49500</v>
          </cell>
          <cell r="H421">
            <v>0</v>
          </cell>
        </row>
        <row r="422">
          <cell r="A422">
            <v>45419</v>
          </cell>
          <cell r="B422">
            <v>0</v>
          </cell>
          <cell r="C422">
            <v>0</v>
          </cell>
          <cell r="E422">
            <v>0</v>
          </cell>
          <cell r="F422">
            <v>0</v>
          </cell>
          <cell r="H422">
            <v>0</v>
          </cell>
        </row>
        <row r="423">
          <cell r="A423">
            <v>45420</v>
          </cell>
          <cell r="B423">
            <v>0</v>
          </cell>
          <cell r="C423">
            <v>0</v>
          </cell>
          <cell r="E423">
            <v>0</v>
          </cell>
          <cell r="F423">
            <v>0</v>
          </cell>
          <cell r="H423">
            <v>0</v>
          </cell>
        </row>
        <row r="424">
          <cell r="A424">
            <v>45421</v>
          </cell>
          <cell r="B424">
            <v>0</v>
          </cell>
          <cell r="C424">
            <v>0</v>
          </cell>
          <cell r="E424">
            <v>0</v>
          </cell>
          <cell r="F424">
            <v>0</v>
          </cell>
          <cell r="H424">
            <v>0</v>
          </cell>
        </row>
        <row r="425">
          <cell r="A425">
            <v>45422</v>
          </cell>
          <cell r="B425">
            <v>0</v>
          </cell>
          <cell r="C425">
            <v>0</v>
          </cell>
          <cell r="E425">
            <v>0</v>
          </cell>
          <cell r="F425">
            <v>0</v>
          </cell>
          <cell r="H425">
            <v>0</v>
          </cell>
        </row>
        <row r="426">
          <cell r="A426">
            <v>45425</v>
          </cell>
          <cell r="B426">
            <v>0</v>
          </cell>
          <cell r="C426">
            <v>0</v>
          </cell>
          <cell r="E426">
            <v>0</v>
          </cell>
          <cell r="F426">
            <v>0</v>
          </cell>
          <cell r="H426">
            <v>0</v>
          </cell>
        </row>
        <row r="427">
          <cell r="A427">
            <v>45426</v>
          </cell>
          <cell r="B427">
            <v>0</v>
          </cell>
          <cell r="C427">
            <v>0</v>
          </cell>
          <cell r="E427">
            <v>0</v>
          </cell>
          <cell r="F427">
            <v>0</v>
          </cell>
          <cell r="H427">
            <v>0</v>
          </cell>
        </row>
        <row r="428">
          <cell r="A428">
            <v>45427</v>
          </cell>
          <cell r="B428">
            <v>0</v>
          </cell>
          <cell r="C428">
            <v>0</v>
          </cell>
          <cell r="E428">
            <v>0</v>
          </cell>
          <cell r="F428">
            <v>0</v>
          </cell>
          <cell r="H428">
            <v>0</v>
          </cell>
        </row>
        <row r="429">
          <cell r="A429">
            <v>45428</v>
          </cell>
          <cell r="B429">
            <v>0</v>
          </cell>
          <cell r="C429">
            <v>0</v>
          </cell>
          <cell r="E429">
            <v>0</v>
          </cell>
          <cell r="F429">
            <v>0</v>
          </cell>
          <cell r="H429">
            <v>0</v>
          </cell>
        </row>
        <row r="430">
          <cell r="A430">
            <v>45429</v>
          </cell>
          <cell r="B430">
            <v>0</v>
          </cell>
          <cell r="C430">
            <v>0</v>
          </cell>
          <cell r="E430">
            <v>0</v>
          </cell>
          <cell r="F430">
            <v>0</v>
          </cell>
          <cell r="H430">
            <v>0</v>
          </cell>
        </row>
        <row r="431">
          <cell r="A431">
            <v>45432</v>
          </cell>
          <cell r="B431">
            <v>0</v>
          </cell>
          <cell r="C431">
            <v>0</v>
          </cell>
          <cell r="E431">
            <v>0</v>
          </cell>
          <cell r="F431">
            <v>0</v>
          </cell>
          <cell r="H431">
            <v>0</v>
          </cell>
        </row>
        <row r="432">
          <cell r="A432">
            <v>45433</v>
          </cell>
          <cell r="B432">
            <v>0</v>
          </cell>
          <cell r="C432">
            <v>0</v>
          </cell>
          <cell r="E432">
            <v>0</v>
          </cell>
          <cell r="F432">
            <v>0</v>
          </cell>
          <cell r="H432">
            <v>0</v>
          </cell>
        </row>
        <row r="433">
          <cell r="A433">
            <v>45434</v>
          </cell>
          <cell r="B433">
            <v>0</v>
          </cell>
          <cell r="C433">
            <v>0</v>
          </cell>
          <cell r="E433">
            <v>0</v>
          </cell>
          <cell r="F433">
            <v>0</v>
          </cell>
          <cell r="H433">
            <v>0</v>
          </cell>
        </row>
        <row r="434">
          <cell r="A434">
            <v>45435</v>
          </cell>
          <cell r="B434">
            <v>0</v>
          </cell>
          <cell r="C434">
            <v>0</v>
          </cell>
          <cell r="E434">
            <v>0</v>
          </cell>
          <cell r="F434">
            <v>0</v>
          </cell>
          <cell r="H434">
            <v>0</v>
          </cell>
        </row>
        <row r="435">
          <cell r="A435">
            <v>45436</v>
          </cell>
          <cell r="B435">
            <v>0</v>
          </cell>
          <cell r="C435">
            <v>0</v>
          </cell>
          <cell r="E435">
            <v>0</v>
          </cell>
          <cell r="F435">
            <v>0</v>
          </cell>
          <cell r="H435">
            <v>0</v>
          </cell>
        </row>
        <row r="436">
          <cell r="A436">
            <v>45439</v>
          </cell>
          <cell r="B436">
            <v>0</v>
          </cell>
          <cell r="C436">
            <v>0</v>
          </cell>
          <cell r="E436">
            <v>0</v>
          </cell>
          <cell r="F436">
            <v>0</v>
          </cell>
          <cell r="H436">
            <v>0</v>
          </cell>
        </row>
        <row r="437">
          <cell r="A437">
            <v>45440</v>
          </cell>
          <cell r="B437">
            <v>0</v>
          </cell>
          <cell r="C437">
            <v>0</v>
          </cell>
          <cell r="E437">
            <v>0</v>
          </cell>
          <cell r="F437">
            <v>0</v>
          </cell>
          <cell r="H437">
            <v>0</v>
          </cell>
        </row>
        <row r="438">
          <cell r="A438">
            <v>45441</v>
          </cell>
          <cell r="B438">
            <v>50000</v>
          </cell>
          <cell r="C438">
            <v>0</v>
          </cell>
          <cell r="E438">
            <v>50000</v>
          </cell>
          <cell r="F438">
            <v>0</v>
          </cell>
          <cell r="H438">
            <v>0</v>
          </cell>
        </row>
        <row r="439">
          <cell r="A439">
            <v>45442</v>
          </cell>
          <cell r="B439">
            <v>0</v>
          </cell>
          <cell r="C439">
            <v>0</v>
          </cell>
          <cell r="E439">
            <v>0</v>
          </cell>
          <cell r="F439">
            <v>0</v>
          </cell>
          <cell r="H439">
            <v>0</v>
          </cell>
        </row>
        <row r="440">
          <cell r="A440">
            <v>45443</v>
          </cell>
          <cell r="B440">
            <v>0</v>
          </cell>
          <cell r="C440">
            <v>-50000</v>
          </cell>
          <cell r="E440">
            <v>0</v>
          </cell>
          <cell r="F440">
            <v>-50000</v>
          </cell>
          <cell r="H440">
            <v>0</v>
          </cell>
        </row>
        <row r="441">
          <cell r="A441">
            <v>45446</v>
          </cell>
          <cell r="B441">
            <v>0</v>
          </cell>
          <cell r="C441">
            <v>0</v>
          </cell>
          <cell r="E441">
            <v>0</v>
          </cell>
          <cell r="F441">
            <v>0</v>
          </cell>
          <cell r="H441">
            <v>0</v>
          </cell>
        </row>
        <row r="442">
          <cell r="A442">
            <v>45447</v>
          </cell>
          <cell r="B442">
            <v>0</v>
          </cell>
          <cell r="C442">
            <v>0</v>
          </cell>
          <cell r="E442">
            <v>0</v>
          </cell>
          <cell r="F442">
            <v>0</v>
          </cell>
          <cell r="H442">
            <v>0</v>
          </cell>
        </row>
        <row r="443">
          <cell r="A443">
            <v>45448</v>
          </cell>
          <cell r="B443">
            <v>0</v>
          </cell>
          <cell r="C443">
            <v>0</v>
          </cell>
          <cell r="E443">
            <v>0</v>
          </cell>
          <cell r="F443">
            <v>-39000</v>
          </cell>
          <cell r="H443">
            <v>0</v>
          </cell>
        </row>
        <row r="444">
          <cell r="A444">
            <v>45449</v>
          </cell>
          <cell r="B444">
            <v>0</v>
          </cell>
          <cell r="C444">
            <v>0</v>
          </cell>
          <cell r="E444">
            <v>0</v>
          </cell>
          <cell r="F444">
            <v>0</v>
          </cell>
          <cell r="H444">
            <v>0</v>
          </cell>
        </row>
        <row r="445">
          <cell r="A445">
            <v>45450</v>
          </cell>
          <cell r="B445">
            <v>0</v>
          </cell>
          <cell r="C445">
            <v>0</v>
          </cell>
          <cell r="E445">
            <v>0</v>
          </cell>
          <cell r="F445">
            <v>0</v>
          </cell>
          <cell r="H445">
            <v>0</v>
          </cell>
        </row>
        <row r="446">
          <cell r="A446">
            <v>45453</v>
          </cell>
          <cell r="B446">
            <v>0</v>
          </cell>
          <cell r="C446">
            <v>0</v>
          </cell>
          <cell r="E446">
            <v>0</v>
          </cell>
          <cell r="F446">
            <v>0</v>
          </cell>
          <cell r="H446">
            <v>0</v>
          </cell>
        </row>
        <row r="447">
          <cell r="A447">
            <v>45454</v>
          </cell>
          <cell r="B447">
            <v>0</v>
          </cell>
          <cell r="C447">
            <v>0</v>
          </cell>
          <cell r="E447">
            <v>0</v>
          </cell>
          <cell r="F447">
            <v>0</v>
          </cell>
          <cell r="H447">
            <v>0</v>
          </cell>
        </row>
        <row r="448">
          <cell r="A448">
            <v>45455</v>
          </cell>
          <cell r="B448">
            <v>0</v>
          </cell>
          <cell r="C448">
            <v>0</v>
          </cell>
          <cell r="E448">
            <v>0</v>
          </cell>
          <cell r="F448">
            <v>0</v>
          </cell>
          <cell r="H448">
            <v>0</v>
          </cell>
        </row>
        <row r="449">
          <cell r="A449">
            <v>45456</v>
          </cell>
          <cell r="B449">
            <v>0</v>
          </cell>
          <cell r="C449">
            <v>0</v>
          </cell>
          <cell r="E449">
            <v>0</v>
          </cell>
          <cell r="F449">
            <v>0</v>
          </cell>
          <cell r="H449">
            <v>0</v>
          </cell>
        </row>
        <row r="450">
          <cell r="A450">
            <v>45457</v>
          </cell>
          <cell r="B450">
            <v>0</v>
          </cell>
          <cell r="C450">
            <v>0</v>
          </cell>
          <cell r="E450">
            <v>0</v>
          </cell>
          <cell r="F450">
            <v>0</v>
          </cell>
          <cell r="H450">
            <v>0</v>
          </cell>
        </row>
        <row r="451">
          <cell r="A451">
            <v>45460</v>
          </cell>
          <cell r="B451">
            <v>0</v>
          </cell>
          <cell r="C451">
            <v>0</v>
          </cell>
          <cell r="E451">
            <v>0</v>
          </cell>
          <cell r="F451">
            <v>0</v>
          </cell>
          <cell r="H451">
            <v>0</v>
          </cell>
        </row>
        <row r="452">
          <cell r="A452">
            <v>45461</v>
          </cell>
          <cell r="B452">
            <v>0</v>
          </cell>
          <cell r="C452">
            <v>0</v>
          </cell>
          <cell r="E452">
            <v>0</v>
          </cell>
          <cell r="F452">
            <v>0</v>
          </cell>
          <cell r="H452">
            <v>0</v>
          </cell>
        </row>
        <row r="453">
          <cell r="A453">
            <v>45462</v>
          </cell>
          <cell r="B453">
            <v>0</v>
          </cell>
          <cell r="C453">
            <v>0</v>
          </cell>
          <cell r="E453">
            <v>0</v>
          </cell>
          <cell r="F453">
            <v>0</v>
          </cell>
          <cell r="H453">
            <v>0</v>
          </cell>
        </row>
        <row r="454">
          <cell r="A454">
            <v>45463</v>
          </cell>
          <cell r="B454">
            <v>0</v>
          </cell>
          <cell r="C454">
            <v>0</v>
          </cell>
          <cell r="E454">
            <v>0</v>
          </cell>
          <cell r="F454">
            <v>0</v>
          </cell>
          <cell r="H454">
            <v>0</v>
          </cell>
        </row>
        <row r="455">
          <cell r="A455">
            <v>45464</v>
          </cell>
          <cell r="B455">
            <v>0</v>
          </cell>
          <cell r="C455">
            <v>0</v>
          </cell>
          <cell r="E455">
            <v>0</v>
          </cell>
          <cell r="F455">
            <v>0</v>
          </cell>
          <cell r="H455">
            <v>0</v>
          </cell>
        </row>
        <row r="456">
          <cell r="A456">
            <v>45467</v>
          </cell>
          <cell r="B456">
            <v>0</v>
          </cell>
          <cell r="C456">
            <v>0</v>
          </cell>
          <cell r="E456">
            <v>0</v>
          </cell>
          <cell r="F456">
            <v>0</v>
          </cell>
          <cell r="H456">
            <v>0</v>
          </cell>
        </row>
        <row r="457">
          <cell r="A457">
            <v>45468</v>
          </cell>
          <cell r="B457">
            <v>0</v>
          </cell>
          <cell r="C457">
            <v>0</v>
          </cell>
          <cell r="E457">
            <v>0</v>
          </cell>
          <cell r="F457">
            <v>0</v>
          </cell>
          <cell r="H457">
            <v>0</v>
          </cell>
        </row>
        <row r="458">
          <cell r="A458">
            <v>45469</v>
          </cell>
          <cell r="B458">
            <v>0</v>
          </cell>
          <cell r="C458">
            <v>0</v>
          </cell>
          <cell r="E458">
            <v>0</v>
          </cell>
          <cell r="F458">
            <v>0</v>
          </cell>
          <cell r="H458">
            <v>0</v>
          </cell>
        </row>
        <row r="459">
          <cell r="A459">
            <v>45470</v>
          </cell>
          <cell r="B459">
            <v>0</v>
          </cell>
          <cell r="C459">
            <v>0</v>
          </cell>
          <cell r="E459">
            <v>0</v>
          </cell>
          <cell r="F459">
            <v>0</v>
          </cell>
          <cell r="H459">
            <v>0</v>
          </cell>
        </row>
        <row r="460">
          <cell r="A460">
            <v>45471</v>
          </cell>
          <cell r="B460">
            <v>0</v>
          </cell>
          <cell r="C460">
            <v>0</v>
          </cell>
          <cell r="E460">
            <v>0</v>
          </cell>
          <cell r="F460">
            <v>0</v>
          </cell>
          <cell r="H460">
            <v>0</v>
          </cell>
        </row>
        <row r="461">
          <cell r="A461">
            <v>45474</v>
          </cell>
          <cell r="B461">
            <v>0</v>
          </cell>
          <cell r="C461">
            <v>0</v>
          </cell>
          <cell r="E461">
            <v>0</v>
          </cell>
          <cell r="F461">
            <v>0</v>
          </cell>
          <cell r="H461">
            <v>0</v>
          </cell>
        </row>
        <row r="462">
          <cell r="A462">
            <v>45475</v>
          </cell>
          <cell r="B462">
            <v>0</v>
          </cell>
          <cell r="C462">
            <v>0</v>
          </cell>
          <cell r="E462">
            <v>0</v>
          </cell>
          <cell r="F462">
            <v>0</v>
          </cell>
          <cell r="H462">
            <v>0</v>
          </cell>
        </row>
        <row r="463">
          <cell r="A463">
            <v>45476</v>
          </cell>
          <cell r="B463">
            <v>0</v>
          </cell>
          <cell r="C463">
            <v>0</v>
          </cell>
          <cell r="E463">
            <v>0</v>
          </cell>
          <cell r="F463">
            <v>-36000</v>
          </cell>
          <cell r="H463">
            <v>0</v>
          </cell>
        </row>
        <row r="464">
          <cell r="A464">
            <v>45477</v>
          </cell>
          <cell r="B464">
            <v>0</v>
          </cell>
          <cell r="C464">
            <v>0</v>
          </cell>
          <cell r="E464">
            <v>200000</v>
          </cell>
          <cell r="F464">
            <v>0</v>
          </cell>
          <cell r="H464">
            <v>200000</v>
          </cell>
        </row>
        <row r="465">
          <cell r="A465">
            <v>45478</v>
          </cell>
          <cell r="B465">
            <v>0</v>
          </cell>
          <cell r="C465">
            <v>0</v>
          </cell>
          <cell r="E465">
            <v>0</v>
          </cell>
          <cell r="F465">
            <v>0</v>
          </cell>
          <cell r="H465">
            <v>0</v>
          </cell>
        </row>
        <row r="466">
          <cell r="A466">
            <v>45481</v>
          </cell>
          <cell r="B466">
            <v>0</v>
          </cell>
          <cell r="C466">
            <v>0</v>
          </cell>
          <cell r="E466">
            <v>0</v>
          </cell>
          <cell r="F466">
            <v>0</v>
          </cell>
          <cell r="H466">
            <v>0</v>
          </cell>
        </row>
        <row r="467">
          <cell r="A467">
            <v>45482</v>
          </cell>
          <cell r="B467">
            <v>0</v>
          </cell>
          <cell r="C467">
            <v>0</v>
          </cell>
          <cell r="E467">
            <v>0</v>
          </cell>
          <cell r="F467">
            <v>0</v>
          </cell>
          <cell r="H467">
            <v>0</v>
          </cell>
        </row>
        <row r="468">
          <cell r="A468">
            <v>45483</v>
          </cell>
          <cell r="B468">
            <v>0</v>
          </cell>
          <cell r="C468">
            <v>0</v>
          </cell>
          <cell r="E468">
            <v>0</v>
          </cell>
          <cell r="F468">
            <v>0</v>
          </cell>
          <cell r="H468">
            <v>0</v>
          </cell>
        </row>
        <row r="469">
          <cell r="A469">
            <v>45484</v>
          </cell>
          <cell r="B469">
            <v>0</v>
          </cell>
          <cell r="C469">
            <v>0</v>
          </cell>
          <cell r="E469">
            <v>0</v>
          </cell>
          <cell r="F469">
            <v>0</v>
          </cell>
          <cell r="H469">
            <v>0</v>
          </cell>
        </row>
        <row r="470">
          <cell r="A470">
            <v>45485</v>
          </cell>
          <cell r="B470">
            <v>0</v>
          </cell>
          <cell r="C470">
            <v>0</v>
          </cell>
          <cell r="E470">
            <v>0</v>
          </cell>
          <cell r="F470">
            <v>0</v>
          </cell>
          <cell r="H470">
            <v>0</v>
          </cell>
        </row>
        <row r="471">
          <cell r="A471">
            <v>45488</v>
          </cell>
          <cell r="B471">
            <v>0</v>
          </cell>
          <cell r="C471">
            <v>0</v>
          </cell>
          <cell r="E471">
            <v>0</v>
          </cell>
          <cell r="F471">
            <v>0</v>
          </cell>
          <cell r="H471">
            <v>0</v>
          </cell>
        </row>
        <row r="472">
          <cell r="A472">
            <v>45489</v>
          </cell>
          <cell r="B472">
            <v>0</v>
          </cell>
          <cell r="C472">
            <v>0</v>
          </cell>
          <cell r="E472">
            <v>0</v>
          </cell>
          <cell r="F472">
            <v>0</v>
          </cell>
          <cell r="H472">
            <v>0</v>
          </cell>
        </row>
        <row r="473">
          <cell r="A473">
            <v>45490</v>
          </cell>
          <cell r="B473">
            <v>0</v>
          </cell>
          <cell r="C473">
            <v>0</v>
          </cell>
          <cell r="E473">
            <v>0</v>
          </cell>
          <cell r="F473">
            <v>0</v>
          </cell>
          <cell r="H473">
            <v>0</v>
          </cell>
        </row>
        <row r="474">
          <cell r="A474">
            <v>45491</v>
          </cell>
          <cell r="B474">
            <v>0</v>
          </cell>
          <cell r="C474">
            <v>0</v>
          </cell>
          <cell r="E474">
            <v>0</v>
          </cell>
          <cell r="F474">
            <v>0</v>
          </cell>
          <cell r="H474">
            <v>0</v>
          </cell>
        </row>
        <row r="475">
          <cell r="A475">
            <v>45492</v>
          </cell>
          <cell r="B475">
            <v>0</v>
          </cell>
          <cell r="C475">
            <v>0</v>
          </cell>
          <cell r="E475">
            <v>0</v>
          </cell>
          <cell r="F475">
            <v>0</v>
          </cell>
          <cell r="H475">
            <v>0</v>
          </cell>
        </row>
        <row r="476">
          <cell r="A476">
            <v>45495</v>
          </cell>
          <cell r="B476">
            <v>0</v>
          </cell>
          <cell r="C476">
            <v>0</v>
          </cell>
          <cell r="E476">
            <v>0</v>
          </cell>
          <cell r="F476">
            <v>0</v>
          </cell>
          <cell r="H476">
            <v>0</v>
          </cell>
        </row>
        <row r="477">
          <cell r="A477">
            <v>45496</v>
          </cell>
          <cell r="B477">
            <v>0</v>
          </cell>
          <cell r="C477">
            <v>0</v>
          </cell>
          <cell r="E477">
            <v>0</v>
          </cell>
          <cell r="F477">
            <v>0</v>
          </cell>
          <cell r="H477">
            <v>0</v>
          </cell>
        </row>
        <row r="478">
          <cell r="A478">
            <v>45497</v>
          </cell>
          <cell r="B478">
            <v>0</v>
          </cell>
          <cell r="C478">
            <v>0</v>
          </cell>
          <cell r="E478">
            <v>0</v>
          </cell>
          <cell r="F478">
            <v>0</v>
          </cell>
          <cell r="H478">
            <v>0</v>
          </cell>
        </row>
        <row r="479">
          <cell r="A479">
            <v>45498</v>
          </cell>
          <cell r="B479">
            <v>0</v>
          </cell>
          <cell r="C479">
            <v>0</v>
          </cell>
          <cell r="E479">
            <v>0</v>
          </cell>
          <cell r="F479">
            <v>0</v>
          </cell>
          <cell r="H479">
            <v>0</v>
          </cell>
        </row>
        <row r="480">
          <cell r="A480">
            <v>45499</v>
          </cell>
          <cell r="B480">
            <v>0</v>
          </cell>
          <cell r="C480">
            <v>0</v>
          </cell>
          <cell r="E480">
            <v>0</v>
          </cell>
          <cell r="F480">
            <v>0</v>
          </cell>
          <cell r="H480">
            <v>0</v>
          </cell>
        </row>
        <row r="481">
          <cell r="A481">
            <v>45502</v>
          </cell>
          <cell r="B481">
            <v>0</v>
          </cell>
          <cell r="C481">
            <v>0</v>
          </cell>
          <cell r="E481">
            <v>0</v>
          </cell>
          <cell r="F481">
            <v>0</v>
          </cell>
          <cell r="H481">
            <v>0</v>
          </cell>
        </row>
        <row r="482">
          <cell r="A482">
            <v>45503</v>
          </cell>
          <cell r="B482">
            <v>0</v>
          </cell>
          <cell r="C482">
            <v>0</v>
          </cell>
          <cell r="E482">
            <v>0</v>
          </cell>
          <cell r="F482">
            <v>0</v>
          </cell>
          <cell r="H482">
            <v>0</v>
          </cell>
        </row>
        <row r="483">
          <cell r="A483">
            <v>45504</v>
          </cell>
          <cell r="B483">
            <v>0</v>
          </cell>
          <cell r="C483">
            <v>0</v>
          </cell>
          <cell r="E483">
            <v>0</v>
          </cell>
          <cell r="F483">
            <v>0</v>
          </cell>
          <cell r="H483">
            <v>0</v>
          </cell>
        </row>
        <row r="484">
          <cell r="A484">
            <v>45505</v>
          </cell>
          <cell r="B484">
            <v>0</v>
          </cell>
          <cell r="C484">
            <v>0</v>
          </cell>
          <cell r="E484">
            <v>0</v>
          </cell>
          <cell r="F484">
            <v>0</v>
          </cell>
          <cell r="H484">
            <v>0</v>
          </cell>
        </row>
        <row r="485">
          <cell r="A485">
            <v>45506</v>
          </cell>
          <cell r="B485">
            <v>0</v>
          </cell>
          <cell r="C485">
            <v>0</v>
          </cell>
          <cell r="E485">
            <v>0</v>
          </cell>
          <cell r="F485">
            <v>0</v>
          </cell>
          <cell r="H485">
            <v>0</v>
          </cell>
        </row>
        <row r="486">
          <cell r="A486">
            <v>45509</v>
          </cell>
          <cell r="B486">
            <v>0</v>
          </cell>
          <cell r="C486">
            <v>0</v>
          </cell>
          <cell r="E486">
            <v>0</v>
          </cell>
          <cell r="F486">
            <v>-41000</v>
          </cell>
          <cell r="H486">
            <v>0</v>
          </cell>
        </row>
        <row r="487">
          <cell r="A487">
            <v>45510</v>
          </cell>
          <cell r="B487">
            <v>0</v>
          </cell>
          <cell r="C487">
            <v>0</v>
          </cell>
          <cell r="E487">
            <v>0</v>
          </cell>
          <cell r="F487">
            <v>0</v>
          </cell>
          <cell r="H487">
            <v>0</v>
          </cell>
        </row>
        <row r="488">
          <cell r="A488">
            <v>45511</v>
          </cell>
          <cell r="B488">
            <v>0</v>
          </cell>
          <cell r="C488">
            <v>0</v>
          </cell>
          <cell r="E488">
            <v>0</v>
          </cell>
          <cell r="F488">
            <v>0</v>
          </cell>
          <cell r="H488">
            <v>0</v>
          </cell>
        </row>
        <row r="489">
          <cell r="A489">
            <v>45512</v>
          </cell>
          <cell r="B489">
            <v>0</v>
          </cell>
          <cell r="C489">
            <v>0</v>
          </cell>
          <cell r="E489">
            <v>0</v>
          </cell>
          <cell r="F489">
            <v>0</v>
          </cell>
          <cell r="H489">
            <v>0</v>
          </cell>
        </row>
        <row r="490">
          <cell r="A490">
            <v>45513</v>
          </cell>
          <cell r="B490">
            <v>0</v>
          </cell>
          <cell r="C490">
            <v>0</v>
          </cell>
          <cell r="E490">
            <v>0</v>
          </cell>
          <cell r="F490">
            <v>0</v>
          </cell>
          <cell r="H490">
            <v>0</v>
          </cell>
        </row>
        <row r="491">
          <cell r="A491">
            <v>45516</v>
          </cell>
          <cell r="B491">
            <v>0</v>
          </cell>
          <cell r="C491">
            <v>0</v>
          </cell>
          <cell r="E491">
            <v>0</v>
          </cell>
          <cell r="F491">
            <v>0</v>
          </cell>
          <cell r="H491">
            <v>0</v>
          </cell>
        </row>
        <row r="492">
          <cell r="A492">
            <v>45517</v>
          </cell>
          <cell r="B492">
            <v>0</v>
          </cell>
          <cell r="C492">
            <v>0</v>
          </cell>
          <cell r="E492">
            <v>0</v>
          </cell>
          <cell r="F492">
            <v>0</v>
          </cell>
          <cell r="H492">
            <v>0</v>
          </cell>
        </row>
        <row r="493">
          <cell r="A493">
            <v>45518</v>
          </cell>
          <cell r="B493">
            <v>0</v>
          </cell>
          <cell r="C493">
            <v>0</v>
          </cell>
          <cell r="E493">
            <v>0</v>
          </cell>
          <cell r="F493">
            <v>0</v>
          </cell>
          <cell r="H493">
            <v>0</v>
          </cell>
        </row>
        <row r="494">
          <cell r="A494">
            <v>45519</v>
          </cell>
          <cell r="B494">
            <v>0</v>
          </cell>
          <cell r="C494">
            <v>0</v>
          </cell>
          <cell r="E494">
            <v>0</v>
          </cell>
          <cell r="F494">
            <v>0</v>
          </cell>
          <cell r="H494">
            <v>0</v>
          </cell>
        </row>
        <row r="495">
          <cell r="A495">
            <v>45520</v>
          </cell>
          <cell r="B495">
            <v>0</v>
          </cell>
          <cell r="C495">
            <v>0</v>
          </cell>
          <cell r="E495">
            <v>0</v>
          </cell>
          <cell r="F495">
            <v>0</v>
          </cell>
          <cell r="H495">
            <v>0</v>
          </cell>
        </row>
        <row r="496">
          <cell r="A496">
            <v>45523</v>
          </cell>
          <cell r="B496">
            <v>0</v>
          </cell>
          <cell r="C496">
            <v>0</v>
          </cell>
          <cell r="E496">
            <v>0</v>
          </cell>
          <cell r="F496">
            <v>0</v>
          </cell>
          <cell r="H496">
            <v>0</v>
          </cell>
        </row>
        <row r="497">
          <cell r="A497">
            <v>45524</v>
          </cell>
          <cell r="B497">
            <v>0</v>
          </cell>
          <cell r="C497">
            <v>0</v>
          </cell>
          <cell r="E497">
            <v>0</v>
          </cell>
          <cell r="F497">
            <v>0</v>
          </cell>
          <cell r="H497">
            <v>0</v>
          </cell>
        </row>
        <row r="498">
          <cell r="A498">
            <v>45525</v>
          </cell>
          <cell r="B498">
            <v>50000</v>
          </cell>
          <cell r="C498">
            <v>0</v>
          </cell>
          <cell r="E498">
            <v>50000</v>
          </cell>
          <cell r="F498">
            <v>0</v>
          </cell>
          <cell r="H498">
            <v>0</v>
          </cell>
        </row>
        <row r="499">
          <cell r="A499">
            <v>45526</v>
          </cell>
          <cell r="B499">
            <v>100000</v>
          </cell>
          <cell r="C499">
            <v>0</v>
          </cell>
          <cell r="E499">
            <v>100000</v>
          </cell>
          <cell r="F499">
            <v>0</v>
          </cell>
          <cell r="H499">
            <v>0</v>
          </cell>
        </row>
        <row r="500">
          <cell r="A500">
            <v>45527</v>
          </cell>
          <cell r="B500">
            <v>0</v>
          </cell>
          <cell r="C500">
            <v>0</v>
          </cell>
          <cell r="E500">
            <v>0</v>
          </cell>
          <cell r="F500">
            <v>0</v>
          </cell>
          <cell r="H500">
            <v>0</v>
          </cell>
        </row>
        <row r="501">
          <cell r="A501">
            <v>45530</v>
          </cell>
          <cell r="B501">
            <v>0</v>
          </cell>
          <cell r="C501">
            <v>0</v>
          </cell>
          <cell r="E501">
            <v>0</v>
          </cell>
          <cell r="F501">
            <v>0</v>
          </cell>
          <cell r="H501">
            <v>0</v>
          </cell>
        </row>
        <row r="502">
          <cell r="A502">
            <v>45531</v>
          </cell>
          <cell r="B502">
            <v>0</v>
          </cell>
          <cell r="C502">
            <v>0</v>
          </cell>
          <cell r="E502">
            <v>0</v>
          </cell>
          <cell r="F502">
            <v>0</v>
          </cell>
          <cell r="H502">
            <v>0</v>
          </cell>
        </row>
        <row r="503">
          <cell r="A503">
            <v>45532</v>
          </cell>
          <cell r="B503">
            <v>0</v>
          </cell>
          <cell r="C503">
            <v>0</v>
          </cell>
          <cell r="E503">
            <v>0</v>
          </cell>
          <cell r="F503">
            <v>0</v>
          </cell>
          <cell r="H503">
            <v>0</v>
          </cell>
        </row>
        <row r="504">
          <cell r="A504">
            <v>45533</v>
          </cell>
          <cell r="B504">
            <v>0</v>
          </cell>
          <cell r="C504">
            <v>0</v>
          </cell>
          <cell r="E504">
            <v>0</v>
          </cell>
          <cell r="F504">
            <v>0</v>
          </cell>
          <cell r="H504">
            <v>0</v>
          </cell>
        </row>
        <row r="505">
          <cell r="A505">
            <v>45534</v>
          </cell>
          <cell r="B505">
            <v>0</v>
          </cell>
          <cell r="C505">
            <v>0</v>
          </cell>
          <cell r="E505">
            <v>0</v>
          </cell>
          <cell r="F505">
            <v>0</v>
          </cell>
          <cell r="H505">
            <v>0</v>
          </cell>
        </row>
        <row r="506">
          <cell r="A506">
            <v>45537</v>
          </cell>
          <cell r="B506">
            <v>0</v>
          </cell>
          <cell r="C506">
            <v>0</v>
          </cell>
          <cell r="E506">
            <v>0</v>
          </cell>
          <cell r="F506">
            <v>0</v>
          </cell>
          <cell r="H506">
            <v>0</v>
          </cell>
        </row>
        <row r="507">
          <cell r="A507">
            <v>45538</v>
          </cell>
          <cell r="B507">
            <v>0</v>
          </cell>
          <cell r="C507">
            <v>0</v>
          </cell>
          <cell r="E507">
            <v>0</v>
          </cell>
          <cell r="F507">
            <v>0</v>
          </cell>
          <cell r="H507">
            <v>0</v>
          </cell>
        </row>
        <row r="508">
          <cell r="A508">
            <v>45539</v>
          </cell>
          <cell r="B508">
            <v>0</v>
          </cell>
          <cell r="C508">
            <v>0</v>
          </cell>
          <cell r="E508">
            <v>0</v>
          </cell>
          <cell r="F508">
            <v>-42500</v>
          </cell>
          <cell r="H508">
            <v>0</v>
          </cell>
        </row>
        <row r="509">
          <cell r="A509">
            <v>45540</v>
          </cell>
          <cell r="B509">
            <v>0</v>
          </cell>
          <cell r="C509">
            <v>0</v>
          </cell>
          <cell r="E509">
            <v>0</v>
          </cell>
          <cell r="F509">
            <v>0</v>
          </cell>
          <cell r="H509">
            <v>0</v>
          </cell>
        </row>
        <row r="510">
          <cell r="A510">
            <v>45541</v>
          </cell>
          <cell r="B510">
            <v>0</v>
          </cell>
          <cell r="C510">
            <v>0</v>
          </cell>
          <cell r="E510">
            <v>0</v>
          </cell>
          <cell r="F510">
            <v>0</v>
          </cell>
          <cell r="H510">
            <v>0</v>
          </cell>
        </row>
        <row r="511">
          <cell r="A511">
            <v>45544</v>
          </cell>
          <cell r="B511">
            <v>0</v>
          </cell>
          <cell r="C511">
            <v>0</v>
          </cell>
          <cell r="E511">
            <v>0</v>
          </cell>
          <cell r="F511">
            <v>0</v>
          </cell>
          <cell r="H511">
            <v>0</v>
          </cell>
        </row>
        <row r="512">
          <cell r="A512">
            <v>45545</v>
          </cell>
          <cell r="B512">
            <v>0</v>
          </cell>
          <cell r="C512">
            <v>0</v>
          </cell>
          <cell r="E512">
            <v>0</v>
          </cell>
          <cell r="F512">
            <v>0</v>
          </cell>
          <cell r="H512">
            <v>0</v>
          </cell>
        </row>
        <row r="513">
          <cell r="A513">
            <v>45546</v>
          </cell>
          <cell r="B513">
            <v>0</v>
          </cell>
          <cell r="C513">
            <v>0</v>
          </cell>
          <cell r="E513">
            <v>0</v>
          </cell>
          <cell r="F513">
            <v>0</v>
          </cell>
          <cell r="H513">
            <v>0</v>
          </cell>
        </row>
        <row r="514">
          <cell r="A514">
            <v>45547</v>
          </cell>
          <cell r="B514">
            <v>0</v>
          </cell>
          <cell r="C514">
            <v>0</v>
          </cell>
          <cell r="E514">
            <v>0</v>
          </cell>
          <cell r="F514">
            <v>0</v>
          </cell>
          <cell r="H514">
            <v>0</v>
          </cell>
        </row>
        <row r="515">
          <cell r="A515">
            <v>45548</v>
          </cell>
          <cell r="B515">
            <v>0</v>
          </cell>
          <cell r="C515">
            <v>0</v>
          </cell>
          <cell r="E515">
            <v>0</v>
          </cell>
          <cell r="F515">
            <v>0</v>
          </cell>
          <cell r="H515">
            <v>0</v>
          </cell>
        </row>
        <row r="516">
          <cell r="A516">
            <v>45551</v>
          </cell>
          <cell r="B516">
            <v>0</v>
          </cell>
          <cell r="C516">
            <v>0</v>
          </cell>
          <cell r="E516">
            <v>0</v>
          </cell>
          <cell r="F516">
            <v>0</v>
          </cell>
          <cell r="H516">
            <v>0</v>
          </cell>
        </row>
        <row r="517">
          <cell r="A517">
            <v>45552</v>
          </cell>
          <cell r="B517">
            <v>0</v>
          </cell>
          <cell r="C517">
            <v>0</v>
          </cell>
          <cell r="E517">
            <v>0</v>
          </cell>
          <cell r="F517">
            <v>0</v>
          </cell>
          <cell r="H517">
            <v>0</v>
          </cell>
        </row>
        <row r="518">
          <cell r="A518">
            <v>45553</v>
          </cell>
          <cell r="B518">
            <v>0</v>
          </cell>
          <cell r="C518">
            <v>0</v>
          </cell>
          <cell r="E518">
            <v>0</v>
          </cell>
          <cell r="F518">
            <v>0</v>
          </cell>
          <cell r="H518">
            <v>0</v>
          </cell>
        </row>
        <row r="519">
          <cell r="A519">
            <v>45554</v>
          </cell>
          <cell r="B519">
            <v>0</v>
          </cell>
          <cell r="C519">
            <v>0</v>
          </cell>
          <cell r="E519">
            <v>0</v>
          </cell>
          <cell r="F519">
            <v>0</v>
          </cell>
          <cell r="H519">
            <v>0</v>
          </cell>
        </row>
        <row r="520">
          <cell r="A520">
            <v>45555</v>
          </cell>
          <cell r="B520">
            <v>0</v>
          </cell>
          <cell r="C520">
            <v>0</v>
          </cell>
          <cell r="E520">
            <v>0</v>
          </cell>
          <cell r="F520">
            <v>0</v>
          </cell>
          <cell r="H520">
            <v>0</v>
          </cell>
        </row>
        <row r="521">
          <cell r="A521">
            <v>45558</v>
          </cell>
          <cell r="B521">
            <v>0</v>
          </cell>
          <cell r="C521">
            <v>-32000</v>
          </cell>
          <cell r="E521">
            <v>0</v>
          </cell>
          <cell r="F521">
            <v>-32000</v>
          </cell>
          <cell r="H521">
            <v>0</v>
          </cell>
        </row>
        <row r="522">
          <cell r="A522">
            <v>45559</v>
          </cell>
          <cell r="B522">
            <v>0</v>
          </cell>
          <cell r="C522">
            <v>0</v>
          </cell>
          <cell r="E522">
            <v>0</v>
          </cell>
          <cell r="F522">
            <v>0</v>
          </cell>
          <cell r="H522">
            <v>0</v>
          </cell>
        </row>
        <row r="523">
          <cell r="A523">
            <v>45560</v>
          </cell>
          <cell r="B523">
            <v>0</v>
          </cell>
          <cell r="C523">
            <v>0</v>
          </cell>
          <cell r="E523">
            <v>0</v>
          </cell>
          <cell r="F523">
            <v>0</v>
          </cell>
          <cell r="H523">
            <v>0</v>
          </cell>
        </row>
        <row r="524">
          <cell r="A524">
            <v>45561</v>
          </cell>
          <cell r="B524">
            <v>0</v>
          </cell>
          <cell r="C524">
            <v>0</v>
          </cell>
          <cell r="E524">
            <v>0</v>
          </cell>
          <cell r="F524">
            <v>0</v>
          </cell>
          <cell r="H524">
            <v>0</v>
          </cell>
        </row>
        <row r="525">
          <cell r="A525">
            <v>45562</v>
          </cell>
          <cell r="B525">
            <v>0</v>
          </cell>
          <cell r="C525">
            <v>0</v>
          </cell>
          <cell r="E525">
            <v>0</v>
          </cell>
          <cell r="F525">
            <v>0</v>
          </cell>
          <cell r="H525">
            <v>0</v>
          </cell>
        </row>
        <row r="526">
          <cell r="A526">
            <v>45565</v>
          </cell>
          <cell r="B526">
            <v>0</v>
          </cell>
          <cell r="C526">
            <v>0</v>
          </cell>
          <cell r="E526">
            <v>0</v>
          </cell>
          <cell r="F526">
            <v>0</v>
          </cell>
          <cell r="H526">
            <v>0</v>
          </cell>
        </row>
        <row r="527">
          <cell r="A527">
            <v>45566</v>
          </cell>
          <cell r="B527">
            <v>0</v>
          </cell>
          <cell r="C527">
            <v>0</v>
          </cell>
          <cell r="E527">
            <v>0</v>
          </cell>
          <cell r="F527">
            <v>0</v>
          </cell>
          <cell r="H527">
            <v>0</v>
          </cell>
        </row>
        <row r="528">
          <cell r="A528">
            <v>45567</v>
          </cell>
          <cell r="B528">
            <v>0</v>
          </cell>
          <cell r="C528">
            <v>0</v>
          </cell>
          <cell r="E528">
            <v>0</v>
          </cell>
          <cell r="F528">
            <v>0</v>
          </cell>
          <cell r="H528">
            <v>0</v>
          </cell>
        </row>
        <row r="529">
          <cell r="A529">
            <v>45568</v>
          </cell>
          <cell r="B529">
            <v>0</v>
          </cell>
          <cell r="C529">
            <v>0</v>
          </cell>
          <cell r="E529">
            <v>0</v>
          </cell>
          <cell r="F529">
            <v>-39200</v>
          </cell>
          <cell r="H529">
            <v>0</v>
          </cell>
        </row>
        <row r="530">
          <cell r="A530">
            <v>45569</v>
          </cell>
          <cell r="B530">
            <v>0</v>
          </cell>
          <cell r="C530">
            <v>0</v>
          </cell>
          <cell r="E530">
            <v>0</v>
          </cell>
          <cell r="F530">
            <v>0</v>
          </cell>
          <cell r="H530">
            <v>0</v>
          </cell>
        </row>
        <row r="531">
          <cell r="A531">
            <v>45572</v>
          </cell>
          <cell r="B531">
            <v>0</v>
          </cell>
          <cell r="C531">
            <v>0</v>
          </cell>
          <cell r="E531">
            <v>0</v>
          </cell>
          <cell r="F531">
            <v>0</v>
          </cell>
          <cell r="H531">
            <v>0</v>
          </cell>
        </row>
        <row r="532">
          <cell r="A532">
            <v>45573</v>
          </cell>
          <cell r="B532">
            <v>0</v>
          </cell>
          <cell r="C532">
            <v>0</v>
          </cell>
          <cell r="E532">
            <v>0</v>
          </cell>
          <cell r="F532">
            <v>0</v>
          </cell>
          <cell r="H532">
            <v>0</v>
          </cell>
        </row>
        <row r="533">
          <cell r="A533">
            <v>45574</v>
          </cell>
          <cell r="B533">
            <v>0</v>
          </cell>
          <cell r="C533">
            <v>0</v>
          </cell>
          <cell r="E533">
            <v>0</v>
          </cell>
          <cell r="F533">
            <v>0</v>
          </cell>
          <cell r="H533">
            <v>0</v>
          </cell>
        </row>
        <row r="534">
          <cell r="A534">
            <v>45575</v>
          </cell>
          <cell r="B534">
            <v>0</v>
          </cell>
          <cell r="C534">
            <v>0</v>
          </cell>
          <cell r="E534">
            <v>0</v>
          </cell>
          <cell r="F534">
            <v>0</v>
          </cell>
          <cell r="H534">
            <v>0</v>
          </cell>
        </row>
        <row r="535">
          <cell r="A535">
            <v>45576</v>
          </cell>
          <cell r="B535">
            <v>0</v>
          </cell>
          <cell r="C535">
            <v>0</v>
          </cell>
          <cell r="E535">
            <v>0</v>
          </cell>
          <cell r="F535">
            <v>0</v>
          </cell>
          <cell r="H535">
            <v>0</v>
          </cell>
        </row>
        <row r="536">
          <cell r="A536">
            <v>45579</v>
          </cell>
          <cell r="B536">
            <v>0</v>
          </cell>
          <cell r="C536">
            <v>0</v>
          </cell>
          <cell r="E536">
            <v>0</v>
          </cell>
          <cell r="F536">
            <v>0</v>
          </cell>
          <cell r="H536">
            <v>0</v>
          </cell>
        </row>
        <row r="537">
          <cell r="A537">
            <v>45580</v>
          </cell>
          <cell r="B537">
            <v>0</v>
          </cell>
          <cell r="C537">
            <v>0</v>
          </cell>
          <cell r="E537">
            <v>0</v>
          </cell>
          <cell r="F537">
            <v>0</v>
          </cell>
          <cell r="H537">
            <v>0</v>
          </cell>
        </row>
        <row r="538">
          <cell r="A538">
            <v>45581</v>
          </cell>
          <cell r="B538">
            <v>0</v>
          </cell>
          <cell r="C538">
            <v>0</v>
          </cell>
          <cell r="E538">
            <v>0</v>
          </cell>
          <cell r="F538">
            <v>0</v>
          </cell>
          <cell r="H538">
            <v>0</v>
          </cell>
        </row>
        <row r="539">
          <cell r="A539">
            <v>45582</v>
          </cell>
          <cell r="B539">
            <v>0</v>
          </cell>
          <cell r="C539">
            <v>0</v>
          </cell>
          <cell r="E539">
            <v>0</v>
          </cell>
          <cell r="F539">
            <v>0</v>
          </cell>
          <cell r="H539">
            <v>0</v>
          </cell>
        </row>
        <row r="540">
          <cell r="A540">
            <v>45583</v>
          </cell>
          <cell r="B540">
            <v>0</v>
          </cell>
          <cell r="C540">
            <v>-35777.30814053482</v>
          </cell>
          <cell r="E540">
            <v>0</v>
          </cell>
          <cell r="F540">
            <v>-42000</v>
          </cell>
          <cell r="H540">
            <v>0</v>
          </cell>
        </row>
        <row r="541">
          <cell r="A541">
            <v>45586</v>
          </cell>
          <cell r="B541">
            <v>0</v>
          </cell>
          <cell r="C541">
            <v>0</v>
          </cell>
          <cell r="E541">
            <v>0</v>
          </cell>
          <cell r="F541">
            <v>0</v>
          </cell>
          <cell r="H541">
            <v>0</v>
          </cell>
        </row>
        <row r="542">
          <cell r="A542">
            <v>45587</v>
          </cell>
          <cell r="B542">
            <v>0</v>
          </cell>
          <cell r="C542">
            <v>0</v>
          </cell>
          <cell r="E542">
            <v>0</v>
          </cell>
          <cell r="F542">
            <v>0</v>
          </cell>
          <cell r="H542">
            <v>0</v>
          </cell>
        </row>
        <row r="543">
          <cell r="A543">
            <v>45588</v>
          </cell>
          <cell r="B543">
            <v>0</v>
          </cell>
          <cell r="C543">
            <v>0</v>
          </cell>
          <cell r="E543">
            <v>0</v>
          </cell>
          <cell r="F543">
            <v>0</v>
          </cell>
          <cell r="H543">
            <v>0</v>
          </cell>
        </row>
        <row r="544">
          <cell r="A544">
            <v>45589</v>
          </cell>
          <cell r="B544">
            <v>0</v>
          </cell>
          <cell r="C544">
            <v>0</v>
          </cell>
          <cell r="E544">
            <v>0</v>
          </cell>
          <cell r="F544">
            <v>0</v>
          </cell>
          <cell r="H544">
            <v>0</v>
          </cell>
        </row>
        <row r="545">
          <cell r="A545">
            <v>45590</v>
          </cell>
          <cell r="B545">
            <v>0</v>
          </cell>
          <cell r="C545">
            <v>0</v>
          </cell>
          <cell r="E545">
            <v>0</v>
          </cell>
          <cell r="F545">
            <v>0</v>
          </cell>
          <cell r="H545">
            <v>0</v>
          </cell>
        </row>
        <row r="546">
          <cell r="A546">
            <v>45593</v>
          </cell>
          <cell r="B546">
            <v>0</v>
          </cell>
          <cell r="C546">
            <v>0</v>
          </cell>
          <cell r="E546">
            <v>0</v>
          </cell>
          <cell r="F546">
            <v>0</v>
          </cell>
          <cell r="H546">
            <v>0</v>
          </cell>
        </row>
        <row r="547">
          <cell r="A547">
            <v>45594</v>
          </cell>
          <cell r="B547">
            <v>0</v>
          </cell>
          <cell r="C547">
            <v>0</v>
          </cell>
          <cell r="E547">
            <v>0</v>
          </cell>
          <cell r="F547">
            <v>0</v>
          </cell>
          <cell r="H547">
            <v>0</v>
          </cell>
        </row>
        <row r="548">
          <cell r="A548">
            <v>45595</v>
          </cell>
          <cell r="B548">
            <v>0</v>
          </cell>
          <cell r="C548">
            <v>0</v>
          </cell>
          <cell r="E548">
            <v>0</v>
          </cell>
          <cell r="F548">
            <v>0</v>
          </cell>
          <cell r="H548">
            <v>0</v>
          </cell>
        </row>
        <row r="549">
          <cell r="A549">
            <v>45596</v>
          </cell>
          <cell r="B549">
            <v>0</v>
          </cell>
          <cell r="C549">
            <v>0</v>
          </cell>
          <cell r="E549">
            <v>0</v>
          </cell>
          <cell r="F549">
            <v>0</v>
          </cell>
          <cell r="H549">
            <v>0</v>
          </cell>
        </row>
        <row r="550">
          <cell r="A550">
            <v>45597</v>
          </cell>
          <cell r="B550">
            <v>0</v>
          </cell>
          <cell r="C550">
            <v>0</v>
          </cell>
          <cell r="E550">
            <v>0</v>
          </cell>
          <cell r="F550">
            <v>0</v>
          </cell>
          <cell r="H550">
            <v>0</v>
          </cell>
        </row>
        <row r="551">
          <cell r="A551">
            <v>45600</v>
          </cell>
          <cell r="B551">
            <v>0</v>
          </cell>
          <cell r="C551">
            <v>0</v>
          </cell>
          <cell r="E551">
            <v>0</v>
          </cell>
          <cell r="F551">
            <v>0</v>
          </cell>
          <cell r="H551">
            <v>0</v>
          </cell>
        </row>
        <row r="552">
          <cell r="A552">
            <v>45601</v>
          </cell>
          <cell r="B552">
            <v>0</v>
          </cell>
          <cell r="C552">
            <v>0</v>
          </cell>
          <cell r="E552">
            <v>0</v>
          </cell>
          <cell r="F552">
            <v>-41000</v>
          </cell>
          <cell r="H552">
            <v>0</v>
          </cell>
        </row>
        <row r="553">
          <cell r="A553">
            <v>45602</v>
          </cell>
          <cell r="B553">
            <v>0</v>
          </cell>
          <cell r="C553">
            <v>0</v>
          </cell>
          <cell r="E553">
            <v>0</v>
          </cell>
          <cell r="F553">
            <v>0</v>
          </cell>
          <cell r="H553">
            <v>0</v>
          </cell>
        </row>
        <row r="554">
          <cell r="A554">
            <v>45603</v>
          </cell>
          <cell r="B554">
            <v>0</v>
          </cell>
          <cell r="C554">
            <v>0</v>
          </cell>
          <cell r="E554">
            <v>0</v>
          </cell>
          <cell r="F554">
            <v>0</v>
          </cell>
          <cell r="H554">
            <v>0</v>
          </cell>
        </row>
        <row r="555">
          <cell r="A555">
            <v>45604</v>
          </cell>
          <cell r="B555">
            <v>0</v>
          </cell>
          <cell r="C555">
            <v>0</v>
          </cell>
          <cell r="E555">
            <v>0</v>
          </cell>
          <cell r="F555">
            <v>0</v>
          </cell>
          <cell r="H555">
            <v>0</v>
          </cell>
        </row>
        <row r="556">
          <cell r="A556">
            <v>45607</v>
          </cell>
          <cell r="B556">
            <v>0</v>
          </cell>
          <cell r="C556">
            <v>0</v>
          </cell>
          <cell r="E556">
            <v>0</v>
          </cell>
          <cell r="F556">
            <v>0</v>
          </cell>
          <cell r="H556">
            <v>0</v>
          </cell>
        </row>
        <row r="557">
          <cell r="A557">
            <v>45608</v>
          </cell>
          <cell r="B557">
            <v>0</v>
          </cell>
          <cell r="C557">
            <v>0</v>
          </cell>
          <cell r="E557">
            <v>0</v>
          </cell>
          <cell r="F557">
            <v>0</v>
          </cell>
          <cell r="H557">
            <v>0</v>
          </cell>
        </row>
        <row r="558">
          <cell r="A558">
            <v>45609</v>
          </cell>
          <cell r="B558">
            <v>0</v>
          </cell>
          <cell r="C558">
            <v>0</v>
          </cell>
          <cell r="E558">
            <v>0</v>
          </cell>
          <cell r="F558">
            <v>0</v>
          </cell>
          <cell r="H558">
            <v>0</v>
          </cell>
        </row>
        <row r="559">
          <cell r="A559">
            <v>45610</v>
          </cell>
          <cell r="B559">
            <v>0</v>
          </cell>
          <cell r="C559">
            <v>0</v>
          </cell>
          <cell r="E559">
            <v>0</v>
          </cell>
          <cell r="F559">
            <v>0</v>
          </cell>
          <cell r="H559">
            <v>0</v>
          </cell>
        </row>
        <row r="560">
          <cell r="A560">
            <v>45611</v>
          </cell>
          <cell r="B560">
            <v>0</v>
          </cell>
          <cell r="C560">
            <v>0</v>
          </cell>
          <cell r="E560">
            <v>0</v>
          </cell>
          <cell r="F560">
            <v>0</v>
          </cell>
          <cell r="H560">
            <v>0</v>
          </cell>
        </row>
        <row r="561">
          <cell r="A561">
            <v>45614</v>
          </cell>
          <cell r="B561">
            <v>0</v>
          </cell>
          <cell r="C561">
            <v>0</v>
          </cell>
          <cell r="E561">
            <v>0</v>
          </cell>
          <cell r="F561">
            <v>0</v>
          </cell>
          <cell r="H561">
            <v>0</v>
          </cell>
        </row>
        <row r="562">
          <cell r="A562">
            <v>45615</v>
          </cell>
          <cell r="B562">
            <v>0</v>
          </cell>
          <cell r="C562">
            <v>0</v>
          </cell>
          <cell r="E562">
            <v>0</v>
          </cell>
          <cell r="F562">
            <v>0</v>
          </cell>
          <cell r="H562">
            <v>0</v>
          </cell>
        </row>
        <row r="563">
          <cell r="A563">
            <v>45616</v>
          </cell>
          <cell r="B563">
            <v>0</v>
          </cell>
          <cell r="C563">
            <v>0</v>
          </cell>
          <cell r="E563">
            <v>0</v>
          </cell>
          <cell r="F563">
            <v>0</v>
          </cell>
          <cell r="H563">
            <v>0</v>
          </cell>
        </row>
        <row r="564">
          <cell r="A564">
            <v>45617</v>
          </cell>
          <cell r="B564">
            <v>0</v>
          </cell>
          <cell r="C564">
            <v>0</v>
          </cell>
          <cell r="E564">
            <v>0</v>
          </cell>
          <cell r="F564">
            <v>0</v>
          </cell>
          <cell r="H564">
            <v>0</v>
          </cell>
        </row>
        <row r="565">
          <cell r="A565">
            <v>45618</v>
          </cell>
          <cell r="B565">
            <v>0</v>
          </cell>
          <cell r="C565">
            <v>0</v>
          </cell>
          <cell r="E565">
            <v>0</v>
          </cell>
          <cell r="F565">
            <v>0</v>
          </cell>
          <cell r="H565">
            <v>0</v>
          </cell>
        </row>
        <row r="566">
          <cell r="A566">
            <v>45621</v>
          </cell>
          <cell r="B566">
            <v>0</v>
          </cell>
          <cell r="C566">
            <v>0</v>
          </cell>
          <cell r="E566">
            <v>0</v>
          </cell>
          <cell r="F566">
            <v>0</v>
          </cell>
          <cell r="H566">
            <v>0</v>
          </cell>
        </row>
        <row r="567">
          <cell r="A567">
            <v>45622</v>
          </cell>
          <cell r="B567">
            <v>0</v>
          </cell>
          <cell r="C567">
            <v>0</v>
          </cell>
          <cell r="E567">
            <v>0</v>
          </cell>
          <cell r="F567">
            <v>0</v>
          </cell>
          <cell r="H567">
            <v>0</v>
          </cell>
        </row>
        <row r="568">
          <cell r="A568">
            <v>45623</v>
          </cell>
          <cell r="B568">
            <v>0</v>
          </cell>
          <cell r="C568">
            <v>0</v>
          </cell>
          <cell r="E568">
            <v>0</v>
          </cell>
          <cell r="F568">
            <v>0</v>
          </cell>
          <cell r="H568">
            <v>0</v>
          </cell>
        </row>
        <row r="569">
          <cell r="A569">
            <v>45624</v>
          </cell>
          <cell r="B569">
            <v>0</v>
          </cell>
          <cell r="C569">
            <v>0</v>
          </cell>
          <cell r="E569">
            <v>0</v>
          </cell>
          <cell r="F569">
            <v>0</v>
          </cell>
          <cell r="H569">
            <v>0</v>
          </cell>
        </row>
        <row r="570">
          <cell r="A570">
            <v>45625</v>
          </cell>
          <cell r="B570">
            <v>0</v>
          </cell>
          <cell r="C570">
            <v>0</v>
          </cell>
          <cell r="E570">
            <v>0</v>
          </cell>
          <cell r="F570">
            <v>0</v>
          </cell>
          <cell r="H570">
            <v>0</v>
          </cell>
        </row>
        <row r="571">
          <cell r="A571">
            <v>45628</v>
          </cell>
          <cell r="B571">
            <v>0</v>
          </cell>
          <cell r="C571">
            <v>0</v>
          </cell>
          <cell r="E571">
            <v>0</v>
          </cell>
          <cell r="F571">
            <v>0</v>
          </cell>
          <cell r="H571">
            <v>0</v>
          </cell>
        </row>
        <row r="572">
          <cell r="A572">
            <v>45629</v>
          </cell>
          <cell r="B572">
            <v>0</v>
          </cell>
          <cell r="C572">
            <v>0</v>
          </cell>
          <cell r="E572">
            <v>0</v>
          </cell>
          <cell r="F572">
            <v>0</v>
          </cell>
          <cell r="H572">
            <v>0</v>
          </cell>
        </row>
        <row r="573">
          <cell r="A573">
            <v>45630</v>
          </cell>
          <cell r="B573">
            <v>0</v>
          </cell>
          <cell r="C573">
            <v>0</v>
          </cell>
          <cell r="E573">
            <v>0</v>
          </cell>
          <cell r="F573">
            <v>-33200</v>
          </cell>
          <cell r="H573">
            <v>0</v>
          </cell>
        </row>
        <row r="574">
          <cell r="A574">
            <v>45631</v>
          </cell>
          <cell r="B574">
            <v>0</v>
          </cell>
          <cell r="C574">
            <v>0</v>
          </cell>
          <cell r="E574">
            <v>0</v>
          </cell>
          <cell r="F574">
            <v>0</v>
          </cell>
          <cell r="H574">
            <v>0</v>
          </cell>
        </row>
        <row r="575">
          <cell r="A575">
            <v>45632</v>
          </cell>
          <cell r="B575">
            <v>0</v>
          </cell>
          <cell r="C575">
            <v>0</v>
          </cell>
          <cell r="E575">
            <v>0</v>
          </cell>
          <cell r="F575">
            <v>0</v>
          </cell>
          <cell r="H575">
            <v>0</v>
          </cell>
        </row>
        <row r="576">
          <cell r="A576">
            <v>45635</v>
          </cell>
          <cell r="B576">
            <v>0</v>
          </cell>
          <cell r="C576">
            <v>0</v>
          </cell>
          <cell r="E576">
            <v>0</v>
          </cell>
          <cell r="F576">
            <v>0</v>
          </cell>
          <cell r="H576">
            <v>0</v>
          </cell>
        </row>
        <row r="577">
          <cell r="A577">
            <v>45636</v>
          </cell>
          <cell r="B577">
            <v>0</v>
          </cell>
          <cell r="C577">
            <v>0</v>
          </cell>
          <cell r="E577">
            <v>0</v>
          </cell>
          <cell r="F577">
            <v>0</v>
          </cell>
          <cell r="H577">
            <v>0</v>
          </cell>
        </row>
        <row r="578">
          <cell r="A578">
            <v>45637</v>
          </cell>
          <cell r="B578">
            <v>0</v>
          </cell>
          <cell r="C578">
            <v>0</v>
          </cell>
          <cell r="E578">
            <v>0</v>
          </cell>
          <cell r="F578">
            <v>0</v>
          </cell>
          <cell r="H578">
            <v>0</v>
          </cell>
        </row>
        <row r="579">
          <cell r="A579">
            <v>45638</v>
          </cell>
          <cell r="B579">
            <v>0</v>
          </cell>
          <cell r="C579">
            <v>0</v>
          </cell>
          <cell r="E579">
            <v>0</v>
          </cell>
          <cell r="F579">
            <v>0</v>
          </cell>
          <cell r="H579">
            <v>0</v>
          </cell>
        </row>
        <row r="580">
          <cell r="A580">
            <v>45639</v>
          </cell>
          <cell r="B580">
            <v>0</v>
          </cell>
          <cell r="C580">
            <v>0</v>
          </cell>
          <cell r="E580">
            <v>0</v>
          </cell>
          <cell r="F580">
            <v>0</v>
          </cell>
          <cell r="H580">
            <v>0</v>
          </cell>
        </row>
        <row r="581">
          <cell r="A581">
            <v>45642</v>
          </cell>
          <cell r="B581">
            <v>0</v>
          </cell>
          <cell r="C581">
            <v>0</v>
          </cell>
          <cell r="E581">
            <v>0</v>
          </cell>
          <cell r="F581">
            <v>0</v>
          </cell>
          <cell r="H581">
            <v>0</v>
          </cell>
        </row>
        <row r="582">
          <cell r="A582">
            <v>45643</v>
          </cell>
          <cell r="B582">
            <v>0</v>
          </cell>
          <cell r="C582">
            <v>0</v>
          </cell>
          <cell r="E582">
            <v>0</v>
          </cell>
          <cell r="F582">
            <v>0</v>
          </cell>
          <cell r="H582">
            <v>0</v>
          </cell>
        </row>
        <row r="583">
          <cell r="A583">
            <v>45644</v>
          </cell>
          <cell r="B583">
            <v>0</v>
          </cell>
          <cell r="C583">
            <v>0</v>
          </cell>
          <cell r="E583">
            <v>0</v>
          </cell>
          <cell r="F583">
            <v>0</v>
          </cell>
          <cell r="H583">
            <v>0</v>
          </cell>
        </row>
        <row r="584">
          <cell r="A584">
            <v>45645</v>
          </cell>
          <cell r="B584">
            <v>0</v>
          </cell>
          <cell r="C584">
            <v>0</v>
          </cell>
          <cell r="E584">
            <v>0</v>
          </cell>
          <cell r="F584">
            <v>0</v>
          </cell>
          <cell r="H584">
            <v>0</v>
          </cell>
        </row>
        <row r="585">
          <cell r="A585">
            <v>45646</v>
          </cell>
          <cell r="B585">
            <v>0</v>
          </cell>
          <cell r="C585">
            <v>0</v>
          </cell>
          <cell r="E585">
            <v>0</v>
          </cell>
          <cell r="F585">
            <v>0</v>
          </cell>
          <cell r="H585">
            <v>0</v>
          </cell>
        </row>
        <row r="586">
          <cell r="A586">
            <v>45649</v>
          </cell>
          <cell r="B586">
            <v>0</v>
          </cell>
          <cell r="C586">
            <v>0</v>
          </cell>
          <cell r="E586">
            <v>0</v>
          </cell>
          <cell r="F586">
            <v>0</v>
          </cell>
          <cell r="H586">
            <v>0</v>
          </cell>
        </row>
        <row r="587">
          <cell r="A587">
            <v>45650</v>
          </cell>
          <cell r="B587">
            <v>0</v>
          </cell>
          <cell r="C587">
            <v>0</v>
          </cell>
          <cell r="E587">
            <v>0</v>
          </cell>
          <cell r="F587">
            <v>0</v>
          </cell>
          <cell r="H587">
            <v>0</v>
          </cell>
        </row>
        <row r="588">
          <cell r="A588">
            <v>45651</v>
          </cell>
          <cell r="B588">
            <v>0</v>
          </cell>
          <cell r="C588">
            <v>0</v>
          </cell>
          <cell r="E588">
            <v>0</v>
          </cell>
          <cell r="F588">
            <v>0</v>
          </cell>
          <cell r="H588">
            <v>0</v>
          </cell>
        </row>
        <row r="589">
          <cell r="A589">
            <v>45652</v>
          </cell>
          <cell r="B589">
            <v>0</v>
          </cell>
          <cell r="C589">
            <v>0</v>
          </cell>
          <cell r="E589">
            <v>0</v>
          </cell>
          <cell r="F589">
            <v>0</v>
          </cell>
          <cell r="H589">
            <v>0</v>
          </cell>
        </row>
        <row r="590">
          <cell r="A590">
            <v>45653</v>
          </cell>
          <cell r="B590">
            <v>0</v>
          </cell>
          <cell r="C590">
            <v>0</v>
          </cell>
          <cell r="E590">
            <v>0</v>
          </cell>
          <cell r="F590">
            <v>0</v>
          </cell>
          <cell r="H590">
            <v>0</v>
          </cell>
        </row>
        <row r="591">
          <cell r="A591">
            <v>45656</v>
          </cell>
          <cell r="B591">
            <v>0</v>
          </cell>
          <cell r="C591">
            <v>0</v>
          </cell>
          <cell r="E591">
            <v>0</v>
          </cell>
          <cell r="F591">
            <v>0</v>
          </cell>
          <cell r="H591">
            <v>0</v>
          </cell>
        </row>
        <row r="592">
          <cell r="A592">
            <v>45657</v>
          </cell>
          <cell r="B592">
            <v>0</v>
          </cell>
          <cell r="C592">
            <v>0</v>
          </cell>
          <cell r="E592">
            <v>0</v>
          </cell>
          <cell r="F592">
            <v>0</v>
          </cell>
          <cell r="H592">
            <v>0</v>
          </cell>
        </row>
        <row r="593">
          <cell r="A593">
            <v>45658</v>
          </cell>
          <cell r="B593">
            <v>0</v>
          </cell>
          <cell r="C593">
            <v>0</v>
          </cell>
          <cell r="E593">
            <v>0</v>
          </cell>
          <cell r="F593">
            <v>0</v>
          </cell>
          <cell r="H593">
            <v>0</v>
          </cell>
        </row>
        <row r="594">
          <cell r="A594">
            <v>45659</v>
          </cell>
          <cell r="B594">
            <v>0</v>
          </cell>
          <cell r="C594">
            <v>0</v>
          </cell>
          <cell r="E594">
            <v>0</v>
          </cell>
          <cell r="F594">
            <v>0</v>
          </cell>
          <cell r="H594">
            <v>0</v>
          </cell>
        </row>
        <row r="595">
          <cell r="A595">
            <v>45660</v>
          </cell>
          <cell r="B595">
            <v>0</v>
          </cell>
          <cell r="C595">
            <v>0</v>
          </cell>
          <cell r="E595">
            <v>0</v>
          </cell>
          <cell r="F595">
            <v>0</v>
          </cell>
          <cell r="H595">
            <v>0</v>
          </cell>
        </row>
        <row r="596">
          <cell r="A596">
            <v>45663</v>
          </cell>
          <cell r="B596">
            <v>0</v>
          </cell>
          <cell r="C596">
            <v>-452758.60197269602</v>
          </cell>
          <cell r="E596">
            <v>0</v>
          </cell>
          <cell r="F596">
            <v>0</v>
          </cell>
          <cell r="H596">
            <v>0</v>
          </cell>
        </row>
        <row r="597">
          <cell r="A597">
            <v>45664</v>
          </cell>
          <cell r="B597">
            <v>0</v>
          </cell>
          <cell r="C597">
            <v>0</v>
          </cell>
          <cell r="E597">
            <v>0</v>
          </cell>
          <cell r="F597">
            <v>0</v>
          </cell>
          <cell r="H597">
            <v>0</v>
          </cell>
        </row>
        <row r="598">
          <cell r="A598">
            <v>45665</v>
          </cell>
          <cell r="B598">
            <v>0</v>
          </cell>
          <cell r="C598">
            <v>0</v>
          </cell>
          <cell r="E598">
            <v>0</v>
          </cell>
          <cell r="F598">
            <v>0</v>
          </cell>
          <cell r="H598">
            <v>0</v>
          </cell>
        </row>
        <row r="599">
          <cell r="A599">
            <v>45666</v>
          </cell>
          <cell r="B599">
            <v>0</v>
          </cell>
          <cell r="C599">
            <v>0</v>
          </cell>
          <cell r="E599">
            <v>0</v>
          </cell>
          <cell r="F599">
            <v>0</v>
          </cell>
          <cell r="H599">
            <v>0</v>
          </cell>
        </row>
        <row r="600">
          <cell r="A600">
            <v>45667</v>
          </cell>
          <cell r="B600">
            <v>0</v>
          </cell>
          <cell r="C600">
            <v>0</v>
          </cell>
          <cell r="E600">
            <v>0</v>
          </cell>
          <cell r="F600">
            <v>0</v>
          </cell>
          <cell r="H600">
            <v>0</v>
          </cell>
        </row>
        <row r="601">
          <cell r="A601">
            <v>45670</v>
          </cell>
          <cell r="B601">
            <v>0</v>
          </cell>
          <cell r="C601">
            <v>0</v>
          </cell>
          <cell r="E601">
            <v>0</v>
          </cell>
          <cell r="F601">
            <v>0</v>
          </cell>
          <cell r="H601">
            <v>0</v>
          </cell>
        </row>
        <row r="602">
          <cell r="A602">
            <v>45671</v>
          </cell>
          <cell r="B602">
            <v>0</v>
          </cell>
          <cell r="C602">
            <v>0</v>
          </cell>
          <cell r="E602">
            <v>0</v>
          </cell>
          <cell r="F602">
            <v>0</v>
          </cell>
          <cell r="H602">
            <v>0</v>
          </cell>
        </row>
        <row r="603">
          <cell r="A603">
            <v>45672</v>
          </cell>
          <cell r="B603">
            <v>0</v>
          </cell>
          <cell r="C603">
            <v>0</v>
          </cell>
          <cell r="E603">
            <v>0</v>
          </cell>
          <cell r="F603">
            <v>0</v>
          </cell>
          <cell r="H603">
            <v>0</v>
          </cell>
        </row>
        <row r="604">
          <cell r="A604">
            <v>45673</v>
          </cell>
          <cell r="B604">
            <v>0</v>
          </cell>
          <cell r="C604">
            <v>0</v>
          </cell>
          <cell r="E604">
            <v>0</v>
          </cell>
          <cell r="F604">
            <v>0</v>
          </cell>
          <cell r="H604">
            <v>0</v>
          </cell>
        </row>
        <row r="605">
          <cell r="A605">
            <v>45674</v>
          </cell>
          <cell r="B605">
            <v>0</v>
          </cell>
          <cell r="C605">
            <v>0</v>
          </cell>
          <cell r="E605">
            <v>0</v>
          </cell>
          <cell r="F605">
            <v>0</v>
          </cell>
          <cell r="H605">
            <v>0</v>
          </cell>
        </row>
        <row r="606">
          <cell r="A606">
            <v>45677</v>
          </cell>
          <cell r="B606">
            <v>0</v>
          </cell>
          <cell r="C606">
            <v>-50000</v>
          </cell>
          <cell r="E606">
            <v>0</v>
          </cell>
          <cell r="F606">
            <v>0</v>
          </cell>
          <cell r="H606">
            <v>0</v>
          </cell>
        </row>
        <row r="607">
          <cell r="A607">
            <v>45678</v>
          </cell>
          <cell r="B607">
            <v>0</v>
          </cell>
          <cell r="C607">
            <v>0</v>
          </cell>
          <cell r="E607">
            <v>0</v>
          </cell>
          <cell r="F607">
            <v>0</v>
          </cell>
          <cell r="H607">
            <v>0</v>
          </cell>
        </row>
        <row r="608">
          <cell r="A608">
            <v>45679</v>
          </cell>
          <cell r="B608">
            <v>0</v>
          </cell>
          <cell r="C608">
            <v>0</v>
          </cell>
          <cell r="E608">
            <v>0</v>
          </cell>
          <cell r="F608">
            <v>0</v>
          </cell>
          <cell r="H608">
            <v>0</v>
          </cell>
        </row>
        <row r="609">
          <cell r="A609">
            <v>45680</v>
          </cell>
          <cell r="B609">
            <v>0</v>
          </cell>
          <cell r="C609">
            <v>0</v>
          </cell>
          <cell r="E609">
            <v>0</v>
          </cell>
          <cell r="F609">
            <v>0</v>
          </cell>
          <cell r="H609">
            <v>0</v>
          </cell>
        </row>
        <row r="610">
          <cell r="A610">
            <v>45681</v>
          </cell>
          <cell r="B610">
            <v>0</v>
          </cell>
          <cell r="C610">
            <v>0</v>
          </cell>
          <cell r="E610">
            <v>0</v>
          </cell>
          <cell r="F610">
            <v>0</v>
          </cell>
          <cell r="H610">
            <v>0</v>
          </cell>
        </row>
        <row r="611">
          <cell r="A611">
            <v>45684</v>
          </cell>
          <cell r="B611">
            <v>0</v>
          </cell>
          <cell r="C611">
            <v>0</v>
          </cell>
          <cell r="E611">
            <v>0</v>
          </cell>
          <cell r="F611">
            <v>0</v>
          </cell>
          <cell r="H611">
            <v>0</v>
          </cell>
        </row>
        <row r="612">
          <cell r="A612">
            <v>45685</v>
          </cell>
          <cell r="B612">
            <v>0</v>
          </cell>
          <cell r="C612">
            <v>0</v>
          </cell>
          <cell r="E612">
            <v>0</v>
          </cell>
          <cell r="F612">
            <v>0</v>
          </cell>
          <cell r="H612">
            <v>0</v>
          </cell>
        </row>
        <row r="613">
          <cell r="A613">
            <v>45686</v>
          </cell>
          <cell r="B613">
            <v>0</v>
          </cell>
          <cell r="C613">
            <v>0</v>
          </cell>
          <cell r="E613">
            <v>0</v>
          </cell>
          <cell r="F613">
            <v>0</v>
          </cell>
          <cell r="H613">
            <v>0</v>
          </cell>
        </row>
        <row r="614">
          <cell r="A614">
            <v>45687</v>
          </cell>
          <cell r="B614">
            <v>0</v>
          </cell>
          <cell r="C614">
            <v>0</v>
          </cell>
          <cell r="E614">
            <v>0</v>
          </cell>
          <cell r="F614">
            <v>0</v>
          </cell>
          <cell r="H614">
            <v>0</v>
          </cell>
        </row>
        <row r="615">
          <cell r="A615">
            <v>45688</v>
          </cell>
          <cell r="B615">
            <v>0</v>
          </cell>
          <cell r="C615">
            <v>0</v>
          </cell>
          <cell r="E615">
            <v>0</v>
          </cell>
          <cell r="F615">
            <v>0</v>
          </cell>
          <cell r="H615">
            <v>0</v>
          </cell>
        </row>
        <row r="616">
          <cell r="A616">
            <v>45691</v>
          </cell>
          <cell r="B616">
            <v>0</v>
          </cell>
          <cell r="C616">
            <v>0</v>
          </cell>
          <cell r="E616">
            <v>0</v>
          </cell>
          <cell r="F616">
            <v>0</v>
          </cell>
          <cell r="H616">
            <v>0</v>
          </cell>
        </row>
        <row r="617">
          <cell r="A617">
            <v>45692</v>
          </cell>
          <cell r="B617">
            <v>0</v>
          </cell>
          <cell r="C617">
            <v>0</v>
          </cell>
          <cell r="E617">
            <v>0</v>
          </cell>
          <cell r="F617">
            <v>0</v>
          </cell>
          <cell r="H617">
            <v>0</v>
          </cell>
        </row>
        <row r="618">
          <cell r="A618">
            <v>45693</v>
          </cell>
          <cell r="B618">
            <v>0</v>
          </cell>
          <cell r="C618">
            <v>0</v>
          </cell>
          <cell r="E618">
            <v>0</v>
          </cell>
          <cell r="F618">
            <v>0</v>
          </cell>
          <cell r="H618">
            <v>0</v>
          </cell>
        </row>
        <row r="619">
          <cell r="A619">
            <v>45694</v>
          </cell>
          <cell r="B619">
            <v>0</v>
          </cell>
          <cell r="C619">
            <v>0</v>
          </cell>
          <cell r="E619">
            <v>0</v>
          </cell>
          <cell r="F619">
            <v>0</v>
          </cell>
          <cell r="H619">
            <v>0</v>
          </cell>
        </row>
        <row r="620">
          <cell r="A620">
            <v>45695</v>
          </cell>
          <cell r="B620">
            <v>0</v>
          </cell>
          <cell r="C620">
            <v>0</v>
          </cell>
          <cell r="E620">
            <v>0</v>
          </cell>
          <cell r="F620">
            <v>0</v>
          </cell>
          <cell r="H620">
            <v>0</v>
          </cell>
        </row>
        <row r="621">
          <cell r="A621">
            <v>45698</v>
          </cell>
          <cell r="B621">
            <v>0</v>
          </cell>
          <cell r="C621">
            <v>0</v>
          </cell>
          <cell r="E621">
            <v>0</v>
          </cell>
          <cell r="F621">
            <v>0</v>
          </cell>
          <cell r="H621">
            <v>0</v>
          </cell>
        </row>
        <row r="622">
          <cell r="A622">
            <v>45699</v>
          </cell>
          <cell r="B622">
            <v>0</v>
          </cell>
          <cell r="C622">
            <v>0</v>
          </cell>
          <cell r="E622">
            <v>0</v>
          </cell>
          <cell r="F622">
            <v>0</v>
          </cell>
          <cell r="H622">
            <v>0</v>
          </cell>
        </row>
        <row r="623">
          <cell r="A623">
            <v>45700</v>
          </cell>
          <cell r="B623">
            <v>0</v>
          </cell>
          <cell r="C623">
            <v>0</v>
          </cell>
          <cell r="E623">
            <v>0</v>
          </cell>
          <cell r="F623">
            <v>0</v>
          </cell>
          <cell r="H623">
            <v>0</v>
          </cell>
        </row>
        <row r="624">
          <cell r="A624">
            <v>45701</v>
          </cell>
          <cell r="B624">
            <v>0</v>
          </cell>
          <cell r="C624">
            <v>0</v>
          </cell>
          <cell r="E624">
            <v>0</v>
          </cell>
          <cell r="F624">
            <v>0</v>
          </cell>
          <cell r="H624">
            <v>0</v>
          </cell>
        </row>
        <row r="625">
          <cell r="A625">
            <v>45702</v>
          </cell>
          <cell r="B625">
            <v>0</v>
          </cell>
          <cell r="C625">
            <v>0</v>
          </cell>
          <cell r="E625">
            <v>0</v>
          </cell>
          <cell r="F625">
            <v>0</v>
          </cell>
          <cell r="H625">
            <v>0</v>
          </cell>
        </row>
        <row r="626">
          <cell r="A626">
            <v>45705</v>
          </cell>
          <cell r="B626">
            <v>0</v>
          </cell>
          <cell r="C626">
            <v>0</v>
          </cell>
          <cell r="E626">
            <v>0</v>
          </cell>
          <cell r="F626">
            <v>0</v>
          </cell>
          <cell r="H626">
            <v>0</v>
          </cell>
        </row>
        <row r="627">
          <cell r="A627">
            <v>45706</v>
          </cell>
          <cell r="B627">
            <v>0</v>
          </cell>
          <cell r="C627">
            <v>0</v>
          </cell>
          <cell r="E627">
            <v>0</v>
          </cell>
          <cell r="F627">
            <v>0</v>
          </cell>
          <cell r="H627">
            <v>0</v>
          </cell>
        </row>
        <row r="628">
          <cell r="A628">
            <v>45707</v>
          </cell>
          <cell r="B628">
            <v>0</v>
          </cell>
          <cell r="C628">
            <v>0</v>
          </cell>
          <cell r="E628">
            <v>0</v>
          </cell>
          <cell r="F628">
            <v>0</v>
          </cell>
          <cell r="H628">
            <v>0</v>
          </cell>
        </row>
        <row r="629">
          <cell r="A629">
            <v>45708</v>
          </cell>
          <cell r="B629">
            <v>0</v>
          </cell>
          <cell r="C629">
            <v>0</v>
          </cell>
          <cell r="E629">
            <v>0</v>
          </cell>
          <cell r="F629">
            <v>0</v>
          </cell>
          <cell r="H629">
            <v>0</v>
          </cell>
        </row>
        <row r="630">
          <cell r="A630">
            <v>45709</v>
          </cell>
          <cell r="B630">
            <v>0</v>
          </cell>
          <cell r="C630">
            <v>0</v>
          </cell>
          <cell r="E630">
            <v>0</v>
          </cell>
          <cell r="F630">
            <v>0</v>
          </cell>
          <cell r="H630">
            <v>0</v>
          </cell>
        </row>
        <row r="631">
          <cell r="A631">
            <v>45712</v>
          </cell>
          <cell r="B631">
            <v>0</v>
          </cell>
          <cell r="C631">
            <v>0</v>
          </cell>
          <cell r="E631">
            <v>0</v>
          </cell>
          <cell r="F631">
            <v>0</v>
          </cell>
          <cell r="H631">
            <v>0</v>
          </cell>
        </row>
        <row r="632">
          <cell r="A632">
            <v>45713</v>
          </cell>
          <cell r="B632">
            <v>0</v>
          </cell>
          <cell r="C632">
            <v>0</v>
          </cell>
          <cell r="E632">
            <v>0</v>
          </cell>
          <cell r="F632">
            <v>0</v>
          </cell>
          <cell r="H632">
            <v>0</v>
          </cell>
        </row>
        <row r="633">
          <cell r="A633">
            <v>45714</v>
          </cell>
          <cell r="B633">
            <v>0</v>
          </cell>
          <cell r="C633">
            <v>0</v>
          </cell>
          <cell r="E633">
            <v>0</v>
          </cell>
          <cell r="F633">
            <v>0</v>
          </cell>
          <cell r="H633">
            <v>0</v>
          </cell>
        </row>
        <row r="634">
          <cell r="A634">
            <v>45715</v>
          </cell>
          <cell r="B634">
            <v>0</v>
          </cell>
          <cell r="C634">
            <v>0</v>
          </cell>
          <cell r="E634">
            <v>0</v>
          </cell>
          <cell r="F634">
            <v>0</v>
          </cell>
          <cell r="H634">
            <v>0</v>
          </cell>
        </row>
        <row r="635">
          <cell r="A635">
            <v>45716</v>
          </cell>
          <cell r="B635">
            <v>0</v>
          </cell>
          <cell r="C635">
            <v>0</v>
          </cell>
          <cell r="E635">
            <v>0</v>
          </cell>
          <cell r="F635">
            <v>0</v>
          </cell>
          <cell r="H635">
            <v>0</v>
          </cell>
        </row>
        <row r="636">
          <cell r="A636">
            <v>45719</v>
          </cell>
          <cell r="B636">
            <v>0</v>
          </cell>
          <cell r="C636">
            <v>0</v>
          </cell>
          <cell r="E636">
            <v>0</v>
          </cell>
          <cell r="F636">
            <v>0</v>
          </cell>
          <cell r="H636">
            <v>0</v>
          </cell>
        </row>
        <row r="637">
          <cell r="A637">
            <v>45720</v>
          </cell>
          <cell r="B637">
            <v>0</v>
          </cell>
          <cell r="C637">
            <v>0</v>
          </cell>
          <cell r="E637">
            <v>0</v>
          </cell>
          <cell r="F637">
            <v>0</v>
          </cell>
          <cell r="H637">
            <v>0</v>
          </cell>
        </row>
        <row r="638">
          <cell r="A638">
            <v>45721</v>
          </cell>
          <cell r="B638">
            <v>0</v>
          </cell>
          <cell r="C638">
            <v>0</v>
          </cell>
          <cell r="E638">
            <v>0</v>
          </cell>
          <cell r="F638">
            <v>0</v>
          </cell>
          <cell r="H638">
            <v>0</v>
          </cell>
        </row>
        <row r="639">
          <cell r="A639">
            <v>45722</v>
          </cell>
          <cell r="B639">
            <v>0</v>
          </cell>
          <cell r="C639">
            <v>0</v>
          </cell>
          <cell r="E639">
            <v>0</v>
          </cell>
          <cell r="F639">
            <v>0</v>
          </cell>
          <cell r="H639">
            <v>0</v>
          </cell>
        </row>
      </sheetData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riados"/>
      <sheetName val="BTG"/>
      <sheetName val="FIC"/>
      <sheetName val="HSF"/>
      <sheetName val="Master"/>
      <sheetName val="Fluxo de Movimentaçõ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5">
          <cell r="A5">
            <v>44833</v>
          </cell>
          <cell r="B5">
            <v>5841299.0199999996</v>
          </cell>
          <cell r="C5">
            <v>0</v>
          </cell>
          <cell r="E5">
            <v>8516299.0199999996</v>
          </cell>
          <cell r="F5">
            <v>0</v>
          </cell>
        </row>
        <row r="6">
          <cell r="A6">
            <v>44834</v>
          </cell>
          <cell r="B6">
            <v>0</v>
          </cell>
          <cell r="C6">
            <v>0</v>
          </cell>
          <cell r="E6">
            <v>0</v>
          </cell>
          <cell r="F6">
            <v>0</v>
          </cell>
        </row>
        <row r="7">
          <cell r="A7">
            <v>44837</v>
          </cell>
          <cell r="B7">
            <v>100000</v>
          </cell>
          <cell r="C7">
            <v>0</v>
          </cell>
          <cell r="E7">
            <v>200000</v>
          </cell>
          <cell r="F7">
            <v>0</v>
          </cell>
        </row>
        <row r="8">
          <cell r="A8">
            <v>44838</v>
          </cell>
          <cell r="B8">
            <v>0</v>
          </cell>
          <cell r="C8">
            <v>0</v>
          </cell>
          <cell r="E8">
            <v>2200000</v>
          </cell>
          <cell r="F8">
            <v>0</v>
          </cell>
        </row>
        <row r="9">
          <cell r="A9">
            <v>44839</v>
          </cell>
          <cell r="B9">
            <v>0</v>
          </cell>
          <cell r="C9">
            <v>0</v>
          </cell>
          <cell r="E9">
            <v>0</v>
          </cell>
          <cell r="F9">
            <v>0</v>
          </cell>
        </row>
        <row r="10">
          <cell r="A10">
            <v>44840</v>
          </cell>
          <cell r="B10">
            <v>0</v>
          </cell>
          <cell r="C10">
            <v>0</v>
          </cell>
          <cell r="E10">
            <v>0</v>
          </cell>
          <cell r="F10">
            <v>0</v>
          </cell>
        </row>
        <row r="11">
          <cell r="A11">
            <v>44841</v>
          </cell>
          <cell r="B11">
            <v>0</v>
          </cell>
          <cell r="C11">
            <v>0</v>
          </cell>
          <cell r="E11">
            <v>0</v>
          </cell>
          <cell r="F11">
            <v>0</v>
          </cell>
        </row>
        <row r="12">
          <cell r="A12">
            <v>44844</v>
          </cell>
          <cell r="B12">
            <v>100000</v>
          </cell>
          <cell r="C12">
            <v>0</v>
          </cell>
          <cell r="E12">
            <v>100000</v>
          </cell>
          <cell r="F12">
            <v>0</v>
          </cell>
        </row>
        <row r="13">
          <cell r="A13">
            <v>44845</v>
          </cell>
          <cell r="B13">
            <v>0</v>
          </cell>
          <cell r="C13">
            <v>0</v>
          </cell>
          <cell r="E13">
            <v>0</v>
          </cell>
          <cell r="F13">
            <v>0</v>
          </cell>
        </row>
        <row r="14">
          <cell r="A14">
            <v>44846</v>
          </cell>
          <cell r="B14">
            <v>0</v>
          </cell>
          <cell r="C14">
            <v>0</v>
          </cell>
          <cell r="E14">
            <v>0</v>
          </cell>
          <cell r="F14">
            <v>0</v>
          </cell>
        </row>
        <row r="15">
          <cell r="A15">
            <v>44847</v>
          </cell>
          <cell r="B15">
            <v>0</v>
          </cell>
          <cell r="C15">
            <v>0</v>
          </cell>
          <cell r="E15">
            <v>0</v>
          </cell>
          <cell r="F15">
            <v>0</v>
          </cell>
        </row>
        <row r="16">
          <cell r="A16">
            <v>44848</v>
          </cell>
          <cell r="B16">
            <v>0</v>
          </cell>
          <cell r="C16">
            <v>0</v>
          </cell>
          <cell r="E16">
            <v>0</v>
          </cell>
          <cell r="F16">
            <v>0</v>
          </cell>
        </row>
        <row r="17">
          <cell r="A17">
            <v>44851</v>
          </cell>
          <cell r="B17">
            <v>500000</v>
          </cell>
          <cell r="C17">
            <v>0</v>
          </cell>
          <cell r="E17">
            <v>500000</v>
          </cell>
          <cell r="F17">
            <v>0</v>
          </cell>
        </row>
        <row r="18">
          <cell r="A18">
            <v>44852</v>
          </cell>
          <cell r="B18">
            <v>0</v>
          </cell>
          <cell r="C18">
            <v>0</v>
          </cell>
          <cell r="E18">
            <v>0</v>
          </cell>
          <cell r="F18">
            <v>0</v>
          </cell>
        </row>
        <row r="19">
          <cell r="A19">
            <v>44853</v>
          </cell>
          <cell r="B19">
            <v>100000</v>
          </cell>
          <cell r="C19">
            <v>0</v>
          </cell>
          <cell r="E19">
            <v>100000</v>
          </cell>
          <cell r="F19">
            <v>0</v>
          </cell>
        </row>
        <row r="20">
          <cell r="A20">
            <v>44854</v>
          </cell>
          <cell r="B20">
            <v>0</v>
          </cell>
          <cell r="C20">
            <v>0</v>
          </cell>
          <cell r="E20">
            <v>0</v>
          </cell>
          <cell r="F20">
            <v>0</v>
          </cell>
        </row>
        <row r="21">
          <cell r="A21">
            <v>44855</v>
          </cell>
          <cell r="B21">
            <v>2100000</v>
          </cell>
          <cell r="C21">
            <v>0</v>
          </cell>
          <cell r="E21">
            <v>2100000</v>
          </cell>
          <cell r="F21">
            <v>0</v>
          </cell>
        </row>
        <row r="22">
          <cell r="A22">
            <v>44858</v>
          </cell>
          <cell r="B22">
            <v>0</v>
          </cell>
          <cell r="C22">
            <v>0</v>
          </cell>
          <cell r="E22">
            <v>0</v>
          </cell>
          <cell r="F22">
            <v>0</v>
          </cell>
        </row>
        <row r="23">
          <cell r="A23">
            <v>44859</v>
          </cell>
          <cell r="B23">
            <v>0</v>
          </cell>
          <cell r="C23">
            <v>0</v>
          </cell>
          <cell r="E23">
            <v>0</v>
          </cell>
          <cell r="F23">
            <v>0</v>
          </cell>
        </row>
        <row r="24">
          <cell r="A24">
            <v>44860</v>
          </cell>
          <cell r="B24">
            <v>0</v>
          </cell>
          <cell r="C24">
            <v>0</v>
          </cell>
          <cell r="E24">
            <v>0</v>
          </cell>
          <cell r="F24">
            <v>0</v>
          </cell>
        </row>
        <row r="25">
          <cell r="A25">
            <v>44861</v>
          </cell>
          <cell r="B25">
            <v>0</v>
          </cell>
          <cell r="C25">
            <v>0</v>
          </cell>
          <cell r="E25">
            <v>0</v>
          </cell>
          <cell r="F25">
            <v>0</v>
          </cell>
        </row>
        <row r="26">
          <cell r="A26">
            <v>44862</v>
          </cell>
          <cell r="B26">
            <v>0</v>
          </cell>
          <cell r="C26">
            <v>0</v>
          </cell>
          <cell r="E26">
            <v>0</v>
          </cell>
          <cell r="F26">
            <v>0</v>
          </cell>
        </row>
        <row r="27">
          <cell r="A27">
            <v>44865</v>
          </cell>
          <cell r="B27">
            <v>0</v>
          </cell>
          <cell r="C27">
            <v>0</v>
          </cell>
          <cell r="E27">
            <v>0</v>
          </cell>
          <cell r="F27">
            <v>0</v>
          </cell>
        </row>
        <row r="28">
          <cell r="A28">
            <v>44866</v>
          </cell>
          <cell r="B28">
            <v>0</v>
          </cell>
          <cell r="C28">
            <v>0</v>
          </cell>
          <cell r="E28">
            <v>0</v>
          </cell>
          <cell r="F28">
            <v>0</v>
          </cell>
        </row>
        <row r="29">
          <cell r="A29">
            <v>44868</v>
          </cell>
          <cell r="B29">
            <v>0</v>
          </cell>
          <cell r="C29">
            <v>0</v>
          </cell>
          <cell r="E29">
            <v>0</v>
          </cell>
          <cell r="F29">
            <v>-11000</v>
          </cell>
        </row>
        <row r="30">
          <cell r="A30">
            <v>44869</v>
          </cell>
          <cell r="B30">
            <v>0</v>
          </cell>
          <cell r="C30">
            <v>0</v>
          </cell>
          <cell r="E30">
            <v>0</v>
          </cell>
          <cell r="F30">
            <v>0</v>
          </cell>
        </row>
        <row r="31">
          <cell r="A31">
            <v>44872</v>
          </cell>
          <cell r="B31">
            <v>0</v>
          </cell>
          <cell r="C31">
            <v>0</v>
          </cell>
          <cell r="E31">
            <v>0</v>
          </cell>
          <cell r="F31">
            <v>0</v>
          </cell>
        </row>
        <row r="32">
          <cell r="A32">
            <v>44873</v>
          </cell>
          <cell r="B32">
            <v>0</v>
          </cell>
          <cell r="C32">
            <v>0</v>
          </cell>
          <cell r="E32">
            <v>0</v>
          </cell>
          <cell r="F32">
            <v>0</v>
          </cell>
        </row>
        <row r="33">
          <cell r="A33">
            <v>44874</v>
          </cell>
          <cell r="B33">
            <v>0</v>
          </cell>
          <cell r="C33">
            <v>0</v>
          </cell>
          <cell r="E33">
            <v>0</v>
          </cell>
          <cell r="F33">
            <v>0</v>
          </cell>
        </row>
        <row r="34">
          <cell r="A34">
            <v>44875</v>
          </cell>
          <cell r="B34">
            <v>0</v>
          </cell>
          <cell r="C34">
            <v>0</v>
          </cell>
          <cell r="E34">
            <v>0</v>
          </cell>
          <cell r="F34">
            <v>0</v>
          </cell>
        </row>
        <row r="35">
          <cell r="A35">
            <v>44876</v>
          </cell>
          <cell r="B35">
            <v>0</v>
          </cell>
          <cell r="C35">
            <v>0</v>
          </cell>
          <cell r="E35">
            <v>0</v>
          </cell>
          <cell r="F35">
            <v>0</v>
          </cell>
        </row>
        <row r="36">
          <cell r="A36">
            <v>44879</v>
          </cell>
          <cell r="B36">
            <v>0</v>
          </cell>
          <cell r="C36">
            <v>0</v>
          </cell>
          <cell r="E36">
            <v>0</v>
          </cell>
          <cell r="F36">
            <v>0</v>
          </cell>
        </row>
        <row r="37">
          <cell r="A37">
            <v>44881</v>
          </cell>
          <cell r="B37">
            <v>200000</v>
          </cell>
          <cell r="C37">
            <v>0</v>
          </cell>
          <cell r="E37">
            <v>100000</v>
          </cell>
          <cell r="F37">
            <v>0</v>
          </cell>
        </row>
        <row r="38">
          <cell r="A38">
            <v>44882</v>
          </cell>
          <cell r="B38">
            <v>1000000</v>
          </cell>
          <cell r="C38">
            <v>0</v>
          </cell>
          <cell r="E38">
            <v>1100000</v>
          </cell>
          <cell r="F38">
            <v>0</v>
          </cell>
        </row>
        <row r="39">
          <cell r="A39">
            <v>44883</v>
          </cell>
          <cell r="B39">
            <v>0</v>
          </cell>
          <cell r="C39">
            <v>0</v>
          </cell>
          <cell r="E39">
            <v>0</v>
          </cell>
          <cell r="F39">
            <v>0</v>
          </cell>
        </row>
        <row r="40">
          <cell r="A40">
            <v>44886</v>
          </cell>
          <cell r="B40">
            <v>0</v>
          </cell>
          <cell r="C40">
            <v>0</v>
          </cell>
          <cell r="E40">
            <v>0</v>
          </cell>
          <cell r="F40">
            <v>0</v>
          </cell>
        </row>
        <row r="41">
          <cell r="A41">
            <v>44887</v>
          </cell>
          <cell r="B41">
            <v>0</v>
          </cell>
          <cell r="C41">
            <v>0</v>
          </cell>
          <cell r="E41">
            <v>0</v>
          </cell>
          <cell r="F41">
            <v>0</v>
          </cell>
        </row>
        <row r="42">
          <cell r="A42">
            <v>44888</v>
          </cell>
          <cell r="B42">
            <v>0</v>
          </cell>
          <cell r="C42">
            <v>0</v>
          </cell>
          <cell r="E42">
            <v>0</v>
          </cell>
          <cell r="F42">
            <v>0</v>
          </cell>
        </row>
        <row r="43">
          <cell r="A43">
            <v>44889</v>
          </cell>
          <cell r="B43">
            <v>0</v>
          </cell>
          <cell r="C43">
            <v>0</v>
          </cell>
          <cell r="E43">
            <v>4000000</v>
          </cell>
          <cell r="F43">
            <v>0</v>
          </cell>
        </row>
        <row r="44">
          <cell r="A44">
            <v>44890</v>
          </cell>
          <cell r="B44">
            <v>0</v>
          </cell>
          <cell r="C44">
            <v>0</v>
          </cell>
          <cell r="E44">
            <v>0</v>
          </cell>
          <cell r="F44">
            <v>0</v>
          </cell>
        </row>
        <row r="45">
          <cell r="A45">
            <v>44893</v>
          </cell>
          <cell r="B45">
            <v>0</v>
          </cell>
          <cell r="C45">
            <v>0</v>
          </cell>
          <cell r="E45">
            <v>0</v>
          </cell>
          <cell r="F45">
            <v>0</v>
          </cell>
        </row>
        <row r="46">
          <cell r="A46">
            <v>44894</v>
          </cell>
          <cell r="B46">
            <v>0</v>
          </cell>
          <cell r="C46">
            <v>0</v>
          </cell>
          <cell r="E46">
            <v>0</v>
          </cell>
          <cell r="F46">
            <v>0</v>
          </cell>
        </row>
        <row r="47">
          <cell r="A47">
            <v>44895</v>
          </cell>
          <cell r="B47">
            <v>0</v>
          </cell>
          <cell r="C47">
            <v>0</v>
          </cell>
          <cell r="E47">
            <v>0</v>
          </cell>
          <cell r="F47">
            <v>0</v>
          </cell>
        </row>
        <row r="48">
          <cell r="A48">
            <v>44896</v>
          </cell>
          <cell r="B48">
            <v>0</v>
          </cell>
          <cell r="C48">
            <v>0</v>
          </cell>
          <cell r="E48">
            <v>0</v>
          </cell>
          <cell r="F48">
            <v>0</v>
          </cell>
        </row>
        <row r="49">
          <cell r="A49">
            <v>44897</v>
          </cell>
          <cell r="B49">
            <v>0</v>
          </cell>
          <cell r="C49">
            <v>0</v>
          </cell>
          <cell r="E49">
            <v>0</v>
          </cell>
          <cell r="F49">
            <v>0</v>
          </cell>
        </row>
        <row r="50">
          <cell r="A50">
            <v>44900</v>
          </cell>
          <cell r="B50">
            <v>1000000</v>
          </cell>
          <cell r="C50">
            <v>0</v>
          </cell>
          <cell r="E50">
            <v>1000000</v>
          </cell>
          <cell r="F50">
            <v>-18000</v>
          </cell>
        </row>
        <row r="51">
          <cell r="A51">
            <v>44901</v>
          </cell>
          <cell r="B51">
            <v>0</v>
          </cell>
          <cell r="C51">
            <v>0</v>
          </cell>
          <cell r="E51">
            <v>0</v>
          </cell>
          <cell r="F51">
            <v>0</v>
          </cell>
        </row>
        <row r="52">
          <cell r="A52">
            <v>44902</v>
          </cell>
          <cell r="B52">
            <v>0</v>
          </cell>
          <cell r="C52">
            <v>0</v>
          </cell>
          <cell r="E52">
            <v>0</v>
          </cell>
          <cell r="F52">
            <v>0</v>
          </cell>
        </row>
        <row r="53">
          <cell r="A53">
            <v>44903</v>
          </cell>
          <cell r="B53">
            <v>0</v>
          </cell>
          <cell r="C53">
            <v>0</v>
          </cell>
          <cell r="E53">
            <v>0</v>
          </cell>
          <cell r="F53">
            <v>0</v>
          </cell>
        </row>
        <row r="54">
          <cell r="A54">
            <v>44904</v>
          </cell>
          <cell r="B54">
            <v>0</v>
          </cell>
          <cell r="C54">
            <v>0</v>
          </cell>
          <cell r="E54">
            <v>0</v>
          </cell>
          <cell r="F54">
            <v>0</v>
          </cell>
        </row>
        <row r="55">
          <cell r="A55">
            <v>44907</v>
          </cell>
          <cell r="B55">
            <v>1000000</v>
          </cell>
          <cell r="C55">
            <v>0</v>
          </cell>
          <cell r="E55">
            <v>1000000</v>
          </cell>
          <cell r="F55">
            <v>0</v>
          </cell>
        </row>
        <row r="56">
          <cell r="A56">
            <v>44908</v>
          </cell>
          <cell r="B56">
            <v>100000</v>
          </cell>
          <cell r="C56">
            <v>0</v>
          </cell>
          <cell r="E56">
            <v>100000</v>
          </cell>
          <cell r="F56">
            <v>0</v>
          </cell>
        </row>
        <row r="57">
          <cell r="A57">
            <v>44909</v>
          </cell>
          <cell r="B57">
            <v>0</v>
          </cell>
          <cell r="C57">
            <v>0</v>
          </cell>
          <cell r="E57">
            <v>0</v>
          </cell>
          <cell r="F57">
            <v>0</v>
          </cell>
        </row>
        <row r="58">
          <cell r="A58">
            <v>44910</v>
          </cell>
          <cell r="B58">
            <v>0</v>
          </cell>
          <cell r="C58">
            <v>0</v>
          </cell>
          <cell r="E58">
            <v>0</v>
          </cell>
          <cell r="F58">
            <v>0</v>
          </cell>
        </row>
        <row r="59">
          <cell r="A59">
            <v>44911</v>
          </cell>
          <cell r="B59">
            <v>0</v>
          </cell>
          <cell r="C59">
            <v>0</v>
          </cell>
          <cell r="E59">
            <v>0</v>
          </cell>
          <cell r="F59">
            <v>0</v>
          </cell>
        </row>
        <row r="60">
          <cell r="A60">
            <v>44914</v>
          </cell>
          <cell r="B60">
            <v>0</v>
          </cell>
          <cell r="C60">
            <v>0</v>
          </cell>
          <cell r="E60">
            <v>0</v>
          </cell>
          <cell r="F60">
            <v>0</v>
          </cell>
        </row>
        <row r="61">
          <cell r="A61">
            <v>44915</v>
          </cell>
          <cell r="B61">
            <v>1000000</v>
          </cell>
          <cell r="C61">
            <v>0</v>
          </cell>
          <cell r="E61">
            <v>1000000</v>
          </cell>
          <cell r="F61">
            <v>0</v>
          </cell>
        </row>
        <row r="62">
          <cell r="A62">
            <v>44916</v>
          </cell>
          <cell r="B62">
            <v>0</v>
          </cell>
          <cell r="C62">
            <v>0</v>
          </cell>
          <cell r="E62">
            <v>0</v>
          </cell>
          <cell r="F62">
            <v>0</v>
          </cell>
        </row>
        <row r="63">
          <cell r="A63">
            <v>44917</v>
          </cell>
          <cell r="B63">
            <v>0</v>
          </cell>
          <cell r="C63">
            <v>0</v>
          </cell>
          <cell r="E63">
            <v>0</v>
          </cell>
          <cell r="F63">
            <v>0</v>
          </cell>
        </row>
        <row r="64">
          <cell r="A64">
            <v>44918</v>
          </cell>
          <cell r="B64">
            <v>0</v>
          </cell>
          <cell r="C64">
            <v>0</v>
          </cell>
          <cell r="E64">
            <v>0</v>
          </cell>
          <cell r="F64">
            <v>0</v>
          </cell>
        </row>
        <row r="65">
          <cell r="A65">
            <v>44921</v>
          </cell>
          <cell r="B65">
            <v>1000000</v>
          </cell>
          <cell r="C65">
            <v>0</v>
          </cell>
          <cell r="E65">
            <v>1000000</v>
          </cell>
          <cell r="F65">
            <v>0</v>
          </cell>
        </row>
        <row r="66">
          <cell r="A66">
            <v>44922</v>
          </cell>
          <cell r="B66">
            <v>0</v>
          </cell>
          <cell r="C66">
            <v>0</v>
          </cell>
          <cell r="E66">
            <v>0</v>
          </cell>
          <cell r="F66">
            <v>0</v>
          </cell>
        </row>
        <row r="67">
          <cell r="A67">
            <v>44923</v>
          </cell>
          <cell r="B67">
            <v>0</v>
          </cell>
          <cell r="C67">
            <v>0</v>
          </cell>
          <cell r="E67">
            <v>0</v>
          </cell>
          <cell r="F67">
            <v>0</v>
          </cell>
        </row>
        <row r="68">
          <cell r="A68">
            <v>44924</v>
          </cell>
          <cell r="B68">
            <v>0</v>
          </cell>
          <cell r="C68">
            <v>0</v>
          </cell>
          <cell r="E68">
            <v>0</v>
          </cell>
          <cell r="F68">
            <v>0</v>
          </cell>
        </row>
        <row r="69">
          <cell r="A69">
            <v>44925</v>
          </cell>
          <cell r="B69">
            <v>0</v>
          </cell>
          <cell r="C69">
            <v>0</v>
          </cell>
          <cell r="E69">
            <v>0</v>
          </cell>
          <cell r="F69">
            <v>0</v>
          </cell>
        </row>
        <row r="70">
          <cell r="A70">
            <v>44926</v>
          </cell>
          <cell r="B70">
            <v>0</v>
          </cell>
          <cell r="C70">
            <v>0</v>
          </cell>
          <cell r="E70">
            <v>0</v>
          </cell>
          <cell r="F70">
            <v>0</v>
          </cell>
        </row>
        <row r="71">
          <cell r="A71">
            <v>44928</v>
          </cell>
          <cell r="B71">
            <v>0</v>
          </cell>
          <cell r="C71">
            <v>0</v>
          </cell>
          <cell r="E71">
            <v>0</v>
          </cell>
          <cell r="F71">
            <v>0</v>
          </cell>
        </row>
        <row r="72">
          <cell r="A72">
            <v>44929</v>
          </cell>
          <cell r="B72">
            <v>0</v>
          </cell>
          <cell r="C72">
            <v>0</v>
          </cell>
          <cell r="E72">
            <v>0</v>
          </cell>
          <cell r="F72">
            <v>-23500</v>
          </cell>
        </row>
        <row r="73">
          <cell r="A73">
            <v>44930</v>
          </cell>
          <cell r="B73">
            <v>0</v>
          </cell>
          <cell r="C73">
            <v>0</v>
          </cell>
          <cell r="E73">
            <v>0</v>
          </cell>
          <cell r="F73">
            <v>0</v>
          </cell>
        </row>
        <row r="74">
          <cell r="A74">
            <v>44931</v>
          </cell>
          <cell r="B74">
            <v>0</v>
          </cell>
          <cell r="C74">
            <v>0</v>
          </cell>
          <cell r="E74">
            <v>0</v>
          </cell>
          <cell r="F74">
            <v>0</v>
          </cell>
        </row>
        <row r="75">
          <cell r="A75">
            <v>44932</v>
          </cell>
          <cell r="B75">
            <v>0</v>
          </cell>
          <cell r="C75">
            <v>0</v>
          </cell>
          <cell r="E75">
            <v>0</v>
          </cell>
          <cell r="F75">
            <v>0</v>
          </cell>
        </row>
        <row r="76">
          <cell r="A76">
            <v>44935</v>
          </cell>
          <cell r="B76">
            <v>0</v>
          </cell>
          <cell r="C76">
            <v>0</v>
          </cell>
          <cell r="E76">
            <v>0</v>
          </cell>
          <cell r="F76">
            <v>0</v>
          </cell>
        </row>
        <row r="77">
          <cell r="A77">
            <v>44936</v>
          </cell>
          <cell r="B77">
            <v>0</v>
          </cell>
          <cell r="C77">
            <v>0</v>
          </cell>
          <cell r="E77">
            <v>0</v>
          </cell>
          <cell r="F77">
            <v>0</v>
          </cell>
        </row>
        <row r="78">
          <cell r="A78">
            <v>44937</v>
          </cell>
          <cell r="B78">
            <v>300000</v>
          </cell>
          <cell r="C78">
            <v>0</v>
          </cell>
          <cell r="E78">
            <v>300000</v>
          </cell>
          <cell r="F78">
            <v>0</v>
          </cell>
        </row>
        <row r="79">
          <cell r="A79">
            <v>44938</v>
          </cell>
          <cell r="B79">
            <v>0</v>
          </cell>
          <cell r="C79">
            <v>0</v>
          </cell>
          <cell r="E79">
            <v>0</v>
          </cell>
          <cell r="F79">
            <v>0</v>
          </cell>
        </row>
        <row r="80">
          <cell r="A80">
            <v>44939</v>
          </cell>
          <cell r="B80">
            <v>0</v>
          </cell>
          <cell r="C80">
            <v>0</v>
          </cell>
          <cell r="E80">
            <v>0</v>
          </cell>
          <cell r="F80">
            <v>0</v>
          </cell>
        </row>
        <row r="81">
          <cell r="A81">
            <v>44942</v>
          </cell>
          <cell r="B81">
            <v>0</v>
          </cell>
          <cell r="C81">
            <v>0</v>
          </cell>
          <cell r="E81">
            <v>0</v>
          </cell>
          <cell r="F81">
            <v>0</v>
          </cell>
        </row>
        <row r="82">
          <cell r="A82">
            <v>44943</v>
          </cell>
          <cell r="B82">
            <v>0</v>
          </cell>
          <cell r="C82">
            <v>0</v>
          </cell>
          <cell r="E82">
            <v>0</v>
          </cell>
          <cell r="F82">
            <v>0</v>
          </cell>
        </row>
        <row r="83">
          <cell r="A83">
            <v>44944</v>
          </cell>
          <cell r="B83">
            <v>0</v>
          </cell>
          <cell r="C83">
            <v>0</v>
          </cell>
          <cell r="E83">
            <v>0</v>
          </cell>
          <cell r="F83">
            <v>0</v>
          </cell>
        </row>
        <row r="84">
          <cell r="A84">
            <v>44945</v>
          </cell>
          <cell r="B84">
            <v>0</v>
          </cell>
          <cell r="C84">
            <v>0</v>
          </cell>
          <cell r="E84">
            <v>0</v>
          </cell>
          <cell r="F84">
            <v>0</v>
          </cell>
        </row>
        <row r="85">
          <cell r="A85">
            <v>44946</v>
          </cell>
          <cell r="B85">
            <v>0</v>
          </cell>
          <cell r="C85">
            <v>0</v>
          </cell>
          <cell r="E85">
            <v>0</v>
          </cell>
          <cell r="F85">
            <v>0</v>
          </cell>
        </row>
        <row r="86">
          <cell r="A86">
            <v>44949</v>
          </cell>
          <cell r="B86">
            <v>0</v>
          </cell>
          <cell r="C86">
            <v>0</v>
          </cell>
          <cell r="E86">
            <v>0</v>
          </cell>
          <cell r="F86">
            <v>0</v>
          </cell>
        </row>
        <row r="87">
          <cell r="A87">
            <v>44950</v>
          </cell>
          <cell r="B87">
            <v>0</v>
          </cell>
          <cell r="C87">
            <v>0</v>
          </cell>
          <cell r="E87">
            <v>0</v>
          </cell>
          <cell r="F87">
            <v>0</v>
          </cell>
        </row>
        <row r="88">
          <cell r="A88">
            <v>44951</v>
          </cell>
          <cell r="B88">
            <v>0</v>
          </cell>
          <cell r="C88">
            <v>0</v>
          </cell>
          <cell r="E88">
            <v>0</v>
          </cell>
          <cell r="F88">
            <v>0</v>
          </cell>
        </row>
        <row r="89">
          <cell r="A89">
            <v>44952</v>
          </cell>
          <cell r="B89">
            <v>0</v>
          </cell>
          <cell r="C89">
            <v>0</v>
          </cell>
          <cell r="E89">
            <v>0</v>
          </cell>
          <cell r="F89">
            <v>0</v>
          </cell>
        </row>
        <row r="90">
          <cell r="A90">
            <v>44953</v>
          </cell>
          <cell r="B90">
            <v>0</v>
          </cell>
          <cell r="C90">
            <v>0</v>
          </cell>
          <cell r="E90">
            <v>0</v>
          </cell>
          <cell r="F90">
            <v>0</v>
          </cell>
        </row>
        <row r="91">
          <cell r="A91">
            <v>44956</v>
          </cell>
          <cell r="B91">
            <v>0</v>
          </cell>
          <cell r="C91">
            <v>0</v>
          </cell>
          <cell r="E91">
            <v>0</v>
          </cell>
          <cell r="F91">
            <v>0</v>
          </cell>
        </row>
        <row r="92">
          <cell r="A92">
            <v>44957</v>
          </cell>
          <cell r="B92">
            <v>0</v>
          </cell>
          <cell r="C92">
            <v>0</v>
          </cell>
          <cell r="E92">
            <v>0</v>
          </cell>
          <cell r="F92">
            <v>0</v>
          </cell>
        </row>
        <row r="93">
          <cell r="A93">
            <v>44958</v>
          </cell>
          <cell r="B93">
            <v>0</v>
          </cell>
          <cell r="C93">
            <v>0</v>
          </cell>
          <cell r="E93">
            <v>0</v>
          </cell>
          <cell r="F93">
            <v>0</v>
          </cell>
        </row>
        <row r="94">
          <cell r="A94">
            <v>44959</v>
          </cell>
          <cell r="B94">
            <v>0</v>
          </cell>
          <cell r="C94">
            <v>0</v>
          </cell>
          <cell r="E94">
            <v>0</v>
          </cell>
          <cell r="F94">
            <v>0</v>
          </cell>
        </row>
        <row r="95">
          <cell r="A95">
            <v>44960</v>
          </cell>
          <cell r="B95">
            <v>0</v>
          </cell>
          <cell r="C95">
            <v>0</v>
          </cell>
          <cell r="E95">
            <v>0</v>
          </cell>
          <cell r="F95">
            <v>0</v>
          </cell>
        </row>
        <row r="96">
          <cell r="A96">
            <v>44963</v>
          </cell>
          <cell r="B96">
            <v>0</v>
          </cell>
          <cell r="C96">
            <v>0</v>
          </cell>
          <cell r="E96">
            <v>0</v>
          </cell>
          <cell r="F96">
            <v>0</v>
          </cell>
        </row>
        <row r="97">
          <cell r="A97">
            <v>44964</v>
          </cell>
          <cell r="B97">
            <v>0</v>
          </cell>
          <cell r="C97">
            <v>0</v>
          </cell>
          <cell r="E97">
            <v>0</v>
          </cell>
          <cell r="F97">
            <v>0</v>
          </cell>
        </row>
        <row r="98">
          <cell r="A98">
            <v>44965</v>
          </cell>
          <cell r="B98">
            <v>0</v>
          </cell>
          <cell r="C98">
            <v>0</v>
          </cell>
          <cell r="E98">
            <v>0</v>
          </cell>
          <cell r="F98">
            <v>0</v>
          </cell>
        </row>
        <row r="99">
          <cell r="A99">
            <v>44966</v>
          </cell>
          <cell r="B99">
            <v>0</v>
          </cell>
          <cell r="C99">
            <v>0</v>
          </cell>
          <cell r="E99">
            <v>0</v>
          </cell>
          <cell r="F99">
            <v>0</v>
          </cell>
        </row>
        <row r="100">
          <cell r="A100">
            <v>44967</v>
          </cell>
          <cell r="B100">
            <v>0</v>
          </cell>
          <cell r="C100">
            <v>0</v>
          </cell>
          <cell r="E100">
            <v>0</v>
          </cell>
          <cell r="F100">
            <v>0</v>
          </cell>
        </row>
        <row r="101">
          <cell r="A101">
            <v>44970</v>
          </cell>
          <cell r="B101">
            <v>0</v>
          </cell>
          <cell r="C101">
            <v>0</v>
          </cell>
          <cell r="E101">
            <v>0</v>
          </cell>
          <cell r="F101">
            <v>0</v>
          </cell>
        </row>
        <row r="102">
          <cell r="A102">
            <v>44971</v>
          </cell>
          <cell r="B102">
            <v>0</v>
          </cell>
          <cell r="C102">
            <v>0</v>
          </cell>
          <cell r="E102">
            <v>0</v>
          </cell>
          <cell r="F102">
            <v>0</v>
          </cell>
        </row>
        <row r="103">
          <cell r="A103">
            <v>44972</v>
          </cell>
          <cell r="B103">
            <v>0</v>
          </cell>
          <cell r="C103">
            <v>0</v>
          </cell>
          <cell r="E103">
            <v>0</v>
          </cell>
          <cell r="F103">
            <v>0</v>
          </cell>
        </row>
        <row r="104">
          <cell r="A104">
            <v>44973</v>
          </cell>
          <cell r="B104">
            <v>0</v>
          </cell>
          <cell r="C104">
            <v>0</v>
          </cell>
          <cell r="E104">
            <v>0</v>
          </cell>
          <cell r="F104">
            <v>0</v>
          </cell>
        </row>
        <row r="105">
          <cell r="A105">
            <v>44974</v>
          </cell>
          <cell r="B105">
            <v>0</v>
          </cell>
          <cell r="C105">
            <v>0</v>
          </cell>
          <cell r="E105">
            <v>0</v>
          </cell>
          <cell r="F105">
            <v>0</v>
          </cell>
        </row>
        <row r="106">
          <cell r="A106">
            <v>44977</v>
          </cell>
          <cell r="B106">
            <v>0</v>
          </cell>
          <cell r="C106">
            <v>0</v>
          </cell>
          <cell r="E106">
            <v>0</v>
          </cell>
          <cell r="F106">
            <v>0</v>
          </cell>
        </row>
        <row r="107">
          <cell r="A107">
            <v>44978</v>
          </cell>
          <cell r="B107">
            <v>0</v>
          </cell>
          <cell r="C107">
            <v>0</v>
          </cell>
          <cell r="E107">
            <v>0</v>
          </cell>
          <cell r="F107">
            <v>0</v>
          </cell>
        </row>
        <row r="108">
          <cell r="A108">
            <v>44979</v>
          </cell>
          <cell r="B108">
            <v>0</v>
          </cell>
          <cell r="C108">
            <v>0</v>
          </cell>
          <cell r="E108">
            <v>0</v>
          </cell>
          <cell r="F108">
            <v>0</v>
          </cell>
        </row>
        <row r="109">
          <cell r="A109">
            <v>44980</v>
          </cell>
          <cell r="B109">
            <v>0</v>
          </cell>
          <cell r="C109">
            <v>0</v>
          </cell>
          <cell r="E109">
            <v>0</v>
          </cell>
          <cell r="F109">
            <v>0</v>
          </cell>
        </row>
        <row r="110">
          <cell r="A110">
            <v>44981</v>
          </cell>
          <cell r="B110">
            <v>0</v>
          </cell>
          <cell r="C110">
            <v>0</v>
          </cell>
          <cell r="E110">
            <v>0</v>
          </cell>
          <cell r="F110">
            <v>0</v>
          </cell>
        </row>
        <row r="111">
          <cell r="A111">
            <v>44984</v>
          </cell>
          <cell r="B111">
            <v>0</v>
          </cell>
          <cell r="C111">
            <v>0</v>
          </cell>
          <cell r="E111">
            <v>0</v>
          </cell>
          <cell r="F111">
            <v>0</v>
          </cell>
        </row>
        <row r="112">
          <cell r="A112">
            <v>44985</v>
          </cell>
          <cell r="B112">
            <v>0</v>
          </cell>
          <cell r="C112">
            <v>0</v>
          </cell>
          <cell r="E112">
            <v>0</v>
          </cell>
          <cell r="F112">
            <v>0</v>
          </cell>
        </row>
        <row r="113">
          <cell r="A113">
            <v>44986</v>
          </cell>
          <cell r="B113">
            <v>0</v>
          </cell>
          <cell r="C113">
            <v>0</v>
          </cell>
          <cell r="E113">
            <v>0</v>
          </cell>
          <cell r="F113">
            <v>0</v>
          </cell>
        </row>
        <row r="114">
          <cell r="A114">
            <v>44987</v>
          </cell>
          <cell r="B114">
            <v>0</v>
          </cell>
          <cell r="C114">
            <v>0</v>
          </cell>
          <cell r="E114">
            <v>0</v>
          </cell>
          <cell r="F114">
            <v>0</v>
          </cell>
        </row>
        <row r="115">
          <cell r="A115">
            <v>44988</v>
          </cell>
          <cell r="B115">
            <v>0</v>
          </cell>
          <cell r="C115">
            <v>0</v>
          </cell>
          <cell r="E115">
            <v>0</v>
          </cell>
          <cell r="F115">
            <v>0</v>
          </cell>
        </row>
        <row r="116">
          <cell r="A116">
            <v>44991</v>
          </cell>
          <cell r="B116">
            <v>0</v>
          </cell>
          <cell r="C116">
            <v>0</v>
          </cell>
          <cell r="E116">
            <v>0</v>
          </cell>
          <cell r="F116">
            <v>0</v>
          </cell>
        </row>
        <row r="117">
          <cell r="A117">
            <v>44992</v>
          </cell>
          <cell r="B117">
            <v>0</v>
          </cell>
          <cell r="C117">
            <v>0</v>
          </cell>
          <cell r="E117">
            <v>0</v>
          </cell>
          <cell r="F117">
            <v>0</v>
          </cell>
        </row>
        <row r="118">
          <cell r="A118">
            <v>44993</v>
          </cell>
          <cell r="B118">
            <v>0</v>
          </cell>
          <cell r="C118">
            <v>0</v>
          </cell>
          <cell r="E118">
            <v>0</v>
          </cell>
          <cell r="F118">
            <v>0</v>
          </cell>
        </row>
        <row r="119">
          <cell r="A119">
            <v>44994</v>
          </cell>
          <cell r="B119">
            <v>0</v>
          </cell>
          <cell r="C119">
            <v>0</v>
          </cell>
          <cell r="E119">
            <v>0</v>
          </cell>
          <cell r="F119">
            <v>0</v>
          </cell>
        </row>
        <row r="120">
          <cell r="A120">
            <v>44995</v>
          </cell>
          <cell r="B120">
            <v>0</v>
          </cell>
          <cell r="C120">
            <v>0</v>
          </cell>
          <cell r="E120">
            <v>0</v>
          </cell>
          <cell r="F120">
            <v>0</v>
          </cell>
        </row>
        <row r="121">
          <cell r="A121">
            <v>44998</v>
          </cell>
          <cell r="B121">
            <v>0</v>
          </cell>
          <cell r="C121">
            <v>0</v>
          </cell>
          <cell r="E121">
            <v>0</v>
          </cell>
          <cell r="F121">
            <v>0</v>
          </cell>
        </row>
        <row r="122">
          <cell r="A122">
            <v>44999</v>
          </cell>
          <cell r="B122">
            <v>0</v>
          </cell>
          <cell r="C122">
            <v>0</v>
          </cell>
          <cell r="E122">
            <v>0</v>
          </cell>
          <cell r="F122">
            <v>0</v>
          </cell>
        </row>
        <row r="123">
          <cell r="A123">
            <v>45000</v>
          </cell>
          <cell r="B123">
            <v>0</v>
          </cell>
          <cell r="C123">
            <v>0</v>
          </cell>
          <cell r="E123">
            <v>0</v>
          </cell>
          <cell r="F123">
            <v>0</v>
          </cell>
        </row>
        <row r="124">
          <cell r="A124">
            <v>45001</v>
          </cell>
          <cell r="B124">
            <v>0</v>
          </cell>
          <cell r="C124">
            <v>0</v>
          </cell>
          <cell r="E124">
            <v>0</v>
          </cell>
          <cell r="F124">
            <v>0</v>
          </cell>
        </row>
        <row r="125">
          <cell r="A125">
            <v>45002</v>
          </cell>
          <cell r="B125">
            <v>0</v>
          </cell>
          <cell r="C125">
            <v>0</v>
          </cell>
          <cell r="E125">
            <v>0</v>
          </cell>
          <cell r="F125">
            <v>0</v>
          </cell>
        </row>
        <row r="126">
          <cell r="A126">
            <v>45005</v>
          </cell>
          <cell r="B126">
            <v>0</v>
          </cell>
          <cell r="C126">
            <v>0</v>
          </cell>
          <cell r="E126">
            <v>0</v>
          </cell>
          <cell r="F126">
            <v>0</v>
          </cell>
        </row>
        <row r="127">
          <cell r="A127">
            <v>45006</v>
          </cell>
          <cell r="B127">
            <v>0</v>
          </cell>
          <cell r="C127">
            <v>0</v>
          </cell>
          <cell r="E127">
            <v>0</v>
          </cell>
          <cell r="F127">
            <v>0</v>
          </cell>
        </row>
        <row r="128">
          <cell r="A128">
            <v>45007</v>
          </cell>
          <cell r="B128">
            <v>0</v>
          </cell>
          <cell r="C128">
            <v>0</v>
          </cell>
          <cell r="E128">
            <v>0</v>
          </cell>
          <cell r="F128">
            <v>0</v>
          </cell>
        </row>
        <row r="129">
          <cell r="A129">
            <v>45008</v>
          </cell>
          <cell r="B129">
            <v>0</v>
          </cell>
          <cell r="C129">
            <v>0</v>
          </cell>
          <cell r="E129">
            <v>0</v>
          </cell>
          <cell r="F129">
            <v>0</v>
          </cell>
        </row>
        <row r="130">
          <cell r="A130">
            <v>45009</v>
          </cell>
          <cell r="B130">
            <v>0</v>
          </cell>
          <cell r="C130">
            <v>0</v>
          </cell>
          <cell r="E130">
            <v>0</v>
          </cell>
          <cell r="F130">
            <v>0</v>
          </cell>
        </row>
        <row r="131">
          <cell r="A131">
            <v>45012</v>
          </cell>
          <cell r="B131">
            <v>0</v>
          </cell>
          <cell r="C131">
            <v>0</v>
          </cell>
          <cell r="E131">
            <v>0</v>
          </cell>
          <cell r="F131">
            <v>0</v>
          </cell>
        </row>
        <row r="132">
          <cell r="A132">
            <v>45013</v>
          </cell>
          <cell r="B132">
            <v>0</v>
          </cell>
          <cell r="C132">
            <v>0</v>
          </cell>
          <cell r="E132">
            <v>0</v>
          </cell>
          <cell r="F132">
            <v>0</v>
          </cell>
        </row>
        <row r="133">
          <cell r="A133">
            <v>45014</v>
          </cell>
          <cell r="B133">
            <v>0</v>
          </cell>
          <cell r="C133">
            <v>0</v>
          </cell>
          <cell r="E133">
            <v>0</v>
          </cell>
          <cell r="F133">
            <v>0</v>
          </cell>
        </row>
        <row r="134">
          <cell r="A134">
            <v>45015</v>
          </cell>
          <cell r="B134">
            <v>0</v>
          </cell>
          <cell r="C134">
            <v>0</v>
          </cell>
          <cell r="E134">
            <v>0</v>
          </cell>
          <cell r="F134">
            <v>0</v>
          </cell>
        </row>
        <row r="135">
          <cell r="A135">
            <v>45016</v>
          </cell>
          <cell r="B135">
            <v>0</v>
          </cell>
          <cell r="C135">
            <v>0</v>
          </cell>
          <cell r="E135">
            <v>0</v>
          </cell>
          <cell r="F135">
            <v>0</v>
          </cell>
        </row>
        <row r="136">
          <cell r="A136">
            <v>45019</v>
          </cell>
          <cell r="B136">
            <v>0</v>
          </cell>
          <cell r="C136">
            <v>0</v>
          </cell>
          <cell r="E136">
            <v>0</v>
          </cell>
          <cell r="F136">
            <v>0</v>
          </cell>
        </row>
        <row r="137">
          <cell r="A137">
            <v>45020</v>
          </cell>
          <cell r="B137">
            <v>0</v>
          </cell>
          <cell r="C137">
            <v>0</v>
          </cell>
          <cell r="E137">
            <v>0</v>
          </cell>
          <cell r="F137">
            <v>0</v>
          </cell>
        </row>
        <row r="138">
          <cell r="A138">
            <v>45021</v>
          </cell>
          <cell r="B138">
            <v>0</v>
          </cell>
          <cell r="C138">
            <v>0</v>
          </cell>
          <cell r="E138">
            <v>0</v>
          </cell>
          <cell r="F138">
            <v>0</v>
          </cell>
        </row>
        <row r="139">
          <cell r="A139">
            <v>45022</v>
          </cell>
          <cell r="B139">
            <v>0</v>
          </cell>
          <cell r="C139">
            <v>0</v>
          </cell>
          <cell r="E139">
            <v>0</v>
          </cell>
          <cell r="F139">
            <v>0</v>
          </cell>
        </row>
        <row r="140">
          <cell r="A140">
            <v>45023</v>
          </cell>
          <cell r="B140">
            <v>0</v>
          </cell>
          <cell r="C140">
            <v>0</v>
          </cell>
          <cell r="E140">
            <v>0</v>
          </cell>
          <cell r="F140">
            <v>0</v>
          </cell>
        </row>
        <row r="141">
          <cell r="A141">
            <v>45026</v>
          </cell>
          <cell r="B141">
            <v>0</v>
          </cell>
          <cell r="C141">
            <v>0</v>
          </cell>
          <cell r="E141">
            <v>0</v>
          </cell>
          <cell r="F141">
            <v>0</v>
          </cell>
        </row>
        <row r="142">
          <cell r="A142">
            <v>45027</v>
          </cell>
          <cell r="B142">
            <v>0</v>
          </cell>
          <cell r="C142">
            <v>0</v>
          </cell>
          <cell r="E142">
            <v>0</v>
          </cell>
          <cell r="F142">
            <v>0</v>
          </cell>
        </row>
        <row r="143">
          <cell r="A143">
            <v>45028</v>
          </cell>
          <cell r="B143">
            <v>0</v>
          </cell>
          <cell r="C143">
            <v>0</v>
          </cell>
          <cell r="E143">
            <v>0</v>
          </cell>
          <cell r="F143">
            <v>0</v>
          </cell>
        </row>
        <row r="144">
          <cell r="A144">
            <v>45029</v>
          </cell>
          <cell r="B144">
            <v>0</v>
          </cell>
          <cell r="C144">
            <v>0</v>
          </cell>
          <cell r="E144">
            <v>0</v>
          </cell>
          <cell r="F144">
            <v>0</v>
          </cell>
        </row>
        <row r="145">
          <cell r="A145">
            <v>45030</v>
          </cell>
          <cell r="B145">
            <v>0</v>
          </cell>
          <cell r="C145">
            <v>0</v>
          </cell>
          <cell r="E145">
            <v>0</v>
          </cell>
          <cell r="F145">
            <v>0</v>
          </cell>
        </row>
        <row r="146">
          <cell r="A146">
            <v>45033</v>
          </cell>
          <cell r="B146">
            <v>0</v>
          </cell>
          <cell r="C146">
            <v>0</v>
          </cell>
          <cell r="E146">
            <v>0</v>
          </cell>
          <cell r="F146">
            <v>0</v>
          </cell>
        </row>
        <row r="147">
          <cell r="A147">
            <v>45034</v>
          </cell>
          <cell r="B147">
            <v>0</v>
          </cell>
          <cell r="C147">
            <v>0</v>
          </cell>
          <cell r="E147">
            <v>0</v>
          </cell>
          <cell r="F147">
            <v>0</v>
          </cell>
        </row>
        <row r="148">
          <cell r="A148">
            <v>45035</v>
          </cell>
          <cell r="B148">
            <v>0</v>
          </cell>
          <cell r="C148">
            <v>0</v>
          </cell>
          <cell r="E148">
            <v>0</v>
          </cell>
          <cell r="F148">
            <v>0</v>
          </cell>
        </row>
        <row r="149">
          <cell r="A149">
            <v>45036</v>
          </cell>
          <cell r="B149">
            <v>0</v>
          </cell>
          <cell r="C149">
            <v>0</v>
          </cell>
          <cell r="E149">
            <v>0</v>
          </cell>
          <cell r="F149">
            <v>0</v>
          </cell>
        </row>
        <row r="150">
          <cell r="A150">
            <v>45037</v>
          </cell>
          <cell r="B150">
            <v>0</v>
          </cell>
          <cell r="C150">
            <v>0</v>
          </cell>
          <cell r="E150">
            <v>0</v>
          </cell>
          <cell r="F150">
            <v>0</v>
          </cell>
        </row>
        <row r="151">
          <cell r="A151">
            <v>45040</v>
          </cell>
          <cell r="B151">
            <v>0</v>
          </cell>
          <cell r="C151">
            <v>0</v>
          </cell>
          <cell r="E151">
            <v>0</v>
          </cell>
          <cell r="F151">
            <v>0</v>
          </cell>
        </row>
        <row r="152">
          <cell r="A152">
            <v>45041</v>
          </cell>
          <cell r="B152">
            <v>0</v>
          </cell>
          <cell r="C152">
            <v>0</v>
          </cell>
          <cell r="E152">
            <v>0</v>
          </cell>
          <cell r="F152">
            <v>0</v>
          </cell>
        </row>
        <row r="153">
          <cell r="A153">
            <v>45042</v>
          </cell>
          <cell r="B153">
            <v>0</v>
          </cell>
          <cell r="C153">
            <v>0</v>
          </cell>
          <cell r="E153">
            <v>0</v>
          </cell>
          <cell r="F153">
            <v>0</v>
          </cell>
        </row>
        <row r="154">
          <cell r="A154">
            <v>45043</v>
          </cell>
          <cell r="B154">
            <v>0</v>
          </cell>
          <cell r="C154">
            <v>0</v>
          </cell>
          <cell r="E154">
            <v>0</v>
          </cell>
          <cell r="F154">
            <v>0</v>
          </cell>
        </row>
        <row r="155">
          <cell r="A155">
            <v>45044</v>
          </cell>
          <cell r="B155">
            <v>0</v>
          </cell>
          <cell r="C155">
            <v>0</v>
          </cell>
          <cell r="E155">
            <v>0</v>
          </cell>
          <cell r="F155">
            <v>0</v>
          </cell>
        </row>
        <row r="156">
          <cell r="A156">
            <v>45047</v>
          </cell>
          <cell r="B156">
            <v>0</v>
          </cell>
          <cell r="C156">
            <v>0</v>
          </cell>
          <cell r="E156">
            <v>0</v>
          </cell>
          <cell r="F156">
            <v>0</v>
          </cell>
        </row>
        <row r="157">
          <cell r="A157">
            <v>45048</v>
          </cell>
          <cell r="B157">
            <v>0</v>
          </cell>
          <cell r="C157">
            <v>0</v>
          </cell>
          <cell r="E157">
            <v>0</v>
          </cell>
          <cell r="F157">
            <v>0</v>
          </cell>
        </row>
        <row r="158">
          <cell r="A158">
            <v>45049</v>
          </cell>
          <cell r="B158">
            <v>0</v>
          </cell>
          <cell r="C158">
            <v>0</v>
          </cell>
          <cell r="E158">
            <v>0</v>
          </cell>
          <cell r="F158">
            <v>0</v>
          </cell>
        </row>
        <row r="159">
          <cell r="A159">
            <v>45050</v>
          </cell>
          <cell r="B159">
            <v>0</v>
          </cell>
          <cell r="C159">
            <v>0</v>
          </cell>
          <cell r="E159">
            <v>0</v>
          </cell>
          <cell r="F159">
            <v>0</v>
          </cell>
        </row>
        <row r="160">
          <cell r="A160">
            <v>45051</v>
          </cell>
          <cell r="B160">
            <v>0</v>
          </cell>
          <cell r="C160">
            <v>0</v>
          </cell>
          <cell r="E160">
            <v>0</v>
          </cell>
          <cell r="F160">
            <v>0</v>
          </cell>
        </row>
        <row r="161">
          <cell r="A161">
            <v>45054</v>
          </cell>
          <cell r="B161">
            <v>0</v>
          </cell>
          <cell r="C161">
            <v>0</v>
          </cell>
          <cell r="E161">
            <v>0</v>
          </cell>
          <cell r="F161">
            <v>0</v>
          </cell>
        </row>
        <row r="162">
          <cell r="A162">
            <v>45055</v>
          </cell>
          <cell r="B162">
            <v>0</v>
          </cell>
          <cell r="C162">
            <v>0</v>
          </cell>
          <cell r="E162">
            <v>0</v>
          </cell>
          <cell r="F162">
            <v>0</v>
          </cell>
        </row>
        <row r="163">
          <cell r="A163">
            <v>45056</v>
          </cell>
          <cell r="B163">
            <v>0</v>
          </cell>
          <cell r="C163">
            <v>0</v>
          </cell>
          <cell r="E163">
            <v>0</v>
          </cell>
          <cell r="F163">
            <v>0</v>
          </cell>
        </row>
        <row r="164">
          <cell r="A164">
            <v>45057</v>
          </cell>
          <cell r="B164">
            <v>0</v>
          </cell>
          <cell r="C164">
            <v>0</v>
          </cell>
          <cell r="E164">
            <v>0</v>
          </cell>
          <cell r="F164">
            <v>0</v>
          </cell>
        </row>
        <row r="165">
          <cell r="A165">
            <v>45058</v>
          </cell>
          <cell r="B165">
            <v>0</v>
          </cell>
          <cell r="C165">
            <v>0</v>
          </cell>
          <cell r="E165">
            <v>0</v>
          </cell>
          <cell r="F165">
            <v>0</v>
          </cell>
        </row>
        <row r="166">
          <cell r="A166">
            <v>45061</v>
          </cell>
          <cell r="B166">
            <v>0</v>
          </cell>
          <cell r="C166">
            <v>0</v>
          </cell>
          <cell r="E166">
            <v>0</v>
          </cell>
          <cell r="F166">
            <v>0</v>
          </cell>
        </row>
        <row r="167">
          <cell r="A167">
            <v>45062</v>
          </cell>
          <cell r="B167">
            <v>0</v>
          </cell>
          <cell r="C167">
            <v>0</v>
          </cell>
          <cell r="E167">
            <v>0</v>
          </cell>
          <cell r="F167">
            <v>0</v>
          </cell>
        </row>
        <row r="168">
          <cell r="A168">
            <v>45063</v>
          </cell>
          <cell r="B168">
            <v>0</v>
          </cell>
          <cell r="C168">
            <v>0</v>
          </cell>
          <cell r="E168">
            <v>0</v>
          </cell>
          <cell r="F168">
            <v>0</v>
          </cell>
        </row>
        <row r="169">
          <cell r="A169">
            <v>45064</v>
          </cell>
          <cell r="B169">
            <v>0</v>
          </cell>
          <cell r="C169">
            <v>0</v>
          </cell>
          <cell r="E169">
            <v>0</v>
          </cell>
          <cell r="F169">
            <v>0</v>
          </cell>
        </row>
        <row r="170">
          <cell r="A170">
            <v>45065</v>
          </cell>
          <cell r="B170">
            <v>0</v>
          </cell>
          <cell r="C170">
            <v>0</v>
          </cell>
          <cell r="E170">
            <v>0</v>
          </cell>
          <cell r="F170">
            <v>0</v>
          </cell>
        </row>
        <row r="171">
          <cell r="A171">
            <v>45068</v>
          </cell>
          <cell r="B171">
            <v>0</v>
          </cell>
          <cell r="C171">
            <v>0</v>
          </cell>
          <cell r="E171">
            <v>0</v>
          </cell>
          <cell r="F171">
            <v>0</v>
          </cell>
        </row>
        <row r="172">
          <cell r="A172">
            <v>45069</v>
          </cell>
          <cell r="B172">
            <v>0</v>
          </cell>
          <cell r="C172">
            <v>0</v>
          </cell>
          <cell r="E172">
            <v>0</v>
          </cell>
          <cell r="F172">
            <v>0</v>
          </cell>
        </row>
        <row r="173">
          <cell r="A173">
            <v>45070</v>
          </cell>
          <cell r="B173">
            <v>0</v>
          </cell>
          <cell r="C173">
            <v>0</v>
          </cell>
          <cell r="E173">
            <v>0</v>
          </cell>
          <cell r="F173">
            <v>0</v>
          </cell>
        </row>
        <row r="174">
          <cell r="A174">
            <v>45071</v>
          </cell>
          <cell r="B174">
            <v>0</v>
          </cell>
          <cell r="C174">
            <v>0</v>
          </cell>
          <cell r="E174">
            <v>0</v>
          </cell>
          <cell r="F174">
            <v>0</v>
          </cell>
        </row>
        <row r="175">
          <cell r="A175">
            <v>45072</v>
          </cell>
          <cell r="B175">
            <v>0</v>
          </cell>
          <cell r="C175">
            <v>0</v>
          </cell>
          <cell r="E175">
            <v>0</v>
          </cell>
          <cell r="F175">
            <v>0</v>
          </cell>
        </row>
        <row r="176">
          <cell r="A176">
            <v>45075</v>
          </cell>
          <cell r="B176">
            <v>0</v>
          </cell>
          <cell r="C176">
            <v>0</v>
          </cell>
          <cell r="E176">
            <v>0</v>
          </cell>
          <cell r="F176">
            <v>0</v>
          </cell>
        </row>
        <row r="177">
          <cell r="A177">
            <v>45076</v>
          </cell>
          <cell r="B177">
            <v>0</v>
          </cell>
          <cell r="C177">
            <v>0</v>
          </cell>
          <cell r="E177">
            <v>0</v>
          </cell>
          <cell r="F177">
            <v>0</v>
          </cell>
        </row>
        <row r="178">
          <cell r="A178">
            <v>45077</v>
          </cell>
          <cell r="B178">
            <v>0</v>
          </cell>
          <cell r="C178">
            <v>0</v>
          </cell>
          <cell r="E178">
            <v>0</v>
          </cell>
          <cell r="F178">
            <v>0</v>
          </cell>
        </row>
        <row r="179">
          <cell r="A179">
            <v>45078</v>
          </cell>
          <cell r="B179">
            <v>0</v>
          </cell>
          <cell r="C179">
            <v>0</v>
          </cell>
          <cell r="E179">
            <v>0</v>
          </cell>
          <cell r="F179">
            <v>0</v>
          </cell>
        </row>
        <row r="180">
          <cell r="A180">
            <v>45079</v>
          </cell>
          <cell r="B180">
            <v>0</v>
          </cell>
          <cell r="C180">
            <v>0</v>
          </cell>
          <cell r="E180">
            <v>0</v>
          </cell>
          <cell r="F180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PCAIMAB5+"/>
      <sheetName val="PL"/>
      <sheetName val="Cotas"/>
      <sheetName val="Índices"/>
      <sheetName val="Retornos"/>
      <sheetName val="Lâmina"/>
      <sheetName val="Envio_Diário"/>
      <sheetName val="Aplicacao_dolar"/>
      <sheetName val="Lista_Envio_Clientes"/>
      <sheetName val="Feriados"/>
    </sheetNames>
    <sheetDataSet>
      <sheetData sheetId="0"/>
      <sheetData sheetId="1"/>
      <sheetData sheetId="2"/>
      <sheetData sheetId="3">
        <row r="13">
          <cell r="C13" t="str">
            <v>Data</v>
          </cell>
          <cell r="D13" t="str">
            <v>IPCA + Yield Imab 5+</v>
          </cell>
          <cell r="E13" t="str">
            <v>Ibov Index</v>
          </cell>
        </row>
        <row r="14">
          <cell r="C14">
            <v>44833</v>
          </cell>
          <cell r="D14">
            <v>1</v>
          </cell>
          <cell r="E14">
            <v>107664.35</v>
          </cell>
        </row>
        <row r="15">
          <cell r="C15">
            <v>44834</v>
          </cell>
          <cell r="D15">
            <v>1.0000828429691861</v>
          </cell>
          <cell r="E15">
            <v>110036.79</v>
          </cell>
        </row>
        <row r="16">
          <cell r="C16">
            <v>44837</v>
          </cell>
          <cell r="D16">
            <v>1.0001647437710586</v>
          </cell>
          <cell r="E16">
            <v>116134.46</v>
          </cell>
        </row>
        <row r="17">
          <cell r="C17">
            <v>44838</v>
          </cell>
          <cell r="D17">
            <v>1.0002466294458403</v>
          </cell>
          <cell r="E17">
            <v>116230.12</v>
          </cell>
        </row>
        <row r="18">
          <cell r="C18">
            <v>44839</v>
          </cell>
          <cell r="D18">
            <v>1.0003285105588575</v>
          </cell>
          <cell r="E18">
            <v>117197.82</v>
          </cell>
        </row>
        <row r="19">
          <cell r="C19">
            <v>44840</v>
          </cell>
          <cell r="D19">
            <v>1.0004118064837066</v>
          </cell>
          <cell r="E19">
            <v>117560.83</v>
          </cell>
        </row>
        <row r="20">
          <cell r="C20">
            <v>44841</v>
          </cell>
          <cell r="D20">
            <v>1.0004963068840997</v>
          </cell>
          <cell r="E20">
            <v>116375.25</v>
          </cell>
        </row>
        <row r="21">
          <cell r="C21">
            <v>44844</v>
          </cell>
          <cell r="D21">
            <v>1.000581212304374</v>
          </cell>
          <cell r="E21">
            <v>115940.64</v>
          </cell>
        </row>
        <row r="22">
          <cell r="C22">
            <v>44845</v>
          </cell>
          <cell r="D22">
            <v>1.0006670257257617</v>
          </cell>
          <cell r="E22">
            <v>114827.12</v>
          </cell>
        </row>
        <row r="23">
          <cell r="C23">
            <v>44847</v>
          </cell>
          <cell r="D23">
            <v>1.0007527864549464</v>
          </cell>
          <cell r="E23">
            <v>114300.09</v>
          </cell>
        </row>
        <row r="24">
          <cell r="C24">
            <v>44848</v>
          </cell>
          <cell r="D24">
            <v>1.0008388397968981</v>
          </cell>
          <cell r="E24">
            <v>112072.34</v>
          </cell>
        </row>
        <row r="25">
          <cell r="C25">
            <v>44851</v>
          </cell>
          <cell r="D25">
            <v>1.0009235039376341</v>
          </cell>
          <cell r="E25">
            <v>113623.98</v>
          </cell>
        </row>
        <row r="26">
          <cell r="C26">
            <v>44852</v>
          </cell>
          <cell r="D26">
            <v>1.0014408743084291</v>
          </cell>
          <cell r="E26">
            <v>115743.07</v>
          </cell>
        </row>
        <row r="27">
          <cell r="C27">
            <v>44853</v>
          </cell>
          <cell r="D27">
            <v>1.001958748923286</v>
          </cell>
          <cell r="E27">
            <v>116274.24000000001</v>
          </cell>
        </row>
        <row r="28">
          <cell r="C28">
            <v>44854</v>
          </cell>
          <cell r="D28">
            <v>1.0024768499766745</v>
          </cell>
          <cell r="E28">
            <v>117171.11</v>
          </cell>
        </row>
        <row r="29">
          <cell r="C29">
            <v>44855</v>
          </cell>
          <cell r="D29">
            <v>1.0029940598091407</v>
          </cell>
          <cell r="E29">
            <v>119928.79</v>
          </cell>
        </row>
        <row r="30">
          <cell r="C30">
            <v>44858</v>
          </cell>
          <cell r="D30">
            <v>1.0035134603885121</v>
          </cell>
          <cell r="E30">
            <v>116012.7</v>
          </cell>
        </row>
        <row r="31">
          <cell r="C31">
            <v>44859</v>
          </cell>
          <cell r="D31">
            <v>1.0040331901953579</v>
          </cell>
          <cell r="E31">
            <v>114625.59</v>
          </cell>
        </row>
        <row r="32">
          <cell r="C32">
            <v>44860</v>
          </cell>
          <cell r="D32">
            <v>1.0045547751519728</v>
          </cell>
          <cell r="E32">
            <v>112763.79</v>
          </cell>
        </row>
        <row r="33">
          <cell r="C33">
            <v>44861</v>
          </cell>
          <cell r="D33">
            <v>1.0050758057074038</v>
          </cell>
          <cell r="E33">
            <v>114640.76</v>
          </cell>
        </row>
        <row r="34">
          <cell r="C34">
            <v>44862</v>
          </cell>
          <cell r="D34">
            <v>1.0055963823868121</v>
          </cell>
          <cell r="E34">
            <v>114539.05</v>
          </cell>
        </row>
        <row r="35">
          <cell r="C35">
            <v>44865</v>
          </cell>
          <cell r="D35">
            <v>1.0061136722552995</v>
          </cell>
          <cell r="E35">
            <v>116037.08</v>
          </cell>
        </row>
        <row r="36">
          <cell r="C36">
            <v>44866</v>
          </cell>
          <cell r="D36">
            <v>1.0066314020552374</v>
          </cell>
          <cell r="E36">
            <v>116928.66</v>
          </cell>
        </row>
        <row r="37">
          <cell r="C37">
            <v>44868</v>
          </cell>
          <cell r="D37">
            <v>1.0071508800766318</v>
          </cell>
          <cell r="E37">
            <v>116896.36</v>
          </cell>
        </row>
        <row r="38">
          <cell r="C38">
            <v>44869</v>
          </cell>
          <cell r="D38">
            <v>1.0076713256702161</v>
          </cell>
          <cell r="E38">
            <v>118155.46</v>
          </cell>
        </row>
        <row r="39">
          <cell r="C39">
            <v>44872</v>
          </cell>
          <cell r="D39">
            <v>1.008195462058074</v>
          </cell>
          <cell r="E39">
            <v>115342.39999999999</v>
          </cell>
        </row>
        <row r="40">
          <cell r="C40">
            <v>44873</v>
          </cell>
          <cell r="D40">
            <v>1.0087196668721579</v>
          </cell>
          <cell r="E40">
            <v>116160.35</v>
          </cell>
        </row>
        <row r="41">
          <cell r="C41">
            <v>44874</v>
          </cell>
          <cell r="D41">
            <v>1.0092446928231467</v>
          </cell>
          <cell r="E41">
            <v>113580.09</v>
          </cell>
        </row>
        <row r="42">
          <cell r="C42">
            <v>44875</v>
          </cell>
          <cell r="D42">
            <v>1.0097797342370503</v>
          </cell>
          <cell r="E42">
            <v>109775.46</v>
          </cell>
        </row>
        <row r="43">
          <cell r="C43">
            <v>44876</v>
          </cell>
          <cell r="D43">
            <v>1.0103151952989846</v>
          </cell>
          <cell r="E43">
            <v>112253.49</v>
          </cell>
        </row>
        <row r="44">
          <cell r="C44">
            <v>44879</v>
          </cell>
          <cell r="D44">
            <v>1.0108463944863302</v>
          </cell>
          <cell r="E44">
            <v>113161.28</v>
          </cell>
        </row>
        <row r="45">
          <cell r="C45">
            <v>44881</v>
          </cell>
          <cell r="D45">
            <v>1.0113815474971262</v>
          </cell>
          <cell r="E45">
            <v>110243.33</v>
          </cell>
        </row>
        <row r="46">
          <cell r="C46">
            <v>44882</v>
          </cell>
          <cell r="D46">
            <v>1.011816263854914</v>
          </cell>
          <cell r="E46">
            <v>109702.78</v>
          </cell>
        </row>
        <row r="47">
          <cell r="C47">
            <v>44883</v>
          </cell>
          <cell r="D47">
            <v>1.0122538996171271</v>
          </cell>
          <cell r="E47">
            <v>108870.17</v>
          </cell>
        </row>
        <row r="48">
          <cell r="C48">
            <v>44886</v>
          </cell>
          <cell r="D48">
            <v>1.0126909107991029</v>
          </cell>
          <cell r="E48">
            <v>109748.18</v>
          </cell>
        </row>
        <row r="49">
          <cell r="C49">
            <v>44887</v>
          </cell>
          <cell r="D49">
            <v>1.0131314422301083</v>
          </cell>
          <cell r="E49">
            <v>109036.54</v>
          </cell>
        </row>
        <row r="50">
          <cell r="C50">
            <v>44888</v>
          </cell>
          <cell r="D50">
            <v>1.0135744854318536</v>
          </cell>
          <cell r="E50">
            <v>108841.15</v>
          </cell>
        </row>
        <row r="51">
          <cell r="C51">
            <v>44889</v>
          </cell>
          <cell r="D51">
            <v>1.014014029873016</v>
          </cell>
          <cell r="E51">
            <v>111831.16</v>
          </cell>
        </row>
        <row r="52">
          <cell r="C52">
            <v>44890</v>
          </cell>
          <cell r="D52">
            <v>1.0144570992410455</v>
          </cell>
          <cell r="E52">
            <v>108976.7</v>
          </cell>
        </row>
        <row r="53">
          <cell r="C53">
            <v>44893</v>
          </cell>
          <cell r="D53">
            <v>1.0148983345367357</v>
          </cell>
          <cell r="E53">
            <v>108782.15</v>
          </cell>
        </row>
        <row r="54">
          <cell r="C54">
            <v>44894</v>
          </cell>
          <cell r="D54">
            <v>1.0153329862196336</v>
          </cell>
          <cell r="E54">
            <v>110909.61</v>
          </cell>
        </row>
        <row r="55">
          <cell r="C55">
            <v>44895</v>
          </cell>
          <cell r="D55">
            <v>1.0157637249064437</v>
          </cell>
          <cell r="E55">
            <v>112486.01</v>
          </cell>
        </row>
        <row r="56">
          <cell r="C56">
            <v>44896</v>
          </cell>
          <cell r="D56">
            <v>1.0161968114115403</v>
          </cell>
          <cell r="E56">
            <v>110925.6</v>
          </cell>
        </row>
        <row r="57">
          <cell r="C57">
            <v>44897</v>
          </cell>
          <cell r="D57">
            <v>1.0166288379231909</v>
          </cell>
          <cell r="E57">
            <v>111923.93</v>
          </cell>
        </row>
        <row r="58">
          <cell r="C58">
            <v>44900</v>
          </cell>
          <cell r="D58">
            <v>1.0170649537059051</v>
          </cell>
          <cell r="E58">
            <v>109401.41</v>
          </cell>
        </row>
        <row r="59">
          <cell r="C59">
            <v>44901</v>
          </cell>
          <cell r="D59">
            <v>1.0175043157856725</v>
          </cell>
          <cell r="E59">
            <v>110188.57</v>
          </cell>
        </row>
        <row r="60">
          <cell r="C60">
            <v>44902</v>
          </cell>
          <cell r="D60">
            <v>1.0179434376555274</v>
          </cell>
          <cell r="E60">
            <v>109068.55</v>
          </cell>
        </row>
        <row r="61">
          <cell r="C61">
            <v>44903</v>
          </cell>
          <cell r="D61">
            <v>1.0183838567924797</v>
          </cell>
          <cell r="E61">
            <v>107249.04</v>
          </cell>
        </row>
        <row r="62">
          <cell r="C62">
            <v>44904</v>
          </cell>
          <cell r="D62">
            <v>1.0188259664950148</v>
          </cell>
          <cell r="E62">
            <v>107519.56</v>
          </cell>
        </row>
        <row r="63">
          <cell r="C63">
            <v>44907</v>
          </cell>
          <cell r="D63">
            <v>1.0192718651867576</v>
          </cell>
          <cell r="E63">
            <v>105343.33</v>
          </cell>
        </row>
        <row r="64">
          <cell r="C64">
            <v>44908</v>
          </cell>
          <cell r="D64">
            <v>1.0197197590534002</v>
          </cell>
          <cell r="E64">
            <v>103539.67</v>
          </cell>
        </row>
        <row r="65">
          <cell r="C65">
            <v>44909</v>
          </cell>
          <cell r="D65">
            <v>1.0201681770709981</v>
          </cell>
          <cell r="E65">
            <v>103745.77</v>
          </cell>
        </row>
        <row r="66">
          <cell r="C66">
            <v>44910</v>
          </cell>
          <cell r="D66">
            <v>1.0206161182525875</v>
          </cell>
          <cell r="E66">
            <v>103737.69</v>
          </cell>
        </row>
        <row r="67">
          <cell r="C67">
            <v>44911</v>
          </cell>
          <cell r="D67">
            <v>1.0211549222172123</v>
          </cell>
          <cell r="E67">
            <v>102855.7</v>
          </cell>
        </row>
        <row r="68">
          <cell r="C68">
            <v>44914</v>
          </cell>
          <cell r="D68">
            <v>1.0216948791743734</v>
          </cell>
          <cell r="E68">
            <v>104739.75</v>
          </cell>
        </row>
        <row r="69">
          <cell r="C69">
            <v>44915</v>
          </cell>
          <cell r="D69">
            <v>1.0222325483908536</v>
          </cell>
          <cell r="E69">
            <v>106864.11</v>
          </cell>
        </row>
        <row r="70">
          <cell r="C70">
            <v>44916</v>
          </cell>
          <cell r="D70">
            <v>1.0227711033518703</v>
          </cell>
          <cell r="E70">
            <v>107433.14</v>
          </cell>
        </row>
        <row r="71">
          <cell r="C71">
            <v>44917</v>
          </cell>
          <cell r="D71">
            <v>1.0233081362596121</v>
          </cell>
          <cell r="E71">
            <v>107551.52</v>
          </cell>
        </row>
        <row r="72">
          <cell r="C72">
            <v>44918</v>
          </cell>
          <cell r="D72">
            <v>1.0238425923542402</v>
          </cell>
          <cell r="E72">
            <v>109697.57</v>
          </cell>
        </row>
        <row r="73">
          <cell r="C73">
            <v>44921</v>
          </cell>
          <cell r="D73">
            <v>1.0243771363187002</v>
          </cell>
          <cell r="E73">
            <v>108737.75</v>
          </cell>
        </row>
        <row r="74">
          <cell r="C74">
            <v>44922</v>
          </cell>
          <cell r="D74">
            <v>1.02491144263016</v>
          </cell>
          <cell r="E74">
            <v>108578.2</v>
          </cell>
        </row>
        <row r="75">
          <cell r="C75">
            <v>44923</v>
          </cell>
          <cell r="D75">
            <v>1.0254423109242654</v>
          </cell>
          <cell r="E75">
            <v>110236.71</v>
          </cell>
        </row>
        <row r="76">
          <cell r="C76">
            <v>44924</v>
          </cell>
          <cell r="D76">
            <v>1.0259735155552965</v>
          </cell>
          <cell r="E76">
            <v>109734.6</v>
          </cell>
        </row>
        <row r="77">
          <cell r="C77">
            <v>44925</v>
          </cell>
          <cell r="D77">
            <v>1.0265049953635432</v>
          </cell>
          <cell r="E77">
            <v>109734.6</v>
          </cell>
        </row>
        <row r="78">
          <cell r="C78">
            <v>44928</v>
          </cell>
          <cell r="D78">
            <v>1.0270410635937817</v>
          </cell>
          <cell r="E78">
            <v>106376.02</v>
          </cell>
        </row>
        <row r="79">
          <cell r="C79">
            <v>44929</v>
          </cell>
          <cell r="D79">
            <v>1.0275813814127979</v>
          </cell>
          <cell r="E79">
            <v>104165.74</v>
          </cell>
        </row>
        <row r="80">
          <cell r="C80">
            <v>44930</v>
          </cell>
          <cell r="D80">
            <v>1.0281237858045134</v>
          </cell>
          <cell r="E80">
            <v>105334.46</v>
          </cell>
        </row>
        <row r="81">
          <cell r="C81">
            <v>44931</v>
          </cell>
          <cell r="D81">
            <v>1.0286649456940877</v>
          </cell>
          <cell r="E81">
            <v>107641.32</v>
          </cell>
        </row>
        <row r="82">
          <cell r="C82">
            <v>44932</v>
          </cell>
          <cell r="D82">
            <v>1.0292040708047361</v>
          </cell>
          <cell r="E82">
            <v>108963.7</v>
          </cell>
        </row>
        <row r="83">
          <cell r="C83">
            <v>44935</v>
          </cell>
          <cell r="D83">
            <v>1.0297435591852193</v>
          </cell>
          <cell r="E83">
            <v>109129.57</v>
          </cell>
        </row>
        <row r="84">
          <cell r="C84">
            <v>44936</v>
          </cell>
          <cell r="D84">
            <v>1.0302804952625135</v>
          </cell>
          <cell r="E84">
            <v>110816.71</v>
          </cell>
        </row>
        <row r="85">
          <cell r="C85">
            <v>44937</v>
          </cell>
          <cell r="D85">
            <v>1.0308135317888925</v>
          </cell>
          <cell r="E85">
            <v>112517.08</v>
          </cell>
        </row>
        <row r="86">
          <cell r="C86">
            <v>44938</v>
          </cell>
          <cell r="D86">
            <v>1.0313454286782422</v>
          </cell>
          <cell r="E86">
            <v>111850.22</v>
          </cell>
        </row>
        <row r="87">
          <cell r="C87">
            <v>44939</v>
          </cell>
          <cell r="D87">
            <v>1.0318780013797231</v>
          </cell>
          <cell r="E87">
            <v>110916.08</v>
          </cell>
        </row>
        <row r="88">
          <cell r="C88">
            <v>44942</v>
          </cell>
          <cell r="D88">
            <v>1.0324139945945414</v>
          </cell>
          <cell r="E88">
            <v>109212.66</v>
          </cell>
        </row>
        <row r="89">
          <cell r="C89">
            <v>44943</v>
          </cell>
          <cell r="D89">
            <v>1.032907073518772</v>
          </cell>
          <cell r="E89">
            <v>111439.12</v>
          </cell>
        </row>
        <row r="90">
          <cell r="C90">
            <v>44944</v>
          </cell>
          <cell r="D90">
            <v>1.0334012762906302</v>
          </cell>
          <cell r="E90">
            <v>112228.39</v>
          </cell>
        </row>
        <row r="91">
          <cell r="C91">
            <v>44945</v>
          </cell>
          <cell r="D91">
            <v>1.0338956266485315</v>
          </cell>
          <cell r="E91">
            <v>112921.88</v>
          </cell>
        </row>
        <row r="92">
          <cell r="C92">
            <v>44946</v>
          </cell>
          <cell r="D92">
            <v>1.0343951355428338</v>
          </cell>
          <cell r="E92">
            <v>112040.64</v>
          </cell>
        </row>
        <row r="93">
          <cell r="C93">
            <v>44949</v>
          </cell>
          <cell r="D93">
            <v>1.0348975812750691</v>
          </cell>
          <cell r="E93">
            <v>111737.28</v>
          </cell>
        </row>
        <row r="94">
          <cell r="C94">
            <v>44950</v>
          </cell>
          <cell r="D94">
            <v>1.035397757942621</v>
          </cell>
          <cell r="E94">
            <v>113028.15</v>
          </cell>
        </row>
        <row r="95">
          <cell r="C95">
            <v>44951</v>
          </cell>
          <cell r="D95">
            <v>1.0358976543742489</v>
          </cell>
          <cell r="E95">
            <v>114270.07</v>
          </cell>
        </row>
        <row r="96">
          <cell r="C96">
            <v>44952</v>
          </cell>
          <cell r="D96">
            <v>1.0363994106684715</v>
          </cell>
          <cell r="E96">
            <v>114177.55</v>
          </cell>
        </row>
        <row r="97">
          <cell r="C97">
            <v>44953</v>
          </cell>
          <cell r="D97">
            <v>1.0369034632620238</v>
          </cell>
          <cell r="E97">
            <v>112316.16</v>
          </cell>
        </row>
        <row r="98">
          <cell r="C98">
            <v>44956</v>
          </cell>
          <cell r="D98">
            <v>1.0374080125551162</v>
          </cell>
          <cell r="E98">
            <v>112273.01</v>
          </cell>
        </row>
        <row r="99">
          <cell r="C99">
            <v>44957</v>
          </cell>
          <cell r="D99">
            <v>1.0379124662522343</v>
          </cell>
          <cell r="E99">
            <v>113430.54</v>
          </cell>
        </row>
        <row r="100">
          <cell r="C100">
            <v>44958</v>
          </cell>
          <cell r="D100">
            <v>1.0384167134540294</v>
          </cell>
          <cell r="E100">
            <v>112073.55</v>
          </cell>
        </row>
        <row r="101">
          <cell r="C101">
            <v>44959</v>
          </cell>
          <cell r="D101">
            <v>1.0389217791558416</v>
          </cell>
          <cell r="E101">
            <v>110140.64</v>
          </cell>
        </row>
        <row r="102">
          <cell r="C102">
            <v>44960</v>
          </cell>
          <cell r="D102">
            <v>1.0394306129954449</v>
          </cell>
          <cell r="E102">
            <v>108523.47</v>
          </cell>
        </row>
        <row r="103">
          <cell r="C103">
            <v>44963</v>
          </cell>
          <cell r="D103">
            <v>1.0399371336360113</v>
          </cell>
          <cell r="E103">
            <v>108721.58</v>
          </cell>
        </row>
        <row r="104">
          <cell r="C104">
            <v>44964</v>
          </cell>
          <cell r="D104">
            <v>1.0404433191177769</v>
          </cell>
          <cell r="E104">
            <v>107829.73</v>
          </cell>
        </row>
        <row r="105">
          <cell r="C105">
            <v>44965</v>
          </cell>
          <cell r="D105">
            <v>1.040947230741645</v>
          </cell>
          <cell r="E105">
            <v>109951.49</v>
          </cell>
        </row>
        <row r="106">
          <cell r="C106">
            <v>44966</v>
          </cell>
          <cell r="D106">
            <v>1.0414540632402545</v>
          </cell>
          <cell r="E106">
            <v>108008.05</v>
          </cell>
        </row>
        <row r="107">
          <cell r="C107">
            <v>44967</v>
          </cell>
          <cell r="D107">
            <v>1.0419600465969268</v>
          </cell>
          <cell r="E107">
            <v>108078.27</v>
          </cell>
        </row>
        <row r="108">
          <cell r="C108">
            <v>44970</v>
          </cell>
          <cell r="D108">
            <v>1.0424661824540022</v>
          </cell>
          <cell r="E108">
            <v>108836.47</v>
          </cell>
        </row>
        <row r="109">
          <cell r="C109">
            <v>44971</v>
          </cell>
          <cell r="D109">
            <v>1.0429716069690724</v>
          </cell>
          <cell r="E109">
            <v>107848.81</v>
          </cell>
        </row>
        <row r="110">
          <cell r="C110">
            <v>44972</v>
          </cell>
          <cell r="D110">
            <v>1.0434726564060517</v>
          </cell>
          <cell r="E110">
            <v>109600.14</v>
          </cell>
        </row>
        <row r="111">
          <cell r="C111">
            <v>44973</v>
          </cell>
          <cell r="D111">
            <v>1.0442082003688786</v>
          </cell>
          <cell r="E111">
            <v>109941.46</v>
          </cell>
        </row>
        <row r="112">
          <cell r="C112">
            <v>44974</v>
          </cell>
          <cell r="D112">
            <v>1.0449422833675923</v>
          </cell>
          <cell r="E112">
            <v>109176.92</v>
          </cell>
        </row>
        <row r="113">
          <cell r="C113">
            <v>44979</v>
          </cell>
          <cell r="D113">
            <v>1.0456796170709823</v>
          </cell>
          <cell r="E113">
            <v>107152.05</v>
          </cell>
        </row>
        <row r="114">
          <cell r="C114">
            <v>44980</v>
          </cell>
          <cell r="D114">
            <v>1.0464188738261329</v>
          </cell>
          <cell r="E114">
            <v>107592.87</v>
          </cell>
        </row>
        <row r="115">
          <cell r="C115">
            <v>44981</v>
          </cell>
          <cell r="D115">
            <v>1.047160447306555</v>
          </cell>
          <cell r="E115">
            <v>105798.43</v>
          </cell>
        </row>
        <row r="116">
          <cell r="C116">
            <v>44984</v>
          </cell>
          <cell r="D116">
            <v>1.047901224317918</v>
          </cell>
          <cell r="E116">
            <v>105711.05</v>
          </cell>
        </row>
        <row r="117">
          <cell r="C117">
            <v>44985</v>
          </cell>
          <cell r="D117">
            <v>1.0486449634786172</v>
          </cell>
          <cell r="E117">
            <v>104931.93</v>
          </cell>
        </row>
        <row r="118">
          <cell r="C118">
            <v>44986</v>
          </cell>
          <cell r="D118">
            <v>1.0493900056275292</v>
          </cell>
          <cell r="E118">
            <v>104384.67</v>
          </cell>
        </row>
        <row r="119">
          <cell r="C119">
            <v>44987</v>
          </cell>
          <cell r="D119">
            <v>1.0501378837057538</v>
          </cell>
          <cell r="E119">
            <v>103325.61</v>
          </cell>
        </row>
        <row r="120">
          <cell r="C120">
            <v>44988</v>
          </cell>
          <cell r="D120">
            <v>1.0508864358201975</v>
          </cell>
          <cell r="E120">
            <v>103865.99</v>
          </cell>
        </row>
        <row r="121">
          <cell r="C121">
            <v>44991</v>
          </cell>
          <cell r="D121">
            <v>1.0516352078618705</v>
          </cell>
          <cell r="E121">
            <v>104700.32</v>
          </cell>
        </row>
        <row r="122">
          <cell r="C122">
            <v>44992</v>
          </cell>
          <cell r="D122">
            <v>1.0523829397667548</v>
          </cell>
          <cell r="E122">
            <v>104227.93</v>
          </cell>
        </row>
        <row r="123">
          <cell r="C123">
            <v>44993</v>
          </cell>
          <cell r="D123">
            <v>1.0531294707892855</v>
          </cell>
          <cell r="E123">
            <v>106540.32</v>
          </cell>
        </row>
        <row r="124">
          <cell r="C124">
            <v>44994</v>
          </cell>
          <cell r="D124">
            <v>1.0538733056996161</v>
          </cell>
          <cell r="E124">
            <v>105071.19</v>
          </cell>
        </row>
        <row r="125">
          <cell r="C125">
            <v>44995</v>
          </cell>
          <cell r="D125">
            <v>1.0546189180998471</v>
          </cell>
          <cell r="E125">
            <v>103618.2</v>
          </cell>
        </row>
        <row r="126">
          <cell r="C126">
            <v>44998</v>
          </cell>
          <cell r="D126">
            <v>1.0553634069772924</v>
          </cell>
          <cell r="E126">
            <v>103121.36</v>
          </cell>
        </row>
        <row r="127">
          <cell r="C127">
            <v>44999</v>
          </cell>
          <cell r="D127">
            <v>1.0561102746796571</v>
          </cell>
          <cell r="E127">
            <v>102932.38</v>
          </cell>
        </row>
        <row r="128">
          <cell r="C128">
            <v>45000</v>
          </cell>
          <cell r="D128">
            <v>1.056857019948831</v>
          </cell>
          <cell r="E128">
            <v>102675.45</v>
          </cell>
        </row>
        <row r="129">
          <cell r="C129">
            <v>45001</v>
          </cell>
          <cell r="D129">
            <v>1.0574515754753926</v>
          </cell>
          <cell r="E129">
            <v>103434.66</v>
          </cell>
        </row>
        <row r="130">
          <cell r="C130">
            <v>45002</v>
          </cell>
          <cell r="D130">
            <v>1.0580449992614032</v>
          </cell>
          <cell r="E130">
            <v>101981.53</v>
          </cell>
        </row>
        <row r="131">
          <cell r="C131">
            <v>45005</v>
          </cell>
          <cell r="D131">
            <v>1.0586386334605771</v>
          </cell>
          <cell r="E131">
            <v>100922.89</v>
          </cell>
        </row>
        <row r="132">
          <cell r="C132">
            <v>45006</v>
          </cell>
          <cell r="D132">
            <v>1.0592332021971211</v>
          </cell>
          <cell r="E132">
            <v>100998.13</v>
          </cell>
        </row>
        <row r="133">
          <cell r="C133">
            <v>45007</v>
          </cell>
          <cell r="D133">
            <v>1.0598265209787021</v>
          </cell>
          <cell r="E133">
            <v>100220.63</v>
          </cell>
        </row>
        <row r="134">
          <cell r="C134">
            <v>45008</v>
          </cell>
          <cell r="D134">
            <v>1.0604204257054228</v>
          </cell>
          <cell r="E134">
            <v>97926.34</v>
          </cell>
        </row>
        <row r="135">
          <cell r="C135">
            <v>45009</v>
          </cell>
          <cell r="D135">
            <v>1.0610125178196486</v>
          </cell>
          <cell r="E135">
            <v>98829.27</v>
          </cell>
        </row>
        <row r="136">
          <cell r="C136">
            <v>45012</v>
          </cell>
          <cell r="D136">
            <v>1.0616039362848007</v>
          </cell>
          <cell r="E136">
            <v>99670.47</v>
          </cell>
        </row>
        <row r="137">
          <cell r="C137">
            <v>45013</v>
          </cell>
          <cell r="D137">
            <v>1.0621966852481675</v>
          </cell>
          <cell r="E137">
            <v>101185.09</v>
          </cell>
        </row>
        <row r="138">
          <cell r="C138">
            <v>45014</v>
          </cell>
          <cell r="D138">
            <v>1.0627905319553677</v>
          </cell>
          <cell r="E138">
            <v>101792.52</v>
          </cell>
        </row>
        <row r="139">
          <cell r="C139">
            <v>45015</v>
          </cell>
          <cell r="D139">
            <v>1.0633831085113954</v>
          </cell>
          <cell r="E139">
            <v>103713.45</v>
          </cell>
        </row>
        <row r="140">
          <cell r="C140">
            <v>45016</v>
          </cell>
          <cell r="D140">
            <v>1.0639766082294926</v>
          </cell>
          <cell r="E140">
            <v>101882.2</v>
          </cell>
        </row>
        <row r="141">
          <cell r="C141">
            <v>45019</v>
          </cell>
          <cell r="D141">
            <v>1.0645694559695351</v>
          </cell>
          <cell r="E141">
            <v>101506.18</v>
          </cell>
        </row>
        <row r="142">
          <cell r="C142">
            <v>45020</v>
          </cell>
          <cell r="D142">
            <v>1.0651617137916563</v>
          </cell>
          <cell r="E142">
            <v>101869.45</v>
          </cell>
        </row>
        <row r="143">
          <cell r="C143">
            <v>45021</v>
          </cell>
          <cell r="D143">
            <v>1.0657537389845337</v>
          </cell>
          <cell r="E143">
            <v>100977.85</v>
          </cell>
        </row>
        <row r="144">
          <cell r="C144">
            <v>45022</v>
          </cell>
          <cell r="D144">
            <v>1.0663475928928683</v>
          </cell>
          <cell r="E144">
            <v>100821.73</v>
          </cell>
        </row>
        <row r="145">
          <cell r="C145">
            <v>45026</v>
          </cell>
          <cell r="D145">
            <v>1.0669429984653356</v>
          </cell>
          <cell r="E145">
            <v>101846.64</v>
          </cell>
        </row>
        <row r="146">
          <cell r="C146">
            <v>45027</v>
          </cell>
          <cell r="D146">
            <v>1.0675356582629656</v>
          </cell>
          <cell r="E146">
            <v>106213.75999999999</v>
          </cell>
        </row>
        <row r="147">
          <cell r="C147">
            <v>45028</v>
          </cell>
          <cell r="D147">
            <v>1.0681279798547254</v>
          </cell>
          <cell r="E147">
            <v>106889.71</v>
          </cell>
        </row>
        <row r="148">
          <cell r="C148">
            <v>45029</v>
          </cell>
          <cell r="D148">
            <v>1.0687175177223329</v>
          </cell>
          <cell r="E148">
            <v>106457.85</v>
          </cell>
        </row>
        <row r="149">
          <cell r="C149">
            <v>45030</v>
          </cell>
          <cell r="D149">
            <v>1.0693070846593793</v>
          </cell>
          <cell r="E149">
            <v>106279.37</v>
          </cell>
        </row>
        <row r="150">
          <cell r="C150">
            <v>45033</v>
          </cell>
          <cell r="D150">
            <v>1.0698963237037642</v>
          </cell>
          <cell r="E150">
            <v>106015.67</v>
          </cell>
        </row>
        <row r="151">
          <cell r="C151">
            <v>45034</v>
          </cell>
          <cell r="D151">
            <v>1.0705044504657133</v>
          </cell>
          <cell r="E151">
            <v>106163.23</v>
          </cell>
        </row>
        <row r="152">
          <cell r="C152">
            <v>45035</v>
          </cell>
          <cell r="D152">
            <v>1.0711159378840962</v>
          </cell>
          <cell r="E152">
            <v>103912.94</v>
          </cell>
        </row>
        <row r="153">
          <cell r="C153">
            <v>45036</v>
          </cell>
          <cell r="D153">
            <v>1.0717258492724668</v>
          </cell>
          <cell r="E153">
            <v>104366.82</v>
          </cell>
        </row>
        <row r="154">
          <cell r="C154">
            <v>45040</v>
          </cell>
          <cell r="D154">
            <v>1.0723353050245652</v>
          </cell>
          <cell r="E154">
            <v>103946.58</v>
          </cell>
        </row>
        <row r="155">
          <cell r="C155">
            <v>45041</v>
          </cell>
          <cell r="D155">
            <v>1.0729436247096342</v>
          </cell>
          <cell r="E155">
            <v>103220.09</v>
          </cell>
        </row>
        <row r="156">
          <cell r="C156">
            <v>45042</v>
          </cell>
          <cell r="D156">
            <v>1.073551038776398</v>
          </cell>
          <cell r="E156">
            <v>102312.1</v>
          </cell>
        </row>
        <row r="157">
          <cell r="C157">
            <v>45043</v>
          </cell>
          <cell r="D157">
            <v>1.0741580722519715</v>
          </cell>
          <cell r="E157">
            <v>102923.31</v>
          </cell>
        </row>
        <row r="158">
          <cell r="C158">
            <v>45044</v>
          </cell>
          <cell r="D158">
            <v>1.0747668663794796</v>
          </cell>
          <cell r="E158">
            <v>104431.63</v>
          </cell>
        </row>
        <row r="159">
          <cell r="C159">
            <v>45048</v>
          </cell>
          <cell r="D159">
            <v>1.0753766580915103</v>
          </cell>
          <cell r="E159">
            <v>101926.95</v>
          </cell>
        </row>
        <row r="160">
          <cell r="C160">
            <v>45049</v>
          </cell>
          <cell r="D160">
            <v>1.0759850060815361</v>
          </cell>
          <cell r="E160">
            <v>101797.09</v>
          </cell>
        </row>
        <row r="161">
          <cell r="C161">
            <v>45050</v>
          </cell>
          <cell r="D161">
            <v>1.0765913861253822</v>
          </cell>
          <cell r="E161">
            <v>102174.34</v>
          </cell>
        </row>
        <row r="162">
          <cell r="C162">
            <v>45051</v>
          </cell>
          <cell r="D162">
            <v>1.0771968073286162</v>
          </cell>
          <cell r="E162">
            <v>105148.48</v>
          </cell>
        </row>
        <row r="163">
          <cell r="C163">
            <v>45054</v>
          </cell>
          <cell r="D163">
            <v>1.0778038622114399</v>
          </cell>
          <cell r="E163">
            <v>106042.15</v>
          </cell>
        </row>
        <row r="164">
          <cell r="C164">
            <v>45055</v>
          </cell>
          <cell r="D164">
            <v>1.0784123062057009</v>
          </cell>
          <cell r="E164">
            <v>107113.66</v>
          </cell>
        </row>
        <row r="165">
          <cell r="C165">
            <v>45056</v>
          </cell>
          <cell r="D165">
            <v>1.0790194837548002</v>
          </cell>
          <cell r="E165">
            <v>107448.21</v>
          </cell>
        </row>
        <row r="166">
          <cell r="C166">
            <v>45057</v>
          </cell>
          <cell r="D166">
            <v>1.0796245736323908</v>
          </cell>
          <cell r="E166">
            <v>108256.4</v>
          </cell>
        </row>
        <row r="167">
          <cell r="C167">
            <v>45058</v>
          </cell>
          <cell r="D167">
            <v>1.0802273921440524</v>
          </cell>
          <cell r="E167">
            <v>108463.84</v>
          </cell>
        </row>
        <row r="168">
          <cell r="C168">
            <v>45061</v>
          </cell>
          <cell r="D168">
            <v>1.0808283638344238</v>
          </cell>
          <cell r="E168">
            <v>109029.12</v>
          </cell>
        </row>
        <row r="169">
          <cell r="C169">
            <v>45062</v>
          </cell>
          <cell r="D169">
            <v>1.0811793057995487</v>
          </cell>
          <cell r="E169">
            <v>108193.68</v>
          </cell>
        </row>
        <row r="170">
          <cell r="C170">
            <v>45063</v>
          </cell>
          <cell r="D170">
            <v>1.0815302439710037</v>
          </cell>
          <cell r="E170">
            <v>109459.95</v>
          </cell>
        </row>
        <row r="171">
          <cell r="C171">
            <v>45064</v>
          </cell>
          <cell r="D171">
            <v>1.0818817834048302</v>
          </cell>
          <cell r="E171">
            <v>110108.46</v>
          </cell>
        </row>
        <row r="172">
          <cell r="C172">
            <v>45065</v>
          </cell>
          <cell r="D172">
            <v>1.0822332830570514</v>
          </cell>
          <cell r="E172">
            <v>110744.51</v>
          </cell>
        </row>
        <row r="173">
          <cell r="C173">
            <v>45068</v>
          </cell>
          <cell r="D173">
            <v>1.0825861033697495</v>
          </cell>
          <cell r="E173">
            <v>110213.12</v>
          </cell>
        </row>
        <row r="174">
          <cell r="C174">
            <v>45069</v>
          </cell>
          <cell r="D174">
            <v>1.082938148595971</v>
          </cell>
          <cell r="E174">
            <v>109928.53</v>
          </cell>
        </row>
        <row r="175">
          <cell r="C175">
            <v>45070</v>
          </cell>
          <cell r="D175">
            <v>1.0832893973852944</v>
          </cell>
          <cell r="E175">
            <v>108799.54</v>
          </cell>
        </row>
        <row r="176">
          <cell r="C176">
            <v>45071</v>
          </cell>
          <cell r="D176">
            <v>1.083638904536371</v>
          </cell>
          <cell r="E176">
            <v>110054.38</v>
          </cell>
        </row>
        <row r="177">
          <cell r="C177">
            <v>45072</v>
          </cell>
          <cell r="D177">
            <v>1.0839875064783915</v>
          </cell>
          <cell r="E177">
            <v>110905.51</v>
          </cell>
        </row>
        <row r="178">
          <cell r="C178">
            <v>45075</v>
          </cell>
          <cell r="D178">
            <v>1.0843360209492505</v>
          </cell>
          <cell r="E178">
            <v>110333.4</v>
          </cell>
        </row>
        <row r="179">
          <cell r="C179">
            <v>45076</v>
          </cell>
          <cell r="D179">
            <v>1.0846844111047786</v>
          </cell>
          <cell r="E179">
            <v>108967.03</v>
          </cell>
        </row>
        <row r="180">
          <cell r="C180">
            <v>45077</v>
          </cell>
          <cell r="D180">
            <v>1.0850332597022414</v>
          </cell>
          <cell r="E180">
            <v>108335.07</v>
          </cell>
        </row>
        <row r="181">
          <cell r="C181">
            <v>45078</v>
          </cell>
          <cell r="D181">
            <v>1.0853818086272504</v>
          </cell>
          <cell r="E181">
            <v>110564.66</v>
          </cell>
        </row>
        <row r="182">
          <cell r="C182">
            <v>45079</v>
          </cell>
          <cell r="D182">
            <v>1.0857282905736265</v>
          </cell>
          <cell r="E182">
            <v>112558.15</v>
          </cell>
        </row>
        <row r="183">
          <cell r="C183">
            <v>45082</v>
          </cell>
          <cell r="D183">
            <v>1.0860725308223609</v>
          </cell>
          <cell r="E183">
            <v>112696.32000000001</v>
          </cell>
        </row>
        <row r="184">
          <cell r="C184">
            <v>45083</v>
          </cell>
          <cell r="D184">
            <v>1.0864157359099562</v>
          </cell>
          <cell r="E184">
            <v>114610.1</v>
          </cell>
        </row>
        <row r="185">
          <cell r="C185">
            <v>45084</v>
          </cell>
          <cell r="D185">
            <v>1.0867617511989087</v>
          </cell>
          <cell r="E185">
            <v>115488.16</v>
          </cell>
        </row>
        <row r="186">
          <cell r="C186">
            <v>45086</v>
          </cell>
          <cell r="D186">
            <v>1.0871068097512402</v>
          </cell>
          <cell r="E186">
            <v>117019.48</v>
          </cell>
        </row>
        <row r="187">
          <cell r="C187">
            <v>45089</v>
          </cell>
          <cell r="D187">
            <v>1.0874530124324275</v>
          </cell>
          <cell r="E187">
            <v>117336.34</v>
          </cell>
        </row>
        <row r="188">
          <cell r="C188">
            <v>45090</v>
          </cell>
          <cell r="D188">
            <v>1.0878021342991753</v>
          </cell>
          <cell r="E188">
            <v>116742.71</v>
          </cell>
        </row>
        <row r="189">
          <cell r="C189">
            <v>45091</v>
          </cell>
          <cell r="D189">
            <v>1.0881490575289707</v>
          </cell>
          <cell r="E189">
            <v>119068.77</v>
          </cell>
        </row>
        <row r="190">
          <cell r="C190">
            <v>45092</v>
          </cell>
          <cell r="D190">
            <v>1.0884954120471322</v>
          </cell>
          <cell r="E190">
            <v>119221</v>
          </cell>
        </row>
        <row r="191">
          <cell r="C191">
            <v>45093</v>
          </cell>
          <cell r="D191">
            <v>1.0886877070783305</v>
          </cell>
          <cell r="E191">
            <v>118758.42</v>
          </cell>
        </row>
        <row r="192">
          <cell r="C192">
            <v>45096</v>
          </cell>
          <cell r="D192">
            <v>1.0888800524610978</v>
          </cell>
          <cell r="E192">
            <v>119857.76</v>
          </cell>
        </row>
        <row r="193">
          <cell r="C193">
            <v>45097</v>
          </cell>
          <cell r="D193">
            <v>1.0890725014553806</v>
          </cell>
          <cell r="E193">
            <v>119622.39999999999</v>
          </cell>
        </row>
        <row r="194">
          <cell r="C194">
            <v>45098</v>
          </cell>
          <cell r="D194">
            <v>1.0892635873341834</v>
          </cell>
          <cell r="E194">
            <v>120420.26</v>
          </cell>
        </row>
        <row r="195">
          <cell r="C195">
            <v>45099</v>
          </cell>
          <cell r="D195">
            <v>1.0894545141051946</v>
          </cell>
          <cell r="E195">
            <v>118934.2</v>
          </cell>
        </row>
        <row r="196">
          <cell r="C196">
            <v>45100</v>
          </cell>
          <cell r="D196">
            <v>1.0896442730423888</v>
          </cell>
          <cell r="E196">
            <v>118977.1</v>
          </cell>
        </row>
        <row r="197">
          <cell r="C197">
            <v>45103</v>
          </cell>
          <cell r="D197">
            <v>1.0898338435566286</v>
          </cell>
          <cell r="E197">
            <v>118242.95</v>
          </cell>
        </row>
        <row r="198">
          <cell r="C198">
            <v>45104</v>
          </cell>
          <cell r="D198">
            <v>1.0900243084285071</v>
          </cell>
          <cell r="E198">
            <v>117522.87</v>
          </cell>
        </row>
        <row r="199">
          <cell r="C199">
            <v>45105</v>
          </cell>
          <cell r="D199">
            <v>1.0902159960348679</v>
          </cell>
          <cell r="E199">
            <v>116681.32</v>
          </cell>
        </row>
        <row r="200">
          <cell r="C200">
            <v>45106</v>
          </cell>
          <cell r="D200">
            <v>1.0904058835019779</v>
          </cell>
          <cell r="E200">
            <v>118382.65</v>
          </cell>
        </row>
        <row r="201">
          <cell r="C201">
            <v>45107</v>
          </cell>
          <cell r="D201">
            <v>1.0905912706962244</v>
          </cell>
          <cell r="E201">
            <v>118087</v>
          </cell>
        </row>
        <row r="202">
          <cell r="C202">
            <v>45110</v>
          </cell>
          <cell r="D202">
            <v>1.0907758592851629</v>
          </cell>
          <cell r="E202">
            <v>119672.78</v>
          </cell>
        </row>
        <row r="203">
          <cell r="C203">
            <v>45111</v>
          </cell>
          <cell r="D203">
            <v>1.090962665413443</v>
          </cell>
          <cell r="E203">
            <v>119076.37</v>
          </cell>
        </row>
        <row r="204">
          <cell r="C204">
            <v>45112</v>
          </cell>
          <cell r="D204">
            <v>1.091150953857587</v>
          </cell>
          <cell r="E204">
            <v>119549.21</v>
          </cell>
        </row>
        <row r="205">
          <cell r="C205">
            <v>45113</v>
          </cell>
          <cell r="D205">
            <v>1.0913406756013908</v>
          </cell>
          <cell r="E205">
            <v>117425.7</v>
          </cell>
        </row>
        <row r="206">
          <cell r="C206">
            <v>45114</v>
          </cell>
          <cell r="D206">
            <v>1.0915280840435895</v>
          </cell>
          <cell r="E206">
            <v>118897.99</v>
          </cell>
        </row>
        <row r="207">
          <cell r="C207">
            <v>45117</v>
          </cell>
          <cell r="D207">
            <v>1.0917175138898949</v>
          </cell>
          <cell r="E207">
            <v>117942.44</v>
          </cell>
        </row>
        <row r="208">
          <cell r="C208">
            <v>45118</v>
          </cell>
          <cell r="D208">
            <v>1.0919064546431634</v>
          </cell>
          <cell r="E208">
            <v>117219.95</v>
          </cell>
        </row>
        <row r="209">
          <cell r="C209">
            <v>45119</v>
          </cell>
          <cell r="D209">
            <v>1.0920952595441122</v>
          </cell>
          <cell r="E209">
            <v>117666.49</v>
          </cell>
        </row>
        <row r="210">
          <cell r="C210">
            <v>45120</v>
          </cell>
          <cell r="D210">
            <v>1.0922847425982343</v>
          </cell>
          <cell r="E210">
            <v>119263.89</v>
          </cell>
        </row>
        <row r="211">
          <cell r="C211">
            <v>45121</v>
          </cell>
          <cell r="D211">
            <v>1.0924756481334401</v>
          </cell>
          <cell r="E211">
            <v>117710.54</v>
          </cell>
        </row>
        <row r="212">
          <cell r="C212">
            <v>45124</v>
          </cell>
          <cell r="D212">
            <v>1.092665978516592</v>
          </cell>
          <cell r="E212">
            <v>118219.46</v>
          </cell>
        </row>
        <row r="213">
          <cell r="C213">
            <v>45125</v>
          </cell>
          <cell r="D213">
            <v>1.0929570182595956</v>
          </cell>
          <cell r="E213">
            <v>117841.19</v>
          </cell>
        </row>
        <row r="214">
          <cell r="C214">
            <v>45126</v>
          </cell>
          <cell r="D214">
            <v>1.0932485552813764</v>
          </cell>
          <cell r="E214">
            <v>117552.07</v>
          </cell>
        </row>
        <row r="215">
          <cell r="C215">
            <v>45127</v>
          </cell>
          <cell r="D215">
            <v>1.0935401947651699</v>
          </cell>
          <cell r="E215">
            <v>118082.9</v>
          </cell>
        </row>
        <row r="216">
          <cell r="C216">
            <v>45128</v>
          </cell>
          <cell r="D216">
            <v>1.093830285430534</v>
          </cell>
          <cell r="E216">
            <v>120216.77</v>
          </cell>
        </row>
        <row r="217">
          <cell r="C217">
            <v>45131</v>
          </cell>
          <cell r="D217">
            <v>1.0941200245616014</v>
          </cell>
          <cell r="E217">
            <v>121341.69</v>
          </cell>
        </row>
        <row r="218">
          <cell r="C218">
            <v>45132</v>
          </cell>
          <cell r="D218">
            <v>1.094409741526037</v>
          </cell>
          <cell r="E218">
            <v>122007.77</v>
          </cell>
        </row>
        <row r="219">
          <cell r="C219">
            <v>45133</v>
          </cell>
          <cell r="D219">
            <v>1.0946988260677606</v>
          </cell>
          <cell r="E219">
            <v>122560.38</v>
          </cell>
        </row>
        <row r="220">
          <cell r="C220">
            <v>45134</v>
          </cell>
          <cell r="D220">
            <v>1.0949887045429438</v>
          </cell>
          <cell r="E220">
            <v>119989.64</v>
          </cell>
        </row>
        <row r="221">
          <cell r="C221">
            <v>45135</v>
          </cell>
          <cell r="D221">
            <v>1.0952778306281752</v>
          </cell>
          <cell r="E221">
            <v>120187.11</v>
          </cell>
        </row>
        <row r="222">
          <cell r="C222">
            <v>45138</v>
          </cell>
          <cell r="D222">
            <v>1.095565497687673</v>
          </cell>
          <cell r="E222">
            <v>121942.98</v>
          </cell>
        </row>
        <row r="223">
          <cell r="C223">
            <v>45139</v>
          </cell>
          <cell r="D223">
            <v>1.0958528521441704</v>
          </cell>
          <cell r="E223">
            <v>121248.39</v>
          </cell>
        </row>
        <row r="224">
          <cell r="C224">
            <v>45140</v>
          </cell>
          <cell r="D224">
            <v>1.0961390839340019</v>
          </cell>
          <cell r="E224">
            <v>120858.72</v>
          </cell>
        </row>
        <row r="225">
          <cell r="C225">
            <v>45141</v>
          </cell>
          <cell r="D225">
            <v>1.0964259277180493</v>
          </cell>
          <cell r="E225">
            <v>120585.77</v>
          </cell>
        </row>
        <row r="226">
          <cell r="C226">
            <v>45142</v>
          </cell>
          <cell r="D226">
            <v>1.096712168638176</v>
          </cell>
          <cell r="E226">
            <v>119507.68</v>
          </cell>
        </row>
        <row r="227">
          <cell r="C227">
            <v>45145</v>
          </cell>
          <cell r="D227">
            <v>1.0969990300855499</v>
          </cell>
          <cell r="E227">
            <v>119379.5</v>
          </cell>
        </row>
        <row r="228">
          <cell r="C228">
            <v>45146</v>
          </cell>
          <cell r="D228">
            <v>1.0972834223916397</v>
          </cell>
          <cell r="E228">
            <v>119090.24000000001</v>
          </cell>
        </row>
        <row r="229">
          <cell r="C229">
            <v>45147</v>
          </cell>
          <cell r="D229">
            <v>1.0975679132600198</v>
          </cell>
          <cell r="E229">
            <v>118408.77</v>
          </cell>
        </row>
        <row r="230">
          <cell r="C230">
            <v>45148</v>
          </cell>
          <cell r="D230">
            <v>1.0978517822798091</v>
          </cell>
          <cell r="E230">
            <v>118349.6</v>
          </cell>
        </row>
        <row r="231">
          <cell r="C231">
            <v>45149</v>
          </cell>
          <cell r="D231">
            <v>1.0981354720532561</v>
          </cell>
          <cell r="E231">
            <v>118065.14</v>
          </cell>
        </row>
        <row r="232">
          <cell r="C232">
            <v>45152</v>
          </cell>
          <cell r="D232">
            <v>1.0984206311805644</v>
          </cell>
          <cell r="E232">
            <v>116809.55</v>
          </cell>
        </row>
        <row r="233">
          <cell r="C233">
            <v>45153</v>
          </cell>
          <cell r="D233">
            <v>1.0987056447729024</v>
          </cell>
          <cell r="E233">
            <v>116171.42</v>
          </cell>
        </row>
        <row r="234">
          <cell r="C234">
            <v>45154</v>
          </cell>
          <cell r="D234">
            <v>1.0990435606899496</v>
          </cell>
          <cell r="E234">
            <v>115591.52</v>
          </cell>
        </row>
        <row r="235">
          <cell r="C235">
            <v>45155</v>
          </cell>
          <cell r="D235">
            <v>1.0993828404346939</v>
          </cell>
          <cell r="E235">
            <v>114982.3</v>
          </cell>
        </row>
        <row r="236">
          <cell r="C236">
            <v>45156</v>
          </cell>
          <cell r="D236">
            <v>1.0997229212359949</v>
          </cell>
          <cell r="E236">
            <v>115408.52</v>
          </cell>
        </row>
        <row r="237">
          <cell r="C237">
            <v>45159</v>
          </cell>
          <cell r="D237">
            <v>1.1000657472596445</v>
          </cell>
          <cell r="E237">
            <v>114429.35</v>
          </cell>
        </row>
        <row r="238">
          <cell r="C238">
            <v>45160</v>
          </cell>
          <cell r="D238">
            <v>1.1004097161594275</v>
          </cell>
          <cell r="E238">
            <v>116156.01</v>
          </cell>
        </row>
        <row r="239">
          <cell r="C239">
            <v>45161</v>
          </cell>
          <cell r="D239">
            <v>1.1007525075283666</v>
          </cell>
          <cell r="E239">
            <v>118134.59</v>
          </cell>
        </row>
        <row r="240">
          <cell r="C240">
            <v>45162</v>
          </cell>
          <cell r="D240">
            <v>1.1010961811629767</v>
          </cell>
          <cell r="E240">
            <v>117025.60000000001</v>
          </cell>
        </row>
        <row r="241">
          <cell r="C241">
            <v>45163</v>
          </cell>
          <cell r="D241">
            <v>1.1014409160093548</v>
          </cell>
          <cell r="E241">
            <v>115837.2</v>
          </cell>
        </row>
        <row r="242">
          <cell r="C242">
            <v>45166</v>
          </cell>
          <cell r="D242">
            <v>1.1017855181792329</v>
          </cell>
          <cell r="E242">
            <v>117120.98</v>
          </cell>
        </row>
        <row r="243">
          <cell r="C243">
            <v>45167</v>
          </cell>
          <cell r="D243">
            <v>1.1021293026573895</v>
          </cell>
          <cell r="E243">
            <v>118403.61</v>
          </cell>
        </row>
        <row r="244">
          <cell r="C244">
            <v>45168</v>
          </cell>
          <cell r="D244">
            <v>1.10247451868746</v>
          </cell>
          <cell r="E244">
            <v>117535.1</v>
          </cell>
        </row>
        <row r="245">
          <cell r="C245">
            <v>45169</v>
          </cell>
          <cell r="D245">
            <v>1.1028240343991451</v>
          </cell>
          <cell r="E245">
            <v>115741.81</v>
          </cell>
        </row>
        <row r="246">
          <cell r="C246">
            <v>45170</v>
          </cell>
          <cell r="D246">
            <v>1.1031740136009289</v>
          </cell>
          <cell r="E246">
            <v>117892.96</v>
          </cell>
        </row>
        <row r="247">
          <cell r="C247">
            <v>45173</v>
          </cell>
          <cell r="D247">
            <v>1.1035249836584256</v>
          </cell>
          <cell r="E247">
            <v>117776.62</v>
          </cell>
        </row>
        <row r="248">
          <cell r="C248">
            <v>45174</v>
          </cell>
          <cell r="D248">
            <v>1.1038776922116895</v>
          </cell>
          <cell r="E248">
            <v>117331.3</v>
          </cell>
        </row>
        <row r="249">
          <cell r="C249">
            <v>45175</v>
          </cell>
          <cell r="D249">
            <v>1.1042304014286255</v>
          </cell>
          <cell r="E249">
            <v>115985.34</v>
          </cell>
        </row>
        <row r="250">
          <cell r="C250">
            <v>45177</v>
          </cell>
          <cell r="D250">
            <v>1.1045830115813164</v>
          </cell>
          <cell r="E250">
            <v>115313.4</v>
          </cell>
        </row>
        <row r="251">
          <cell r="C251">
            <v>45180</v>
          </cell>
          <cell r="D251">
            <v>1.1049357177173462</v>
          </cell>
          <cell r="E251">
            <v>116883.34</v>
          </cell>
        </row>
        <row r="252">
          <cell r="C252">
            <v>45181</v>
          </cell>
          <cell r="D252">
            <v>1.1052875308636554</v>
          </cell>
          <cell r="E252">
            <v>117968.12</v>
          </cell>
        </row>
        <row r="253">
          <cell r="C253">
            <v>45182</v>
          </cell>
          <cell r="D253">
            <v>1.1056393978262797</v>
          </cell>
          <cell r="E253">
            <v>118175.97</v>
          </cell>
        </row>
        <row r="254">
          <cell r="C254">
            <v>45183</v>
          </cell>
          <cell r="D254">
            <v>1.1059914599765703</v>
          </cell>
          <cell r="E254">
            <v>119391.55</v>
          </cell>
        </row>
        <row r="255">
          <cell r="C255">
            <v>45184</v>
          </cell>
          <cell r="D255">
            <v>1.1063452853818339</v>
          </cell>
          <cell r="E255">
            <v>118757.53</v>
          </cell>
        </row>
        <row r="256">
          <cell r="C256">
            <v>45187</v>
          </cell>
          <cell r="D256">
            <v>1.106728015368442</v>
          </cell>
          <cell r="E256">
            <v>118288.21</v>
          </cell>
        </row>
        <row r="257">
          <cell r="C257">
            <v>45188</v>
          </cell>
          <cell r="D257">
            <v>1.1071118096168173</v>
          </cell>
          <cell r="E257">
            <v>117845.78</v>
          </cell>
        </row>
        <row r="258">
          <cell r="C258">
            <v>45189</v>
          </cell>
          <cell r="D258">
            <v>1.1074949129853577</v>
          </cell>
          <cell r="E258">
            <v>118695.32</v>
          </cell>
        </row>
        <row r="259">
          <cell r="C259">
            <v>45190</v>
          </cell>
          <cell r="D259">
            <v>1.1078789898307366</v>
          </cell>
          <cell r="E259">
            <v>116145.05</v>
          </cell>
        </row>
        <row r="260">
          <cell r="C260">
            <v>45191</v>
          </cell>
          <cell r="D260">
            <v>1.1082636329036812</v>
          </cell>
          <cell r="E260">
            <v>116008.64</v>
          </cell>
        </row>
        <row r="261">
          <cell r="C261">
            <v>45194</v>
          </cell>
          <cell r="D261">
            <v>1.108651090964077</v>
          </cell>
          <cell r="E261">
            <v>115924.61</v>
          </cell>
        </row>
        <row r="262">
          <cell r="C262">
            <v>45195</v>
          </cell>
          <cell r="D262">
            <v>1.1090464475417359</v>
          </cell>
          <cell r="E262">
            <v>114193.43</v>
          </cell>
        </row>
        <row r="263">
          <cell r="C263">
            <v>45196</v>
          </cell>
          <cell r="D263">
            <v>1.109443678694144</v>
          </cell>
          <cell r="E263">
            <v>114327.05</v>
          </cell>
        </row>
        <row r="264">
          <cell r="C264">
            <v>45197</v>
          </cell>
          <cell r="D264">
            <v>1.1098376579303657</v>
          </cell>
          <cell r="E264">
            <v>115730.76</v>
          </cell>
        </row>
        <row r="265">
          <cell r="C265">
            <v>45198</v>
          </cell>
          <cell r="D265">
            <v>1.1102286456713544</v>
          </cell>
          <cell r="E265">
            <v>116565.17</v>
          </cell>
        </row>
        <row r="266">
          <cell r="C266">
            <v>45201</v>
          </cell>
          <cell r="D266">
            <v>1.1106233866688731</v>
          </cell>
          <cell r="E266">
            <v>115056.86</v>
          </cell>
        </row>
        <row r="267">
          <cell r="C267">
            <v>45202</v>
          </cell>
          <cell r="D267">
            <v>1.1110223937251174</v>
          </cell>
          <cell r="E267">
            <v>113419.04</v>
          </cell>
        </row>
        <row r="268">
          <cell r="C268">
            <v>45203</v>
          </cell>
          <cell r="D268">
            <v>1.1114198579024259</v>
          </cell>
          <cell r="E268">
            <v>113607.45</v>
          </cell>
        </row>
        <row r="269">
          <cell r="C269">
            <v>45204</v>
          </cell>
          <cell r="D269">
            <v>1.1118179433131135</v>
          </cell>
          <cell r="E269">
            <v>113284.08</v>
          </cell>
        </row>
        <row r="270">
          <cell r="C270">
            <v>45205</v>
          </cell>
          <cell r="D270">
            <v>1.1122142291315062</v>
          </cell>
          <cell r="E270">
            <v>114169.63</v>
          </cell>
        </row>
        <row r="271">
          <cell r="C271">
            <v>45208</v>
          </cell>
          <cell r="D271">
            <v>1.1126077027397341</v>
          </cell>
          <cell r="E271">
            <v>115156.07</v>
          </cell>
        </row>
        <row r="272">
          <cell r="C272">
            <v>45209</v>
          </cell>
          <cell r="D272">
            <v>1.1130005139884163</v>
          </cell>
          <cell r="E272">
            <v>116736.95</v>
          </cell>
        </row>
        <row r="273">
          <cell r="C273">
            <v>45210</v>
          </cell>
          <cell r="D273">
            <v>1.1133933803871916</v>
          </cell>
          <cell r="E273">
            <v>117050.74</v>
          </cell>
        </row>
        <row r="274">
          <cell r="C274">
            <v>45212</v>
          </cell>
          <cell r="D274">
            <v>1.1137887329868519</v>
          </cell>
          <cell r="E274">
            <v>115754.08</v>
          </cell>
        </row>
        <row r="275">
          <cell r="C275">
            <v>45215</v>
          </cell>
          <cell r="D275">
            <v>1.114182571383991</v>
          </cell>
          <cell r="E275">
            <v>116533.85</v>
          </cell>
        </row>
        <row r="276">
          <cell r="C276">
            <v>45216</v>
          </cell>
          <cell r="D276">
            <v>1.1145614691464756</v>
          </cell>
          <cell r="E276">
            <v>115908.43</v>
          </cell>
        </row>
        <row r="277">
          <cell r="C277">
            <v>45217</v>
          </cell>
          <cell r="D277">
            <v>1.1149403285741644</v>
          </cell>
          <cell r="E277">
            <v>114059.64</v>
          </cell>
        </row>
        <row r="278">
          <cell r="C278">
            <v>45218</v>
          </cell>
          <cell r="D278">
            <v>1.1153245276127361</v>
          </cell>
          <cell r="E278">
            <v>114004.3</v>
          </cell>
        </row>
        <row r="279">
          <cell r="C279">
            <v>45219</v>
          </cell>
          <cell r="D279">
            <v>1.1157075804883221</v>
          </cell>
          <cell r="E279">
            <v>113155.28</v>
          </cell>
        </row>
        <row r="280">
          <cell r="C280">
            <v>45222</v>
          </cell>
          <cell r="D280">
            <v>1.1160913710266231</v>
          </cell>
          <cell r="E280">
            <v>112784.52</v>
          </cell>
        </row>
        <row r="281">
          <cell r="C281">
            <v>45223</v>
          </cell>
          <cell r="D281">
            <v>1.1164739930449756</v>
          </cell>
          <cell r="E281">
            <v>113761.9</v>
          </cell>
        </row>
        <row r="282">
          <cell r="C282">
            <v>45224</v>
          </cell>
          <cell r="D282">
            <v>1.116857687500405</v>
          </cell>
          <cell r="E282">
            <v>112829.97</v>
          </cell>
        </row>
        <row r="283">
          <cell r="C283">
            <v>45225</v>
          </cell>
          <cell r="D283">
            <v>1.1172357900698091</v>
          </cell>
          <cell r="E283">
            <v>114776.86</v>
          </cell>
        </row>
        <row r="284">
          <cell r="C284">
            <v>45226</v>
          </cell>
          <cell r="D284">
            <v>1.1176161869655832</v>
          </cell>
          <cell r="E284">
            <v>113301.35</v>
          </cell>
        </row>
        <row r="285">
          <cell r="C285">
            <v>45229</v>
          </cell>
          <cell r="D285">
            <v>1.1179991390683313</v>
          </cell>
          <cell r="E285">
            <v>112531.52</v>
          </cell>
        </row>
        <row r="286">
          <cell r="C286">
            <v>45230</v>
          </cell>
          <cell r="D286">
            <v>1.1183829555342277</v>
          </cell>
          <cell r="E286">
            <v>113143.67</v>
          </cell>
        </row>
        <row r="287">
          <cell r="C287">
            <v>45231</v>
          </cell>
          <cell r="D287">
            <v>1.1187650595700116</v>
          </cell>
          <cell r="E287">
            <v>115052.96</v>
          </cell>
        </row>
        <row r="288">
          <cell r="C288">
            <v>45233</v>
          </cell>
          <cell r="D288">
            <v>1.1191449618719516</v>
          </cell>
          <cell r="E288">
            <v>118159.97</v>
          </cell>
        </row>
        <row r="289">
          <cell r="C289">
            <v>45236</v>
          </cell>
          <cell r="D289">
            <v>1.1195276073144962</v>
          </cell>
          <cell r="E289">
            <v>118431.25</v>
          </cell>
        </row>
        <row r="290">
          <cell r="C290">
            <v>45237</v>
          </cell>
          <cell r="D290">
            <v>1.1199080750522945</v>
          </cell>
          <cell r="E290">
            <v>119268.06</v>
          </cell>
        </row>
        <row r="291">
          <cell r="C291">
            <v>45238</v>
          </cell>
          <cell r="D291">
            <v>1.1202866557081381</v>
          </cell>
          <cell r="E291">
            <v>119176.67</v>
          </cell>
        </row>
        <row r="292">
          <cell r="C292">
            <v>45239</v>
          </cell>
          <cell r="D292">
            <v>1.1206664654355973</v>
          </cell>
          <cell r="E292">
            <v>119034.14</v>
          </cell>
        </row>
        <row r="293">
          <cell r="C293">
            <v>45240</v>
          </cell>
          <cell r="D293">
            <v>1.121046071836413</v>
          </cell>
          <cell r="E293">
            <v>120568.14</v>
          </cell>
        </row>
        <row r="294">
          <cell r="C294">
            <v>45243</v>
          </cell>
          <cell r="D294">
            <v>1.1214276147317925</v>
          </cell>
          <cell r="E294">
            <v>120410.17</v>
          </cell>
        </row>
        <row r="295">
          <cell r="C295">
            <v>45244</v>
          </cell>
          <cell r="D295">
            <v>1.1218052446306654</v>
          </cell>
          <cell r="E295">
            <v>123165.75999999999</v>
          </cell>
        </row>
        <row r="296">
          <cell r="C296">
            <v>45246</v>
          </cell>
          <cell r="D296">
            <v>1.1221807949806741</v>
          </cell>
          <cell r="E296">
            <v>124639.24</v>
          </cell>
        </row>
        <row r="297">
          <cell r="C297">
            <v>45247</v>
          </cell>
          <cell r="D297">
            <v>1.1225764992901788</v>
          </cell>
          <cell r="E297">
            <v>124773.21</v>
          </cell>
        </row>
        <row r="298">
          <cell r="C298">
            <v>45250</v>
          </cell>
          <cell r="D298">
            <v>1.1229737681028023</v>
          </cell>
          <cell r="E298">
            <v>125957.06</v>
          </cell>
        </row>
        <row r="299">
          <cell r="C299">
            <v>45251</v>
          </cell>
          <cell r="D299">
            <v>1.123372750060234</v>
          </cell>
          <cell r="E299">
            <v>125626.03</v>
          </cell>
        </row>
        <row r="300">
          <cell r="C300">
            <v>45252</v>
          </cell>
          <cell r="D300">
            <v>1.1237707857254677</v>
          </cell>
          <cell r="E300">
            <v>126035.3</v>
          </cell>
        </row>
        <row r="301">
          <cell r="C301">
            <v>45253</v>
          </cell>
          <cell r="D301">
            <v>1.1241688485025001</v>
          </cell>
          <cell r="E301">
            <v>126575.75</v>
          </cell>
        </row>
        <row r="302">
          <cell r="C302">
            <v>45254</v>
          </cell>
          <cell r="D302">
            <v>1.1245670902690097</v>
          </cell>
          <cell r="E302">
            <v>125517.27</v>
          </cell>
        </row>
        <row r="303">
          <cell r="C303">
            <v>45257</v>
          </cell>
          <cell r="D303">
            <v>1.1249648397241261</v>
          </cell>
          <cell r="E303">
            <v>125731.45</v>
          </cell>
        </row>
        <row r="304">
          <cell r="C304">
            <v>45258</v>
          </cell>
          <cell r="D304">
            <v>1.1253612933356669</v>
          </cell>
          <cell r="E304">
            <v>126538.32</v>
          </cell>
        </row>
        <row r="305">
          <cell r="C305">
            <v>45259</v>
          </cell>
          <cell r="D305">
            <v>1.1257582544176308</v>
          </cell>
          <cell r="E305">
            <v>126165.64</v>
          </cell>
        </row>
        <row r="306">
          <cell r="C306">
            <v>45260</v>
          </cell>
          <cell r="D306">
            <v>1.126154814258598</v>
          </cell>
          <cell r="E306">
            <v>127331.12</v>
          </cell>
        </row>
        <row r="307">
          <cell r="C307">
            <v>45261</v>
          </cell>
          <cell r="D307">
            <v>1.1265502064136712</v>
          </cell>
          <cell r="E307">
            <v>128184.91</v>
          </cell>
        </row>
        <row r="308">
          <cell r="C308">
            <v>45264</v>
          </cell>
          <cell r="D308">
            <v>1.126947608030767</v>
          </cell>
          <cell r="E308">
            <v>126802.79</v>
          </cell>
        </row>
        <row r="309">
          <cell r="C309">
            <v>45265</v>
          </cell>
          <cell r="D309">
            <v>1.1273446715000757</v>
          </cell>
          <cell r="E309">
            <v>126903.25</v>
          </cell>
        </row>
        <row r="310">
          <cell r="C310">
            <v>45266</v>
          </cell>
          <cell r="D310">
            <v>1.1277416758302345</v>
          </cell>
          <cell r="E310">
            <v>125622.65</v>
          </cell>
        </row>
        <row r="311">
          <cell r="C311">
            <v>45267</v>
          </cell>
          <cell r="D311">
            <v>1.1281398831921174</v>
          </cell>
          <cell r="E311">
            <v>126009.57</v>
          </cell>
        </row>
        <row r="312">
          <cell r="C312">
            <v>45268</v>
          </cell>
          <cell r="D312">
            <v>1.1285385065545346</v>
          </cell>
          <cell r="E312">
            <v>127093.57</v>
          </cell>
        </row>
        <row r="313">
          <cell r="C313">
            <v>45271</v>
          </cell>
          <cell r="D313">
            <v>1.1289376055726288</v>
          </cell>
          <cell r="E313">
            <v>126916.41</v>
          </cell>
        </row>
        <row r="314">
          <cell r="C314">
            <v>45272</v>
          </cell>
          <cell r="D314">
            <v>1.1293350775668134</v>
          </cell>
          <cell r="E314">
            <v>126403.03</v>
          </cell>
        </row>
        <row r="315">
          <cell r="C315">
            <v>45273</v>
          </cell>
          <cell r="D315">
            <v>1.1297276975263428</v>
          </cell>
          <cell r="E315">
            <v>129465.08</v>
          </cell>
        </row>
        <row r="316">
          <cell r="C316">
            <v>45274</v>
          </cell>
          <cell r="D316">
            <v>1.1301191069405203</v>
          </cell>
          <cell r="E316">
            <v>130842.09</v>
          </cell>
        </row>
        <row r="317">
          <cell r="C317">
            <v>45275</v>
          </cell>
          <cell r="D317">
            <v>1.130509261524379</v>
          </cell>
          <cell r="E317">
            <v>130197.1</v>
          </cell>
        </row>
        <row r="318">
          <cell r="C318">
            <v>45278</v>
          </cell>
          <cell r="D318">
            <v>1.1310804200996771</v>
          </cell>
          <cell r="E318">
            <v>131083.81</v>
          </cell>
        </row>
        <row r="319">
          <cell r="C319">
            <v>45279</v>
          </cell>
          <cell r="D319">
            <v>1.1316511731369818</v>
          </cell>
          <cell r="E319">
            <v>131850.91</v>
          </cell>
        </row>
        <row r="320">
          <cell r="C320">
            <v>45280</v>
          </cell>
          <cell r="D320">
            <v>1.1322218903518999</v>
          </cell>
          <cell r="E320">
            <v>130804.17</v>
          </cell>
        </row>
        <row r="321">
          <cell r="C321">
            <v>45281</v>
          </cell>
          <cell r="D321">
            <v>1.1327920128207318</v>
          </cell>
          <cell r="E321">
            <v>132182.01999999999</v>
          </cell>
        </row>
        <row r="322">
          <cell r="C322">
            <v>45282</v>
          </cell>
          <cell r="D322">
            <v>1.1333614794431826</v>
          </cell>
          <cell r="E322">
            <v>132750.72</v>
          </cell>
        </row>
        <row r="323">
          <cell r="C323">
            <v>45286</v>
          </cell>
          <cell r="D323">
            <v>1.1339317616962443</v>
          </cell>
          <cell r="E323">
            <v>133532.92000000001</v>
          </cell>
        </row>
        <row r="324">
          <cell r="C324">
            <v>45287</v>
          </cell>
          <cell r="D324">
            <v>1.1345019806769852</v>
          </cell>
          <cell r="E324">
            <v>134193.72</v>
          </cell>
        </row>
        <row r="325">
          <cell r="C325">
            <v>45288</v>
          </cell>
          <cell r="D325">
            <v>1.1350722470887287</v>
          </cell>
          <cell r="E325">
            <v>134185.24</v>
          </cell>
        </row>
        <row r="326">
          <cell r="C326">
            <v>45289</v>
          </cell>
          <cell r="D326">
            <v>1.1356428001494034</v>
          </cell>
          <cell r="E326">
            <v>134185.24</v>
          </cell>
        </row>
        <row r="327">
          <cell r="C327">
            <v>45293</v>
          </cell>
          <cell r="D327">
            <v>1.136213443216276</v>
          </cell>
          <cell r="E327">
            <v>132696.63</v>
          </cell>
        </row>
        <row r="328">
          <cell r="C328">
            <v>45294</v>
          </cell>
          <cell r="D328">
            <v>1.1367846597879863</v>
          </cell>
          <cell r="E328">
            <v>132833.95000000001</v>
          </cell>
        </row>
        <row r="329">
          <cell r="C329">
            <v>45295</v>
          </cell>
          <cell r="D329">
            <v>1.1373578204002679</v>
          </cell>
          <cell r="E329">
            <v>131225.91</v>
          </cell>
        </row>
        <row r="330">
          <cell r="C330">
            <v>45296</v>
          </cell>
          <cell r="D330">
            <v>1.1379320964809132</v>
          </cell>
          <cell r="E330">
            <v>132022.92000000001</v>
          </cell>
        </row>
        <row r="331">
          <cell r="C331">
            <v>45299</v>
          </cell>
          <cell r="D331">
            <v>1.1385084867028026</v>
          </cell>
          <cell r="E331">
            <v>132426.54999999999</v>
          </cell>
        </row>
        <row r="332">
          <cell r="C332">
            <v>45300</v>
          </cell>
          <cell r="D332">
            <v>1.1390874567070506</v>
          </cell>
          <cell r="E332">
            <v>131446.59</v>
          </cell>
        </row>
        <row r="333">
          <cell r="C333">
            <v>45301</v>
          </cell>
          <cell r="D333">
            <v>1.1396671367181317</v>
          </cell>
          <cell r="E333">
            <v>130841.09</v>
          </cell>
        </row>
        <row r="334">
          <cell r="C334">
            <v>45302</v>
          </cell>
          <cell r="D334">
            <v>1.1402462543817149</v>
          </cell>
          <cell r="E334">
            <v>130648.75</v>
          </cell>
        </row>
        <row r="335">
          <cell r="C335">
            <v>45303</v>
          </cell>
          <cell r="D335">
            <v>1.140824778347439</v>
          </cell>
          <cell r="E335">
            <v>130987.67</v>
          </cell>
        </row>
        <row r="336">
          <cell r="C336">
            <v>45306</v>
          </cell>
          <cell r="D336">
            <v>1.141404226765758</v>
          </cell>
          <cell r="E336">
            <v>131520.91</v>
          </cell>
        </row>
        <row r="337">
          <cell r="C337">
            <v>45307</v>
          </cell>
          <cell r="D337">
            <v>1.1418798323006245</v>
          </cell>
          <cell r="E337">
            <v>129294.04</v>
          </cell>
        </row>
        <row r="338">
          <cell r="C338">
            <v>45308</v>
          </cell>
          <cell r="D338">
            <v>1.1423567989750472</v>
          </cell>
          <cell r="E338">
            <v>128523.83</v>
          </cell>
        </row>
        <row r="339">
          <cell r="C339">
            <v>45309</v>
          </cell>
          <cell r="D339">
            <v>1.1428341837981022</v>
          </cell>
          <cell r="E339">
            <v>127315.74</v>
          </cell>
        </row>
        <row r="340">
          <cell r="C340">
            <v>45310</v>
          </cell>
          <cell r="D340">
            <v>1.1433114589245239</v>
          </cell>
          <cell r="E340">
            <v>127635.65</v>
          </cell>
        </row>
        <row r="341">
          <cell r="C341">
            <v>45313</v>
          </cell>
          <cell r="D341">
            <v>1.1437894660812957</v>
          </cell>
          <cell r="E341">
            <v>126601.55</v>
          </cell>
        </row>
        <row r="342">
          <cell r="C342">
            <v>45314</v>
          </cell>
          <cell r="D342">
            <v>1.1442671229642705</v>
          </cell>
          <cell r="E342">
            <v>128262.52</v>
          </cell>
        </row>
        <row r="343">
          <cell r="C343">
            <v>45315</v>
          </cell>
          <cell r="D343">
            <v>1.1447450266197223</v>
          </cell>
          <cell r="E343">
            <v>127815.7</v>
          </cell>
        </row>
        <row r="344">
          <cell r="C344">
            <v>45316</v>
          </cell>
          <cell r="D344">
            <v>1.1452226351555042</v>
          </cell>
          <cell r="E344">
            <v>128168.73</v>
          </cell>
        </row>
        <row r="345">
          <cell r="C345">
            <v>45317</v>
          </cell>
          <cell r="D345">
            <v>1.1457000986325572</v>
          </cell>
          <cell r="E345">
            <v>128967.32</v>
          </cell>
        </row>
        <row r="346">
          <cell r="C346">
            <v>45320</v>
          </cell>
          <cell r="D346">
            <v>1.146178540497198</v>
          </cell>
          <cell r="E346">
            <v>128502.66</v>
          </cell>
        </row>
        <row r="347">
          <cell r="C347">
            <v>45321</v>
          </cell>
          <cell r="D347">
            <v>1.1466582243553953</v>
          </cell>
          <cell r="E347">
            <v>127401.81</v>
          </cell>
        </row>
        <row r="348">
          <cell r="C348">
            <v>45322</v>
          </cell>
          <cell r="D348">
            <v>1.1471369672256104</v>
          </cell>
          <cell r="E348">
            <v>127752.28</v>
          </cell>
        </row>
        <row r="349">
          <cell r="C349">
            <v>45323</v>
          </cell>
          <cell r="D349">
            <v>1.1476149226997041</v>
          </cell>
          <cell r="E349">
            <v>128481.02</v>
          </cell>
        </row>
        <row r="350">
          <cell r="C350">
            <v>45324</v>
          </cell>
          <cell r="D350">
            <v>1.1480936984181547</v>
          </cell>
          <cell r="E350">
            <v>127182.25</v>
          </cell>
        </row>
        <row r="351">
          <cell r="C351">
            <v>45327</v>
          </cell>
          <cell r="D351">
            <v>1.1485729758989562</v>
          </cell>
          <cell r="E351">
            <v>127593.49</v>
          </cell>
        </row>
        <row r="352">
          <cell r="C352">
            <v>45328</v>
          </cell>
          <cell r="D352">
            <v>1.1490515512726607</v>
          </cell>
          <cell r="E352">
            <v>130416.31</v>
          </cell>
        </row>
        <row r="353">
          <cell r="C353">
            <v>45329</v>
          </cell>
          <cell r="D353">
            <v>1.1495301316998146</v>
          </cell>
          <cell r="E353">
            <v>129949.9</v>
          </cell>
        </row>
        <row r="354">
          <cell r="C354">
            <v>45330</v>
          </cell>
          <cell r="D354">
            <v>1.1500097323487442</v>
          </cell>
          <cell r="E354">
            <v>128216.92</v>
          </cell>
        </row>
        <row r="355">
          <cell r="C355">
            <v>45331</v>
          </cell>
          <cell r="D355">
            <v>1.150488768053171</v>
          </cell>
          <cell r="E355">
            <v>128025.7</v>
          </cell>
        </row>
        <row r="356">
          <cell r="C356">
            <v>45336</v>
          </cell>
          <cell r="D356">
            <v>1.1509690929254521</v>
          </cell>
          <cell r="E356">
            <v>127018.29</v>
          </cell>
        </row>
        <row r="357">
          <cell r="C357">
            <v>45337</v>
          </cell>
          <cell r="D357">
            <v>1.1514490343919752</v>
          </cell>
          <cell r="E357">
            <v>127804.13</v>
          </cell>
        </row>
        <row r="358">
          <cell r="C358">
            <v>45338</v>
          </cell>
          <cell r="D358">
            <v>1.1521532735833699</v>
          </cell>
          <cell r="E358">
            <v>128725.88</v>
          </cell>
        </row>
        <row r="359">
          <cell r="C359">
            <v>45341</v>
          </cell>
          <cell r="D359">
            <v>1.152858176054425</v>
          </cell>
          <cell r="E359">
            <v>129035.74</v>
          </cell>
        </row>
        <row r="360">
          <cell r="C360">
            <v>45342</v>
          </cell>
          <cell r="D360">
            <v>1.1535633148100608</v>
          </cell>
          <cell r="E360">
            <v>129916.11</v>
          </cell>
        </row>
        <row r="361">
          <cell r="C361">
            <v>45343</v>
          </cell>
          <cell r="D361">
            <v>1.1542685683411347</v>
          </cell>
          <cell r="E361">
            <v>130031.58</v>
          </cell>
        </row>
        <row r="362">
          <cell r="C362">
            <v>45344</v>
          </cell>
          <cell r="D362">
            <v>1.1549750252610642</v>
          </cell>
          <cell r="E362">
            <v>130240.55</v>
          </cell>
        </row>
        <row r="363">
          <cell r="C363">
            <v>45345</v>
          </cell>
          <cell r="D363">
            <v>1.1556829865623066</v>
          </cell>
          <cell r="E363">
            <v>129418.73</v>
          </cell>
        </row>
        <row r="364">
          <cell r="C364">
            <v>45348</v>
          </cell>
          <cell r="D364">
            <v>1.1563929317412134</v>
          </cell>
          <cell r="E364">
            <v>129609.05</v>
          </cell>
        </row>
        <row r="365">
          <cell r="C365">
            <v>45349</v>
          </cell>
          <cell r="D365">
            <v>1.1571027570497201</v>
          </cell>
          <cell r="E365">
            <v>131689.38</v>
          </cell>
        </row>
        <row r="366">
          <cell r="C366">
            <v>45350</v>
          </cell>
          <cell r="D366">
            <v>1.1578130311081376</v>
          </cell>
          <cell r="E366">
            <v>130155.43</v>
          </cell>
        </row>
        <row r="367">
          <cell r="C367">
            <v>45351</v>
          </cell>
          <cell r="D367">
            <v>1.1585232496632072</v>
          </cell>
          <cell r="E367">
            <v>129020.02</v>
          </cell>
        </row>
        <row r="368">
          <cell r="C368">
            <v>45352</v>
          </cell>
          <cell r="D368">
            <v>1.1592347133570469</v>
          </cell>
          <cell r="E368">
            <v>129180.37</v>
          </cell>
        </row>
        <row r="369">
          <cell r="C369">
            <v>45355</v>
          </cell>
          <cell r="D369">
            <v>1.159947410744981</v>
          </cell>
          <cell r="E369">
            <v>128340.54</v>
          </cell>
        </row>
        <row r="370">
          <cell r="C370">
            <v>45356</v>
          </cell>
          <cell r="D370">
            <v>1.1606605506554617</v>
          </cell>
          <cell r="E370">
            <v>128098.11</v>
          </cell>
        </row>
        <row r="371">
          <cell r="C371">
            <v>45357</v>
          </cell>
          <cell r="D371">
            <v>1.1613732527773135</v>
          </cell>
          <cell r="E371">
            <v>128890.23</v>
          </cell>
        </row>
        <row r="372">
          <cell r="C372">
            <v>45358</v>
          </cell>
          <cell r="D372">
            <v>1.1620862485701839</v>
          </cell>
          <cell r="E372">
            <v>128339.76</v>
          </cell>
        </row>
        <row r="373">
          <cell r="C373">
            <v>45359</v>
          </cell>
          <cell r="D373">
            <v>1.1628006292524058</v>
          </cell>
          <cell r="E373">
            <v>127070.79</v>
          </cell>
        </row>
        <row r="374">
          <cell r="C374">
            <v>45362</v>
          </cell>
          <cell r="D374">
            <v>1.163515265673317</v>
          </cell>
          <cell r="E374">
            <v>126123.56</v>
          </cell>
        </row>
        <row r="375">
          <cell r="C375">
            <v>45363</v>
          </cell>
          <cell r="D375">
            <v>1.164230660288891</v>
          </cell>
          <cell r="E375">
            <v>127667.84</v>
          </cell>
        </row>
        <row r="376">
          <cell r="C376">
            <v>45364</v>
          </cell>
          <cell r="D376">
            <v>1.1649463023846065</v>
          </cell>
          <cell r="E376">
            <v>128006.05</v>
          </cell>
        </row>
        <row r="377">
          <cell r="C377">
            <v>45365</v>
          </cell>
          <cell r="D377">
            <v>1.1656640685094359</v>
          </cell>
          <cell r="E377">
            <v>127689.97</v>
          </cell>
        </row>
        <row r="378">
          <cell r="C378">
            <v>45366</v>
          </cell>
          <cell r="D378">
            <v>1.1663838870632648</v>
          </cell>
          <cell r="E378">
            <v>126741.81</v>
          </cell>
        </row>
        <row r="379">
          <cell r="C379">
            <v>45369</v>
          </cell>
          <cell r="D379">
            <v>1.1667399715399149</v>
          </cell>
          <cell r="E379">
            <v>126954.18</v>
          </cell>
        </row>
        <row r="380">
          <cell r="C380">
            <v>45370</v>
          </cell>
          <cell r="D380">
            <v>1.1670958802974019</v>
          </cell>
          <cell r="E380">
            <v>127528.85</v>
          </cell>
        </row>
        <row r="381">
          <cell r="C381">
            <v>45371</v>
          </cell>
          <cell r="D381">
            <v>1.1674506367948656</v>
          </cell>
          <cell r="E381">
            <v>129124.83</v>
          </cell>
        </row>
        <row r="382">
          <cell r="C382">
            <v>45372</v>
          </cell>
          <cell r="D382">
            <v>1.1678077430436473</v>
          </cell>
          <cell r="E382">
            <v>128158.57</v>
          </cell>
        </row>
        <row r="383">
          <cell r="C383">
            <v>45373</v>
          </cell>
          <cell r="D383">
            <v>1.16816548397997</v>
          </cell>
          <cell r="E383">
            <v>127027.1</v>
          </cell>
        </row>
        <row r="384">
          <cell r="C384">
            <v>45376</v>
          </cell>
          <cell r="D384">
            <v>1.1685227344232507</v>
          </cell>
          <cell r="E384">
            <v>126931.47</v>
          </cell>
        </row>
        <row r="385">
          <cell r="C385">
            <v>45377</v>
          </cell>
          <cell r="D385">
            <v>1.1688805541857674</v>
          </cell>
          <cell r="E385">
            <v>126863.02</v>
          </cell>
        </row>
        <row r="386">
          <cell r="C386">
            <v>45378</v>
          </cell>
          <cell r="D386">
            <v>1.1692373131930887</v>
          </cell>
          <cell r="E386">
            <v>127690.62</v>
          </cell>
        </row>
        <row r="387">
          <cell r="C387">
            <v>45379</v>
          </cell>
          <cell r="D387">
            <v>1.1695946064264362</v>
          </cell>
          <cell r="E387">
            <v>128106.1</v>
          </cell>
        </row>
        <row r="388">
          <cell r="C388">
            <v>45383</v>
          </cell>
          <cell r="D388">
            <v>1.1699533990171427</v>
          </cell>
          <cell r="E388">
            <v>126990.45</v>
          </cell>
        </row>
        <row r="389">
          <cell r="C389">
            <v>45384</v>
          </cell>
          <cell r="D389">
            <v>1.1703126876347678</v>
          </cell>
          <cell r="E389">
            <v>127548.52</v>
          </cell>
        </row>
        <row r="390">
          <cell r="C390">
            <v>45385</v>
          </cell>
          <cell r="D390">
            <v>1.1706721304593659</v>
          </cell>
          <cell r="E390">
            <v>127318.39</v>
          </cell>
        </row>
        <row r="391">
          <cell r="C391">
            <v>45386</v>
          </cell>
          <cell r="D391">
            <v>1.1710326841280088</v>
          </cell>
          <cell r="E391">
            <v>127427.53</v>
          </cell>
        </row>
        <row r="392">
          <cell r="C392">
            <v>45387</v>
          </cell>
          <cell r="D392">
            <v>1.1713946784618599</v>
          </cell>
          <cell r="E392">
            <v>126795.41</v>
          </cell>
        </row>
        <row r="393">
          <cell r="C393">
            <v>45390</v>
          </cell>
          <cell r="D393">
            <v>1.1717564160136831</v>
          </cell>
          <cell r="E393">
            <v>128857.16</v>
          </cell>
        </row>
        <row r="394">
          <cell r="C394">
            <v>45391</v>
          </cell>
          <cell r="D394">
            <v>1.172117439765</v>
          </cell>
          <cell r="E394">
            <v>129890.37</v>
          </cell>
        </row>
        <row r="395">
          <cell r="C395">
            <v>45392</v>
          </cell>
          <cell r="D395">
            <v>1.172481710115759</v>
          </cell>
          <cell r="E395">
            <v>128053.74</v>
          </cell>
        </row>
        <row r="396">
          <cell r="C396">
            <v>45393</v>
          </cell>
          <cell r="D396">
            <v>1.1728464186089178</v>
          </cell>
          <cell r="E396">
            <v>127396.35</v>
          </cell>
        </row>
        <row r="397">
          <cell r="C397">
            <v>45394</v>
          </cell>
          <cell r="D397">
            <v>1.1732108056970882</v>
          </cell>
          <cell r="E397">
            <v>125946.09</v>
          </cell>
        </row>
        <row r="398">
          <cell r="C398">
            <v>45397</v>
          </cell>
          <cell r="D398">
            <v>1.1735769973769994</v>
          </cell>
          <cell r="E398">
            <v>125333.89</v>
          </cell>
        </row>
        <row r="399">
          <cell r="C399">
            <v>45398</v>
          </cell>
          <cell r="D399">
            <v>1.1740650957178056</v>
          </cell>
          <cell r="E399">
            <v>124388.62</v>
          </cell>
        </row>
        <row r="400">
          <cell r="C400">
            <v>45399</v>
          </cell>
          <cell r="D400">
            <v>1.1745535332325672</v>
          </cell>
          <cell r="E400">
            <v>124171.15</v>
          </cell>
        </row>
        <row r="401">
          <cell r="C401">
            <v>45400</v>
          </cell>
          <cell r="D401">
            <v>1.1750411807163426</v>
          </cell>
          <cell r="E401">
            <v>124196.18</v>
          </cell>
        </row>
        <row r="402">
          <cell r="C402">
            <v>45401</v>
          </cell>
          <cell r="D402">
            <v>1.1755283270675743</v>
          </cell>
          <cell r="E402">
            <v>125124.3</v>
          </cell>
        </row>
        <row r="403">
          <cell r="C403">
            <v>45404</v>
          </cell>
          <cell r="D403">
            <v>1.1760158425610929</v>
          </cell>
          <cell r="E403">
            <v>125573.16</v>
          </cell>
        </row>
        <row r="404">
          <cell r="C404">
            <v>45405</v>
          </cell>
          <cell r="D404">
            <v>1.1765043347974737</v>
          </cell>
          <cell r="E404">
            <v>125148.07</v>
          </cell>
        </row>
        <row r="405">
          <cell r="C405">
            <v>45406</v>
          </cell>
          <cell r="D405">
            <v>1.1769943064582247</v>
          </cell>
          <cell r="E405">
            <v>124740.69</v>
          </cell>
        </row>
        <row r="406">
          <cell r="C406">
            <v>45407</v>
          </cell>
          <cell r="D406">
            <v>1.1774852658447685</v>
          </cell>
          <cell r="E406">
            <v>124645.58</v>
          </cell>
        </row>
        <row r="407">
          <cell r="C407">
            <v>45408</v>
          </cell>
          <cell r="D407">
            <v>1.1779759631661677</v>
          </cell>
          <cell r="E407">
            <v>126526.27</v>
          </cell>
        </row>
        <row r="408">
          <cell r="C408">
            <v>45411</v>
          </cell>
          <cell r="D408">
            <v>1.178466900228422</v>
          </cell>
          <cell r="E408">
            <v>127351.79</v>
          </cell>
        </row>
        <row r="409">
          <cell r="C409">
            <v>45412</v>
          </cell>
          <cell r="D409">
            <v>1.178962972068603</v>
          </cell>
          <cell r="E409">
            <v>125924.19</v>
          </cell>
        </row>
        <row r="410">
          <cell r="C410">
            <v>45414</v>
          </cell>
          <cell r="D410">
            <v>1.1794574461606042</v>
          </cell>
          <cell r="E410">
            <v>127122.25</v>
          </cell>
        </row>
        <row r="411">
          <cell r="C411">
            <v>45415</v>
          </cell>
          <cell r="D411">
            <v>1.1799502137644426</v>
          </cell>
          <cell r="E411">
            <v>128508.67</v>
          </cell>
        </row>
        <row r="412">
          <cell r="C412">
            <v>45418</v>
          </cell>
          <cell r="D412">
            <v>1.1804453445076637</v>
          </cell>
          <cell r="E412">
            <v>128465.69</v>
          </cell>
        </row>
        <row r="413">
          <cell r="C413">
            <v>45419</v>
          </cell>
          <cell r="D413">
            <v>1.1809391075184423</v>
          </cell>
          <cell r="E413">
            <v>129210.48</v>
          </cell>
        </row>
        <row r="414">
          <cell r="C414">
            <v>45420</v>
          </cell>
          <cell r="D414">
            <v>1.1814330284895795</v>
          </cell>
          <cell r="E414">
            <v>129480.89</v>
          </cell>
        </row>
        <row r="415">
          <cell r="C415">
            <v>45421</v>
          </cell>
          <cell r="D415">
            <v>1.1819256272884746</v>
          </cell>
          <cell r="E415">
            <v>128188.34</v>
          </cell>
        </row>
        <row r="416">
          <cell r="C416">
            <v>45422</v>
          </cell>
          <cell r="D416">
            <v>1.1824198017617518</v>
          </cell>
          <cell r="E416">
            <v>127599.57</v>
          </cell>
        </row>
        <row r="417">
          <cell r="C417">
            <v>45425</v>
          </cell>
          <cell r="D417">
            <v>1.1829145232957832</v>
          </cell>
          <cell r="E417">
            <v>128154.79</v>
          </cell>
        </row>
        <row r="418">
          <cell r="C418">
            <v>45426</v>
          </cell>
          <cell r="D418">
            <v>1.1834084653856072</v>
          </cell>
          <cell r="E418">
            <v>128515.49</v>
          </cell>
        </row>
        <row r="419">
          <cell r="C419">
            <v>45427</v>
          </cell>
          <cell r="D419">
            <v>1.1839021622762107</v>
          </cell>
          <cell r="E419">
            <v>128027.59</v>
          </cell>
        </row>
        <row r="420">
          <cell r="C420">
            <v>45428</v>
          </cell>
          <cell r="D420">
            <v>1.1844271288752575</v>
          </cell>
          <cell r="E420">
            <v>128283.62</v>
          </cell>
        </row>
        <row r="421">
          <cell r="C421">
            <v>45429</v>
          </cell>
          <cell r="D421">
            <v>1.1849529708732811</v>
          </cell>
          <cell r="E421">
            <v>128150.71</v>
          </cell>
        </row>
        <row r="422">
          <cell r="C422">
            <v>45432</v>
          </cell>
          <cell r="D422">
            <v>1.1854797689332641</v>
          </cell>
          <cell r="E422">
            <v>127750.92</v>
          </cell>
        </row>
        <row r="423">
          <cell r="C423">
            <v>45433</v>
          </cell>
          <cell r="D423">
            <v>1.1860068632803065</v>
          </cell>
          <cell r="E423">
            <v>127411.55</v>
          </cell>
        </row>
        <row r="424">
          <cell r="C424">
            <v>45434</v>
          </cell>
          <cell r="D424">
            <v>1.186535309908076</v>
          </cell>
          <cell r="E424">
            <v>125650.03</v>
          </cell>
        </row>
        <row r="425">
          <cell r="C425">
            <v>45435</v>
          </cell>
          <cell r="D425">
            <v>1.1870629401553674</v>
          </cell>
          <cell r="E425">
            <v>124729.4</v>
          </cell>
        </row>
        <row r="426">
          <cell r="C426">
            <v>45436</v>
          </cell>
          <cell r="D426">
            <v>1.1875914533144081</v>
          </cell>
          <cell r="E426">
            <v>124305.57</v>
          </cell>
        </row>
        <row r="427">
          <cell r="C427">
            <v>45439</v>
          </cell>
          <cell r="D427">
            <v>1.1881210723294187</v>
          </cell>
          <cell r="E427">
            <v>124495.67999999999</v>
          </cell>
        </row>
        <row r="428">
          <cell r="C428">
            <v>45440</v>
          </cell>
          <cell r="D428">
            <v>1.1886507187014561</v>
          </cell>
          <cell r="E428">
            <v>123779.54</v>
          </cell>
        </row>
        <row r="429">
          <cell r="C429">
            <v>45441</v>
          </cell>
          <cell r="D429">
            <v>1.1891824500728569</v>
          </cell>
          <cell r="E429">
            <v>122707.28</v>
          </cell>
        </row>
        <row r="430">
          <cell r="C430">
            <v>45443</v>
          </cell>
          <cell r="D430">
            <v>1.1897129609377386</v>
          </cell>
          <cell r="E430">
            <v>122098.09</v>
          </cell>
        </row>
        <row r="431">
          <cell r="C431">
            <v>45446</v>
          </cell>
          <cell r="D431">
            <v>1.190244126651155</v>
          </cell>
          <cell r="E431">
            <v>122031.58</v>
          </cell>
        </row>
        <row r="432">
          <cell r="C432">
            <v>45447</v>
          </cell>
          <cell r="D432">
            <v>1.1907768822756699</v>
          </cell>
          <cell r="E432">
            <v>121802.06</v>
          </cell>
        </row>
        <row r="433">
          <cell r="C433">
            <v>45448</v>
          </cell>
          <cell r="D433">
            <v>1.1913113672933888</v>
          </cell>
          <cell r="E433">
            <v>121407.33</v>
          </cell>
        </row>
        <row r="434">
          <cell r="C434">
            <v>45449</v>
          </cell>
          <cell r="D434">
            <v>1.191844845538619</v>
          </cell>
          <cell r="E434">
            <v>122898.8</v>
          </cell>
        </row>
        <row r="435">
          <cell r="C435">
            <v>45450</v>
          </cell>
          <cell r="D435">
            <v>1.1923827485356389</v>
          </cell>
          <cell r="E435">
            <v>120767.19</v>
          </cell>
        </row>
        <row r="436">
          <cell r="C436">
            <v>45453</v>
          </cell>
          <cell r="D436">
            <v>1.1929209967187264</v>
          </cell>
          <cell r="E436">
            <v>120759.51</v>
          </cell>
        </row>
        <row r="437">
          <cell r="C437">
            <v>45454</v>
          </cell>
          <cell r="D437">
            <v>1.1934608152747885</v>
          </cell>
          <cell r="E437">
            <v>121635.06</v>
          </cell>
        </row>
        <row r="438">
          <cell r="C438">
            <v>45455</v>
          </cell>
          <cell r="D438">
            <v>1.1940055988838343</v>
          </cell>
          <cell r="E438">
            <v>119936.02</v>
          </cell>
        </row>
        <row r="439">
          <cell r="C439">
            <v>45456</v>
          </cell>
          <cell r="D439">
            <v>1.1945488182996602</v>
          </cell>
          <cell r="E439">
            <v>119567.53</v>
          </cell>
        </row>
        <row r="440">
          <cell r="C440">
            <v>45457</v>
          </cell>
          <cell r="D440">
            <v>1.1950911526161194</v>
          </cell>
          <cell r="E440">
            <v>119662.38</v>
          </cell>
        </row>
        <row r="441">
          <cell r="C441">
            <v>45460</v>
          </cell>
          <cell r="D441">
            <v>1.1956334387747456</v>
          </cell>
          <cell r="E441">
            <v>119137.86</v>
          </cell>
        </row>
        <row r="442">
          <cell r="C442">
            <v>45461</v>
          </cell>
          <cell r="D442">
            <v>1.1960518019884105</v>
          </cell>
          <cell r="E442">
            <v>119630.44</v>
          </cell>
        </row>
        <row r="443">
          <cell r="C443">
            <v>45462</v>
          </cell>
          <cell r="D443">
            <v>1.1964706954542421</v>
          </cell>
          <cell r="E443">
            <v>120261.34</v>
          </cell>
        </row>
        <row r="444">
          <cell r="C444">
            <v>45463</v>
          </cell>
          <cell r="D444">
            <v>1.1968893159095091</v>
          </cell>
          <cell r="E444">
            <v>120445.91</v>
          </cell>
        </row>
        <row r="445">
          <cell r="C445">
            <v>45464</v>
          </cell>
          <cell r="D445">
            <v>1.1973058175945925</v>
          </cell>
          <cell r="E445">
            <v>121341.13</v>
          </cell>
        </row>
        <row r="446">
          <cell r="C446">
            <v>45467</v>
          </cell>
          <cell r="D446">
            <v>1.1977222093892399</v>
          </cell>
          <cell r="E446">
            <v>122637</v>
          </cell>
        </row>
        <row r="447">
          <cell r="C447">
            <v>45468</v>
          </cell>
          <cell r="D447">
            <v>1.1981407581196182</v>
          </cell>
          <cell r="E447">
            <v>122331.39</v>
          </cell>
        </row>
        <row r="448">
          <cell r="C448">
            <v>45469</v>
          </cell>
          <cell r="D448">
            <v>1.1985609420606511</v>
          </cell>
          <cell r="E448">
            <v>122641.3</v>
          </cell>
        </row>
        <row r="449">
          <cell r="C449">
            <v>45470</v>
          </cell>
          <cell r="D449">
            <v>1.1989817205562059</v>
          </cell>
          <cell r="E449">
            <v>124307.83</v>
          </cell>
        </row>
        <row r="450">
          <cell r="C450">
            <v>45471</v>
          </cell>
          <cell r="D450">
            <v>1.1994067694101651</v>
          </cell>
          <cell r="E450">
            <v>123906.55</v>
          </cell>
        </row>
        <row r="451">
          <cell r="C451">
            <v>45474</v>
          </cell>
          <cell r="D451">
            <v>1.1998352093685309</v>
          </cell>
          <cell r="E451">
            <v>124718.07</v>
          </cell>
        </row>
        <row r="452">
          <cell r="C452">
            <v>45475</v>
          </cell>
          <cell r="D452">
            <v>1.2002635207750441</v>
          </cell>
          <cell r="E452">
            <v>124787.08</v>
          </cell>
        </row>
        <row r="453">
          <cell r="C453">
            <v>45476</v>
          </cell>
          <cell r="D453">
            <v>1.2006880977771681</v>
          </cell>
          <cell r="E453">
            <v>125661.89</v>
          </cell>
        </row>
        <row r="454">
          <cell r="C454">
            <v>45477</v>
          </cell>
          <cell r="D454">
            <v>1.2011090406561598</v>
          </cell>
          <cell r="E454">
            <v>126163.98</v>
          </cell>
        </row>
        <row r="455">
          <cell r="C455">
            <v>45478</v>
          </cell>
          <cell r="D455">
            <v>1.2015278089668513</v>
          </cell>
          <cell r="E455">
            <v>126267.05</v>
          </cell>
        </row>
        <row r="456">
          <cell r="C456">
            <v>45481</v>
          </cell>
          <cell r="D456">
            <v>1.2019470552012659</v>
          </cell>
          <cell r="E456">
            <v>126548.34</v>
          </cell>
        </row>
        <row r="457">
          <cell r="C457">
            <v>45482</v>
          </cell>
          <cell r="D457">
            <v>1.2023664970769177</v>
          </cell>
          <cell r="E457">
            <v>127108.22</v>
          </cell>
        </row>
        <row r="458">
          <cell r="C458">
            <v>45483</v>
          </cell>
          <cell r="D458">
            <v>1.2027816083701635</v>
          </cell>
          <cell r="E458">
            <v>127218.24000000001</v>
          </cell>
        </row>
        <row r="459">
          <cell r="C459">
            <v>45484</v>
          </cell>
          <cell r="D459">
            <v>1.2031935407061298</v>
          </cell>
          <cell r="E459">
            <v>128293.61</v>
          </cell>
        </row>
        <row r="460">
          <cell r="C460">
            <v>45485</v>
          </cell>
          <cell r="D460">
            <v>1.2036053486894698</v>
          </cell>
          <cell r="E460">
            <v>128896.98</v>
          </cell>
        </row>
        <row r="461">
          <cell r="C461">
            <v>45488</v>
          </cell>
          <cell r="D461">
            <v>1.2040188365501387</v>
          </cell>
          <cell r="E461">
            <v>129320.96000000001</v>
          </cell>
        </row>
        <row r="462">
          <cell r="C462">
            <v>45489</v>
          </cell>
          <cell r="D462">
            <v>1.2045037222137378</v>
          </cell>
          <cell r="E462">
            <v>129110.38</v>
          </cell>
        </row>
        <row r="463">
          <cell r="C463">
            <v>45490</v>
          </cell>
          <cell r="D463">
            <v>1.2049891454176767</v>
          </cell>
          <cell r="E463">
            <v>129450.32</v>
          </cell>
        </row>
        <row r="464">
          <cell r="C464">
            <v>45491</v>
          </cell>
          <cell r="D464">
            <v>1.2054781734409967</v>
          </cell>
          <cell r="E464">
            <v>127652.06</v>
          </cell>
        </row>
        <row r="465">
          <cell r="C465">
            <v>45492</v>
          </cell>
          <cell r="D465">
            <v>1.205968867938549</v>
          </cell>
          <cell r="E465">
            <v>127616.46</v>
          </cell>
        </row>
        <row r="466">
          <cell r="C466">
            <v>45495</v>
          </cell>
          <cell r="D466">
            <v>1.2064589333235416</v>
          </cell>
          <cell r="E466">
            <v>127859.63</v>
          </cell>
        </row>
        <row r="467">
          <cell r="C467">
            <v>45496</v>
          </cell>
          <cell r="D467">
            <v>1.2069525497807196</v>
          </cell>
          <cell r="E467">
            <v>126589.84</v>
          </cell>
        </row>
        <row r="468">
          <cell r="C468">
            <v>45497</v>
          </cell>
          <cell r="D468">
            <v>1.2074463096260257</v>
          </cell>
          <cell r="E468">
            <v>126422.73</v>
          </cell>
        </row>
        <row r="469">
          <cell r="C469">
            <v>45498</v>
          </cell>
          <cell r="D469">
            <v>1.2079406816269345</v>
          </cell>
          <cell r="E469">
            <v>125954.09</v>
          </cell>
        </row>
        <row r="470">
          <cell r="C470">
            <v>45499</v>
          </cell>
          <cell r="D470">
            <v>1.2084330416580695</v>
          </cell>
          <cell r="E470">
            <v>127492.49</v>
          </cell>
        </row>
        <row r="471">
          <cell r="C471">
            <v>45502</v>
          </cell>
          <cell r="D471">
            <v>1.2089259092386622</v>
          </cell>
          <cell r="E471">
            <v>126954</v>
          </cell>
        </row>
        <row r="472">
          <cell r="C472">
            <v>45503</v>
          </cell>
          <cell r="D472">
            <v>1.209417939420504</v>
          </cell>
          <cell r="E472">
            <v>126139</v>
          </cell>
        </row>
        <row r="473">
          <cell r="C473">
            <v>45504</v>
          </cell>
          <cell r="D473">
            <v>1.2099080643892655</v>
          </cell>
          <cell r="E473">
            <v>127651.81</v>
          </cell>
        </row>
        <row r="474">
          <cell r="C474">
            <v>45505</v>
          </cell>
          <cell r="D474">
            <v>1.2103967058827196</v>
          </cell>
          <cell r="E474">
            <v>127395.1</v>
          </cell>
        </row>
        <row r="475">
          <cell r="C475">
            <v>45506</v>
          </cell>
          <cell r="D475">
            <v>1.2108788983349472</v>
          </cell>
          <cell r="E475">
            <v>125854.09</v>
          </cell>
        </row>
        <row r="476">
          <cell r="C476">
            <v>45509</v>
          </cell>
          <cell r="D476">
            <v>1.2113610517210422</v>
          </cell>
          <cell r="E476">
            <v>125269.54</v>
          </cell>
        </row>
        <row r="477">
          <cell r="C477">
            <v>45510</v>
          </cell>
          <cell r="D477">
            <v>1.2118466018916902</v>
          </cell>
          <cell r="E477">
            <v>126266.7</v>
          </cell>
        </row>
        <row r="478">
          <cell r="C478">
            <v>45511</v>
          </cell>
          <cell r="D478">
            <v>1.2123319477416388</v>
          </cell>
          <cell r="E478">
            <v>127513.88</v>
          </cell>
        </row>
        <row r="479">
          <cell r="C479">
            <v>45512</v>
          </cell>
          <cell r="D479">
            <v>1.2128151380353656</v>
          </cell>
          <cell r="E479">
            <v>128660.88</v>
          </cell>
        </row>
        <row r="480">
          <cell r="C480">
            <v>45513</v>
          </cell>
          <cell r="D480">
            <v>1.2132950469672219</v>
          </cell>
          <cell r="E480">
            <v>130614.59</v>
          </cell>
        </row>
        <row r="481">
          <cell r="C481">
            <v>45516</v>
          </cell>
          <cell r="D481">
            <v>1.2137737822463197</v>
          </cell>
          <cell r="E481">
            <v>131115.9</v>
          </cell>
        </row>
        <row r="482">
          <cell r="C482">
            <v>45517</v>
          </cell>
          <cell r="D482">
            <v>1.2142507596544341</v>
          </cell>
          <cell r="E482">
            <v>132397.97</v>
          </cell>
        </row>
        <row r="483">
          <cell r="C483">
            <v>45518</v>
          </cell>
          <cell r="D483">
            <v>1.2147279836662193</v>
          </cell>
          <cell r="E483">
            <v>133317.66</v>
          </cell>
        </row>
        <row r="484">
          <cell r="C484">
            <v>45519</v>
          </cell>
          <cell r="D484">
            <v>1.2152070431268982</v>
          </cell>
          <cell r="E484">
            <v>134153.42000000001</v>
          </cell>
        </row>
        <row r="485">
          <cell r="C485">
            <v>45520</v>
          </cell>
          <cell r="D485">
            <v>1.215476375906996</v>
          </cell>
          <cell r="E485">
            <v>133953.25</v>
          </cell>
        </row>
        <row r="486">
          <cell r="C486">
            <v>45523</v>
          </cell>
          <cell r="D486">
            <v>1.2157477708187694</v>
          </cell>
          <cell r="E486">
            <v>135777.98000000001</v>
          </cell>
        </row>
        <row r="487">
          <cell r="C487">
            <v>45524</v>
          </cell>
          <cell r="D487">
            <v>1.216022183621625</v>
          </cell>
          <cell r="E487">
            <v>136087.41</v>
          </cell>
        </row>
        <row r="488">
          <cell r="C488">
            <v>45525</v>
          </cell>
          <cell r="D488">
            <v>1.2162963217022384</v>
          </cell>
          <cell r="E488">
            <v>136463.65</v>
          </cell>
        </row>
        <row r="489">
          <cell r="C489">
            <v>45526</v>
          </cell>
          <cell r="D489">
            <v>1.2165713679333339</v>
          </cell>
          <cell r="E489">
            <v>135173.39000000001</v>
          </cell>
        </row>
        <row r="490">
          <cell r="C490">
            <v>45527</v>
          </cell>
          <cell r="D490">
            <v>1.2168445099758438</v>
          </cell>
          <cell r="E490">
            <v>135608.47</v>
          </cell>
        </row>
        <row r="491">
          <cell r="C491">
            <v>45530</v>
          </cell>
          <cell r="D491">
            <v>1.2171194070482949</v>
          </cell>
          <cell r="E491">
            <v>136888.70000000001</v>
          </cell>
        </row>
        <row r="492">
          <cell r="C492">
            <v>45531</v>
          </cell>
          <cell r="D492">
            <v>1.2173951993872418</v>
          </cell>
          <cell r="E492">
            <v>136775.91</v>
          </cell>
        </row>
        <row r="493">
          <cell r="C493">
            <v>45532</v>
          </cell>
          <cell r="D493">
            <v>1.2176731984212896</v>
          </cell>
          <cell r="E493">
            <v>137343.96</v>
          </cell>
        </row>
        <row r="494">
          <cell r="C494">
            <v>45533</v>
          </cell>
          <cell r="D494">
            <v>1.2179519983836273</v>
          </cell>
          <cell r="E494">
            <v>136041.35</v>
          </cell>
        </row>
        <row r="495">
          <cell r="C495">
            <v>45534</v>
          </cell>
          <cell r="D495">
            <v>1.2182334338478316</v>
          </cell>
          <cell r="E495">
            <v>136004.01</v>
          </cell>
        </row>
        <row r="496">
          <cell r="C496">
            <v>45537</v>
          </cell>
          <cell r="D496">
            <v>1.2185164906972241</v>
          </cell>
          <cell r="E496">
            <v>134906.07</v>
          </cell>
        </row>
        <row r="497">
          <cell r="C497">
            <v>45538</v>
          </cell>
          <cell r="D497">
            <v>1.2188002322207481</v>
          </cell>
          <cell r="E497">
            <v>134353.48000000001</v>
          </cell>
        </row>
        <row r="498">
          <cell r="C498">
            <v>45539</v>
          </cell>
          <cell r="D498">
            <v>1.2190823873229546</v>
          </cell>
          <cell r="E498">
            <v>136110.73000000001</v>
          </cell>
        </row>
        <row r="499">
          <cell r="C499">
            <v>45540</v>
          </cell>
          <cell r="D499">
            <v>1.2193625032714506</v>
          </cell>
          <cell r="E499">
            <v>136502.49</v>
          </cell>
        </row>
        <row r="500">
          <cell r="C500">
            <v>45541</v>
          </cell>
          <cell r="D500">
            <v>1.2196419361504209</v>
          </cell>
          <cell r="E500">
            <v>134572.45000000001</v>
          </cell>
        </row>
        <row r="501">
          <cell r="C501">
            <v>45544</v>
          </cell>
          <cell r="D501">
            <v>1.2199222216936041</v>
          </cell>
          <cell r="E501">
            <v>134737.21</v>
          </cell>
        </row>
        <row r="502">
          <cell r="C502">
            <v>45545</v>
          </cell>
          <cell r="D502">
            <v>1.2202035791332222</v>
          </cell>
          <cell r="E502">
            <v>134319.57999999999</v>
          </cell>
        </row>
        <row r="503">
          <cell r="C503">
            <v>45546</v>
          </cell>
          <cell r="D503">
            <v>1.2204854072273565</v>
          </cell>
          <cell r="E503">
            <v>134676.75</v>
          </cell>
        </row>
        <row r="504">
          <cell r="C504">
            <v>45547</v>
          </cell>
          <cell r="D504">
            <v>1.2207703318718806</v>
          </cell>
          <cell r="E504">
            <v>134029.43</v>
          </cell>
        </row>
        <row r="505">
          <cell r="C505">
            <v>45548</v>
          </cell>
          <cell r="D505">
            <v>1.2210539599321988</v>
          </cell>
          <cell r="E505">
            <v>134881.95000000001</v>
          </cell>
        </row>
        <row r="506">
          <cell r="C506">
            <v>45551</v>
          </cell>
          <cell r="D506">
            <v>1.2213393683586891</v>
          </cell>
          <cell r="E506">
            <v>135118.22</v>
          </cell>
        </row>
        <row r="507">
          <cell r="C507">
            <v>45552</v>
          </cell>
          <cell r="D507">
            <v>1.2218914093373674</v>
          </cell>
          <cell r="E507">
            <v>134960.19</v>
          </cell>
        </row>
        <row r="508">
          <cell r="C508">
            <v>45553</v>
          </cell>
          <cell r="D508">
            <v>1.2224435948864263</v>
          </cell>
          <cell r="E508">
            <v>133747.69</v>
          </cell>
        </row>
        <row r="509">
          <cell r="C509">
            <v>45554</v>
          </cell>
          <cell r="D509">
            <v>1.2230002554803625</v>
          </cell>
          <cell r="E509">
            <v>133122.67000000001</v>
          </cell>
        </row>
        <row r="510">
          <cell r="C510">
            <v>45555</v>
          </cell>
          <cell r="D510">
            <v>1.2235607640989361</v>
          </cell>
          <cell r="E510">
            <v>131065.44</v>
          </cell>
        </row>
        <row r="511">
          <cell r="C511">
            <v>45558</v>
          </cell>
          <cell r="D511">
            <v>1.2241210231930186</v>
          </cell>
          <cell r="E511">
            <v>130568.37</v>
          </cell>
        </row>
        <row r="512">
          <cell r="C512">
            <v>45559</v>
          </cell>
          <cell r="D512">
            <v>1.2246792057725198</v>
          </cell>
          <cell r="E512">
            <v>132155.76</v>
          </cell>
        </row>
        <row r="513">
          <cell r="C513">
            <v>45560</v>
          </cell>
          <cell r="D513">
            <v>1.2252372179555169</v>
          </cell>
          <cell r="E513">
            <v>131586.45000000001</v>
          </cell>
        </row>
        <row r="514">
          <cell r="C514">
            <v>45561</v>
          </cell>
          <cell r="D514">
            <v>1.2257958317984767</v>
          </cell>
          <cell r="E514">
            <v>133009.78</v>
          </cell>
        </row>
        <row r="515">
          <cell r="C515">
            <v>45562</v>
          </cell>
          <cell r="D515">
            <v>1.2263551347490502</v>
          </cell>
          <cell r="E515">
            <v>132730.35999999999</v>
          </cell>
        </row>
        <row r="516">
          <cell r="C516">
            <v>45565</v>
          </cell>
          <cell r="D516">
            <v>1.2269167602483706</v>
          </cell>
          <cell r="E516">
            <v>131816.44</v>
          </cell>
        </row>
        <row r="517">
          <cell r="C517">
            <v>45566</v>
          </cell>
          <cell r="D517">
            <v>1.2274780436010984</v>
          </cell>
          <cell r="E517">
            <v>132495.16</v>
          </cell>
        </row>
        <row r="518">
          <cell r="C518">
            <v>45567</v>
          </cell>
          <cell r="D518">
            <v>1.2280397485163987</v>
          </cell>
          <cell r="E518">
            <v>133514.94</v>
          </cell>
        </row>
        <row r="519">
          <cell r="C519">
            <v>45568</v>
          </cell>
          <cell r="D519">
            <v>1.2286023607198104</v>
          </cell>
          <cell r="E519">
            <v>131671.51999999999</v>
          </cell>
        </row>
        <row r="520">
          <cell r="C520">
            <v>45569</v>
          </cell>
          <cell r="D520">
            <v>1.2291671497393029</v>
          </cell>
          <cell r="E520">
            <v>131791.54999999999</v>
          </cell>
        </row>
        <row r="521">
          <cell r="C521">
            <v>45572</v>
          </cell>
          <cell r="D521">
            <v>1.2297301913688068</v>
          </cell>
          <cell r="E521">
            <v>132017.84</v>
          </cell>
        </row>
        <row r="522">
          <cell r="C522">
            <v>45573</v>
          </cell>
          <cell r="D522">
            <v>1.2302922252076225</v>
          </cell>
          <cell r="E522">
            <v>131511.73000000001</v>
          </cell>
        </row>
        <row r="523">
          <cell r="C523">
            <v>45574</v>
          </cell>
          <cell r="D523">
            <v>1.2308581395442115</v>
          </cell>
          <cell r="E523">
            <v>129962.06</v>
          </cell>
        </row>
        <row r="524">
          <cell r="C524">
            <v>45575</v>
          </cell>
          <cell r="D524">
            <v>1.2314229378138655</v>
          </cell>
          <cell r="E524">
            <v>130352.86</v>
          </cell>
        </row>
        <row r="525">
          <cell r="C525">
            <v>45576</v>
          </cell>
          <cell r="D525">
            <v>1.2319880136126022</v>
          </cell>
          <cell r="E525">
            <v>129992.29</v>
          </cell>
        </row>
        <row r="526">
          <cell r="C526">
            <v>45579</v>
          </cell>
          <cell r="D526">
            <v>1.2325544141196938</v>
          </cell>
          <cell r="E526">
            <v>131005.25</v>
          </cell>
        </row>
        <row r="527">
          <cell r="C527">
            <v>45580</v>
          </cell>
          <cell r="D527">
            <v>1.2331231877575255</v>
          </cell>
          <cell r="E527">
            <v>131043.27</v>
          </cell>
        </row>
        <row r="528">
          <cell r="C528">
            <v>45581</v>
          </cell>
          <cell r="D528">
            <v>1.2337357218639504</v>
          </cell>
          <cell r="E528">
            <v>131749.72</v>
          </cell>
        </row>
        <row r="529">
          <cell r="C529">
            <v>45582</v>
          </cell>
          <cell r="D529">
            <v>1.2343493274913306</v>
          </cell>
          <cell r="E529">
            <v>130793.41</v>
          </cell>
        </row>
        <row r="530">
          <cell r="C530">
            <v>45583</v>
          </cell>
          <cell r="D530">
            <v>1.234966436259777</v>
          </cell>
          <cell r="E530">
            <v>130499.26</v>
          </cell>
        </row>
        <row r="531">
          <cell r="C531">
            <v>45586</v>
          </cell>
          <cell r="D531">
            <v>1.2355846531147179</v>
          </cell>
          <cell r="E531">
            <v>130361.56</v>
          </cell>
        </row>
        <row r="532">
          <cell r="C532">
            <v>45587</v>
          </cell>
          <cell r="D532">
            <v>1.2362035885727778</v>
          </cell>
          <cell r="E532">
            <v>129951.37</v>
          </cell>
        </row>
        <row r="533">
          <cell r="C533">
            <v>45588</v>
          </cell>
          <cell r="D533">
            <v>1.2368252295934417</v>
          </cell>
          <cell r="E533">
            <v>129233.11</v>
          </cell>
        </row>
        <row r="534">
          <cell r="C534">
            <v>45589</v>
          </cell>
          <cell r="D534">
            <v>1.2374425773389004</v>
          </cell>
          <cell r="E534">
            <v>130066.95</v>
          </cell>
        </row>
        <row r="535">
          <cell r="C535">
            <v>45590</v>
          </cell>
          <cell r="D535">
            <v>1.238062825566842</v>
          </cell>
          <cell r="E535">
            <v>129893.32</v>
          </cell>
        </row>
        <row r="536">
          <cell r="C536">
            <v>45593</v>
          </cell>
          <cell r="D536">
            <v>1.2386849181138986</v>
          </cell>
          <cell r="E536">
            <v>131212.57999999999</v>
          </cell>
        </row>
        <row r="537">
          <cell r="C537">
            <v>45594</v>
          </cell>
          <cell r="D537">
            <v>1.2393090319581785</v>
          </cell>
          <cell r="E537">
            <v>130729.93</v>
          </cell>
        </row>
        <row r="538">
          <cell r="C538">
            <v>45595</v>
          </cell>
          <cell r="D538">
            <v>1.2399327645245055</v>
          </cell>
          <cell r="E538">
            <v>130639.33</v>
          </cell>
        </row>
        <row r="539">
          <cell r="C539">
            <v>45596</v>
          </cell>
          <cell r="D539">
            <v>1.2405563038630523</v>
          </cell>
          <cell r="E539">
            <v>129713.33</v>
          </cell>
        </row>
        <row r="540">
          <cell r="C540">
            <v>45597</v>
          </cell>
          <cell r="D540">
            <v>1.2411828822867614</v>
          </cell>
          <cell r="E540">
            <v>128120.75</v>
          </cell>
        </row>
        <row r="541">
          <cell r="C541">
            <v>45600</v>
          </cell>
          <cell r="D541">
            <v>1.2418045712451755</v>
          </cell>
          <cell r="E541">
            <v>130514.79</v>
          </cell>
        </row>
        <row r="542">
          <cell r="C542">
            <v>45601</v>
          </cell>
          <cell r="D542">
            <v>1.2424261465456237</v>
          </cell>
          <cell r="E542">
            <v>130660.75</v>
          </cell>
        </row>
        <row r="543">
          <cell r="C543">
            <v>45602</v>
          </cell>
          <cell r="D543">
            <v>1.2430476030461002</v>
          </cell>
          <cell r="E543">
            <v>130340.92</v>
          </cell>
        </row>
        <row r="544">
          <cell r="C544">
            <v>45603</v>
          </cell>
          <cell r="D544">
            <v>1.2436665157290672</v>
          </cell>
          <cell r="E544">
            <v>129681.7</v>
          </cell>
        </row>
        <row r="545">
          <cell r="C545">
            <v>45604</v>
          </cell>
          <cell r="D545">
            <v>1.2442844676963243</v>
          </cell>
          <cell r="E545">
            <v>127829.8</v>
          </cell>
        </row>
        <row r="546">
          <cell r="C546">
            <v>45607</v>
          </cell>
          <cell r="D546">
            <v>1.2449039267235829</v>
          </cell>
          <cell r="E546">
            <v>127873.7</v>
          </cell>
        </row>
        <row r="547">
          <cell r="C547">
            <v>45608</v>
          </cell>
          <cell r="D547">
            <v>1.2455308685690756</v>
          </cell>
          <cell r="E547">
            <v>127698.32</v>
          </cell>
        </row>
        <row r="548">
          <cell r="C548">
            <v>45609</v>
          </cell>
          <cell r="D548">
            <v>1.246158204866769</v>
          </cell>
          <cell r="E548">
            <v>127733.88</v>
          </cell>
        </row>
        <row r="549">
          <cell r="C549">
            <v>45610</v>
          </cell>
          <cell r="D549">
            <v>1.246784981440997</v>
          </cell>
          <cell r="E549">
            <v>127791.6</v>
          </cell>
        </row>
        <row r="550">
          <cell r="C550">
            <v>45614</v>
          </cell>
          <cell r="D550">
            <v>1.2474115586361711</v>
          </cell>
          <cell r="E550">
            <v>127768.19</v>
          </cell>
        </row>
        <row r="551">
          <cell r="C551">
            <v>45615</v>
          </cell>
          <cell r="D551">
            <v>1.2480367526114455</v>
          </cell>
          <cell r="E551">
            <v>128197.25</v>
          </cell>
        </row>
        <row r="552">
          <cell r="C552">
            <v>45617</v>
          </cell>
          <cell r="D552">
            <v>1.2486599798119016</v>
          </cell>
          <cell r="E552">
            <v>126922.11</v>
          </cell>
        </row>
        <row r="553">
          <cell r="C553">
            <v>45618</v>
          </cell>
          <cell r="D553">
            <v>1.249286194303183</v>
          </cell>
          <cell r="E553">
            <v>129125.51</v>
          </cell>
        </row>
        <row r="554">
          <cell r="C554">
            <v>45621</v>
          </cell>
          <cell r="D554">
            <v>1.2499117515208278</v>
          </cell>
          <cell r="E554">
            <v>129036.1</v>
          </cell>
        </row>
        <row r="555">
          <cell r="C555">
            <v>45622</v>
          </cell>
          <cell r="D555">
            <v>1.2505383287662282</v>
          </cell>
          <cell r="E555">
            <v>129922.38</v>
          </cell>
        </row>
        <row r="556">
          <cell r="C556">
            <v>45623</v>
          </cell>
          <cell r="D556">
            <v>1.2511712360975495</v>
          </cell>
          <cell r="E556">
            <v>127668.61</v>
          </cell>
        </row>
        <row r="557">
          <cell r="C557">
            <v>45624</v>
          </cell>
          <cell r="D557">
            <v>1.2518082324076671</v>
          </cell>
          <cell r="E557">
            <v>124610.41</v>
          </cell>
        </row>
        <row r="558">
          <cell r="C558">
            <v>45625</v>
          </cell>
          <cell r="D558">
            <v>1.2524443352216366</v>
          </cell>
          <cell r="E558">
            <v>125667.83</v>
          </cell>
        </row>
        <row r="559">
          <cell r="C559">
            <v>45628</v>
          </cell>
          <cell r="D559">
            <v>1.2530791889719759</v>
          </cell>
          <cell r="E559">
            <v>125235.54</v>
          </cell>
        </row>
        <row r="560">
          <cell r="C560">
            <v>45629</v>
          </cell>
          <cell r="D560">
            <v>1.2537182219123875</v>
          </cell>
          <cell r="E560">
            <v>126139.2</v>
          </cell>
        </row>
        <row r="561">
          <cell r="C561">
            <v>45630</v>
          </cell>
          <cell r="D561">
            <v>1.2543560075635436</v>
          </cell>
          <cell r="E561">
            <v>126087.02</v>
          </cell>
        </row>
        <row r="562">
          <cell r="C562">
            <v>45631</v>
          </cell>
          <cell r="D562">
            <v>1.2549950537299646</v>
          </cell>
          <cell r="E562">
            <v>127857.58</v>
          </cell>
        </row>
        <row r="563">
          <cell r="C563">
            <v>45632</v>
          </cell>
          <cell r="D563">
            <v>1.2556378998513942</v>
          </cell>
          <cell r="E563">
            <v>125945.67</v>
          </cell>
        </row>
        <row r="564">
          <cell r="C564">
            <v>45635</v>
          </cell>
          <cell r="D564">
            <v>1.2562832221912159</v>
          </cell>
          <cell r="E564">
            <v>127210.19</v>
          </cell>
        </row>
        <row r="565">
          <cell r="C565">
            <v>45636</v>
          </cell>
          <cell r="D565">
            <v>1.2569242044437063</v>
          </cell>
          <cell r="E565">
            <v>128228.49</v>
          </cell>
        </row>
        <row r="566">
          <cell r="C566">
            <v>45637</v>
          </cell>
          <cell r="D566">
            <v>1.2575584286265664</v>
          </cell>
          <cell r="E566">
            <v>129593.31</v>
          </cell>
        </row>
        <row r="567">
          <cell r="C567">
            <v>45638</v>
          </cell>
          <cell r="D567">
            <v>1.2581970143847474</v>
          </cell>
          <cell r="E567">
            <v>126042.21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Danny Adler" id="{17B9249B-4548-4D03-9C02-997702D30AAC}" userId="S::dadler@neuler.com.br::fb1b72db-d1e5-40a2-af7e-03c70fb249f8" providerId="AD"/>
  <person displayName="Nathan Vieira" id="{34D2DB76-213C-4BDE-BF78-EA227095EBDF}" userId="S::nvieira@neuler.com.br::57a1749c-a595-487c-ab5d-c71675dfaf73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3" dT="2022-10-03T17:08:02.08" personId="{17B9249B-4548-4D03-9C02-997702D30AAC}" id="{6D27C3B1-77D1-430A-AEA6-70FF67B567F7}">
    <text>Pegar da Carteira BTG.</text>
  </threadedComment>
  <threadedComment ref="E13" dT="2022-10-03T17:08:15.71" personId="{17B9249B-4548-4D03-9C02-997702D30AAC}" id="{81AEBBAC-5022-41C3-992D-AA4CE0A4BA95}">
    <text>Pegar da Carteira BTG.</text>
  </threadedComment>
  <threadedComment ref="H13" dT="2022-10-03T17:08:38.95" personId="{17B9249B-4548-4D03-9C02-997702D30AAC}" id="{A860CAEE-3388-4BB3-9106-4CA3BE26D7CE}">
    <text>Pegar da Carteira BTG Master.</text>
  </threadedComment>
  <threadedComment ref="K13" dT="2022-10-03T17:08:38.95" personId="{17B9249B-4548-4D03-9C02-997702D30AAC}" id="{57BD87A1-1109-49D5-A495-A25D5180E336}">
    <text>Pegar da Carteira BTG Master.</text>
  </threadedComment>
  <threadedComment ref="N13" dT="2022-10-03T17:08:38.95" personId="{17B9249B-4548-4D03-9C02-997702D30AAC}" id="{44A77567-1BF4-48C1-9466-F86872C6A8AD}">
    <text>Pegar da Carteira BTG Master.</text>
  </threadedComment>
  <threadedComment ref="Q13" dT="2022-10-03T17:08:38.95" personId="{17B9249B-4548-4D03-9C02-997702D30AAC}" id="{7C68EF80-1C02-4B49-AE27-A7258C24C217}">
    <text>Pegar da Carteira BTG Master.</text>
  </threadedComment>
  <threadedComment ref="U13" dT="2022-10-03T17:08:38.95" personId="{17B9249B-4548-4D03-9C02-997702D30AAC}" id="{63E5224E-7241-48EB-BE5C-DADF31400A47}">
    <text>Pegar da Carteira BTG Master.</text>
  </threadedComment>
  <threadedComment ref="X13" dT="2022-10-03T17:09:09.81" personId="{17B9249B-4548-4D03-9C02-997702D30AAC}" id="{3C28294F-7513-4EDC-A6CD-72C9A452F4FD}">
    <text>Pegar do Caixa.</text>
  </threadedComment>
  <threadedComment ref="AB13" dT="2022-10-03T17:09:34.80" personId="{17B9249B-4548-4D03-9C02-997702D30AAC}" id="{ED227ABE-1CCE-4D86-ADD7-298BB1E40B48}">
    <text>Pegar da Carteira BTG.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3" dT="2022-10-03T15:40:05.45" personId="{17B9249B-4548-4D03-9C02-997702D30AAC}" id="{E240433C-52DA-4BF0-98E1-06590A37DFED}">
    <text>No 5o dia útil, lembrar que cai o pagamento de taxa de administração.</text>
  </threadedComment>
  <threadedComment ref="U13" dT="2022-10-03T15:47:47.37" personId="{17B9249B-4548-4D03-9C02-997702D30AAC}" id="{A385502A-E716-4A62-B55F-E1FE622E4C41}">
    <text>Conferir no Caixa do Fundo no Portal do BTG o valor que foi aplicado no dia.</text>
  </threadedComment>
  <threadedComment ref="W13" dT="2022-10-03T15:47:47.37" personId="{17B9249B-4548-4D03-9C02-997702D30AAC}" id="{67F25694-4219-417B-B85C-8A1A5E51226C}">
    <text>Conferir no Caixa do Fundo no Portal do BTG o valor que foi aplicado no dia.</text>
  </threadedComment>
  <threadedComment ref="Y13" dT="2022-10-03T15:47:47.37" personId="{17B9249B-4548-4D03-9C02-997702D30AAC}" id="{026C7766-199D-497E-BA45-BE09E4268C6E}">
    <text>Conferir no Caixa do Fundo no Portal do BTG o valor que foi aplicado no dia.</text>
  </threadedComment>
  <threadedComment ref="AA13" dT="2022-10-03T15:47:47.37" personId="{17B9249B-4548-4D03-9C02-997702D30AAC}" id="{2F91674E-D6E2-44DA-B9E3-BE88B6329AFF}">
    <text>Conferir no Caixa do Fundo no Portal do BTG o valor que foi resgatado no dia.</text>
  </threadedComment>
  <threadedComment ref="AE13" dT="2022-10-03T15:37:26.40" personId="{17B9249B-4548-4D03-9C02-997702D30AAC}" id="{2928D4DA-E00F-450A-8830-98868A16EED4}">
    <text>Pegar da carteira BTG.</text>
  </threadedComment>
  <threadedComment ref="P208" dT="2023-08-14T18:16:42.45" personId="{34D2DB76-213C-4BDE-BF78-EA227095EBDF}" id="{28818B55-8261-40B9-BF02-01BCA8067F26}">
    <text>Taxa ANBIMA</text>
  </threadedComment>
  <threadedComment ref="P209" dT="2023-08-14T18:16:42.45" personId="{34D2DB76-213C-4BDE-BF78-EA227095EBDF}" id="{C4E1AA6B-24A4-4653-B35D-D57DBC18E0D4}">
    <text>Taxa ANBIMA</text>
  </threadedComment>
  <threadedComment ref="P210" dT="2023-08-14T18:16:42.45" personId="{34D2DB76-213C-4BDE-BF78-EA227095EBDF}" id="{B43E0C14-646F-498D-835B-1FDD7219B220}">
    <text>Taxa ANBIMA</text>
  </threadedComment>
  <threadedComment ref="P211" dT="2023-08-14T18:16:42.45" personId="{34D2DB76-213C-4BDE-BF78-EA227095EBDF}" id="{257E085D-047E-40A4-A40A-60C1FB2BF6EF}">
    <text>Taxa ANBIMA</text>
  </threadedComment>
  <threadedComment ref="P212" dT="2023-08-14T18:16:42.45" personId="{34D2DB76-213C-4BDE-BF78-EA227095EBDF}" id="{3073A94E-6CF8-4495-8C98-999193BC1A97}">
    <text>Taxa ANBIMA</text>
  </threadedComment>
  <threadedComment ref="P213" dT="2023-08-14T18:16:42.45" personId="{34D2DB76-213C-4BDE-BF78-EA227095EBDF}" id="{6C1E1D59-FCE4-4038-A696-C43F8BFAEB7A}">
    <text>Taxa ANBIMA</text>
  </threadedComment>
  <threadedComment ref="P214" dT="2023-08-14T18:16:42.45" personId="{34D2DB76-213C-4BDE-BF78-EA227095EBDF}" id="{03B92D04-7987-4B2F-A61D-9873085269B5}">
    <text>Taxa ANBIMA</text>
  </threadedComment>
  <threadedComment ref="P215" dT="2023-08-14T18:16:42.45" personId="{34D2DB76-213C-4BDE-BF78-EA227095EBDF}" id="{3EC9E004-15E8-4903-B6E8-9498855F2B7A}">
    <text>Taxa ANBIMA</text>
  </threadedComment>
  <threadedComment ref="P216" dT="2023-08-14T18:16:42.45" personId="{34D2DB76-213C-4BDE-BF78-EA227095EBDF}" id="{3398732F-F453-460E-8739-2F7793EA3BA3}">
    <text>Taxa ANBIMA</text>
  </threadedComment>
  <threadedComment ref="P217" dT="2023-08-14T18:16:42.45" personId="{34D2DB76-213C-4BDE-BF78-EA227095EBDF}" id="{101A51F6-6577-447C-BF07-94E3FF5DD572}">
    <text>Taxa ANBIMA</text>
  </threadedComment>
  <threadedComment ref="P218" dT="2023-08-14T18:16:42.45" personId="{34D2DB76-213C-4BDE-BF78-EA227095EBDF}" id="{798A0B55-000B-4372-ACC6-DD198598906B}">
    <text>Taxa ANBIMA</text>
  </threadedComment>
  <threadedComment ref="P219" dT="2023-08-14T18:16:42.45" personId="{34D2DB76-213C-4BDE-BF78-EA227095EBDF}" id="{8BAF321E-D261-4AFD-8307-CA36697365B7}">
    <text>Taxa ANBIMA</text>
  </threadedComment>
  <threadedComment ref="P220" dT="2023-08-14T18:16:42.45" personId="{34D2DB76-213C-4BDE-BF78-EA227095EBDF}" id="{E8315EC4-FE39-429D-A1E5-AC31F93E412E}">
    <text>Taxa ANBIMA</text>
  </threadedComment>
  <threadedComment ref="P221" dT="2023-08-14T18:16:42.45" personId="{34D2DB76-213C-4BDE-BF78-EA227095EBDF}" id="{676EE512-F9DA-4FFD-81DF-EB80E02F1DE5}">
    <text>Taxa ANBIMA</text>
  </threadedComment>
  <threadedComment ref="P222" dT="2023-08-14T18:16:42.45" personId="{34D2DB76-213C-4BDE-BF78-EA227095EBDF}" id="{668C4080-0154-4C96-BE77-07AADC6AD025}">
    <text>Taxa ANBIMA</text>
  </threadedComment>
  <threadedComment ref="P223" dT="2023-08-14T18:16:42.45" personId="{34D2DB76-213C-4BDE-BF78-EA227095EBDF}" id="{CF6EE089-C9A6-498B-BFB0-1A26566FE7BD}">
    <text>Taxa ANBIMA</text>
  </threadedComment>
  <threadedComment ref="P224" dT="2023-08-14T18:16:42.45" personId="{34D2DB76-213C-4BDE-BF78-EA227095EBDF}" id="{D91162FA-C89D-4A6F-8546-B1E1E30367AB}">
    <text>Taxa ANBIMA</text>
  </threadedComment>
  <threadedComment ref="P225" dT="2023-08-14T18:16:42.45" personId="{34D2DB76-213C-4BDE-BF78-EA227095EBDF}" id="{DF906492-5FF7-4655-ADFA-309E4A4CB641}">
    <text>Taxa ANBIMA</text>
  </threadedComment>
  <threadedComment ref="P226" dT="2023-08-14T18:16:42.45" personId="{34D2DB76-213C-4BDE-BF78-EA227095EBDF}" id="{EC11F87A-0631-4008-B7C3-374B62B77256}">
    <text>Taxa ANBIMA</text>
  </threadedComment>
  <threadedComment ref="P227" dT="2023-08-14T18:16:42.45" personId="{34D2DB76-213C-4BDE-BF78-EA227095EBDF}" id="{DACA11E0-0592-48B0-9913-EFD120E03905}">
    <text>Taxa ANBIMA</text>
  </threadedComment>
  <threadedComment ref="P228" dT="2023-08-14T18:16:42.45" personId="{34D2DB76-213C-4BDE-BF78-EA227095EBDF}" id="{A39B90B8-AFD3-4591-A07B-6E209B5EB54A}">
    <text>Taxa ANBIMA</text>
  </threadedComment>
  <threadedComment ref="P229" dT="2023-08-14T18:16:42.45" personId="{34D2DB76-213C-4BDE-BF78-EA227095EBDF}" id="{3A4D6093-B428-4ABB-BD31-CAE87BBFEFEF}">
    <text>Taxa ANBIMA</text>
  </threadedComment>
  <threadedComment ref="P230" dT="2023-08-14T18:16:42.45" personId="{34D2DB76-213C-4BDE-BF78-EA227095EBDF}" id="{FAB9EB70-A69F-4960-827B-19FAE79E71B5}">
    <text>Taxa ANBIMA</text>
  </threadedComment>
  <threadedComment ref="P231" dT="2023-08-14T18:16:42.45" personId="{34D2DB76-213C-4BDE-BF78-EA227095EBDF}" id="{5FF346AB-E41B-4EB3-A33A-18A167B46B2A}">
    <text>Taxa ANBIMA</text>
  </threadedComment>
  <threadedComment ref="P232" dT="2023-08-14T18:16:42.45" personId="{34D2DB76-213C-4BDE-BF78-EA227095EBDF}" id="{C7549ED5-F885-431F-9A97-7EF854AC92B9}">
    <text>Taxa ANBIMA</text>
  </threadedComment>
  <threadedComment ref="P233" dT="2023-08-14T18:16:42.45" personId="{34D2DB76-213C-4BDE-BF78-EA227095EBDF}" id="{42D4191A-37D7-4E74-9BDC-646B1FBBDD26}">
    <text>Taxa ANBIMA</text>
  </threadedComment>
  <threadedComment ref="P234" dT="2023-08-14T18:16:42.45" personId="{34D2DB76-213C-4BDE-BF78-EA227095EBDF}" id="{53226D00-16C2-4795-9756-BA3360CC783C}">
    <text>Taxa ANBIMA</text>
  </threadedComment>
  <threadedComment ref="P235" dT="2023-08-14T18:16:42.45" personId="{34D2DB76-213C-4BDE-BF78-EA227095EBDF}" id="{F0B956B4-AE61-46BD-8228-E803CE2F181C}">
    <text>Taxa ANBIMA</text>
  </threadedComment>
  <threadedComment ref="P236" dT="2023-08-14T18:16:42.45" personId="{34D2DB76-213C-4BDE-BF78-EA227095EBDF}" id="{1BE5C34E-1F14-4A56-BC53-846ACB26FCFE}">
    <text>Taxa ANBIMA</text>
  </threadedComment>
  <threadedComment ref="P237" dT="2023-08-14T18:16:42.45" personId="{34D2DB76-213C-4BDE-BF78-EA227095EBDF}" id="{F0DAB6DC-5277-4C6E-92FC-BC67DE5585C1}">
    <text>Taxa ANBIMA</text>
  </threadedComment>
  <threadedComment ref="P238" dT="2023-08-14T18:16:42.45" personId="{34D2DB76-213C-4BDE-BF78-EA227095EBDF}" id="{8D9B541A-CA33-42E5-983A-BB0087614337}">
    <text>Taxa ANBIMA</text>
  </threadedComment>
  <threadedComment ref="P239" dT="2023-08-14T18:16:42.45" personId="{34D2DB76-213C-4BDE-BF78-EA227095EBDF}" id="{8305B02C-7F20-422B-AB77-D513ED7FEDAE}">
    <text>Taxa ANBIMA</text>
  </threadedComment>
  <threadedComment ref="P240" dT="2023-08-14T18:16:42.45" personId="{34D2DB76-213C-4BDE-BF78-EA227095EBDF}" id="{F77ED34A-6D2D-47FB-A1CE-847099A2D3F5}">
    <text>Taxa ANBIMA</text>
  </threadedComment>
  <threadedComment ref="P241" dT="2023-08-14T18:16:42.45" personId="{34D2DB76-213C-4BDE-BF78-EA227095EBDF}" id="{E1232477-78B3-444C-838E-051DDD2BE35B}">
    <text>Taxa ANBIMA</text>
  </threadedComment>
  <threadedComment ref="P242" dT="2023-08-14T18:16:42.45" personId="{34D2DB76-213C-4BDE-BF78-EA227095EBDF}" id="{7ACEAF85-5124-44E6-B0FA-007A68760350}">
    <text>Taxa ANBIMA</text>
  </threadedComment>
  <threadedComment ref="P243" dT="2023-08-14T18:16:42.45" personId="{34D2DB76-213C-4BDE-BF78-EA227095EBDF}" id="{4BD05A64-1AF5-4067-8AE3-84E401A2BC38}">
    <text>Taxa ANBIMA</text>
  </threadedComment>
  <threadedComment ref="P244" dT="2023-08-14T18:16:42.45" personId="{34D2DB76-213C-4BDE-BF78-EA227095EBDF}" id="{F5B58C03-9D8F-4CFF-A364-BE13A0ED96E5}">
    <text>Taxa ANBIMA</text>
  </threadedComment>
  <threadedComment ref="P245" dT="2023-08-14T18:16:42.45" personId="{34D2DB76-213C-4BDE-BF78-EA227095EBDF}" id="{590205C2-E780-4976-A8F1-74B1662893E6}">
    <text>Taxa ANBIMA</text>
  </threadedComment>
  <threadedComment ref="P246" dT="2023-08-14T18:16:42.45" personId="{34D2DB76-213C-4BDE-BF78-EA227095EBDF}" id="{E7B91FF8-4C84-4B2C-95F1-63D754391D41}">
    <text>Taxa ANBIMA</text>
  </threadedComment>
  <threadedComment ref="P343" dT="2024-02-29T12:50:13.86" personId="{34D2DB76-213C-4BDE-BF78-EA227095EBDF}" id="{2F600F99-B256-4F92-B4D9-F9E6F27048BB}">
    <text>Auditoria_EY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13" dT="2022-10-03T15:40:05.45" personId="{17B9249B-4548-4D03-9C02-997702D30AAC}" id="{AA451C90-ABBB-41C1-B1DC-2F70EBA4B452}">
    <text>No 5o dia útil, lembrar que cai o pagamento de taxa de administração.</text>
  </threadedComment>
  <threadedComment ref="Q13" dT="2022-10-03T15:47:47.37" personId="{17B9249B-4548-4D03-9C02-997702D30AAC}" id="{E67FDC17-9B1E-47E5-B5EC-A5A25E5D6600}">
    <text>Conferir no Caixa do Fundo no Portal do BTG o valor que foi aplicado no dia.</text>
  </threadedComment>
  <threadedComment ref="R13" dT="2022-10-03T15:47:47.37" personId="{17B9249B-4548-4D03-9C02-997702D30AAC}" id="{49D71B50-4C37-4DFC-90BD-CB1371ECEE8B}">
    <text>Conferir no Caixa do Fundo no Portal do BTG o valor que foi resgatado no dia.</text>
  </threadedComment>
  <threadedComment ref="U13" dT="2022-10-03T15:37:26.40" personId="{17B9249B-4548-4D03-9C02-997702D30AAC}" id="{B28540B4-44D7-4405-A87D-8F8510C65AAF}">
    <text>Pegar da carteira BTG.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B8031-0C95-426A-A5CD-4EBA95E7BE75}">
  <sheetPr codeName="Planilha10"/>
  <dimension ref="B2:F3"/>
  <sheetViews>
    <sheetView workbookViewId="0"/>
  </sheetViews>
  <sheetFormatPr defaultRowHeight="15"/>
  <cols>
    <col min="3" max="3" width="13.85546875" customWidth="1"/>
    <col min="6" max="6" width="9.5703125" bestFit="1" customWidth="1"/>
  </cols>
  <sheetData>
    <row r="2" spans="2:6">
      <c r="B2" s="86" t="s">
        <v>137</v>
      </c>
      <c r="C2" s="49" t="str">
        <f>"N:\Operacional\Carteiras Neuler\Carteira_HSF_FIC_FIA0"&amp;DAY(Controle!C1)&amp;"0"&amp;MONTH(Controle!C1)&amp;""&amp;YEAR(Controle!C1)&amp;".xlsm"</f>
        <v>N:\Operacional\Carteiras Neuler\Carteira_HSF_FIC_FIA0120122024.xlsm</v>
      </c>
      <c r="F2" s="1"/>
    </row>
    <row r="3" spans="2:6">
      <c r="B3" t="s">
        <v>217</v>
      </c>
      <c r="C3" s="87">
        <f>Controle!C1</f>
        <v>45638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603B-5286-4FE7-B08B-713DC21EEED9}">
  <sheetPr codeName="Planilha1"/>
  <dimension ref="A1:X37"/>
  <sheetViews>
    <sheetView showGridLines="0" tabSelected="1" zoomScale="70" zoomScaleNormal="70" workbookViewId="0">
      <selection activeCell="C2" sqref="C2"/>
    </sheetView>
  </sheetViews>
  <sheetFormatPr defaultRowHeight="15"/>
  <cols>
    <col min="1" max="1" width="7.42578125" bestFit="1" customWidth="1"/>
    <col min="2" max="2" width="12.7109375" bestFit="1" customWidth="1"/>
    <col min="3" max="3" width="13.5703125" bestFit="1" customWidth="1"/>
    <col min="5" max="5" width="15.140625" customWidth="1"/>
    <col min="8" max="8" width="28.7109375" bestFit="1" customWidth="1"/>
    <col min="9" max="9" width="23.140625" customWidth="1"/>
    <col min="10" max="10" width="19.28515625" bestFit="1" customWidth="1"/>
    <col min="11" max="11" width="14.85546875" bestFit="1" customWidth="1"/>
    <col min="12" max="12" width="16.28515625" bestFit="1" customWidth="1"/>
    <col min="14" max="14" width="18.42578125" bestFit="1" customWidth="1"/>
    <col min="24" max="24" width="13.85546875" bestFit="1" customWidth="1"/>
  </cols>
  <sheetData>
    <row r="1" spans="1:24" ht="18.75">
      <c r="A1" s="101" t="s">
        <v>0</v>
      </c>
      <c r="B1" s="101"/>
      <c r="C1" s="102">
        <v>45638</v>
      </c>
      <c r="D1" s="102"/>
    </row>
    <row r="2" spans="1:24" ht="18.75">
      <c r="A2" s="2"/>
      <c r="B2" s="2"/>
      <c r="C2" t="s">
        <v>209</v>
      </c>
      <c r="F2" s="3"/>
      <c r="G2" s="4" t="s">
        <v>1</v>
      </c>
      <c r="H2" s="4" t="s">
        <v>2</v>
      </c>
      <c r="I2" s="5" t="s">
        <v>3</v>
      </c>
      <c r="J2" s="5"/>
      <c r="K2" s="5" t="s">
        <v>4</v>
      </c>
      <c r="L2" s="5"/>
      <c r="M2" s="6"/>
      <c r="N2" s="6"/>
      <c r="O2" s="7"/>
    </row>
    <row r="3" spans="1:24">
      <c r="A3" t="s">
        <v>5</v>
      </c>
      <c r="F3" s="8"/>
      <c r="G3" s="9"/>
      <c r="H3" s="9"/>
      <c r="I3" s="10"/>
      <c r="J3" s="11" t="s">
        <v>6</v>
      </c>
      <c r="K3" s="11" t="s">
        <v>7</v>
      </c>
      <c r="L3" s="11" t="s">
        <v>8</v>
      </c>
      <c r="O3" s="12"/>
      <c r="P3" t="s">
        <v>204</v>
      </c>
    </row>
    <row r="4" spans="1:24" ht="18">
      <c r="A4">
        <v>1</v>
      </c>
      <c r="B4" t="s">
        <v>9</v>
      </c>
      <c r="F4" s="8"/>
      <c r="G4" s="9" t="str">
        <f>IF(IFERROR(VLOOKUP($H4,#REF!,1,FALSE),"Não")="Não","Não","Sim")</f>
        <v>Não</v>
      </c>
      <c r="H4" s="13" t="s">
        <v>10</v>
      </c>
      <c r="I4" s="14" t="s">
        <v>10</v>
      </c>
      <c r="J4" s="15">
        <f>VLOOKUP($C$1,Resumo_HSF!$C$13:$AB$10000,21,0)</f>
        <v>8725403.6097663324</v>
      </c>
      <c r="K4" s="15">
        <f>IFERROR(VLOOKUP($H4,CarteiraBTG!$A$13:$D$21,2,FALSE),0)</f>
        <v>8725403.6096999999</v>
      </c>
      <c r="L4" s="15">
        <f>J4-K4</f>
        <v>6.6332519054412842E-5</v>
      </c>
      <c r="M4" s="16" t="str">
        <f t="shared" ref="M4:M12" si="0">IF(ROUND(L4,4)&lt;1,IF(ROUND(L4,4)&gt;-1,"ü","N"),"N")</f>
        <v>ü</v>
      </c>
      <c r="O4" s="12"/>
    </row>
    <row r="5" spans="1:24" ht="18">
      <c r="A5">
        <f>A4+1</f>
        <v>2</v>
      </c>
      <c r="B5" t="s">
        <v>11</v>
      </c>
      <c r="C5" t="s">
        <v>12</v>
      </c>
      <c r="F5" s="8"/>
      <c r="G5" s="9" t="str">
        <f>IF(IFERROR(VLOOKUP($H5,#REF!,1,FALSE),"Não")="Não","Não","Sim")</f>
        <v>Não</v>
      </c>
      <c r="H5" s="13" t="s">
        <v>13</v>
      </c>
      <c r="I5" s="17" t="s">
        <v>14</v>
      </c>
      <c r="J5" s="15">
        <f>VLOOKUP($C$1,Resumo_HSF!$C$13:$AB$1000,22,FALSE)</f>
        <v>0</v>
      </c>
      <c r="K5" s="15">
        <f>IFERROR(VLOOKUP($H5,CarteiraBTG!$A$13:$D$21,2,FALSE),0)</f>
        <v>0</v>
      </c>
      <c r="L5" s="15">
        <f t="shared" ref="L5:L20" si="1">J5-K5</f>
        <v>0</v>
      </c>
      <c r="M5" s="16" t="str">
        <f t="shared" si="0"/>
        <v>ü</v>
      </c>
      <c r="O5" s="12"/>
      <c r="P5" t="e">
        <f>VLOOKUP($H5,#REF!,2,FALSE)</f>
        <v>#REF!</v>
      </c>
    </row>
    <row r="6" spans="1:24" ht="18">
      <c r="A6">
        <f t="shared" ref="A6:A9" si="2">A5+1</f>
        <v>3</v>
      </c>
      <c r="B6" t="s">
        <v>15</v>
      </c>
      <c r="C6" t="s">
        <v>16</v>
      </c>
      <c r="F6" s="8"/>
      <c r="G6" s="9" t="str">
        <f>IF(IFERROR(VLOOKUP($H6,#REF!,1,FALSE),"Não")="Não","Não","Sim")</f>
        <v>Não</v>
      </c>
      <c r="H6" s="13" t="s">
        <v>17</v>
      </c>
      <c r="I6" s="17" t="s">
        <v>18</v>
      </c>
      <c r="J6" s="15">
        <f>VLOOKUP($C$1,Resumo_HSF!$C$13:$AB$1000,26,FALSE)</f>
        <v>3900.1156999999998</v>
      </c>
      <c r="K6" s="15">
        <f>IFERROR(VLOOKUP($H6,CarteiraBTG!$A$13:$D$21,2,FALSE),0)</f>
        <v>3900.1156999999998</v>
      </c>
      <c r="L6" s="15">
        <f>J6-K6</f>
        <v>0</v>
      </c>
      <c r="M6" s="16" t="str">
        <f t="shared" si="0"/>
        <v>ü</v>
      </c>
      <c r="O6" s="12"/>
    </row>
    <row r="7" spans="1:24" ht="18">
      <c r="A7">
        <f t="shared" si="2"/>
        <v>4</v>
      </c>
      <c r="B7" t="s">
        <v>19</v>
      </c>
      <c r="F7" s="8"/>
      <c r="G7" s="9" t="str">
        <f>IF(IFERROR(VLOOKUP($H7,#REF!,1,FALSE),"Não")="Não","Não","Sim")</f>
        <v>Não</v>
      </c>
      <c r="H7" s="13" t="s">
        <v>20</v>
      </c>
      <c r="I7" s="17" t="s">
        <v>21</v>
      </c>
      <c r="J7" s="15">
        <f>-VLOOKUP($C$1,Resumo_HSF!$C$13:$AB$1000,17,FALSE)</f>
        <v>-4236.6517470262115</v>
      </c>
      <c r="K7" s="15">
        <f>IFERROR(VLOOKUP($H7,CarteiraBTG!$A$13:$D$21,2,FALSE),0)</f>
        <v>-4236.62</v>
      </c>
      <c r="L7" s="15">
        <f t="shared" si="1"/>
        <v>-3.1747026211633056E-2</v>
      </c>
      <c r="M7" s="16" t="str">
        <f t="shared" si="0"/>
        <v>ü</v>
      </c>
      <c r="O7" s="12"/>
      <c r="W7" s="53"/>
    </row>
    <row r="8" spans="1:24" ht="18">
      <c r="A8">
        <f t="shared" si="2"/>
        <v>5</v>
      </c>
      <c r="B8" t="s">
        <v>22</v>
      </c>
      <c r="F8" s="8"/>
      <c r="G8" s="9" t="str">
        <f>IF(IFERROR(VLOOKUP($H8,#REF!,1,FALSE),"Não")="Não","Não","Sim")</f>
        <v>Não</v>
      </c>
      <c r="H8" s="13" t="s">
        <v>23</v>
      </c>
      <c r="I8" s="17" t="s">
        <v>24</v>
      </c>
      <c r="J8" s="15">
        <f>-VLOOKUP($C$1,Resumo_HSF!$C$13:$AB$1000,18,FALSE)</f>
        <v>0</v>
      </c>
      <c r="K8" s="15">
        <f>IFERROR(VLOOKUP($H8,CarteiraBTG!$A$13:$D$21,2,FALSE),0)</f>
        <v>0</v>
      </c>
      <c r="L8" s="15">
        <f t="shared" ref="L8" si="3">J8-K8</f>
        <v>0</v>
      </c>
      <c r="M8" s="16" t="str">
        <f t="shared" si="0"/>
        <v>ü</v>
      </c>
      <c r="O8" s="12"/>
      <c r="P8" s="15" t="e">
        <f>VLOOKUP($H8,#REF!,2,FALSE)</f>
        <v>#REF!</v>
      </c>
    </row>
    <row r="9" spans="1:24" ht="18">
      <c r="A9">
        <f t="shared" si="2"/>
        <v>6</v>
      </c>
      <c r="B9" t="s">
        <v>25</v>
      </c>
      <c r="F9" s="8"/>
      <c r="G9" s="9" t="str">
        <f>IF(IFERROR(VLOOKUP($H9,#REF!,1,FALSE),"Não")="Não","Não","Sim")</f>
        <v>Não</v>
      </c>
      <c r="H9" s="13" t="s">
        <v>26</v>
      </c>
      <c r="I9" s="17" t="s">
        <v>27</v>
      </c>
      <c r="J9" s="15">
        <f>-VLOOKUP($C$1,Resumo_HSF!$C$13:$AB$1000,19,FALSE)</f>
        <v>0</v>
      </c>
      <c r="K9" s="15">
        <f>IFERROR(VLOOKUP($H9,CarteiraBTG!$A$13:$D$21,2,FALSE),0)</f>
        <v>0</v>
      </c>
      <c r="L9" s="15">
        <f t="shared" si="1"/>
        <v>0</v>
      </c>
      <c r="M9" s="16" t="str">
        <f t="shared" si="0"/>
        <v>ü</v>
      </c>
      <c r="O9" s="12"/>
      <c r="X9" s="15"/>
    </row>
    <row r="10" spans="1:24" ht="18">
      <c r="A10">
        <f>A9+1</f>
        <v>7</v>
      </c>
      <c r="B10" t="s">
        <v>28</v>
      </c>
      <c r="F10" s="8"/>
      <c r="G10" s="9" t="str">
        <f>IF(IFERROR(VLOOKUP($H10,#REF!,1,FALSE),"Não")="Não","Não","Sim")</f>
        <v>Não</v>
      </c>
      <c r="H10" s="13" t="s">
        <v>29</v>
      </c>
      <c r="I10" s="17" t="s">
        <v>163</v>
      </c>
      <c r="J10" s="15">
        <f>-Performance!V1</f>
        <v>0</v>
      </c>
      <c r="K10" s="15">
        <f>IFERROR(VLOOKUP($H10,CarteiraBTG!$A$13:$D$21,2,FALSE),0)</f>
        <v>0</v>
      </c>
      <c r="L10" s="15">
        <f t="shared" ref="L10:L12" si="4">J10-K10</f>
        <v>0</v>
      </c>
      <c r="M10" s="16" t="str">
        <f t="shared" si="0"/>
        <v>ü</v>
      </c>
      <c r="N10" s="15" t="e">
        <f>VLOOKUP($H10,CarteiraBTG!$A$13:$D$21,2,FALSE)</f>
        <v>#N/A</v>
      </c>
      <c r="O10" s="12"/>
    </row>
    <row r="11" spans="1:24" ht="18">
      <c r="F11" s="13" t="s">
        <v>208</v>
      </c>
      <c r="G11" s="9" t="str">
        <f>IF(IFERROR(VLOOKUP($H11,#REF!,1,FALSE),"Não")="Não","Não","Sim")</f>
        <v>Não</v>
      </c>
      <c r="H11" s="13" t="s">
        <v>206</v>
      </c>
      <c r="I11" s="17" t="s">
        <v>207</v>
      </c>
      <c r="J11" s="15">
        <f>VLOOKUP($C$1,Resumo_HSF!C13:AN3000,38,FALSE)</f>
        <v>0</v>
      </c>
      <c r="K11" s="15">
        <f>IFERROR(VLOOKUP($H11,CarteiraBTG!$A$13:$D$21,2,FALSE),0)</f>
        <v>0</v>
      </c>
      <c r="L11" s="15">
        <f t="shared" ref="L11" si="5">J11-K11</f>
        <v>0</v>
      </c>
      <c r="M11" s="16" t="str">
        <f t="shared" ref="M11" si="6">IF(ROUND(L11,4)&lt;1,IF(ROUND(L11,4)&gt;-1,"ü","N"),"N")</f>
        <v>ü</v>
      </c>
      <c r="N11" s="15"/>
      <c r="O11" s="12"/>
    </row>
    <row r="12" spans="1:24" ht="18">
      <c r="A12">
        <f>A10+1</f>
        <v>8</v>
      </c>
      <c r="B12" t="s">
        <v>30</v>
      </c>
      <c r="F12" s="8"/>
      <c r="G12" s="9" t="str">
        <f>IF(IFERROR(VLOOKUP($H12,#REF!,1,FALSE),"Não")="Não","Não","Sim")</f>
        <v>Não</v>
      </c>
      <c r="H12" s="13" t="s">
        <v>31</v>
      </c>
      <c r="I12" s="17" t="s">
        <v>70</v>
      </c>
      <c r="J12" s="15">
        <f>-VLOOKUP(C1,Resumo_HSF!$C$13:$AN$800,37,FALSE)</f>
        <v>0</v>
      </c>
      <c r="K12" s="15">
        <f>IFERROR(VLOOKUP($H12,CarteiraBTG!$A$13:$D$21,2,FALSE),0)</f>
        <v>0</v>
      </c>
      <c r="L12" s="15">
        <f t="shared" si="4"/>
        <v>0</v>
      </c>
      <c r="M12" s="16" t="str">
        <f t="shared" si="0"/>
        <v>ü</v>
      </c>
      <c r="O12" s="12"/>
      <c r="P12" t="e">
        <f>VLOOKUP($H12,#REF!,2,FALSE)</f>
        <v>#REF!</v>
      </c>
    </row>
    <row r="13" spans="1:24" ht="18">
      <c r="F13" s="8"/>
      <c r="G13" s="9"/>
      <c r="H13" s="13" t="s">
        <v>34</v>
      </c>
      <c r="I13" s="17" t="s">
        <v>34</v>
      </c>
      <c r="J13" s="15">
        <f>-VLOOKUP($C$1,Resumo_HSF!$C$13:$AM$1000,27,FALSE)</f>
        <v>0</v>
      </c>
      <c r="K13" s="15">
        <f>IFERROR(VLOOKUP($H13,CarteiraBTG!$A$13:$D$21,2,FALSE),0)</f>
        <v>0</v>
      </c>
      <c r="L13" s="15">
        <f t="shared" si="1"/>
        <v>0</v>
      </c>
      <c r="M13" s="16" t="str">
        <f t="shared" ref="M13:M20" si="7">IF(ROUND(L13,4)&lt;1,IF(ROUND(L13,4)&gt;-1,"ü","N"),"N")</f>
        <v>ü</v>
      </c>
      <c r="O13" s="12"/>
    </row>
    <row r="14" spans="1:24" ht="18">
      <c r="A14">
        <f>A12+1</f>
        <v>9</v>
      </c>
      <c r="B14" t="s">
        <v>32</v>
      </c>
      <c r="F14" s="8"/>
      <c r="G14" s="9" t="str">
        <f>IF(IFERROR(VLOOKUP($H14,#REF!,1,FALSE),"Não")="Não","Não","Sim")</f>
        <v>Não</v>
      </c>
      <c r="H14" s="13" t="s">
        <v>33</v>
      </c>
      <c r="I14" s="17" t="s">
        <v>33</v>
      </c>
      <c r="J14" s="15">
        <f>VLOOKUP($C$1,Resumo_HSF!$C$13:$AM$1000,36,FALSE)</f>
        <v>0</v>
      </c>
      <c r="K14" s="15">
        <f>IFERROR(VLOOKUP($H14,CarteiraBTG!$A$13:$D$21,2,FALSE),0)</f>
        <v>0</v>
      </c>
      <c r="L14" s="15">
        <f t="shared" si="1"/>
        <v>0</v>
      </c>
      <c r="M14" s="16" t="str">
        <f t="shared" si="7"/>
        <v>ü</v>
      </c>
      <c r="O14" s="12"/>
      <c r="P14" t="e">
        <f>VLOOKUP($H14,#REF!,2,FALSE)</f>
        <v>#REF!</v>
      </c>
    </row>
    <row r="15" spans="1:24" ht="18">
      <c r="F15" s="8"/>
      <c r="G15" s="9" t="str">
        <f>IF(IFERROR(VLOOKUP($H15,#REF!,1,FALSE),"Não")="Não","Não","Sim")</f>
        <v>Não</v>
      </c>
      <c r="H15" s="13" t="s">
        <v>35</v>
      </c>
      <c r="I15" s="17" t="s">
        <v>36</v>
      </c>
      <c r="J15" s="15">
        <f>VLOOKUP($C$1,Resumo_HSF!$C$13:$AH$1000,28,FALSE)</f>
        <v>0</v>
      </c>
      <c r="K15" s="15">
        <f>IFERROR(VLOOKUP($H15,CarteiraBTG!$A$13:$D$21,2,FALSE),0)</f>
        <v>0</v>
      </c>
      <c r="L15" s="15">
        <f t="shared" si="1"/>
        <v>0</v>
      </c>
      <c r="M15" s="16" t="str">
        <f t="shared" si="7"/>
        <v>ü</v>
      </c>
      <c r="O15" s="12"/>
      <c r="P15" t="e">
        <f>VLOOKUP($H15,#REF!,2,FALSE)</f>
        <v>#REF!</v>
      </c>
    </row>
    <row r="16" spans="1:24" ht="18">
      <c r="F16" s="8"/>
      <c r="G16" s="9"/>
      <c r="H16" s="13" t="s">
        <v>37</v>
      </c>
      <c r="I16" s="17" t="s">
        <v>37</v>
      </c>
      <c r="J16" s="15">
        <f>VLOOKUP($C$1,Resumo_HSF!$C$13:$AH$1000,27,FALSE)</f>
        <v>0</v>
      </c>
      <c r="K16" s="15">
        <f>IFERROR(VLOOKUP($H16,CarteiraBTG!$A$13:$D$21,2,FALSE),0)</f>
        <v>0</v>
      </c>
      <c r="L16" s="15">
        <f t="shared" si="1"/>
        <v>0</v>
      </c>
      <c r="M16" s="16" t="str">
        <f t="shared" si="7"/>
        <v>ü</v>
      </c>
      <c r="O16" s="12"/>
    </row>
    <row r="17" spans="2:19" ht="18">
      <c r="F17" s="8"/>
      <c r="G17" s="9"/>
      <c r="H17" s="13" t="s">
        <v>38</v>
      </c>
      <c r="I17" s="17" t="s">
        <v>38</v>
      </c>
      <c r="J17" s="15">
        <f>VLOOKUP($C$1,Resumo_HSF!$C$13:$AH$1000,31,FALSE)</f>
        <v>0</v>
      </c>
      <c r="K17" s="15">
        <f>IFERROR(VLOOKUP($H17,CarteiraBTG!$A$13:$D$21,2,FALSE),0)</f>
        <v>0</v>
      </c>
      <c r="L17" s="15">
        <f t="shared" si="1"/>
        <v>0</v>
      </c>
      <c r="M17" s="16" t="str">
        <f t="shared" si="7"/>
        <v>ü</v>
      </c>
      <c r="O17" s="12"/>
    </row>
    <row r="18" spans="2:19" ht="18">
      <c r="F18" s="8"/>
      <c r="G18" s="9"/>
      <c r="H18" s="13" t="s">
        <v>39</v>
      </c>
      <c r="I18" s="17" t="s">
        <v>39</v>
      </c>
      <c r="J18" s="15">
        <f>VLOOKUP($C$1,Resumo_HSF!$C$13:$AH$1000,32,FALSE)</f>
        <v>0</v>
      </c>
      <c r="K18" s="15">
        <f>IFERROR(VLOOKUP($H18,CarteiraBTG!$A$13:$D$21,2,FALSE),0)</f>
        <v>0</v>
      </c>
      <c r="L18" s="15">
        <f t="shared" si="1"/>
        <v>0</v>
      </c>
      <c r="M18" s="16" t="str">
        <f t="shared" si="7"/>
        <v>ü</v>
      </c>
      <c r="O18" s="12"/>
    </row>
    <row r="19" spans="2:19" ht="18">
      <c r="F19" s="8"/>
      <c r="G19" s="9"/>
      <c r="H19" s="13" t="s">
        <v>40</v>
      </c>
      <c r="I19" s="17" t="s">
        <v>41</v>
      </c>
      <c r="J19" s="15">
        <v>0</v>
      </c>
      <c r="K19" s="15">
        <f>IFERROR(VLOOKUP($H19,CarteiraBTG!$A$13:$D$21,2,FALSE),0)</f>
        <v>0</v>
      </c>
      <c r="L19" s="15">
        <f t="shared" si="1"/>
        <v>0</v>
      </c>
      <c r="M19" s="16" t="str">
        <f t="shared" si="7"/>
        <v>ü</v>
      </c>
      <c r="O19" s="12"/>
    </row>
    <row r="20" spans="2:19" ht="18">
      <c r="F20" s="8"/>
      <c r="G20" s="9"/>
      <c r="H20" s="13" t="s">
        <v>135</v>
      </c>
      <c r="I20" s="17" t="s">
        <v>205</v>
      </c>
      <c r="J20" s="15">
        <f>VLOOKUP($C$1,Resumo_HSF!$C$13:$AM$1000,14,FALSE)</f>
        <v>27721.463246937226</v>
      </c>
      <c r="K20" s="15">
        <f>IFERROR(VLOOKUP(H20,CarteiraBTG!$B$26:$F$35,5,FALSE),0)</f>
        <v>27721.463299999999</v>
      </c>
      <c r="L20" s="15">
        <f t="shared" si="1"/>
        <v>-5.3062773076817393E-5</v>
      </c>
      <c r="M20" s="16" t="str">
        <f t="shared" si="7"/>
        <v>ü</v>
      </c>
      <c r="O20" s="12"/>
    </row>
    <row r="21" spans="2:19">
      <c r="F21" s="8"/>
      <c r="G21" s="9"/>
      <c r="O21" s="12"/>
    </row>
    <row r="22" spans="2:19" ht="18">
      <c r="F22" s="8"/>
      <c r="G22" s="9"/>
      <c r="H22" s="9"/>
      <c r="I22" s="17" t="s">
        <v>42</v>
      </c>
      <c r="J22" s="15">
        <f>SUM(J4:J19)</f>
        <v>8725067.0737193078</v>
      </c>
      <c r="K22" s="15">
        <f>SUM(K4:K19)</f>
        <v>8725067.1054000016</v>
      </c>
      <c r="L22" s="15">
        <f>ROUND(J22-K22,4)</f>
        <v>-3.1699999999999999E-2</v>
      </c>
      <c r="M22" s="16" t="str">
        <f t="shared" ref="M22:M23" si="8">IF(ROUND(L22,4)&lt;1,IF(ROUND(L22,4)&gt;-1,"ü","N"),"N")</f>
        <v>ü</v>
      </c>
      <c r="O22" s="12"/>
    </row>
    <row r="23" spans="2:19" ht="18">
      <c r="F23" s="8"/>
      <c r="G23" s="9"/>
      <c r="H23" s="13" t="s">
        <v>43</v>
      </c>
      <c r="I23" s="17" t="s">
        <v>44</v>
      </c>
      <c r="J23" s="15">
        <f>J22</f>
        <v>8725067.0737193078</v>
      </c>
      <c r="K23" s="15" cm="1">
        <f t="array" ref="K23">INDEX(CarteiraBTG!$A$1:$A$25,MATCH($H23,CarteiraBTG!$A$1:$A$25,0)+1,1)</f>
        <v>8725067.1056999993</v>
      </c>
      <c r="L23" s="15">
        <f t="shared" ref="L23:L25" si="9">J23-K23</f>
        <v>-3.1980691477656364E-2</v>
      </c>
      <c r="M23" s="16" t="str">
        <f t="shared" si="8"/>
        <v>ü</v>
      </c>
      <c r="O23" s="12"/>
    </row>
    <row r="24" spans="2:19">
      <c r="D24" s="75"/>
      <c r="F24" s="8"/>
      <c r="O24" s="12"/>
    </row>
    <row r="25" spans="2:19" ht="18">
      <c r="F25" s="8"/>
      <c r="I25" s="17" t="s">
        <v>45</v>
      </c>
      <c r="J25" s="15">
        <f>J22-J23</f>
        <v>0</v>
      </c>
      <c r="K25" s="15">
        <f>K22-K23</f>
        <v>-2.9999762773513794E-4</v>
      </c>
      <c r="L25" s="15">
        <f t="shared" si="9"/>
        <v>2.9999762773513794E-4</v>
      </c>
      <c r="M25" s="16" t="str">
        <f t="shared" ref="M25:M28" si="10">IF(ROUND(L25,4)&lt;1,IF(ROUND(L25,4)&gt;-1,"ü","N"),"N")</f>
        <v>ü</v>
      </c>
      <c r="O25" s="12"/>
      <c r="R25" s="24">
        <f>WORKDAY(C1,-1,Feriados!$A$2:$A$842)</f>
        <v>45637</v>
      </c>
    </row>
    <row r="26" spans="2:19">
      <c r="B26" s="48"/>
      <c r="F26" s="8"/>
      <c r="O26" s="12"/>
      <c r="R26" s="25" t="s">
        <v>46</v>
      </c>
      <c r="S26" s="25">
        <f>VLOOKUP($R$25,Resumo_HSF!$C$13:$AB$800,3,FALSE)</f>
        <v>3.9546768999999999</v>
      </c>
    </row>
    <row r="27" spans="2:19" ht="18">
      <c r="F27" s="8"/>
      <c r="G27" s="9" t="str">
        <f>IF(IFERROR(VLOOKUP($H27,#REF!,1,FALSE),"Não")="Não","Não","Sim")</f>
        <v>Não</v>
      </c>
      <c r="H27" s="13" t="s">
        <v>47</v>
      </c>
      <c r="I27" s="17" t="s">
        <v>48</v>
      </c>
      <c r="J27" s="15">
        <f>VLOOKUP(C1,Resumo_HSF!C13:F3000,4,FALSE)</f>
        <v>2283952.1146062999</v>
      </c>
      <c r="K27" s="15">
        <f>VLOOKUP($C$1,Resumo_HSF!$C$13:$Q$10000,4,FALSE)</f>
        <v>2283952.1146062999</v>
      </c>
      <c r="L27" s="15">
        <f t="shared" ref="L27:L28" si="11">J27-K27</f>
        <v>0</v>
      </c>
      <c r="M27" s="16" t="str">
        <f t="shared" si="10"/>
        <v>ü</v>
      </c>
      <c r="N27" s="13" t="s">
        <v>49</v>
      </c>
      <c r="O27" s="12"/>
    </row>
    <row r="28" spans="2:19" ht="18">
      <c r="F28" s="8"/>
      <c r="G28" s="9" t="str">
        <f>IF(IFERROR(VLOOKUP($H28,#REF!,1,FALSE),"Não")="Não","Não","Sim")</f>
        <v>Não</v>
      </c>
      <c r="H28" s="13" t="s">
        <v>50</v>
      </c>
      <c r="I28" s="17" t="s">
        <v>51</v>
      </c>
      <c r="J28" s="31">
        <f>J23/J27</f>
        <v>3.8201619981088379</v>
      </c>
      <c r="K28">
        <f>K23/K27</f>
        <v>3.8201620121111852</v>
      </c>
      <c r="L28" s="15">
        <f t="shared" si="11"/>
        <v>-1.4002347281660832E-8</v>
      </c>
      <c r="M28" s="16" t="str">
        <f t="shared" si="10"/>
        <v>ü</v>
      </c>
      <c r="O28" s="12"/>
    </row>
    <row r="29" spans="2:19" ht="18">
      <c r="B29" s="15"/>
      <c r="F29" s="8"/>
      <c r="G29" s="9"/>
      <c r="H29" s="13"/>
      <c r="I29" s="17"/>
      <c r="L29" s="15"/>
      <c r="M29" s="16"/>
      <c r="O29" s="12"/>
    </row>
    <row r="30" spans="2:19" ht="18.75" thickBot="1">
      <c r="B30" s="15"/>
      <c r="F30" s="8"/>
      <c r="I30" s="27" t="s">
        <v>52</v>
      </c>
      <c r="J30" s="28">
        <f>J28/$S$26-1</f>
        <v>-3.4014131948721826E-2</v>
      </c>
      <c r="K30" s="28">
        <f>K28/$S$26-1</f>
        <v>-3.4014128408015987E-2</v>
      </c>
      <c r="L30" s="29">
        <f t="shared" ref="L30" si="12">J30-K30</f>
        <v>-3.5407058396330626E-9</v>
      </c>
      <c r="M30" s="30" t="str">
        <f t="shared" ref="M30" si="13">IF(ROUND(L30,4)=0,"ü","N")</f>
        <v>ü</v>
      </c>
      <c r="O30" s="12"/>
    </row>
    <row r="31" spans="2:19" ht="15.75" thickTop="1">
      <c r="C31" s="75"/>
      <c r="F31" s="8"/>
      <c r="O31" s="12"/>
    </row>
    <row r="32" spans="2:19">
      <c r="B32" s="48"/>
      <c r="F32" s="18"/>
      <c r="G32" s="19"/>
      <c r="H32" s="19"/>
      <c r="I32" s="19"/>
      <c r="J32" s="19"/>
      <c r="K32" s="19"/>
      <c r="L32" s="19"/>
      <c r="M32" s="19"/>
      <c r="N32" s="19"/>
      <c r="O32" s="20"/>
    </row>
    <row r="35" spans="8:8">
      <c r="H35" s="47"/>
    </row>
    <row r="36" spans="8:8">
      <c r="H36" s="81"/>
    </row>
    <row r="37" spans="8:8">
      <c r="H37" s="82"/>
    </row>
  </sheetData>
  <mergeCells count="2">
    <mergeCell ref="A1:B1"/>
    <mergeCell ref="C1:D1"/>
  </mergeCells>
  <conditionalFormatting sqref="M4:M20 M22:M25">
    <cfRule type="cellIs" dxfId="3" priority="3" stopIfTrue="1" operator="equal">
      <formula>"ü"</formula>
    </cfRule>
    <cfRule type="cellIs" dxfId="2" priority="4" stopIfTrue="1" operator="equal">
      <formula>"N"</formula>
    </cfRule>
  </conditionalFormatting>
  <conditionalFormatting sqref="M27:M30">
    <cfRule type="cellIs" dxfId="1" priority="1" stopIfTrue="1" operator="equal">
      <formula>"ü"</formula>
    </cfRule>
    <cfRule type="cellIs" dxfId="0" priority="2" stopIfTrue="1" operator="equal">
      <formula>"N"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CFEC4-C4B3-4EC1-90AE-36D99979C06E}">
  <sheetPr codeName="Planilha2"/>
  <dimension ref="C2:AN539"/>
  <sheetViews>
    <sheetView showGridLines="0" workbookViewId="0">
      <pane xSplit="3" ySplit="13" topLeftCell="U521" activePane="bottomRight" state="frozen"/>
      <selection pane="topRight" activeCell="D1" sqref="D1"/>
      <selection pane="bottomLeft" activeCell="A14" sqref="A14"/>
      <selection pane="bottomRight" activeCell="AJ538" sqref="AJ538"/>
    </sheetView>
  </sheetViews>
  <sheetFormatPr defaultRowHeight="15"/>
  <cols>
    <col min="3" max="3" width="10.7109375" bestFit="1" customWidth="1"/>
    <col min="4" max="4" width="21" bestFit="1" customWidth="1"/>
    <col min="5" max="5" width="19" bestFit="1" customWidth="1"/>
    <col min="6" max="8" width="19.7109375" customWidth="1"/>
    <col min="9" max="13" width="16.140625" customWidth="1"/>
    <col min="14" max="14" width="18" bestFit="1" customWidth="1"/>
    <col min="15" max="15" width="21" bestFit="1" customWidth="1"/>
    <col min="16" max="16" width="21.5703125" customWidth="1"/>
    <col min="17" max="18" width="16.140625" customWidth="1"/>
    <col min="19" max="20" width="16.7109375" customWidth="1"/>
    <col min="21" max="21" width="16.5703125" bestFit="1" customWidth="1"/>
    <col min="22" max="23" width="16.5703125" customWidth="1"/>
    <col min="24" max="24" width="10.42578125" bestFit="1" customWidth="1"/>
    <col min="25" max="25" width="24.28515625" hidden="1" customWidth="1"/>
    <col min="26" max="27" width="18.42578125" hidden="1" customWidth="1"/>
    <col min="28" max="28" width="16.7109375" customWidth="1"/>
    <col min="29" max="29" width="10.140625" bestFit="1" customWidth="1"/>
    <col min="30" max="30" width="12.42578125" customWidth="1"/>
    <col min="31" max="31" width="29.28515625" bestFit="1" customWidth="1"/>
    <col min="32" max="32" width="12.42578125" customWidth="1"/>
    <col min="35" max="35" width="9.85546875" bestFit="1" customWidth="1"/>
    <col min="36" max="36" width="11" customWidth="1"/>
    <col min="37" max="37" width="10.5703125" bestFit="1" customWidth="1"/>
    <col min="38" max="38" width="10.85546875" bestFit="1" customWidth="1"/>
    <col min="39" max="39" width="10.140625" bestFit="1" customWidth="1"/>
    <col min="40" max="40" width="10.85546875" bestFit="1" customWidth="1"/>
  </cols>
  <sheetData>
    <row r="2" spans="3:40">
      <c r="I2" s="44"/>
    </row>
    <row r="3" spans="3:40">
      <c r="Q3" s="53"/>
    </row>
    <row r="4" spans="3:40">
      <c r="E4" s="39"/>
      <c r="F4" s="32"/>
    </row>
    <row r="7" spans="3:40">
      <c r="F7" s="36"/>
      <c r="H7" s="42"/>
    </row>
    <row r="8" spans="3:40">
      <c r="D8" s="37"/>
      <c r="AH8" s="68">
        <v>4.2052861999999998</v>
      </c>
    </row>
    <row r="9" spans="3:40">
      <c r="I9" t="s">
        <v>202</v>
      </c>
      <c r="AD9">
        <v>0</v>
      </c>
    </row>
    <row r="12" spans="3:40">
      <c r="I12" t="s">
        <v>4</v>
      </c>
    </row>
    <row r="13" spans="3:40" ht="48.75" thickBot="1">
      <c r="D13" s="21" t="s">
        <v>44</v>
      </c>
      <c r="E13" s="22" t="s">
        <v>53</v>
      </c>
      <c r="F13" s="22" t="s">
        <v>49</v>
      </c>
      <c r="G13" s="22" t="s">
        <v>54</v>
      </c>
      <c r="H13" s="22" t="s">
        <v>55</v>
      </c>
      <c r="I13" s="22" t="s">
        <v>56</v>
      </c>
      <c r="J13" s="22" t="s">
        <v>57</v>
      </c>
      <c r="K13" s="22" t="s">
        <v>58</v>
      </c>
      <c r="L13" s="22" t="s">
        <v>59</v>
      </c>
      <c r="M13" s="22" t="s">
        <v>60</v>
      </c>
      <c r="N13" s="22" t="s">
        <v>61</v>
      </c>
      <c r="O13" s="22" t="s">
        <v>62</v>
      </c>
      <c r="P13" s="22" t="s">
        <v>63</v>
      </c>
      <c r="Q13" s="22" t="s">
        <v>64</v>
      </c>
      <c r="R13" s="22" t="s">
        <v>65</v>
      </c>
      <c r="S13" s="23" t="s">
        <v>66</v>
      </c>
      <c r="T13" s="23" t="s">
        <v>24</v>
      </c>
      <c r="U13" s="23" t="s">
        <v>27</v>
      </c>
      <c r="V13" s="23" t="s">
        <v>67</v>
      </c>
      <c r="W13" s="23" t="s">
        <v>68</v>
      </c>
      <c r="X13" s="23" t="s">
        <v>69</v>
      </c>
      <c r="Y13" s="21" t="s">
        <v>36</v>
      </c>
      <c r="Z13" s="21" t="s">
        <v>70</v>
      </c>
      <c r="AA13" s="21" t="s">
        <v>34</v>
      </c>
      <c r="AB13" s="21" t="s">
        <v>71</v>
      </c>
      <c r="AC13" s="21" t="s">
        <v>37</v>
      </c>
      <c r="AD13" s="21" t="s">
        <v>36</v>
      </c>
      <c r="AE13" s="21" t="s">
        <v>72</v>
      </c>
      <c r="AF13" s="21" t="s">
        <v>34</v>
      </c>
      <c r="AG13" s="21" t="s">
        <v>38</v>
      </c>
      <c r="AH13" s="21" t="s">
        <v>39</v>
      </c>
      <c r="AI13" s="21" t="s">
        <v>40</v>
      </c>
      <c r="AJ13" s="21" t="s">
        <v>203</v>
      </c>
      <c r="AK13" s="21" t="s">
        <v>122</v>
      </c>
      <c r="AL13" s="21" t="s">
        <v>33</v>
      </c>
      <c r="AM13" s="21" t="s">
        <v>35</v>
      </c>
      <c r="AN13" s="80" t="s">
        <v>207</v>
      </c>
    </row>
    <row r="14" spans="3:40">
      <c r="C14" s="1">
        <v>44876</v>
      </c>
      <c r="D14" s="39">
        <v>10741972.2356</v>
      </c>
      <c r="E14" s="32">
        <v>4.0359131000000001</v>
      </c>
      <c r="F14" s="39">
        <v>2661596.49314349</v>
      </c>
      <c r="G14" s="41">
        <v>4946637.4800000004</v>
      </c>
      <c r="H14" s="32">
        <v>1.0105721999999999</v>
      </c>
      <c r="I14" s="15">
        <v>4894887.7502009999</v>
      </c>
      <c r="J14" s="15">
        <v>88646.12</v>
      </c>
      <c r="K14" s="15" t="s">
        <v>73</v>
      </c>
      <c r="L14" s="15" t="s">
        <v>73</v>
      </c>
      <c r="M14" s="15">
        <v>5043688.6500000004</v>
      </c>
      <c r="N14" s="15" t="s">
        <v>73</v>
      </c>
      <c r="O14" s="15" t="s">
        <v>73</v>
      </c>
      <c r="P14" s="15">
        <v>239889.55</v>
      </c>
      <c r="Q14" s="15" t="s">
        <v>73</v>
      </c>
      <c r="R14" s="15" t="s">
        <v>73</v>
      </c>
      <c r="S14" s="15">
        <v>2000</v>
      </c>
      <c r="T14" s="15">
        <f>IF((NETWORKDAYS(DATE(YEAR(C14),MONTH(C14),1),C14,Feriados!$A$2:$A$842))&gt;=5,0,IF(NETWORKDAYS(DATE(YEAR(C14),MONTH(C14),1),C14,Feriados!$A$2:$A$842)=1,S13,M13))</f>
        <v>0</v>
      </c>
      <c r="U14" s="26">
        <v>0</v>
      </c>
      <c r="V14" s="26">
        <v>0</v>
      </c>
      <c r="W14" s="26"/>
      <c r="X14" s="26"/>
      <c r="Y14" s="38"/>
      <c r="Z14" s="38"/>
      <c r="AA14" s="38"/>
      <c r="AB14" s="26"/>
      <c r="AC14" s="26"/>
      <c r="AD14" s="26"/>
      <c r="AE14" s="26"/>
      <c r="AF14" s="26">
        <v>0</v>
      </c>
      <c r="AG14" s="26"/>
      <c r="AH14" s="26"/>
      <c r="AI14" s="26"/>
      <c r="AJ14" s="26"/>
      <c r="AK14" s="26"/>
      <c r="AL14" s="26"/>
      <c r="AM14" s="26">
        <v>0</v>
      </c>
      <c r="AN14">
        <v>0</v>
      </c>
    </row>
    <row r="15" spans="3:40">
      <c r="C15" s="1">
        <v>44879</v>
      </c>
      <c r="D15" s="39">
        <v>10802650.937000001</v>
      </c>
      <c r="E15" s="32">
        <v>4.0587109999999997</v>
      </c>
      <c r="F15" s="88">
        <f t="shared" ref="F15" si="0">D15/TRUNC(E15,6)</f>
        <v>2661596.4864214282</v>
      </c>
      <c r="G15" s="15">
        <f t="shared" ref="G15:G20" si="1">H15*I15</f>
        <v>4976817.891875104</v>
      </c>
      <c r="H15" s="32">
        <v>1.0167379000000001</v>
      </c>
      <c r="I15" s="15">
        <f>SUMIFS([1]Master!$K$2:$K$10000,[1]Master!$A$2:$A$10000,$I$12,[1]Master!$F$2:$F$10000,"&lt;="&amp;$C15)</f>
        <v>4894887.7502010139</v>
      </c>
      <c r="J15" s="15">
        <f t="shared" ref="J15:J20" si="2">K15*L15</f>
        <v>91782.606626276742</v>
      </c>
      <c r="K15" s="43">
        <v>0.78987799999999997</v>
      </c>
      <c r="L15" s="40">
        <v>116198.45928900001</v>
      </c>
      <c r="M15" s="15">
        <f t="shared" ref="M15:M84" si="3">N15*O15</f>
        <v>5070916.5651726648</v>
      </c>
      <c r="N15" s="32">
        <v>1.2825203000000001</v>
      </c>
      <c r="O15" s="40">
        <v>3953868.4613199998</v>
      </c>
      <c r="P15" s="15">
        <f t="shared" ref="P15:P84" si="4">Q15*R15</f>
        <v>240008.99696993126</v>
      </c>
      <c r="Q15" s="32">
        <v>3.570837</v>
      </c>
      <c r="R15" s="40">
        <v>67213.652420967759</v>
      </c>
      <c r="S15" s="15">
        <v>2127.6799999999998</v>
      </c>
      <c r="T15" s="15">
        <f>IF((NETWORKDAYS(DATE(YEAR(C15),MONTH(C15),1),C15,Feriados!$A$2:$A$842))&gt;=5,0,IF(NETWORKDAYS(DATE(YEAR(C15),MONTH(C15),1),C15,Feriados!$A$2:$A$842)=1,S14,M14))</f>
        <v>0</v>
      </c>
      <c r="U15" s="26">
        <v>0</v>
      </c>
      <c r="V15" s="26">
        <v>0</v>
      </c>
      <c r="W15" s="15">
        <f t="shared" ref="W15:W20" si="5">SUM(G15+J15+M15+P15)</f>
        <v>10379526.060643977</v>
      </c>
      <c r="X15" s="50">
        <f>'Fluxo de Caixa_'!AD21</f>
        <v>-0.16000000000002501</v>
      </c>
      <c r="Y15" s="15" t="e">
        <f>SUMIF('[2]Fluxo de Movimentações'!$A$5:$F$10001,"="&amp;$C16,'[2]Fluxo de Movimentações'!$E$5:$E$10001)</f>
        <v>#VALUE!</v>
      </c>
      <c r="Z15" s="15" t="e">
        <f>-SUMIF('[2]Fluxo de Movimentações'!$A$5:$F$10001,"="&amp;$C16,'[2]Fluxo de Movimentações'!$B$5:$B$10001)</f>
        <v>#VALUE!</v>
      </c>
      <c r="AA15" s="15" t="e">
        <f>-SUMIF('[2]Fluxo de Movimentações'!$A$5:$F$10001,"&gt;="&amp;$C15,'[2]Fluxo de Movimentações'!$F$5:$F$10001)</f>
        <v>#VALUE!</v>
      </c>
      <c r="AB15" s="26">
        <v>4707.6441999999997</v>
      </c>
      <c r="AC15" s="26"/>
      <c r="AD15">
        <f>SUMIFS([1]Master!$J$2:$J$100,[1]Master!$A$2:$A$100,"="&amp;$I$12,[1]Master!$E$2:$E$100,"="&amp;C15,[1]Master!$J$2:$J$100,"&gt;"&amp;0)</f>
        <v>0</v>
      </c>
      <c r="AE15">
        <f ca="1">-SUMIF('[1]Fluxo de Movimentações'!$A$5:$F$10001,"="&amp;$C15,'[1]Fluxo de Movimentações'!$H$5:$H$10001)</f>
        <v>0</v>
      </c>
      <c r="AF15" s="26">
        <v>0</v>
      </c>
      <c r="AG15" s="26"/>
      <c r="AH15" s="26"/>
      <c r="AI15" s="26"/>
      <c r="AJ15" s="26"/>
      <c r="AK15" s="26"/>
      <c r="AL15" s="26"/>
      <c r="AM15" s="26">
        <v>0</v>
      </c>
      <c r="AN15">
        <v>0</v>
      </c>
    </row>
    <row r="16" spans="3:40">
      <c r="C16" s="1">
        <v>44881</v>
      </c>
      <c r="D16" s="39">
        <v>10525140.268999999</v>
      </c>
      <c r="E16" s="32">
        <v>3.9544462</v>
      </c>
      <c r="F16" s="88">
        <f t="shared" ref="F16" si="6">D16/TRUNC(E16,6)</f>
        <v>2661596.6608217685</v>
      </c>
      <c r="G16" s="15">
        <f t="shared" si="1"/>
        <v>4828880.6783783277</v>
      </c>
      <c r="H16" s="32">
        <v>0.98651509999999998</v>
      </c>
      <c r="I16" s="15">
        <f>SUMIFS([1]Master!$K$2:$K$10000,[1]Master!$A$2:$A$10000,$I$12,[1]Master!$F$2:$F$10000,"&lt;="&amp;$C16)</f>
        <v>4894887.7502010139</v>
      </c>
      <c r="J16" s="15">
        <f t="shared" si="2"/>
        <v>90081.600620436933</v>
      </c>
      <c r="K16" s="43">
        <v>0.77523920000000002</v>
      </c>
      <c r="L16" s="40">
        <v>116198.45928900001</v>
      </c>
      <c r="M16" s="15">
        <f t="shared" si="3"/>
        <v>4942891.0951688159</v>
      </c>
      <c r="N16" s="32">
        <v>1.2501405000000001</v>
      </c>
      <c r="O16" s="40">
        <v>3953868.4613199998</v>
      </c>
      <c r="P16" s="15">
        <f t="shared" si="4"/>
        <v>240117.25263507225</v>
      </c>
      <c r="Q16" s="32">
        <v>3.5725292999999998</v>
      </c>
      <c r="R16" s="40">
        <v>67212.115694914595</v>
      </c>
      <c r="S16" s="15">
        <f t="shared" ref="S16:S20" si="7">(((1+0.3%)^(1/252))-1)*D15 + SUM(S15)</f>
        <v>2256.0912310134468</v>
      </c>
      <c r="T16" s="15">
        <f>IF((NETWORKDAYS(DATE(YEAR(C16),MONTH(C16),1),C16,Feriados!$A$2:$A$842))&gt;=5,0,IF(NETWORKDAYS(DATE(YEAR(C16),MONTH(C16),1),C16,Feriados!$A$2:$A$842)=1,S15,M15))</f>
        <v>0</v>
      </c>
      <c r="U16" s="26">
        <v>0</v>
      </c>
      <c r="V16" s="26">
        <v>0</v>
      </c>
      <c r="W16" s="15">
        <f t="shared" si="5"/>
        <v>10101970.626802653</v>
      </c>
      <c r="X16" s="50">
        <f>'Fluxo de Caixa_'!AD22</f>
        <v>-0.16000114899872475</v>
      </c>
      <c r="AB16" s="26">
        <v>4673.6283000000003</v>
      </c>
      <c r="AC16" s="26"/>
      <c r="AD16">
        <f>SUMIFS([1]Master!$J$2:$J$100,[1]Master!$A$2:$A$100,"="&amp;$I$12,[1]Master!$E$2:$E$100,"="&amp;C16,[1]Master!$J$2:$J$100,"&gt;"&amp;0)</f>
        <v>0</v>
      </c>
      <c r="AE16">
        <f ca="1">-SUMIF('[1]Fluxo de Movimentações'!$A$5:$F$10001,"="&amp;$C16,'[1]Fluxo de Movimentações'!$H$5:$H$10001)</f>
        <v>0</v>
      </c>
      <c r="AF16" s="26">
        <v>0</v>
      </c>
      <c r="AG16" s="26"/>
      <c r="AH16" s="26"/>
      <c r="AI16" s="26"/>
      <c r="AJ16" s="26"/>
      <c r="AK16" s="26"/>
      <c r="AL16" s="26"/>
      <c r="AM16" s="26">
        <v>0</v>
      </c>
      <c r="AN16">
        <v>0</v>
      </c>
    </row>
    <row r="17" spans="3:40">
      <c r="C17" s="1">
        <v>44882</v>
      </c>
      <c r="D17" s="39">
        <v>10408050.154100001</v>
      </c>
      <c r="E17" s="32">
        <v>3.9104538</v>
      </c>
      <c r="F17" s="88">
        <f t="shared" ref="F17" si="8">D17/TRUNC(E17,6)</f>
        <v>2661597.0461989958</v>
      </c>
      <c r="G17" s="15">
        <f t="shared" si="1"/>
        <v>4822999.4707464613</v>
      </c>
      <c r="H17" s="32">
        <v>0.98531360000000001</v>
      </c>
      <c r="I17" s="15">
        <f>SUMIFS([1]Master!$K$2:$K$10000,[1]Master!$A$2:$A$10000,$I$12,[1]Master!$F$2:$F$10000,"&lt;="&amp;$C17)</f>
        <v>4894887.7502010139</v>
      </c>
      <c r="J17" s="15">
        <f t="shared" si="2"/>
        <v>88642.076007535157</v>
      </c>
      <c r="K17" s="43">
        <v>0.76285069999999999</v>
      </c>
      <c r="L17" s="40">
        <v>116198.45928900001</v>
      </c>
      <c r="M17" s="15">
        <f t="shared" si="3"/>
        <v>4832951.805667582</v>
      </c>
      <c r="N17" s="32">
        <v>1.2223349999999999</v>
      </c>
      <c r="O17" s="40">
        <v>3953868.4613199998</v>
      </c>
      <c r="P17" s="15">
        <f t="shared" si="4"/>
        <v>240240.1499886204</v>
      </c>
      <c r="Q17" s="32">
        <v>3.5743578</v>
      </c>
      <c r="R17" s="40">
        <v>67212.115694914595</v>
      </c>
      <c r="S17" s="15">
        <f t="shared" si="7"/>
        <v>2381.203689651014</v>
      </c>
      <c r="T17" s="15">
        <f>IF((NETWORKDAYS(DATE(YEAR(C17),MONTH(C17),1),C17,Feriados!$A$2:$A$842))&gt;=5,0,IF(NETWORKDAYS(DATE(YEAR(C17),MONTH(C17),1),C17,Feriados!$A$2:$A$842)=1,S16,M16))</f>
        <v>0</v>
      </c>
      <c r="U17" s="26">
        <v>0</v>
      </c>
      <c r="V17" s="26">
        <v>0</v>
      </c>
      <c r="W17" s="15">
        <f t="shared" si="5"/>
        <v>9984833.5024101976</v>
      </c>
      <c r="X17" s="50">
        <f>'Fluxo de Caixa_'!AD23</f>
        <v>-0.16000114899872475</v>
      </c>
      <c r="AA17" s="44" t="s">
        <v>74</v>
      </c>
      <c r="AB17" s="26">
        <v>4633.9502000000002</v>
      </c>
      <c r="AC17" s="26"/>
      <c r="AD17">
        <f>SUMIFS([1]Master!$J$2:$J$100,[1]Master!$A$2:$A$100,"="&amp;$I$12,[1]Master!$E$2:$E$100,"="&amp;C17,[1]Master!$J$2:$J$100,"&gt;"&amp;0)</f>
        <v>0</v>
      </c>
      <c r="AE17">
        <f ca="1">-SUMIF('[1]Fluxo de Movimentações'!$A$5:$F$10001,"="&amp;$C17,'[1]Fluxo de Movimentações'!$H$5:$H$10001)</f>
        <v>0</v>
      </c>
      <c r="AF17" s="26">
        <v>0</v>
      </c>
      <c r="AG17" s="26"/>
      <c r="AH17" s="26"/>
      <c r="AI17" s="26"/>
      <c r="AJ17" s="26"/>
      <c r="AK17" s="26"/>
      <c r="AL17" s="26"/>
      <c r="AM17" s="26">
        <v>0</v>
      </c>
      <c r="AN17">
        <v>0</v>
      </c>
    </row>
    <row r="18" spans="3:40">
      <c r="C18" s="1">
        <v>44883</v>
      </c>
      <c r="D18" s="39">
        <v>10383418.6186</v>
      </c>
      <c r="E18" s="32">
        <v>3.9011993999999999</v>
      </c>
      <c r="F18" s="88">
        <f t="shared" ref="F18" si="9">D18/TRUNC(E18,6)</f>
        <v>2661596.7600217266</v>
      </c>
      <c r="G18" s="15">
        <f t="shared" si="1"/>
        <v>4818229.4026338905</v>
      </c>
      <c r="H18" s="32">
        <v>0.98433910000000002</v>
      </c>
      <c r="I18" s="15">
        <f>SUMIFS([1]Master!$K$2:$K$10000,[1]Master!$A$2:$A$10000,$I$12,[1]Master!$F$2:$F$10000,"&lt;="&amp;$C18)</f>
        <v>4894887.7502010139</v>
      </c>
      <c r="J18" s="15">
        <f t="shared" si="2"/>
        <v>87333.309520871291</v>
      </c>
      <c r="K18" s="43">
        <v>0.75158749999999996</v>
      </c>
      <c r="L18" s="40">
        <v>116198.45928900001</v>
      </c>
      <c r="M18" s="15">
        <f t="shared" si="3"/>
        <v>4814203.3521976946</v>
      </c>
      <c r="N18" s="32">
        <v>1.2175932</v>
      </c>
      <c r="O18" s="40">
        <v>3953868.4613199998</v>
      </c>
      <c r="P18" s="15">
        <f t="shared" si="4"/>
        <v>240361.79047560506</v>
      </c>
      <c r="Q18" s="32">
        <v>3.5761675999999998</v>
      </c>
      <c r="R18" s="40">
        <v>67212.115694914595</v>
      </c>
      <c r="S18" s="15">
        <f t="shared" si="7"/>
        <v>2504.9242967993955</v>
      </c>
      <c r="T18" s="15">
        <f>IF((NETWORKDAYS(DATE(YEAR(C18),MONTH(C18),1),C18,Feriados!$A$2:$A$842))&gt;=5,0,IF(NETWORKDAYS(DATE(YEAR(C18),MONTH(C18),1),C18,Feriados!$A$2:$A$842)=1,S17,M17))</f>
        <v>0</v>
      </c>
      <c r="U18" s="26">
        <v>-95.54</v>
      </c>
      <c r="V18" s="26">
        <v>0</v>
      </c>
      <c r="W18" s="15">
        <f t="shared" si="5"/>
        <v>9960127.8548280615</v>
      </c>
      <c r="X18" s="50">
        <f>'Fluxo de Caixa_'!AD24</f>
        <v>-0.16000114899872475</v>
      </c>
      <c r="AB18" s="26">
        <v>4594.2721000000001</v>
      </c>
      <c r="AC18" s="26"/>
      <c r="AD18">
        <f>SUMIFS([1]Master!$J$2:$J$100,[1]Master!$A$2:$A$100,"="&amp;$I$12,[1]Master!$E$2:$E$100,"="&amp;C18,[1]Master!$J$2:$J$100,"&gt;"&amp;0)</f>
        <v>0</v>
      </c>
      <c r="AE18">
        <f ca="1">-SUMIF('[1]Fluxo de Movimentações'!$A$5:$F$10001,"="&amp;$C18,'[1]Fluxo de Movimentações'!$H$5:$H$10001)</f>
        <v>0</v>
      </c>
      <c r="AF18" s="26">
        <v>0</v>
      </c>
      <c r="AG18" s="26"/>
      <c r="AH18" s="26"/>
      <c r="AI18" s="26"/>
      <c r="AJ18" s="26"/>
      <c r="AK18" s="26"/>
      <c r="AL18" s="26"/>
      <c r="AM18" s="26">
        <v>0</v>
      </c>
      <c r="AN18">
        <v>0</v>
      </c>
    </row>
    <row r="19" spans="3:40">
      <c r="C19" s="1">
        <v>44886</v>
      </c>
      <c r="D19" s="39">
        <v>10758307.520300001</v>
      </c>
      <c r="E19" s="32">
        <v>4.0420505000000002</v>
      </c>
      <c r="F19" s="88">
        <f t="shared" ref="F19" si="10">D19/TRUNC(E19,6)</f>
        <v>2661596.8432602272</v>
      </c>
      <c r="G19" s="15">
        <f t="shared" si="1"/>
        <v>4901949.6047582282</v>
      </c>
      <c r="H19" s="32">
        <v>1.0014426999999999</v>
      </c>
      <c r="I19" s="15">
        <f>SUMIFS([1]Master!$K$2:$K$10000,[1]Master!$A$2:$A$10000,$I$12,[1]Master!$F$2:$F$10000,"&lt;="&amp;$C19)</f>
        <v>4894887.7502010139</v>
      </c>
      <c r="J19" s="15">
        <f t="shared" si="2"/>
        <v>87331.345766909304</v>
      </c>
      <c r="K19" s="43">
        <v>0.75157059999999998</v>
      </c>
      <c r="L19" s="40">
        <v>116198.45928900001</v>
      </c>
      <c r="M19" s="15">
        <f t="shared" si="3"/>
        <v>0</v>
      </c>
      <c r="N19" s="32">
        <v>0</v>
      </c>
      <c r="O19" s="40">
        <v>0</v>
      </c>
      <c r="P19" s="15">
        <f t="shared" si="4"/>
        <v>240482.0463930064</v>
      </c>
      <c r="Q19" s="32">
        <v>3.5779567999999999</v>
      </c>
      <c r="R19" s="40">
        <v>67212.115694914595</v>
      </c>
      <c r="S19" s="15">
        <f t="shared" si="7"/>
        <v>2628.3521086132105</v>
      </c>
      <c r="T19" s="15">
        <f>IF((NETWORKDAYS(DATE(YEAR(C19),MONTH(C19),1),C19,Feriados!$A$2:$A$842))&gt;=5,0,IF(NETWORKDAYS(DATE(YEAR(C19),MONTH(C19),1),C19,Feriados!$A$2:$A$842)=1,S18,M18))</f>
        <v>0</v>
      </c>
      <c r="U19" s="26">
        <v>-95.54</v>
      </c>
      <c r="V19" s="26">
        <v>0</v>
      </c>
      <c r="W19" s="15">
        <f t="shared" si="5"/>
        <v>5229762.9969181437</v>
      </c>
      <c r="X19" s="50">
        <f>'Fluxo de Caixa_'!AD25</f>
        <v>-0.16000114899872475</v>
      </c>
      <c r="AB19" s="26">
        <v>4554.5938999999998</v>
      </c>
      <c r="AC19" s="26">
        <v>410401.37640000001</v>
      </c>
      <c r="AD19">
        <f>SUMIFS([1]Master!$J$2:$J$100,[1]Master!$A$2:$A$100,"="&amp;$I$12,[1]Master!$E$2:$E$100,"="&amp;C19,[1]Master!$J$2:$J$100,"&gt;"&amp;0)</f>
        <v>0</v>
      </c>
      <c r="AE19">
        <f ca="1">-SUMIF('[1]Fluxo de Movimentações'!$A$5:$F$10001,"="&amp;$C19,'[1]Fluxo de Movimentações'!$H$5:$H$10001)</f>
        <v>0</v>
      </c>
      <c r="AF19" s="26">
        <v>0</v>
      </c>
      <c r="AG19" s="26"/>
      <c r="AH19" s="26"/>
      <c r="AI19" s="26"/>
      <c r="AJ19" s="26"/>
      <c r="AK19" s="26"/>
      <c r="AL19" s="26"/>
      <c r="AM19" s="26">
        <v>0</v>
      </c>
      <c r="AN19">
        <v>0</v>
      </c>
    </row>
    <row r="20" spans="3:40">
      <c r="C20" s="1">
        <v>44887</v>
      </c>
      <c r="D20" s="39">
        <v>10685591.699100001</v>
      </c>
      <c r="E20" s="32">
        <v>4.0147301999999998</v>
      </c>
      <c r="F20" s="88">
        <f t="shared" ref="F20" si="11">D20/TRUNC(E20,6)</f>
        <v>2661596.5953127607</v>
      </c>
      <c r="G20" s="15">
        <f t="shared" si="1"/>
        <v>4831952.7099303547</v>
      </c>
      <c r="H20" s="32">
        <v>0.98714270000000004</v>
      </c>
      <c r="I20" s="15">
        <f>SUMIFS([1]Master!$K$2:$K$10000,[1]Master!$A$2:$A$10000,$I$12,[1]Master!$F$2:$F$10000,"&lt;="&amp;$C20)</f>
        <v>4894887.7502010139</v>
      </c>
      <c r="J20" s="15">
        <f t="shared" si="2"/>
        <v>84453.621203541654</v>
      </c>
      <c r="K20" s="43">
        <v>0.72680500000000003</v>
      </c>
      <c r="L20" s="40">
        <v>116198.45928900001</v>
      </c>
      <c r="M20" s="15">
        <f t="shared" si="3"/>
        <v>0</v>
      </c>
      <c r="N20" s="32">
        <v>0</v>
      </c>
      <c r="O20" s="40">
        <v>0</v>
      </c>
      <c r="P20" s="15">
        <f t="shared" si="4"/>
        <v>240599.06268643125</v>
      </c>
      <c r="Q20" s="32">
        <v>3.5796977999999999</v>
      </c>
      <c r="R20" s="40">
        <v>67212.115694914595</v>
      </c>
      <c r="S20" s="15">
        <f t="shared" si="7"/>
        <v>2756.23622894253</v>
      </c>
      <c r="T20" s="15">
        <f>IF((NETWORKDAYS(DATE(YEAR(C20),MONTH(C20),1),C20,Feriados!$A$2:$A$842))&gt;=5,0,IF(NETWORKDAYS(DATE(YEAR(C20),MONTH(C20),1),C20,Feriados!$A$2:$A$842)=1,S19,M19))</f>
        <v>0</v>
      </c>
      <c r="U20" s="26">
        <v>-95.54</v>
      </c>
      <c r="V20" s="26">
        <v>0</v>
      </c>
      <c r="W20" s="15">
        <f t="shared" si="5"/>
        <v>5157005.3938203277</v>
      </c>
      <c r="X20" s="50">
        <f>'Fluxo de Caixa_'!AD26</f>
        <v>0</v>
      </c>
      <c r="AB20" s="26">
        <v>4515.0066999999999</v>
      </c>
      <c r="AC20" s="26">
        <v>410610.6324</v>
      </c>
      <c r="AD20">
        <f>SUMIFS([1]Master!$J$2:$J$100,[1]Master!$A$2:$A$100,"="&amp;$I$12,[1]Master!$E$2:$E$100,"="&amp;C20,[1]Master!$J$2:$J$100,"&gt;"&amp;0)</f>
        <v>0</v>
      </c>
      <c r="AE20">
        <f ca="1">-SUMIF('[1]Fluxo de Movimentações'!$A$5:$F$10001,"="&amp;$C20,'[1]Fluxo de Movimentações'!$H$5:$H$10001)</f>
        <v>0</v>
      </c>
      <c r="AF20" s="26">
        <v>0</v>
      </c>
      <c r="AG20" s="26">
        <v>3457.52</v>
      </c>
      <c r="AH20" s="26">
        <v>7648.03</v>
      </c>
      <c r="AI20" s="26"/>
      <c r="AJ20" s="26"/>
      <c r="AK20" s="26"/>
      <c r="AL20" s="26"/>
      <c r="AM20" s="26">
        <v>0</v>
      </c>
      <c r="AN20">
        <v>0</v>
      </c>
    </row>
    <row r="21" spans="3:40">
      <c r="C21" s="1">
        <v>44888</v>
      </c>
      <c r="D21" s="39">
        <v>10652180.333699999</v>
      </c>
      <c r="E21" s="32">
        <v>4.0021769999999997</v>
      </c>
      <c r="F21" s="88">
        <f t="shared" ref="F21" si="12">D21/TRUNC(E21,6)</f>
        <v>2661596.5095246914</v>
      </c>
      <c r="G21" s="15">
        <f t="shared" ref="G21" si="13">H21*I21</f>
        <v>4797334.5952946078</v>
      </c>
      <c r="H21" s="32">
        <v>0.98007040000000001</v>
      </c>
      <c r="I21" s="15">
        <f>SUMIFS([1]Master!$K$2:$K$10000,[1]Master!$A$2:$A$10000,$I$12,[1]Master!$F$2:$F$10000,"&lt;="&amp;$C21)</f>
        <v>4894887.7502010139</v>
      </c>
      <c r="J21" s="15">
        <f t="shared" ref="J21" si="14">K21*L21</f>
        <v>85498.303451779415</v>
      </c>
      <c r="K21" s="43">
        <v>0.73579550000000005</v>
      </c>
      <c r="L21" s="40">
        <v>116198.45928900001</v>
      </c>
      <c r="M21" s="15">
        <f t="shared" si="3"/>
        <v>0</v>
      </c>
      <c r="N21" s="32">
        <v>0</v>
      </c>
      <c r="O21" s="40">
        <v>0</v>
      </c>
      <c r="P21" s="15">
        <f t="shared" si="4"/>
        <v>1345925.6474662016</v>
      </c>
      <c r="Q21" s="32">
        <v>3.5814788000000002</v>
      </c>
      <c r="R21" s="40">
        <v>375801.65139221301</v>
      </c>
      <c r="S21" s="15">
        <f t="shared" ref="S21:S22" si="15">(((1+0.3%)^(1/252))-1)*D20 + SUM(S20)</f>
        <v>2883.2559755020311</v>
      </c>
      <c r="T21" s="15">
        <f>IF((NETWORKDAYS(DATE(YEAR(C21),MONTH(C21),1),C21,Feriados!$A$2:$A$842))&gt;=5,0,IF(NETWORKDAYS(DATE(YEAR(C21),MONTH(C21),1),C21,Feriados!$A$2:$A$842)=1,S20,M20))</f>
        <v>0</v>
      </c>
      <c r="U21" s="26">
        <v>-95.54</v>
      </c>
      <c r="V21" s="26">
        <v>0</v>
      </c>
      <c r="W21" s="15">
        <f t="shared" ref="W21:W22" si="16">SUM(G21+J21+M21+P21)</f>
        <v>6228758.5462125884</v>
      </c>
      <c r="X21" s="50">
        <f>'Fluxo de Caixa_'!AD27</f>
        <v>-1.7173588275909424E-6</v>
      </c>
      <c r="AB21" s="26">
        <v>4475.4195</v>
      </c>
      <c r="AC21" s="26">
        <v>410819.58419999998</v>
      </c>
      <c r="AD21">
        <f>SUMIFS([1]Master!$J$2:$J$100,[1]Master!$A$2:$A$100,"="&amp;$I$12,[1]Master!$E$2:$E$100,"="&amp;C21,[1]Master!$J$2:$J$100,"&gt;"&amp;0)</f>
        <v>4000000</v>
      </c>
      <c r="AE21">
        <f ca="1">-SUMIF('[1]Fluxo de Movimentações'!$A$5:$F$10001,"="&amp;$C21,'[1]Fluxo de Movimentações'!$H$5:$H$10001)</f>
        <v>0</v>
      </c>
      <c r="AF21" s="26">
        <v>0</v>
      </c>
      <c r="AG21" s="26">
        <v>3457.52</v>
      </c>
      <c r="AH21" s="26">
        <v>7648.03</v>
      </c>
      <c r="AI21" s="26"/>
      <c r="AJ21" s="26"/>
      <c r="AK21" s="26"/>
      <c r="AL21" s="26"/>
      <c r="AM21" s="26">
        <v>0</v>
      </c>
      <c r="AN21">
        <v>0</v>
      </c>
    </row>
    <row r="22" spans="3:40">
      <c r="C22" s="1">
        <v>44889</v>
      </c>
      <c r="D22" s="39">
        <v>10836065.694599999</v>
      </c>
      <c r="E22" s="32">
        <v>4.0712653999999997</v>
      </c>
      <c r="F22" s="88">
        <f t="shared" ref="F22:F23" si="17">D22/TRUNC(E22,6)</f>
        <v>2661596.7505431352</v>
      </c>
      <c r="G22" s="15">
        <f t="shared" ref="G22:G23" si="18">H22*I22</f>
        <v>8977871.2717189454</v>
      </c>
      <c r="H22" s="32">
        <v>1.0169531000000001</v>
      </c>
      <c r="I22" s="15">
        <f>SUMIFS([1]Master!$K$2:$K$10000,[1]Master!$A$2:$A$10000,$I$12,[1]Master!$F$2:$F$10000,"&lt;="&amp;$C22)</f>
        <v>8828205.815704722</v>
      </c>
      <c r="J22" s="15">
        <f t="shared" ref="J22:J23" si="19">K22*L22</f>
        <v>88112.629347630747</v>
      </c>
      <c r="K22" s="43">
        <v>0.75829429999999998</v>
      </c>
      <c r="L22" s="40">
        <v>116198.45928900001</v>
      </c>
      <c r="M22" s="15">
        <f t="shared" si="3"/>
        <v>0</v>
      </c>
      <c r="N22" s="32">
        <v>0</v>
      </c>
      <c r="O22" s="40">
        <v>0</v>
      </c>
      <c r="P22" s="15">
        <f t="shared" si="4"/>
        <v>1346617.1600849282</v>
      </c>
      <c r="Q22" s="32">
        <v>3.5833189000000001</v>
      </c>
      <c r="R22" s="40">
        <v>375801.65139221301</v>
      </c>
      <c r="S22" s="15">
        <f t="shared" si="15"/>
        <v>3009.8785607919631</v>
      </c>
      <c r="T22" s="15">
        <f>IF((NETWORKDAYS(DATE(YEAR(C22),MONTH(C22),1),C22,Feriados!$A$2:$A$842))&gt;=5,0,IF(NETWORKDAYS(DATE(YEAR(C22),MONTH(C22),1),C22,Feriados!$A$2:$A$842)=1,S21,M21))</f>
        <v>0</v>
      </c>
      <c r="U22" s="26">
        <v>-95.54</v>
      </c>
      <c r="V22" s="26">
        <v>0</v>
      </c>
      <c r="W22" s="15">
        <f t="shared" si="16"/>
        <v>10412601.061151503</v>
      </c>
      <c r="X22" s="50">
        <f>'Fluxo de Caixa_'!AD28</f>
        <v>0</v>
      </c>
      <c r="AB22" s="26">
        <v>4435.8323</v>
      </c>
      <c r="AC22" s="26">
        <v>411028.64230000001</v>
      </c>
      <c r="AD22">
        <f>SUMIFS([1]Master!$J$2:$J$100,[1]Master!$A$2:$A$100,"="&amp;$I$12,[1]Master!$E$2:$E$100,"="&amp;C22,[1]Master!$J$2:$J$100,"&gt;"&amp;0)</f>
        <v>0</v>
      </c>
      <c r="AE22">
        <f ca="1">-SUMIF('[1]Fluxo de Movimentações'!$A$5:$F$10001,"="&amp;$C22,'[1]Fluxo de Movimentações'!$H$5:$H$10001)</f>
        <v>0</v>
      </c>
      <c r="AF22" s="26">
        <v>0</v>
      </c>
      <c r="AG22" s="26">
        <v>3457.52</v>
      </c>
      <c r="AH22" s="26">
        <v>7648.03</v>
      </c>
      <c r="AI22" s="26"/>
      <c r="AJ22" s="26"/>
      <c r="AK22" s="26"/>
      <c r="AL22" s="26"/>
      <c r="AM22" s="26">
        <v>0</v>
      </c>
      <c r="AN22">
        <v>0</v>
      </c>
    </row>
    <row r="23" spans="3:40">
      <c r="C23" s="1">
        <v>44890</v>
      </c>
      <c r="D23" s="39">
        <v>10561917.990599999</v>
      </c>
      <c r="E23" s="32">
        <v>3.9682642000000001</v>
      </c>
      <c r="F23" s="88">
        <f t="shared" si="17"/>
        <v>2661596.605114982</v>
      </c>
      <c r="G23" s="15">
        <f t="shared" si="18"/>
        <v>8703823.4583260939</v>
      </c>
      <c r="H23" s="32">
        <v>0.98591079999999998</v>
      </c>
      <c r="I23" s="15">
        <f>SUMIFS([1]Master!$K$2:$K$10000,[1]Master!$A$2:$A$10000,$I$12,[1]Master!$F$2:$F$10000,"&lt;="&amp;$C23)</f>
        <v>8828205.815704722</v>
      </c>
      <c r="J23" s="15">
        <f t="shared" si="19"/>
        <v>85627.829874348841</v>
      </c>
      <c r="K23" s="43">
        <v>0.73691019999999996</v>
      </c>
      <c r="L23" s="40">
        <v>116198.45928900001</v>
      </c>
      <c r="M23" s="15">
        <f t="shared" si="3"/>
        <v>0</v>
      </c>
      <c r="N23" s="32">
        <v>0</v>
      </c>
      <c r="O23" s="40">
        <v>0</v>
      </c>
      <c r="P23" s="15">
        <f t="shared" si="4"/>
        <v>1347282.479328553</v>
      </c>
      <c r="Q23" s="32">
        <v>3.5850892999999999</v>
      </c>
      <c r="R23" s="40">
        <v>375801.65139221301</v>
      </c>
      <c r="S23" s="15">
        <f t="shared" ref="S23:S24" si="20">(((1+0.3%)^(1/252))-1)*D22 + SUM(S22)</f>
        <v>3138.6869933980979</v>
      </c>
      <c r="T23" s="15">
        <f>IF((NETWORKDAYS(DATE(YEAR(C23),MONTH(C23),1),C23,Feriados!$A$2:$A$842))&gt;=5,0,IF(NETWORKDAYS(DATE(YEAR(C23),MONTH(C23),1),C23,Feriados!$A$2:$A$842)=1,S22,M22))</f>
        <v>0</v>
      </c>
      <c r="U23" s="26">
        <v>-95.54</v>
      </c>
      <c r="V23" s="26">
        <v>0</v>
      </c>
      <c r="W23" s="15">
        <f t="shared" ref="W23:W24" si="21">SUM(G23+J23+M23+P23)</f>
        <v>10136733.767528996</v>
      </c>
      <c r="X23" s="50">
        <f>'Fluxo de Caixa_'!AD29</f>
        <v>0</v>
      </c>
      <c r="AB23" s="26">
        <v>4396.2451000000001</v>
      </c>
      <c r="AC23" s="26">
        <v>411237.39549999998</v>
      </c>
      <c r="AD23">
        <f>SUMIFS([1]Master!$J$2:$J$100,[1]Master!$A$2:$A$100,"="&amp;$I$12,[1]Master!$E$2:$E$100,"="&amp;C23,[1]Master!$J$2:$J$100,"&gt;"&amp;0)</f>
        <v>0</v>
      </c>
      <c r="AE23">
        <f ca="1">-SUMIF('[1]Fluxo de Movimentações'!$A$5:$F$10001,"="&amp;$C23,'[1]Fluxo de Movimentações'!$H$5:$H$10001)</f>
        <v>0</v>
      </c>
      <c r="AF23" s="26">
        <v>0</v>
      </c>
      <c r="AG23" s="26">
        <v>3457.52</v>
      </c>
      <c r="AH23" s="26">
        <v>7648.03</v>
      </c>
      <c r="AI23" s="26"/>
      <c r="AJ23" s="26"/>
      <c r="AK23" s="26"/>
      <c r="AL23" s="26"/>
      <c r="AM23" s="26">
        <v>0</v>
      </c>
      <c r="AN23">
        <v>0</v>
      </c>
    </row>
    <row r="24" spans="3:40">
      <c r="C24" s="1">
        <v>44893</v>
      </c>
      <c r="D24" s="39">
        <v>10482482.1142</v>
      </c>
      <c r="E24" s="32">
        <v>3.9384190000000001</v>
      </c>
      <c r="F24" s="88">
        <f t="shared" ref="F24" si="22">D24/TRUNC(E24,6)</f>
        <v>2661596.4716298594</v>
      </c>
      <c r="G24" s="15">
        <f t="shared" ref="G24" si="23">H24*I24</f>
        <v>8626667.5879585799</v>
      </c>
      <c r="H24" s="32">
        <v>0.97717109999999996</v>
      </c>
      <c r="I24" s="15">
        <f>SUMIFS([1]Master!$K$2:$K$10000,[1]Master!$A$2:$A$10000,$I$12,[1]Master!$F$2:$F$10000,"&lt;="&amp;$C24)</f>
        <v>8828205.815704722</v>
      </c>
      <c r="J24" s="15">
        <f t="shared" ref="J24" si="24">K24*L24</f>
        <v>84319.760578440721</v>
      </c>
      <c r="K24" s="43">
        <v>0.72565299999999999</v>
      </c>
      <c r="L24" s="40">
        <v>116198.45928900001</v>
      </c>
      <c r="M24" s="15">
        <f t="shared" si="3"/>
        <v>0</v>
      </c>
      <c r="N24" s="32">
        <v>0</v>
      </c>
      <c r="O24" s="40">
        <v>0</v>
      </c>
      <c r="P24" s="15">
        <f t="shared" si="4"/>
        <v>1347945.6189225996</v>
      </c>
      <c r="Q24" s="32">
        <v>3.5868538999999999</v>
      </c>
      <c r="R24" s="40">
        <v>375801.65139221301</v>
      </c>
      <c r="S24" s="15">
        <f t="shared" si="20"/>
        <v>3264.2366292185684</v>
      </c>
      <c r="T24" s="15">
        <f>IF((NETWORKDAYS(DATE(YEAR(C24),MONTH(C24),1),C24,Feriados!$A$2:$A$842))&gt;=5,0,IF(NETWORKDAYS(DATE(YEAR(C24),MONTH(C24),1),C24,Feriados!$A$2:$A$842)=1,S23,M23))</f>
        <v>0</v>
      </c>
      <c r="U24" s="26">
        <v>-95.54</v>
      </c>
      <c r="V24" s="26">
        <v>0</v>
      </c>
      <c r="W24" s="15">
        <f t="shared" si="21"/>
        <v>10058932.967459619</v>
      </c>
      <c r="X24" s="50">
        <f>'Fluxo de Caixa_'!AD30</f>
        <v>0</v>
      </c>
      <c r="AB24" s="26">
        <v>4356.6579000000002</v>
      </c>
      <c r="AC24" s="26">
        <v>411446.66629999998</v>
      </c>
      <c r="AD24">
        <f>SUMIFS([1]Master!$J$2:$J$100,[1]Master!$A$2:$A$100,"="&amp;$I$12,[1]Master!$E$2:$E$100,"="&amp;C24,[1]Master!$J$2:$J$100,"&gt;"&amp;0)</f>
        <v>0</v>
      </c>
      <c r="AE24">
        <f ca="1">-SUMIF('[1]Fluxo de Movimentações'!$A$5:$F$10001,"="&amp;$C24,'[1]Fluxo de Movimentações'!$H$5:$H$10001)</f>
        <v>0</v>
      </c>
      <c r="AF24" s="26">
        <v>0</v>
      </c>
      <c r="AG24" s="26">
        <v>3457.52</v>
      </c>
      <c r="AH24" s="26">
        <v>7648.03</v>
      </c>
      <c r="AI24" s="26"/>
      <c r="AJ24" s="26"/>
      <c r="AK24" s="26"/>
      <c r="AL24" s="26"/>
      <c r="AM24" s="26">
        <v>0</v>
      </c>
      <c r="AN24">
        <v>0</v>
      </c>
    </row>
    <row r="25" spans="3:40">
      <c r="C25" s="1">
        <v>44894</v>
      </c>
      <c r="D25" s="39">
        <v>10616747.2259</v>
      </c>
      <c r="E25" s="32">
        <v>3.9888642999999999</v>
      </c>
      <c r="F25" s="88">
        <f t="shared" ref="F25" si="25">D25/TRUNC(E25,6)</f>
        <v>2661596.6916645942</v>
      </c>
      <c r="G25" s="15">
        <f t="shared" ref="G25" si="26">H25*I25</f>
        <v>8757598.7084112968</v>
      </c>
      <c r="H25" s="32">
        <v>0.9920021</v>
      </c>
      <c r="I25" s="15">
        <f>SUMIFS([1]Master!$K$2:$K$10000,[1]Master!$A$2:$A$10000,$I$12,[1]Master!$F$2:$F$10000,"&lt;="&amp;$C25)</f>
        <v>8828205.815704722</v>
      </c>
      <c r="J25" s="15">
        <f t="shared" ref="J25" si="27">K25*L25</f>
        <v>86934.074854446138</v>
      </c>
      <c r="K25" s="43">
        <v>0.74815169999999998</v>
      </c>
      <c r="L25" s="40">
        <v>116198.45928900001</v>
      </c>
      <c r="M25" s="15">
        <f t="shared" si="3"/>
        <v>0</v>
      </c>
      <c r="N25" s="32">
        <v>0</v>
      </c>
      <c r="O25" s="40">
        <v>0</v>
      </c>
      <c r="P25" s="15">
        <f t="shared" si="4"/>
        <v>1350633.4343447008</v>
      </c>
      <c r="Q25" s="32">
        <v>3.5886475999999998</v>
      </c>
      <c r="R25" s="40">
        <v>376362.79314377398</v>
      </c>
      <c r="S25" s="15">
        <v>3388.79</v>
      </c>
      <c r="T25" s="15">
        <f>IF((NETWORKDAYS(DATE(YEAR(C25),MONTH(C25),1),C25,Feriados!$A$2:$A$842))&gt;=5,0,IF(NETWORKDAYS(DATE(YEAR(C25),MONTH(C25),1),C25,Feriados!$A$2:$A$842)=1,S24,M24))</f>
        <v>0</v>
      </c>
      <c r="U25" s="26">
        <v>-95.54</v>
      </c>
      <c r="V25" s="26">
        <v>0</v>
      </c>
      <c r="W25" s="15">
        <f t="shared" ref="W25" si="28">SUM(G25+J25+M25+P25)</f>
        <v>10195166.217610445</v>
      </c>
      <c r="X25" s="50">
        <f>'Fluxo de Caixa_'!AD31</f>
        <v>9.4814822659827769E-10</v>
      </c>
      <c r="AB25" s="26">
        <v>4317.0707000000002</v>
      </c>
      <c r="AC25" s="26">
        <v>411656.45520000003</v>
      </c>
      <c r="AD25">
        <f>SUMIFS([1]Master!$J$2:$J$100,[1]Master!$A$2:$A$100,"="&amp;$I$12,[1]Master!$E$2:$E$100,"="&amp;C25,[1]Master!$J$2:$J$100,"&gt;"&amp;0)</f>
        <v>0</v>
      </c>
      <c r="AE25">
        <f ca="1">-SUMIF('[1]Fluxo de Movimentações'!$A$5:$F$10001,"="&amp;$C25,'[1]Fluxo de Movimentações'!$H$5:$H$10001)</f>
        <v>0</v>
      </c>
      <c r="AF25" s="26">
        <v>0</v>
      </c>
      <c r="AG25" s="26">
        <v>3457.52</v>
      </c>
      <c r="AH25" s="26">
        <v>5634.29</v>
      </c>
      <c r="AI25" s="26"/>
      <c r="AJ25" s="26"/>
      <c r="AK25" s="26"/>
      <c r="AL25" s="26"/>
      <c r="AM25" s="26">
        <v>0</v>
      </c>
      <c r="AN25">
        <v>0</v>
      </c>
    </row>
    <row r="26" spans="3:40">
      <c r="C26" s="1">
        <v>44895</v>
      </c>
      <c r="D26" s="39">
        <v>10693008.4485</v>
      </c>
      <c r="E26" s="32">
        <v>4.0175166999999998</v>
      </c>
      <c r="F26" s="88">
        <f t="shared" ref="F26" si="29">D26/TRUNC(E26,6)</f>
        <v>2661596.9789541601</v>
      </c>
      <c r="G26" s="15">
        <f t="shared" ref="G26" si="30">H26*I26</f>
        <v>8831451.9469831567</v>
      </c>
      <c r="H26" s="32">
        <v>1.0003677</v>
      </c>
      <c r="I26" s="15">
        <f>SUMIFS([1]Master!$K$2:$K$10000,[1]Master!$A$2:$A$10000,$I$12,[1]Master!$F$2:$F$10000,"&lt;="&amp;$C26)</f>
        <v>8828205.815704722</v>
      </c>
      <c r="J26" s="15">
        <f t="shared" ref="J26" si="31">K26*L26</f>
        <v>88633.186825399549</v>
      </c>
      <c r="K26" s="43">
        <v>0.76277419999999996</v>
      </c>
      <c r="L26" s="40">
        <v>116198.45928900001</v>
      </c>
      <c r="M26" s="15">
        <f t="shared" si="3"/>
        <v>0</v>
      </c>
      <c r="N26" s="32">
        <v>0</v>
      </c>
      <c r="O26" s="40">
        <v>0</v>
      </c>
      <c r="P26" s="15">
        <f t="shared" si="4"/>
        <v>1352881.3759480873</v>
      </c>
      <c r="Q26" s="32">
        <v>3.5904117000000002</v>
      </c>
      <c r="R26" s="40">
        <v>376803.96817671001</v>
      </c>
      <c r="S26" s="15">
        <f t="shared" ref="S26" si="32">(((1+0.3%)^(1/252))-1)*D25 + SUM(S25)</f>
        <v>3514.9913915461216</v>
      </c>
      <c r="T26" s="15">
        <f>IF((NETWORKDAYS(DATE(YEAR(C26),MONTH(C26),1),C26,Feriados!$A$2:$A$842))&gt;=5,0,IF(NETWORKDAYS(DATE(YEAR(C26),MONTH(C26),1),C26,Feriados!$A$2:$A$842)=1,S25,M25))</f>
        <v>0</v>
      </c>
      <c r="U26" s="26">
        <v>-95.54</v>
      </c>
      <c r="V26" s="26">
        <v>0</v>
      </c>
      <c r="W26" s="15">
        <f t="shared" ref="W26" si="33">SUM(G26+J26+M26+P26)</f>
        <v>10272966.509756643</v>
      </c>
      <c r="X26" s="50">
        <f>'Fluxo de Caixa_'!AD32</f>
        <v>-1.4310899132397026E-9</v>
      </c>
      <c r="AB26" s="26">
        <v>4277.4835000000003</v>
      </c>
      <c r="AC26" s="26">
        <v>411867.17499999999</v>
      </c>
      <c r="AD26">
        <f>SUMIFS([1]Master!$J$2:$J$100,[1]Master!$A$2:$A$100,"="&amp;$I$12,[1]Master!$E$2:$E$100,"="&amp;C26,[1]Master!$J$2:$J$100,"&gt;"&amp;0)</f>
        <v>0</v>
      </c>
      <c r="AE26">
        <f ca="1">-SUMIF('[1]Fluxo de Movimentações'!$A$5:$F$10001,"="&amp;$C26,'[1]Fluxo de Movimentações'!$H$5:$H$10001)</f>
        <v>0</v>
      </c>
      <c r="AF26" s="26">
        <v>0</v>
      </c>
      <c r="AG26" s="26">
        <v>3457.52</v>
      </c>
      <c r="AH26" s="26">
        <v>4050.29</v>
      </c>
      <c r="AI26" s="26"/>
      <c r="AJ26" s="26"/>
      <c r="AK26" s="26"/>
      <c r="AL26" s="26"/>
      <c r="AM26" s="26">
        <v>0</v>
      </c>
      <c r="AN26">
        <v>0</v>
      </c>
    </row>
    <row r="27" spans="3:40">
      <c r="C27" s="1">
        <v>44896</v>
      </c>
      <c r="D27" s="39">
        <v>10601066.7629</v>
      </c>
      <c r="E27" s="32">
        <v>3.9829729</v>
      </c>
      <c r="F27" s="88">
        <f t="shared" ref="F27" si="34">D27/TRUNC(E27,6)</f>
        <v>2661597.109620655</v>
      </c>
      <c r="G27" s="15">
        <f t="shared" ref="G27" si="35">H27*I27</f>
        <v>8739365.814940121</v>
      </c>
      <c r="H27" s="32">
        <v>0.98993679999999995</v>
      </c>
      <c r="I27" s="15">
        <f>SUMIFS([1]Master!$K$2:$K$10000,[1]Master!$A$2:$A$10000,$I$12,[1]Master!$F$2:$F$10000,"&lt;="&amp;$C27)</f>
        <v>8828205.815704722</v>
      </c>
      <c r="J27" s="15">
        <f t="shared" ref="J27" si="36">K27*L27</f>
        <v>87978.954640064694</v>
      </c>
      <c r="K27" s="43">
        <v>0.75714389999999998</v>
      </c>
      <c r="L27" s="40">
        <v>116198.45928900001</v>
      </c>
      <c r="M27" s="15">
        <f t="shared" si="3"/>
        <v>0</v>
      </c>
      <c r="N27" s="32">
        <v>0</v>
      </c>
      <c r="O27" s="40">
        <v>0</v>
      </c>
      <c r="P27" s="15">
        <f t="shared" si="4"/>
        <v>1353540.4437688251</v>
      </c>
      <c r="Q27" s="32">
        <v>3.5921607999999998</v>
      </c>
      <c r="R27" s="40">
        <v>376803.96817671001</v>
      </c>
      <c r="S27" s="15">
        <v>127.1</v>
      </c>
      <c r="T27" s="15">
        <f>IF((NETWORKDAYS(DATE(YEAR(C27),MONTH(C27),1),C27,Feriados!$A$2:$A$842))&gt;=5,0,IF(NETWORKDAYS(DATE(YEAR(C27),MONTH(C27),1),C27,Feriados!$A$2:$A$842)=1,S26,T26))</f>
        <v>3514.9913915461216</v>
      </c>
      <c r="U27" s="26">
        <v>0</v>
      </c>
      <c r="V27" s="26">
        <v>-95.54</v>
      </c>
      <c r="W27" s="15">
        <f t="shared" ref="W27" si="37">SUM(G27+J27+M27+P27)</f>
        <v>10180885.213349011</v>
      </c>
      <c r="X27" s="50">
        <f>'Fluxo de Caixa_'!AD33</f>
        <v>0</v>
      </c>
      <c r="AB27" s="26">
        <v>4237.8302999999996</v>
      </c>
      <c r="AC27" s="26">
        <v>412078.00260000001</v>
      </c>
      <c r="AD27">
        <f>SUMIFS([1]Master!$J$2:$J$100,[1]Master!$A$2:$A$100,"="&amp;$I$12,[1]Master!$E$2:$E$100,"="&amp;C27,[1]Master!$J$2:$J$100,"&gt;"&amp;0)</f>
        <v>0</v>
      </c>
      <c r="AE27">
        <f ca="1">-SUMIF('[1]Fluxo de Movimentações'!$A$5:$F$10001,"="&amp;$C27,'[1]Fluxo de Movimentações'!$H$5:$H$10001)</f>
        <v>0</v>
      </c>
      <c r="AF27" s="26">
        <v>0</v>
      </c>
      <c r="AG27" s="26">
        <v>3457.52</v>
      </c>
      <c r="AH27" s="26">
        <v>4050.29</v>
      </c>
      <c r="AI27" s="26"/>
      <c r="AJ27" s="26"/>
      <c r="AK27" s="26"/>
      <c r="AL27" s="26"/>
      <c r="AM27" s="26">
        <v>0</v>
      </c>
      <c r="AN27">
        <v>0</v>
      </c>
    </row>
    <row r="28" spans="3:40">
      <c r="C28" s="1">
        <v>44897</v>
      </c>
      <c r="D28" s="39">
        <v>10720207.5429</v>
      </c>
      <c r="E28" s="32">
        <v>4.0277358000000003</v>
      </c>
      <c r="F28" s="88">
        <f t="shared" ref="F28" si="38">D28/TRUNC(E28,6)</f>
        <v>2661597.0372678442</v>
      </c>
      <c r="G28" s="15">
        <f t="shared" ref="G28" si="39">H28*I28</f>
        <v>8857647.8821000978</v>
      </c>
      <c r="H28" s="32">
        <v>1.0033350000000001</v>
      </c>
      <c r="I28" s="15">
        <f>SUMIFS([1]Master!$K$2:$K$10000,[1]Master!$A$2:$A$10000,$I$12,[1]Master!$F$2:$F$10000,"&lt;="&amp;$C28)</f>
        <v>8828205.815704722</v>
      </c>
      <c r="J28" s="15">
        <f t="shared" ref="J28" si="40">K28*L28</f>
        <v>88109.201493081724</v>
      </c>
      <c r="K28" s="43">
        <v>0.75826479999999996</v>
      </c>
      <c r="L28" s="40">
        <v>116198.45928900001</v>
      </c>
      <c r="M28" s="15">
        <f t="shared" si="3"/>
        <v>0</v>
      </c>
      <c r="N28" s="32">
        <v>0</v>
      </c>
      <c r="O28" s="40">
        <v>0</v>
      </c>
      <c r="P28" s="15">
        <f t="shared" si="4"/>
        <v>1354224.0415278913</v>
      </c>
      <c r="Q28" s="32">
        <v>3.5939749999999999</v>
      </c>
      <c r="R28" s="40">
        <v>376803.96817671001</v>
      </c>
      <c r="S28" s="15">
        <f t="shared" ref="S28:S32" si="41">(((1+0.3%)^(1/252))-1)*D27+SUM(S27)</f>
        <v>253.1149977092353</v>
      </c>
      <c r="T28" s="15">
        <f>IF((NETWORKDAYS(DATE(YEAR(C28),MONTH(C28),1),C28,Feriados!$A$2:$A$842))&gt;=5,0,IF(NETWORKDAYS(DATE(YEAR(C28),MONTH(C28),1),C28,Feriados!$A$2:$A$842)=1,S27,T27))</f>
        <v>3514.9913915461216</v>
      </c>
      <c r="U28" s="26">
        <v>0</v>
      </c>
      <c r="V28" s="26">
        <v>-95.54</v>
      </c>
      <c r="W28" s="15">
        <f t="shared" ref="W28" si="42">SUM(G28+J28+M28+P28)</f>
        <v>10299981.125121072</v>
      </c>
      <c r="X28" s="50">
        <f>'Fluxo de Caixa_'!AD34</f>
        <v>0</v>
      </c>
      <c r="Z28">
        <v>116198.45928900001</v>
      </c>
      <c r="AA28">
        <v>0.73691019999999996</v>
      </c>
      <c r="AB28" s="26">
        <v>4198.1770999999999</v>
      </c>
      <c r="AC28" s="26">
        <v>412288.5258</v>
      </c>
      <c r="AD28">
        <f>SUMIFS([1]Master!$J$2:$J$100,[1]Master!$A$2:$A$100,"="&amp;$I$12,[1]Master!$E$2:$E$100,"="&amp;C28,[1]Master!$J$2:$J$100,"&gt;"&amp;0)</f>
        <v>0</v>
      </c>
      <c r="AE28">
        <f ca="1">-SUMIF('[1]Fluxo de Movimentações'!$A$5:$F$10001,"="&amp;$C28,'[1]Fluxo de Movimentações'!$H$5:$H$10001)</f>
        <v>0</v>
      </c>
      <c r="AF28" s="26">
        <v>0</v>
      </c>
      <c r="AG28" s="26">
        <v>3457.52</v>
      </c>
      <c r="AH28" s="26">
        <v>4050.29</v>
      </c>
      <c r="AI28" s="26"/>
      <c r="AJ28" s="26"/>
      <c r="AK28" s="26"/>
      <c r="AL28" s="26"/>
      <c r="AM28" s="26">
        <v>0</v>
      </c>
      <c r="AN28">
        <v>0</v>
      </c>
    </row>
    <row r="29" spans="3:40">
      <c r="C29" s="1">
        <v>44900</v>
      </c>
      <c r="D29" s="39">
        <v>10430435.7028</v>
      </c>
      <c r="E29" s="32">
        <v>3.9188643999999999</v>
      </c>
      <c r="F29" s="88">
        <f t="shared" ref="F29:F34" si="43">D29/TRUNC(E29,6)</f>
        <v>2661596.7542634802</v>
      </c>
      <c r="G29" s="15">
        <f t="shared" ref="G29:G30" si="44">H29*I29</f>
        <v>8565617.0735157505</v>
      </c>
      <c r="H29" s="32">
        <v>0.97070880000000004</v>
      </c>
      <c r="I29" s="15">
        <f>SUMIFS([1]Master!$K$2:$K$10000,[1]Master!$A$2:$A$10000,$I$12,[1]Master!$F$2:$F$10000,"&lt;="&amp;$C29)</f>
        <v>8824085.1154494025</v>
      </c>
      <c r="J29" s="15">
        <f t="shared" ref="J29" si="45">K29*L29</f>
        <v>85624.518218259109</v>
      </c>
      <c r="K29" s="43">
        <v>0.73688169999999997</v>
      </c>
      <c r="L29" s="40">
        <v>116198.45928900001</v>
      </c>
      <c r="M29" s="15">
        <f t="shared" si="3"/>
        <v>0</v>
      </c>
      <c r="N29" s="32">
        <v>0</v>
      </c>
      <c r="O29" s="40">
        <v>0</v>
      </c>
      <c r="P29" s="15">
        <f t="shared" si="4"/>
        <v>1354925.3867538588</v>
      </c>
      <c r="Q29" s="32">
        <v>3.5958363000000002</v>
      </c>
      <c r="R29" s="40">
        <v>376803.96817671001</v>
      </c>
      <c r="S29" s="15">
        <f t="shared" si="41"/>
        <v>380.54622318635131</v>
      </c>
      <c r="T29" s="15">
        <f>IF((NETWORKDAYS(DATE(YEAR(C29),MONTH(C29),1),C29,Feriados!$A$2:$A$842))&gt;=5,0,IF(NETWORKDAYS(DATE(YEAR(C29),MONTH(C29),1),C29,Feriados!$A$2:$A$842)=1,S28,T28))</f>
        <v>3514.9913915461216</v>
      </c>
      <c r="U29" s="26">
        <v>0</v>
      </c>
      <c r="V29" s="26">
        <v>-95.54</v>
      </c>
      <c r="W29" s="15">
        <f t="shared" ref="W29" si="46">SUM(G29+J29+M29+P29)</f>
        <v>10006166.978487868</v>
      </c>
      <c r="X29" s="50">
        <f>'Fluxo de Caixa_'!AD35</f>
        <v>0</v>
      </c>
      <c r="Y29" t="s">
        <v>75</v>
      </c>
      <c r="Z29">
        <v>8828205.8157049995</v>
      </c>
      <c r="AA29">
        <v>0.98591079999999998</v>
      </c>
      <c r="AB29" s="26">
        <v>4158.5239000000001</v>
      </c>
      <c r="AC29" s="26">
        <v>412497.91889999999</v>
      </c>
      <c r="AD29">
        <f>SUMIFS([1]Master!$J$2:$J$100,[1]Master!$A$2:$A$100,"="&amp;$I$12,[1]Master!$E$2:$E$100,"="&amp;C29,[1]Master!$J$2:$J$100,"&gt;"&amp;0)</f>
        <v>0</v>
      </c>
      <c r="AE29">
        <f ca="1">-SUMIF('[1]Fluxo de Movimentações'!$A$5:$F$10001,"="&amp;$C29,'[1]Fluxo de Movimentações'!$H$5:$H$10001)</f>
        <v>0</v>
      </c>
      <c r="AF29" s="26">
        <v>4000</v>
      </c>
      <c r="AG29" s="26">
        <v>3457.52</v>
      </c>
      <c r="AH29" s="26">
        <v>4050.29</v>
      </c>
      <c r="AI29" s="26"/>
      <c r="AJ29" s="26"/>
      <c r="AK29" s="26"/>
      <c r="AL29" s="26"/>
      <c r="AM29" s="26">
        <v>0</v>
      </c>
      <c r="AN29">
        <v>0</v>
      </c>
    </row>
    <row r="30" spans="3:40">
      <c r="C30" s="1">
        <v>44901</v>
      </c>
      <c r="D30" s="39">
        <v>10410803.220000001</v>
      </c>
      <c r="E30" s="32">
        <v>3.9114882</v>
      </c>
      <c r="F30" s="88">
        <f t="shared" si="43"/>
        <v>2661596.6148943831</v>
      </c>
      <c r="G30" s="15">
        <f t="shared" si="44"/>
        <v>8545541.3974695913</v>
      </c>
      <c r="H30" s="32">
        <v>0.96843369999999995</v>
      </c>
      <c r="I30" s="15">
        <f>SUMIFS([1]Master!$K$2:$K$10000,[1]Master!$A$2:$A$10000,$I$12,[1]Master!$F$2:$F$10000,"&lt;="&amp;$C30)</f>
        <v>8824085.1154494025</v>
      </c>
      <c r="J30" s="15">
        <f t="shared" ref="J30" si="47">K30*L30</f>
        <v>85362.525552100211</v>
      </c>
      <c r="K30" s="43">
        <v>0.73462700000000003</v>
      </c>
      <c r="L30" s="40">
        <v>116198.45928900001</v>
      </c>
      <c r="M30" s="15">
        <f t="shared" si="3"/>
        <v>0</v>
      </c>
      <c r="N30" s="32">
        <v>0</v>
      </c>
      <c r="O30" s="40">
        <v>0</v>
      </c>
      <c r="P30" s="15">
        <f t="shared" si="4"/>
        <v>1355583.0603999144</v>
      </c>
      <c r="Q30" s="32">
        <v>3.5975817000000001</v>
      </c>
      <c r="R30" s="40">
        <v>376803.96817671001</v>
      </c>
      <c r="S30" s="15">
        <f t="shared" si="41"/>
        <v>504.53292759939916</v>
      </c>
      <c r="T30" s="15">
        <f>IF((NETWORKDAYS(DATE(YEAR(C30),MONTH(C30),1),C30,Feriados!$A$2:$A$842))&gt;=5,0,IF(NETWORKDAYS(DATE(YEAR(C30),MONTH(C30),1),C30,Feriados!$A$2:$A$842)=1,S29,T29))</f>
        <v>3514.9913915461216</v>
      </c>
      <c r="U30" s="26">
        <v>0</v>
      </c>
      <c r="V30" s="26">
        <v>-95.54</v>
      </c>
      <c r="W30" s="15">
        <f t="shared" ref="W30" si="48">SUM(G30+J30+M30+P30)</f>
        <v>9986486.9834216051</v>
      </c>
      <c r="X30" s="50">
        <f>'Fluxo de Caixa_'!AD36</f>
        <v>0</v>
      </c>
      <c r="Y30" t="s">
        <v>76</v>
      </c>
      <c r="Z30">
        <v>375801.65139221301</v>
      </c>
      <c r="AA30">
        <v>3.5850892999999999</v>
      </c>
      <c r="AB30" s="26">
        <v>4118.8707000000004</v>
      </c>
      <c r="AC30" s="26">
        <v>412709.06929999997</v>
      </c>
      <c r="AD30">
        <f>SUMIFS([1]Master!$J$2:$J$100,[1]Master!$A$2:$A$100,"="&amp;$I$12,[1]Master!$E$2:$E$100,"="&amp;C30,[1]Master!$J$2:$J$100,"&gt;"&amp;0)</f>
        <v>0</v>
      </c>
      <c r="AE30">
        <f ca="1">-SUMIF('[1]Fluxo de Movimentações'!$A$5:$F$10001,"="&amp;$C30,'[1]Fluxo de Movimentações'!$H$5:$H$10001)</f>
        <v>0</v>
      </c>
      <c r="AF30" s="26">
        <v>4000</v>
      </c>
      <c r="AG30" s="26">
        <v>3457.52</v>
      </c>
      <c r="AH30" s="26">
        <v>4050.29</v>
      </c>
      <c r="AI30" s="26"/>
      <c r="AJ30" s="26"/>
      <c r="AK30" s="26"/>
      <c r="AL30" s="26"/>
      <c r="AM30" s="26">
        <v>0</v>
      </c>
      <c r="AN30">
        <v>0</v>
      </c>
    </row>
    <row r="31" spans="3:40">
      <c r="C31" s="1">
        <v>44902</v>
      </c>
      <c r="D31" s="39">
        <v>10370807.8313</v>
      </c>
      <c r="E31" s="32">
        <v>3.8964612999999999</v>
      </c>
      <c r="F31" s="88">
        <f t="shared" si="43"/>
        <v>2661596.7236166359</v>
      </c>
      <c r="G31" s="15">
        <f t="shared" ref="G31" si="49">H31*I31</f>
        <v>8503271.3825410549</v>
      </c>
      <c r="H31" s="32">
        <v>0.96364340000000004</v>
      </c>
      <c r="I31" s="15">
        <f>SUMIFS([1]Master!$K$2:$K$10000,[1]Master!$A$2:$A$10000,$I$12,[1]Master!$F$2:$F$10000,"&lt;="&amp;$C31)</f>
        <v>8824085.1154494025</v>
      </c>
      <c r="J31" s="15">
        <f t="shared" ref="J31" si="50">K31*L31</f>
        <v>86930.983975429059</v>
      </c>
      <c r="K31" s="43">
        <v>0.74812509999999999</v>
      </c>
      <c r="L31" s="40">
        <v>116198.45928900001</v>
      </c>
      <c r="M31" s="15">
        <f t="shared" si="3"/>
        <v>0</v>
      </c>
      <c r="N31" s="32">
        <v>0</v>
      </c>
      <c r="O31" s="40">
        <v>0</v>
      </c>
      <c r="P31" s="15">
        <f t="shared" si="4"/>
        <v>1356725.5556430046</v>
      </c>
      <c r="Q31" s="32">
        <v>3.5993265999999999</v>
      </c>
      <c r="R31" s="40">
        <v>376938.71838221198</v>
      </c>
      <c r="S31" s="15">
        <f t="shared" si="41"/>
        <v>628.28626047254431</v>
      </c>
      <c r="T31" s="15">
        <f>IF((NETWORKDAYS(DATE(YEAR(C31),MONTH(C31),1),C31,Feriados!$A$2:$A$842))&gt;=5,0,IF(NETWORKDAYS(DATE(YEAR(C31),MONTH(C31),1),C31,Feriados!$A$2:$A$842)=1,S30,T30))</f>
        <v>0</v>
      </c>
      <c r="U31" s="26">
        <v>0</v>
      </c>
      <c r="V31" s="26">
        <v>0</v>
      </c>
      <c r="W31" s="15">
        <f t="shared" ref="W31" si="51">SUM(G31+J31+M31+P31)</f>
        <v>9946927.9221594892</v>
      </c>
      <c r="X31" s="50">
        <f>'Fluxo de Caixa_'!AD37</f>
        <v>9.8128521131002344E-7</v>
      </c>
      <c r="AB31" s="26">
        <v>4079.2175000000002</v>
      </c>
      <c r="AC31" s="26">
        <v>412921.15379999997</v>
      </c>
      <c r="AD31">
        <f>SUMIFS([1]Master!$J$2:$J$100,[1]Master!$A$2:$A$100,"="&amp;$I$12,[1]Master!$E$2:$E$100,"="&amp;C31,[1]Master!$J$2:$J$100,"&gt;"&amp;0)</f>
        <v>0</v>
      </c>
      <c r="AE31">
        <f ca="1">-SUMIF('[1]Fluxo de Movimentações'!$A$5:$F$10001,"="&amp;$C31,'[1]Fluxo de Movimentações'!$H$5:$H$10001)</f>
        <v>0</v>
      </c>
      <c r="AF31" s="26">
        <v>0</v>
      </c>
      <c r="AG31" s="26">
        <v>3457.52</v>
      </c>
      <c r="AH31" s="26">
        <v>4050.29</v>
      </c>
      <c r="AI31" s="26"/>
      <c r="AJ31" s="26"/>
      <c r="AK31" s="26"/>
      <c r="AL31" s="26"/>
      <c r="AM31" s="26">
        <v>0</v>
      </c>
      <c r="AN31">
        <v>0</v>
      </c>
    </row>
    <row r="32" spans="3:40">
      <c r="C32" s="1">
        <v>44903</v>
      </c>
      <c r="D32" s="39">
        <v>10370807.8313</v>
      </c>
      <c r="E32" s="32">
        <v>3.8964612999999999</v>
      </c>
      <c r="F32" s="88">
        <f t="shared" si="43"/>
        <v>2661596.7236166359</v>
      </c>
      <c r="G32" s="15">
        <f t="shared" ref="G32" si="52">H32*I32</f>
        <v>8244224.4806238292</v>
      </c>
      <c r="H32" s="32">
        <v>0.93428659999999997</v>
      </c>
      <c r="I32" s="15">
        <f>SUMIFS([1]Master!$K$2:$K$10000,[1]Master!$A$2:$A$10000,$I$12,[1]Master!$F$2:$F$10000,"&lt;="&amp;$C32)</f>
        <v>8824085.1154494025</v>
      </c>
      <c r="J32" s="15">
        <f t="shared" ref="J32" si="53">K32*L32</f>
        <v>84707.782093544476</v>
      </c>
      <c r="K32" s="43">
        <v>0.72899230000000004</v>
      </c>
      <c r="L32" s="40">
        <v>116198.45928900001</v>
      </c>
      <c r="M32" s="15">
        <f t="shared" si="3"/>
        <v>0</v>
      </c>
      <c r="N32" s="32">
        <v>0</v>
      </c>
      <c r="O32" s="40">
        <v>0</v>
      </c>
      <c r="P32" s="15">
        <f t="shared" si="4"/>
        <v>1357409.6240291246</v>
      </c>
      <c r="Q32" s="32">
        <v>3.6011413999999999</v>
      </c>
      <c r="R32" s="40">
        <v>376938.71838221198</v>
      </c>
      <c r="S32" s="15">
        <f t="shared" si="41"/>
        <v>751.56416771842635</v>
      </c>
      <c r="T32" s="15">
        <f>IF((NETWORKDAYS(DATE(YEAR(C32),MONTH(C32),1),C32,Feriados!$A$2:$A$842))&gt;=5,0,IF(NETWORKDAYS(DATE(YEAR(C32),MONTH(C32),1),C32,Feriados!$A$2:$A$842)=1,S31,T31))</f>
        <v>0</v>
      </c>
      <c r="U32" s="26">
        <v>0</v>
      </c>
      <c r="V32" s="26">
        <v>0</v>
      </c>
      <c r="W32" s="15">
        <f t="shared" ref="W32" si="54">SUM(G32+J32+M32+P32)</f>
        <v>9686341.8867464978</v>
      </c>
      <c r="X32" s="50">
        <f>'Fluxo de Caixa_'!AD38</f>
        <v>0</v>
      </c>
      <c r="AB32" s="26">
        <v>4039.5639999999999</v>
      </c>
      <c r="AC32" s="26">
        <v>413134.58679999999</v>
      </c>
      <c r="AD32">
        <f>SUMIFS([1]Master!$J$2:$J$100,[1]Master!$A$2:$A$100,"="&amp;$I$12,[1]Master!$E$2:$E$100,"="&amp;C32,[1]Master!$J$2:$J$100,"&gt;"&amp;0)</f>
        <v>0</v>
      </c>
      <c r="AE32">
        <f ca="1">-SUMIF('[1]Fluxo de Movimentações'!$A$5:$F$10001,"="&amp;$C32,'[1]Fluxo de Movimentações'!$H$5:$H$10001)</f>
        <v>0</v>
      </c>
      <c r="AF32" s="26">
        <v>0</v>
      </c>
      <c r="AG32" s="26">
        <v>3457.52</v>
      </c>
      <c r="AH32" s="26">
        <v>4050.29</v>
      </c>
      <c r="AI32" s="26"/>
      <c r="AJ32" s="26"/>
      <c r="AK32" s="26"/>
      <c r="AL32" s="26"/>
      <c r="AM32" s="26">
        <v>0</v>
      </c>
      <c r="AN32">
        <v>0</v>
      </c>
    </row>
    <row r="33" spans="3:40">
      <c r="C33" s="1">
        <v>44904</v>
      </c>
      <c r="D33" s="39">
        <v>10012213.114399999</v>
      </c>
      <c r="E33" s="32">
        <v>3.7617322</v>
      </c>
      <c r="F33" s="88">
        <f t="shared" si="43"/>
        <v>2661596.6034794608</v>
      </c>
      <c r="G33" s="15">
        <f t="shared" ref="G33" si="55">H33*I33</f>
        <v>8146615.0983022628</v>
      </c>
      <c r="H33" s="32">
        <v>0.92322490000000001</v>
      </c>
      <c r="I33" s="15">
        <f>SUMIFS([1]Master!$K$2:$K$10000,[1]Master!$A$2:$A$10000,$I$12,[1]Master!$F$2:$F$10000,"&lt;="&amp;$C33)</f>
        <v>8824085.1154494025</v>
      </c>
      <c r="J33" s="15">
        <f t="shared" ref="J33" si="56">K33*L33</f>
        <v>83530.552262795769</v>
      </c>
      <c r="K33" s="43">
        <v>0.71886110000000003</v>
      </c>
      <c r="L33" s="40">
        <v>116198.45928900001</v>
      </c>
      <c r="M33" s="15">
        <f t="shared" si="3"/>
        <v>0</v>
      </c>
      <c r="N33" s="32">
        <v>0</v>
      </c>
      <c r="O33" s="40">
        <v>0</v>
      </c>
      <c r="P33" s="15">
        <f t="shared" si="4"/>
        <v>1358084.1558656695</v>
      </c>
      <c r="Q33" s="32">
        <v>3.6029309</v>
      </c>
      <c r="R33" s="40">
        <v>376938.71838221198</v>
      </c>
      <c r="S33" s="54">
        <v>871.72</v>
      </c>
      <c r="T33" s="15">
        <f>IF((NETWORKDAYS(DATE(YEAR(C33),MONTH(C33),1),C33,Feriados!$A$2:$A$842))&gt;=5,0,IF(NETWORKDAYS(DATE(YEAR(C33),MONTH(C33),1),C33,Feriados!$A$2:$A$842)=1,S32,T32))</f>
        <v>0</v>
      </c>
      <c r="U33" s="26">
        <v>0</v>
      </c>
      <c r="V33" s="26">
        <v>0</v>
      </c>
      <c r="W33" s="15">
        <f t="shared" ref="W33" si="57">SUM(G33+J33+M33+P33)</f>
        <v>9588229.8064307291</v>
      </c>
      <c r="X33" s="50">
        <f>'Fluxo de Caixa_'!AD39</f>
        <v>0</v>
      </c>
      <c r="AB33" s="26">
        <v>3999.9110999999998</v>
      </c>
      <c r="AC33" s="26">
        <v>413347.30330000003</v>
      </c>
      <c r="AD33">
        <f>SUMIFS([1]Master!$J$2:$J$100,[1]Master!$A$2:$A$100,"="&amp;$I$12,[1]Master!$E$2:$E$100,"="&amp;C33,[1]Master!$J$2:$J$100,"&gt;"&amp;0)</f>
        <v>0</v>
      </c>
      <c r="AE33">
        <f ca="1">-SUMIF('[1]Fluxo de Movimentações'!$A$5:$F$10001,"="&amp;$C33,'[1]Fluxo de Movimentações'!$H$5:$H$10001)</f>
        <v>0</v>
      </c>
      <c r="AF33" s="26">
        <v>0</v>
      </c>
      <c r="AG33" s="26">
        <v>3457.52</v>
      </c>
      <c r="AH33" s="26">
        <v>4050.29</v>
      </c>
      <c r="AI33" s="26"/>
      <c r="AJ33" s="26"/>
      <c r="AK33" s="26"/>
      <c r="AL33" s="26"/>
      <c r="AM33" s="26">
        <v>0</v>
      </c>
      <c r="AN33">
        <v>0</v>
      </c>
    </row>
    <row r="34" spans="3:40">
      <c r="C34" s="1">
        <v>44907</v>
      </c>
      <c r="D34" s="39">
        <v>9886066.8800000008</v>
      </c>
      <c r="E34" s="32">
        <v>3.7143372000000001</v>
      </c>
      <c r="F34" s="88">
        <f t="shared" si="43"/>
        <v>2661596.6402617749</v>
      </c>
      <c r="G34" s="15">
        <f t="shared" ref="G34" si="58">H34*I34</f>
        <v>8019873.8813805524</v>
      </c>
      <c r="H34" s="32">
        <v>0.90886180000000005</v>
      </c>
      <c r="I34" s="15">
        <f>SUMIFS([1]Master!$K$2:$K$10000,[1]Master!$A$2:$A$10000,$I$12,[1]Master!$F$2:$F$10000,"&lt;="&amp;$C34)</f>
        <v>8824085.1154494025</v>
      </c>
      <c r="J34" s="15">
        <f t="shared" ref="J34" si="59">K34*L34</f>
        <v>83399.294483182908</v>
      </c>
      <c r="K34" s="43">
        <v>0.71773149999999997</v>
      </c>
      <c r="L34" s="40">
        <v>116198.45928900001</v>
      </c>
      <c r="M34" s="15">
        <f t="shared" si="3"/>
        <v>0</v>
      </c>
      <c r="N34" s="32">
        <v>0</v>
      </c>
      <c r="O34" s="40">
        <v>0</v>
      </c>
      <c r="P34" s="15">
        <f t="shared" si="4"/>
        <v>1360034.216865724</v>
      </c>
      <c r="Q34" s="32">
        <v>3.6047161000000001</v>
      </c>
      <c r="R34" s="40">
        <v>377293.01812859101</v>
      </c>
      <c r="S34" s="15">
        <f t="shared" ref="S34" si="60">(((1+0.3%)^(1/252))-1)*D33+SUM(S33)</f>
        <v>990.73528788507952</v>
      </c>
      <c r="T34" s="15">
        <f>IF((NETWORKDAYS(DATE(YEAR(C34),MONTH(C34),1),C34,Feriados!$A$2:$A$842))&gt;=5,0,IF(NETWORKDAYS(DATE(YEAR(C34),MONTH(C34),1),C34,Feriados!$A$2:$A$842)=1,S33,T33))</f>
        <v>0</v>
      </c>
      <c r="U34" s="26">
        <v>0</v>
      </c>
      <c r="V34" s="26">
        <v>0</v>
      </c>
      <c r="W34" s="15">
        <f t="shared" ref="W34" si="61">SUM(G34+J34+M34+P34)</f>
        <v>9463307.3927294593</v>
      </c>
      <c r="X34" s="50">
        <f>'Fluxo de Caixa_'!AD40</f>
        <v>1.6175363271031529E-9</v>
      </c>
      <c r="AB34" s="26">
        <v>3960.2579000000001</v>
      </c>
      <c r="AC34" s="26">
        <v>413559.30209999997</v>
      </c>
      <c r="AD34">
        <f>SUMIFS([1]Master!$J$2:$J$100,[1]Master!$A$2:$A$100,"="&amp;$I$12,[1]Master!$E$2:$E$100,"="&amp;C34,[1]Master!$J$2:$J$100,"&gt;"&amp;0)</f>
        <v>0</v>
      </c>
      <c r="AE34">
        <f ca="1">-SUMIF('[1]Fluxo de Movimentações'!$A$5:$F$10001,"="&amp;$C34,'[1]Fluxo de Movimentações'!$H$5:$H$10001)</f>
        <v>0</v>
      </c>
      <c r="AF34" s="26">
        <v>0</v>
      </c>
      <c r="AG34" s="26">
        <v>3457.52</v>
      </c>
      <c r="AH34" s="26">
        <v>2773.14</v>
      </c>
      <c r="AI34" s="26"/>
      <c r="AJ34" s="26"/>
      <c r="AK34" s="26"/>
      <c r="AL34" s="26"/>
      <c r="AM34" s="26">
        <v>0</v>
      </c>
      <c r="AN34">
        <v>0</v>
      </c>
    </row>
    <row r="35" spans="3:40">
      <c r="C35" s="1">
        <v>44908</v>
      </c>
      <c r="D35" s="39">
        <v>9679659.1242999993</v>
      </c>
      <c r="E35" s="32">
        <v>3.6367867999999999</v>
      </c>
      <c r="F35" s="88">
        <f t="shared" ref="F35" si="62">D35/TRUNC(E35,6)</f>
        <v>2661597.1146776299</v>
      </c>
      <c r="G35" s="15">
        <f t="shared" ref="G35" si="63">H35*I35</f>
        <v>7816008.3957327893</v>
      </c>
      <c r="H35" s="32">
        <v>0.8857585</v>
      </c>
      <c r="I35" s="15">
        <f>SUMIFS([1]Master!$K$2:$K$10000,[1]Master!$A$2:$A$10000,$I$12,[1]Master!$F$2:$F$10000,"&lt;="&amp;$C35)</f>
        <v>8824085.1154494025</v>
      </c>
      <c r="J35" s="15">
        <f t="shared" ref="J35" si="64">K35*L35</f>
        <v>80130.120550162464</v>
      </c>
      <c r="K35" s="43">
        <v>0.68959709999999996</v>
      </c>
      <c r="L35" s="40">
        <v>116198.45928900001</v>
      </c>
      <c r="M35" s="15">
        <f t="shared" si="3"/>
        <v>0</v>
      </c>
      <c r="N35" s="32">
        <v>0</v>
      </c>
      <c r="O35" s="40">
        <v>0</v>
      </c>
      <c r="P35" s="15">
        <f t="shared" si="4"/>
        <v>1360500.1757326724</v>
      </c>
      <c r="Q35" s="32">
        <v>3.6064970999999999</v>
      </c>
      <c r="R35" s="40">
        <v>377235.89899259101</v>
      </c>
      <c r="S35" s="15">
        <f t="shared" ref="S35" si="65">(((1+0.3%)^(1/252))-1)*D34+SUM(S34)</f>
        <v>1108.2510740884438</v>
      </c>
      <c r="T35" s="15">
        <f>IF((NETWORKDAYS(DATE(YEAR(C35),MONTH(C35),1),C35,Feriados!$A$2:$A$842))&gt;=5,0,IF(NETWORKDAYS(DATE(YEAR(C35),MONTH(C35),1),C35,Feriados!$A$2:$A$842)=1,S34,T34))</f>
        <v>0</v>
      </c>
      <c r="U35" s="26">
        <v>0</v>
      </c>
      <c r="V35" s="26">
        <v>0</v>
      </c>
      <c r="W35" s="15">
        <f t="shared" ref="W35:W37" si="66">SUM(G35+J35+M35+P35)</f>
        <v>9256638.6920156237</v>
      </c>
      <c r="X35" s="50">
        <f>'Fluxo de Caixa_'!AD41</f>
        <v>-1.6615164497579826E-6</v>
      </c>
      <c r="AB35" s="26">
        <v>4126.6046999999999</v>
      </c>
      <c r="AC35" s="26">
        <v>413771.40960000001</v>
      </c>
      <c r="AD35">
        <f>SUMIFS([1]Master!$J$2:$J$100,[1]Master!$A$2:$A$100,"="&amp;$I$12,[1]Master!$E$2:$E$100,"="&amp;C35,[1]Master!$J$2:$J$100,"&gt;"&amp;0)</f>
        <v>0</v>
      </c>
      <c r="AE35">
        <f ca="1">-SUMIF('[1]Fluxo de Movimentações'!$A$5:$F$10001,"="&amp;$C35,'[1]Fluxo de Movimentações'!$H$5:$H$10001)</f>
        <v>0</v>
      </c>
      <c r="AF35" s="26">
        <v>0</v>
      </c>
      <c r="AG35" s="26">
        <v>3457.52</v>
      </c>
      <c r="AH35" s="26">
        <v>2773.14</v>
      </c>
      <c r="AI35" s="26"/>
      <c r="AJ35" s="26"/>
      <c r="AK35" s="26"/>
      <c r="AL35" s="26"/>
      <c r="AM35" s="26">
        <v>0</v>
      </c>
      <c r="AN35">
        <v>0</v>
      </c>
    </row>
    <row r="36" spans="3:40">
      <c r="C36" s="1">
        <v>44909</v>
      </c>
      <c r="D36" s="39">
        <v>9728449.9609999992</v>
      </c>
      <c r="E36" s="32">
        <v>3.6551182999999998</v>
      </c>
      <c r="F36" s="88">
        <f t="shared" ref="F36" si="67">D36/TRUNC(E36,6)</f>
        <v>2661596.6874393658</v>
      </c>
      <c r="G36" s="15">
        <f t="shared" ref="G36" si="68">H36*I36</f>
        <v>7864857.6485234061</v>
      </c>
      <c r="H36" s="32">
        <v>0.89129440000000004</v>
      </c>
      <c r="I36" s="15">
        <f>SUMIFS([1]Master!$K$2:$K$10000,[1]Master!$A$2:$A$10000,$I$12,[1]Master!$F$2:$F$10000,"&lt;="&amp;$C36)</f>
        <v>8824085.1154494025</v>
      </c>
      <c r="J36" s="15">
        <f t="shared" ref="J36" si="69">K36*L36</f>
        <v>79345.00242028448</v>
      </c>
      <c r="K36" s="43">
        <v>0.68284040000000001</v>
      </c>
      <c r="L36" s="40">
        <v>116198.45928900001</v>
      </c>
      <c r="M36" s="15">
        <f t="shared" si="3"/>
        <v>0</v>
      </c>
      <c r="N36" s="32">
        <v>0</v>
      </c>
      <c r="O36" s="40">
        <v>0</v>
      </c>
      <c r="P36" s="15">
        <f t="shared" si="4"/>
        <v>1361174.6679109503</v>
      </c>
      <c r="Q36" s="32">
        <v>3.6082893</v>
      </c>
      <c r="R36" s="40">
        <v>377235.45834059099</v>
      </c>
      <c r="S36" s="15">
        <f t="shared" ref="S36" si="70">(((1+0.3%)^(1/252))-1)*D35+SUM(S35)</f>
        <v>1223.3132890198365</v>
      </c>
      <c r="T36" s="15">
        <f>IF((NETWORKDAYS(DATE(YEAR(C36),MONTH(C36),1),C36,Feriados!$A$2:$A$842))&gt;=5,0,IF(NETWORKDAYS(DATE(YEAR(C36),MONTH(C36),1),C36,Feriados!$A$2:$A$842)=1,S35,T35))</f>
        <v>0</v>
      </c>
      <c r="U36" s="26">
        <v>0</v>
      </c>
      <c r="V36" s="26">
        <v>0</v>
      </c>
      <c r="W36" s="15">
        <f t="shared" si="66"/>
        <v>9305377.3188546412</v>
      </c>
      <c r="X36" s="50">
        <f>'Fluxo de Caixa_'!AD42</f>
        <v>-1.0330666344593453E-7</v>
      </c>
      <c r="AB36" s="26">
        <v>4079.585</v>
      </c>
      <c r="AC36" s="26">
        <v>413985.696</v>
      </c>
      <c r="AD36">
        <f>SUMIFS([1]Master!$J$2:$J$100,[1]Master!$A$2:$A$100,"="&amp;$I$12,[1]Master!$E$2:$E$100,"="&amp;C36,[1]Master!$J$2:$J$100,"&gt;"&amp;0)</f>
        <v>0</v>
      </c>
      <c r="AE36">
        <f ca="1">-SUMIF('[1]Fluxo de Movimentações'!$A$5:$F$10001,"="&amp;$C36,'[1]Fluxo de Movimentações'!$H$5:$H$10001)</f>
        <v>0</v>
      </c>
      <c r="AF36" s="26">
        <v>0</v>
      </c>
      <c r="AG36" s="26">
        <v>3457.52</v>
      </c>
      <c r="AH36" s="26">
        <v>2773.14</v>
      </c>
      <c r="AI36" s="26"/>
      <c r="AJ36" s="26"/>
      <c r="AK36" s="26"/>
      <c r="AL36" s="26"/>
      <c r="AM36" s="26">
        <v>0</v>
      </c>
      <c r="AN36">
        <v>0</v>
      </c>
    </row>
    <row r="37" spans="3:40">
      <c r="C37" s="1">
        <v>44910</v>
      </c>
      <c r="D37" s="39">
        <v>9745026.9748</v>
      </c>
      <c r="E37" s="32">
        <v>3.6613465000000001</v>
      </c>
      <c r="F37" s="88">
        <f t="shared" ref="F37" si="71">D37/TRUNC(E37,6)</f>
        <v>2661596.8484814055</v>
      </c>
      <c r="G37" s="15">
        <f t="shared" ref="G37" si="72">H37*I37</f>
        <v>7878489.0952097522</v>
      </c>
      <c r="H37" s="32">
        <v>0.89283920000000006</v>
      </c>
      <c r="I37" s="15">
        <f>SUMIFS([1]Master!$K$2:$K$10000,[1]Master!$A$2:$A$10000,$I$12,[1]Master!$F$2:$F$10000,"&lt;="&amp;$C37)</f>
        <v>8824085.1154494025</v>
      </c>
      <c r="J37" s="15">
        <f t="shared" ref="J37" si="73">K37*L37</f>
        <v>81567.042317576168</v>
      </c>
      <c r="K37" s="43">
        <v>0.70196320000000001</v>
      </c>
      <c r="L37" s="40">
        <v>116198.45928900001</v>
      </c>
      <c r="M37" s="15">
        <f t="shared" si="3"/>
        <v>0</v>
      </c>
      <c r="N37" s="32">
        <v>0</v>
      </c>
      <c r="O37" s="40">
        <v>0</v>
      </c>
      <c r="P37" s="15">
        <f t="shared" si="4"/>
        <v>1361848.3727160005</v>
      </c>
      <c r="Q37" s="32">
        <v>3.6100751999999998</v>
      </c>
      <c r="R37" s="40">
        <v>377235.45834059099</v>
      </c>
      <c r="S37" s="15">
        <f t="shared" ref="S37" si="74">(((1+0.3%)^(1/252))-1)*D36+SUM(S36)</f>
        <v>1338.9554811660223</v>
      </c>
      <c r="T37" s="15">
        <f>IF((NETWORKDAYS(DATE(YEAR(C37),MONTH(C37),1),C37,Feriados!$A$2:$A$842))&gt;=5,0,IF(NETWORKDAYS(DATE(YEAR(C37),MONTH(C37),1),C37,Feriados!$A$2:$A$842)=1,S36,T36))</f>
        <v>0</v>
      </c>
      <c r="U37" s="26">
        <v>0</v>
      </c>
      <c r="V37" s="26">
        <v>0</v>
      </c>
      <c r="W37" s="15">
        <f t="shared" si="66"/>
        <v>9321904.5102433283</v>
      </c>
      <c r="X37" s="50">
        <f>'Fluxo de Caixa_'!AD43</f>
        <v>0</v>
      </c>
      <c r="AB37" s="26">
        <v>4031.0657000000001</v>
      </c>
      <c r="AC37" s="26">
        <v>414199.67910000001</v>
      </c>
      <c r="AD37">
        <f>SUMIFS([1]Master!$J$2:$J$100,[1]Master!$A$2:$A$100,"="&amp;$I$12,[1]Master!$E$2:$E$100,"="&amp;C37,[1]Master!$J$2:$J$100,"&gt;"&amp;0)</f>
        <v>0</v>
      </c>
      <c r="AE37">
        <f ca="1">-SUMIF('[1]Fluxo de Movimentações'!$A$5:$F$10001,"="&amp;$C37,'[1]Fluxo de Movimentações'!$H$5:$H$10001)</f>
        <v>0</v>
      </c>
      <c r="AF37" s="26">
        <v>0</v>
      </c>
      <c r="AG37" s="26">
        <v>3457.52</v>
      </c>
      <c r="AH37" s="26">
        <v>2773.14</v>
      </c>
      <c r="AI37" s="26"/>
      <c r="AJ37" s="26"/>
      <c r="AK37" s="26"/>
      <c r="AL37" s="26"/>
      <c r="AM37" s="26">
        <v>0</v>
      </c>
      <c r="AN37">
        <v>0</v>
      </c>
    </row>
    <row r="38" spans="3:40">
      <c r="C38" s="1">
        <v>44911</v>
      </c>
      <c r="D38" s="39">
        <v>9124622.1385999992</v>
      </c>
      <c r="E38" s="32">
        <v>3.6110433999999998</v>
      </c>
      <c r="F38" s="88">
        <f t="shared" ref="F38" si="75">D38/TRUNC(E38,6)</f>
        <v>2526866.0989636509</v>
      </c>
      <c r="G38" s="15">
        <f t="shared" ref="G38" si="76">H38*I38</f>
        <v>7742966.1487811459</v>
      </c>
      <c r="H38" s="32">
        <v>0.87748090000000001</v>
      </c>
      <c r="I38" s="15">
        <f>SUMIFS([1]Master!$K$2:$K$10000,[1]Master!$A$2:$A$10000,$I$12,[1]Master!$F$2:$F$10000,"&lt;="&amp;$C38)</f>
        <v>8824085.1154494025</v>
      </c>
      <c r="J38" s="15">
        <f t="shared" ref="J38" si="77">K38*L38</f>
        <v>82481.617150948019</v>
      </c>
      <c r="K38" s="43">
        <v>0.70983399999999996</v>
      </c>
      <c r="L38" s="40">
        <v>116198.45928900001</v>
      </c>
      <c r="M38" s="15">
        <f t="shared" si="3"/>
        <v>0</v>
      </c>
      <c r="N38" s="32">
        <v>0</v>
      </c>
      <c r="O38" s="40">
        <v>0</v>
      </c>
      <c r="P38" s="15">
        <f t="shared" si="4"/>
        <v>919522.90743981185</v>
      </c>
      <c r="Q38" s="32">
        <v>3.6118633</v>
      </c>
      <c r="R38" s="40">
        <v>254584.083356591</v>
      </c>
      <c r="S38" s="15">
        <f t="shared" ref="S38" si="78">(((1+0.3%)^(1/252))-1)*D37+SUM(S37)</f>
        <v>1454.7947244583572</v>
      </c>
      <c r="T38" s="15">
        <f>IF((NETWORKDAYS(DATE(YEAR(C38),MONTH(C38),1),C38,Feriados!$A$2:$A$842))&gt;=5,0,IF(NETWORKDAYS(DATE(YEAR(C38),MONTH(C38),1),C38,Feriados!$A$2:$A$842)=1,S37,T37))</f>
        <v>0</v>
      </c>
      <c r="U38" s="26">
        <v>0</v>
      </c>
      <c r="V38" s="26">
        <v>0</v>
      </c>
      <c r="W38" s="15">
        <f t="shared" ref="W38" si="79">SUM(G38+J38+M38+P38)</f>
        <v>8744970.6733719055</v>
      </c>
      <c r="X38" s="50">
        <f>'Fluxo de Caixa_'!AD44</f>
        <v>-7.5233401730656624E-7</v>
      </c>
      <c r="AB38" s="26">
        <v>3982.5464000000002</v>
      </c>
      <c r="AC38" s="26">
        <v>414411.28610000003</v>
      </c>
      <c r="AD38">
        <f>SUMIFS([1]Master!$J$2:$J$100,[1]Master!$A$2:$A$100,"="&amp;$I$12,[1]Master!$E$2:$E$100,"="&amp;C38,[1]Master!$J$2:$J$100,"&gt;"&amp;0)</f>
        <v>0</v>
      </c>
      <c r="AE38">
        <f ca="1">-SUMIF('[1]Fluxo de Movimentações'!$A$5:$F$10001,"="&amp;$C38,'[1]Fluxo de Movimentações'!$H$5:$H$10001)</f>
        <v>0</v>
      </c>
      <c r="AF38" s="26">
        <v>0</v>
      </c>
      <c r="AG38" s="26">
        <v>3457.52</v>
      </c>
      <c r="AH38" s="26">
        <v>2773.14</v>
      </c>
      <c r="AI38" s="26">
        <v>-43518.2546</v>
      </c>
      <c r="AJ38" s="26"/>
      <c r="AK38" s="26"/>
      <c r="AL38" s="26"/>
      <c r="AM38" s="26">
        <v>0</v>
      </c>
      <c r="AN38">
        <v>0</v>
      </c>
    </row>
    <row r="39" spans="3:40">
      <c r="C39" s="1">
        <v>44914</v>
      </c>
      <c r="D39" s="39">
        <v>8895832.9988000002</v>
      </c>
      <c r="E39" s="32">
        <v>3.7133924999999999</v>
      </c>
      <c r="F39" s="88">
        <f t="shared" ref="F39" si="80">D39/TRUNC(E39,6)</f>
        <v>2395608.3814474745</v>
      </c>
      <c r="G39" s="15">
        <f t="shared" ref="G39" si="81">H39*I39</f>
        <v>7993096.3126892094</v>
      </c>
      <c r="H39" s="32">
        <v>0.90582720000000005</v>
      </c>
      <c r="I39" s="15">
        <f>SUMIFS([1]Master!$K$2:$K$10000,[1]Master!$A$2:$A$10000,$I$12,[1]Master!$F$2:$F$10000,"&lt;="&amp;$C39)</f>
        <v>8824085.1154494025</v>
      </c>
      <c r="J39" s="15">
        <f t="shared" ref="J39" si="82">K39*L39</f>
        <v>90455.887477652737</v>
      </c>
      <c r="K39" s="43">
        <v>0.77846029999999999</v>
      </c>
      <c r="L39" s="40">
        <v>116198.45928900001</v>
      </c>
      <c r="M39" s="15">
        <f t="shared" si="3"/>
        <v>0</v>
      </c>
      <c r="N39" s="32">
        <v>0</v>
      </c>
      <c r="O39" s="40">
        <v>0</v>
      </c>
      <c r="P39" s="15">
        <f t="shared" si="4"/>
        <v>433468.37234808755</v>
      </c>
      <c r="Q39" s="32">
        <v>3.6136848000000001</v>
      </c>
      <c r="R39" s="40">
        <v>119951.904036591</v>
      </c>
      <c r="S39" s="15">
        <f t="shared" ref="S39" si="83">(((1+0.3%)^(1/252))-1)*D38+SUM(S38)</f>
        <v>1563.2592086098343</v>
      </c>
      <c r="T39" s="15">
        <f>IF((NETWORKDAYS(DATE(YEAR(C39),MONTH(C39),1),C39,Feriados!$A$2:$A$842))&gt;=5,0,IF(NETWORKDAYS(DATE(YEAR(C39),MONTH(C39),1),C39,Feriados!$A$2:$A$842)=1,S38,T38))</f>
        <v>0</v>
      </c>
      <c r="U39" s="26">
        <v>0</v>
      </c>
      <c r="V39" s="26">
        <v>0</v>
      </c>
      <c r="W39" s="15">
        <f t="shared" ref="W39" si="84">SUM(G39+J39+M39+P39)</f>
        <v>8517020.5725149494</v>
      </c>
      <c r="X39" s="50">
        <f>'Fluxo de Caixa_'!AD45</f>
        <v>-4.4167973101139069E-7</v>
      </c>
      <c r="AB39" s="26">
        <v>3934.0277000000001</v>
      </c>
      <c r="AC39" s="26">
        <v>414622.58669999999</v>
      </c>
      <c r="AD39">
        <f>SUMIFS([1]Master!$J$2:$J$100,[1]Master!$A$2:$A$100,"="&amp;$I$12,[1]Master!$E$2:$E$100,"="&amp;C39,[1]Master!$J$2:$J$100,"&gt;"&amp;0)</f>
        <v>0</v>
      </c>
      <c r="AE39">
        <f ca="1">-SUMIF('[1]Fluxo de Movimentações'!$A$5:$F$10001,"="&amp;$C39,'[1]Fluxo de Movimentações'!$H$5:$H$10001)</f>
        <v>0</v>
      </c>
      <c r="AF39" s="26">
        <v>0</v>
      </c>
      <c r="AG39" s="26">
        <v>3457.52</v>
      </c>
      <c r="AH39" s="26">
        <v>2773.14</v>
      </c>
      <c r="AI39" s="26">
        <v>-44411.622000000003</v>
      </c>
      <c r="AJ39" s="26"/>
      <c r="AK39" s="26"/>
      <c r="AL39" s="26"/>
      <c r="AM39" s="26">
        <v>0</v>
      </c>
      <c r="AN39">
        <v>0</v>
      </c>
    </row>
    <row r="40" spans="3:40">
      <c r="C40" s="1">
        <v>44915</v>
      </c>
      <c r="D40" s="39">
        <v>8655559.4113999996</v>
      </c>
      <c r="E40" s="32">
        <v>3.8039901999999999</v>
      </c>
      <c r="F40" s="88">
        <f t="shared" ref="F40" si="85">D40/TRUNC(E40,6)</f>
        <v>2275389.6333586574</v>
      </c>
      <c r="G40" s="15">
        <f t="shared" ref="G40" si="86">H40*I40</f>
        <v>8210847.3786746422</v>
      </c>
      <c r="H40" s="32">
        <v>0.93050409999999995</v>
      </c>
      <c r="I40" s="15">
        <f>SUMIFS([1]Master!$K$2:$K$10000,[1]Master!$A$2:$A$10000,$I$12,[1]Master!$F$2:$F$10000,"&lt;="&amp;$C40)</f>
        <v>8824085.1154494025</v>
      </c>
      <c r="J40" s="15">
        <f t="shared" ref="J40" si="87">K40*L40</f>
        <v>89540.034461228701</v>
      </c>
      <c r="K40" s="43">
        <v>0.77057850000000006</v>
      </c>
      <c r="L40" s="40">
        <v>116198.45928900001</v>
      </c>
      <c r="M40" s="15">
        <f t="shared" si="3"/>
        <v>0</v>
      </c>
      <c r="N40" s="32">
        <v>0</v>
      </c>
      <c r="O40" s="40">
        <v>0</v>
      </c>
      <c r="P40" s="15">
        <f t="shared" si="4"/>
        <v>389034.80880368216</v>
      </c>
      <c r="Q40" s="32">
        <v>3.6154633999999999</v>
      </c>
      <c r="R40" s="40">
        <v>107603.02781759101</v>
      </c>
      <c r="S40" s="15">
        <f t="shared" ref="S40" si="88">(((1+0.3%)^(1/252))-1)*D39+SUM(S39)</f>
        <v>1669.0040737293198</v>
      </c>
      <c r="T40" s="15">
        <f>IF((NETWORKDAYS(DATE(YEAR(C40),MONTH(C40),1),C40,Feriados!$A$2:$A$842))&gt;=5,0,IF(NETWORKDAYS(DATE(YEAR(C40),MONTH(C40),1),C40,Feriados!$A$2:$A$842)=1,S39,T39))</f>
        <v>0</v>
      </c>
      <c r="U40" s="26">
        <v>0</v>
      </c>
      <c r="V40" s="26">
        <v>0</v>
      </c>
      <c r="W40" s="15">
        <f t="shared" ref="W40" si="89">SUM(G40+J40+M40+P40)</f>
        <v>8689422.2219395526</v>
      </c>
      <c r="X40" s="50">
        <f>'Fluxo de Caixa_'!AD46</f>
        <v>9.2489062808454037E-7</v>
      </c>
      <c r="AB40" s="26">
        <v>3885.6806000000001</v>
      </c>
      <c r="AC40" s="26">
        <v>0</v>
      </c>
      <c r="AD40">
        <f>SUMIFS([1]Master!$J$2:$J$100,[1]Master!$A$2:$A$100,"="&amp;$I$12,[1]Master!$E$2:$E$100,"="&amp;C40,[1]Master!$J$2:$J$100,"&gt;"&amp;0)</f>
        <v>0</v>
      </c>
      <c r="AE40">
        <f ca="1">-SUMIF('[1]Fluxo de Movimentações'!$A$5:$F$10001,"="&amp;$C40,'[1]Fluxo de Movimentações'!$H$5:$H$10001)</f>
        <v>0</v>
      </c>
      <c r="AF40" s="26">
        <v>0</v>
      </c>
      <c r="AG40" s="26">
        <v>3457.52</v>
      </c>
      <c r="AH40" s="26">
        <v>2773.14</v>
      </c>
      <c r="AI40" s="26">
        <v>-42310.183599999997</v>
      </c>
      <c r="AJ40" s="26"/>
      <c r="AK40" s="26"/>
      <c r="AL40" s="26"/>
      <c r="AM40" s="26">
        <v>0</v>
      </c>
      <c r="AN40">
        <v>0</v>
      </c>
    </row>
    <row r="41" spans="3:40">
      <c r="C41" s="1">
        <v>44916</v>
      </c>
      <c r="D41" s="39">
        <v>8725308.4934999999</v>
      </c>
      <c r="E41" s="32">
        <v>3.8346439000000001</v>
      </c>
      <c r="F41" s="88">
        <f t="shared" ref="F41" si="90">D41/TRUNC(E41,6)</f>
        <v>2275390.0411329037</v>
      </c>
      <c r="G41" s="15">
        <f t="shared" ref="G41" si="91">H41*I41</f>
        <v>8281867.1453178255</v>
      </c>
      <c r="H41" s="32">
        <v>0.93855250000000001</v>
      </c>
      <c r="I41" s="15">
        <f>SUMIFS([1]Master!$K$2:$K$10000,[1]Master!$A$2:$A$10000,$I$12,[1]Master!$F$2:$F$10000,"&lt;="&amp;$C41)</f>
        <v>8824085.1154494025</v>
      </c>
      <c r="J41" s="15">
        <f t="shared" ref="J41" si="92">K41*L41</f>
        <v>88231.988405012409</v>
      </c>
      <c r="K41" s="43">
        <v>0.75932149999999998</v>
      </c>
      <c r="L41" s="40">
        <v>116198.45928900001</v>
      </c>
      <c r="M41" s="15">
        <f t="shared" si="3"/>
        <v>0</v>
      </c>
      <c r="N41" s="32">
        <v>0</v>
      </c>
      <c r="O41" s="40">
        <v>0</v>
      </c>
      <c r="P41" s="15">
        <f t="shared" si="4"/>
        <v>346913.21387165796</v>
      </c>
      <c r="Q41" s="32">
        <v>3.617216</v>
      </c>
      <c r="R41" s="40">
        <v>95906.137170591406</v>
      </c>
      <c r="S41" s="15">
        <f t="shared" ref="S41" si="93">(((1+0.3%)^(1/252))-1)*D40+SUM(S40)</f>
        <v>1771.8928040613362</v>
      </c>
      <c r="T41" s="15">
        <f>IF((NETWORKDAYS(DATE(YEAR(C41),MONTH(C41),1),C41,Feriados!$A$2:$A$842))&gt;=5,0,IF(NETWORKDAYS(DATE(YEAR(C41),MONTH(C41),1),C41,Feriados!$A$2:$A$842)=1,S40,T40))</f>
        <v>0</v>
      </c>
      <c r="U41" s="26">
        <v>0</v>
      </c>
      <c r="V41" s="26">
        <v>0</v>
      </c>
      <c r="W41" s="15">
        <f t="shared" ref="W41" si="94">SUM(G41+J41+M41+P41)</f>
        <v>8717012.3475944959</v>
      </c>
      <c r="X41" s="50">
        <f>'Fluxo de Caixa_'!AD47</f>
        <v>-1.422697096131742E-6</v>
      </c>
      <c r="AB41" s="26">
        <v>3837.3335000000002</v>
      </c>
      <c r="AC41" s="26">
        <v>0</v>
      </c>
      <c r="AD41">
        <f>SUMIFS([1]Master!$J$2:$J$100,[1]Master!$A$2:$A$100,"="&amp;$I$12,[1]Master!$E$2:$E$100,"="&amp;C41,[1]Master!$J$2:$J$100,"&gt;"&amp;0)</f>
        <v>0</v>
      </c>
      <c r="AE41">
        <f ca="1">-SUMIF('[1]Fluxo de Movimentações'!$A$5:$F$10001,"="&amp;$C41,'[1]Fluxo de Movimentações'!$H$5:$H$10001)</f>
        <v>0</v>
      </c>
      <c r="AF41" s="26">
        <v>0</v>
      </c>
      <c r="AG41" s="26">
        <v>3457.52</v>
      </c>
      <c r="AH41" s="26">
        <v>2773.14</v>
      </c>
      <c r="AI41" s="26">
        <v>0</v>
      </c>
      <c r="AJ41" s="26"/>
      <c r="AK41" s="26"/>
      <c r="AL41" s="26"/>
      <c r="AM41" s="26">
        <v>0</v>
      </c>
      <c r="AN41">
        <v>0</v>
      </c>
    </row>
    <row r="42" spans="3:40">
      <c r="C42" s="1">
        <v>44917</v>
      </c>
      <c r="D42" s="39">
        <v>8400244.8195999991</v>
      </c>
      <c r="E42" s="32">
        <v>3.8347218000000001</v>
      </c>
      <c r="F42" s="88">
        <f t="shared" ref="F42" si="95">D42/TRUNC(E42,6)</f>
        <v>2190575.2255770364</v>
      </c>
      <c r="G42" s="15">
        <f t="shared" ref="G42" si="96">H42*I42</f>
        <v>8282280.9949097401</v>
      </c>
      <c r="H42" s="32">
        <v>0.93859939999999997</v>
      </c>
      <c r="I42" s="15">
        <f>SUMIFS([1]Master!$K$2:$K$10000,[1]Master!$A$2:$A$10000,$I$12,[1]Master!$F$2:$F$10000,"&lt;="&amp;$C42)</f>
        <v>8824085.1154494025</v>
      </c>
      <c r="J42" s="15">
        <f t="shared" ref="J42" si="97">K42*L42</f>
        <v>87970.158416696504</v>
      </c>
      <c r="K42" s="43">
        <v>0.75706819999999997</v>
      </c>
      <c r="L42" s="40">
        <v>116198.45928900001</v>
      </c>
      <c r="M42" s="15">
        <f t="shared" si="3"/>
        <v>0</v>
      </c>
      <c r="N42" s="32">
        <v>0</v>
      </c>
      <c r="O42" s="40">
        <v>0</v>
      </c>
      <c r="P42" s="15">
        <f t="shared" si="4"/>
        <v>52090.611452657482</v>
      </c>
      <c r="Q42" s="32">
        <v>3.6190657000000002</v>
      </c>
      <c r="R42" s="40">
        <v>14393.3865175914</v>
      </c>
      <c r="S42" s="15">
        <f t="shared" ref="S42" si="98">(((1+0.3%)^(1/252))-1)*D41+SUM(S41)</f>
        <v>1875.6106425027187</v>
      </c>
      <c r="T42" s="15">
        <f>IF((NETWORKDAYS(DATE(YEAR(C42),MONTH(C42),1),C42,Feriados!$A$2:$A$842))&gt;=5,0,IF(NETWORKDAYS(DATE(YEAR(C42),MONTH(C42),1),C42,Feriados!$A$2:$A$842)=1,S41,T41))</f>
        <v>0</v>
      </c>
      <c r="U42" s="26">
        <v>0</v>
      </c>
      <c r="V42" s="26">
        <v>0</v>
      </c>
      <c r="W42" s="15">
        <f t="shared" ref="W42" si="99">SUM(G42+J42+M42+P42)</f>
        <v>8422341.7647790946</v>
      </c>
      <c r="X42" s="50">
        <f>'Fluxo de Caixa_'!AD48</f>
        <v>9.2497793957591057E-7</v>
      </c>
      <c r="AB42" s="26">
        <v>3788.9863999999998</v>
      </c>
      <c r="AC42" s="26">
        <v>0</v>
      </c>
      <c r="AD42">
        <f>SUMIFS([1]Master!$J$2:$J$100,[1]Master!$A$2:$A$100,"="&amp;$I$12,[1]Master!$E$2:$E$100,"="&amp;C42,[1]Master!$J$2:$J$100,"&gt;"&amp;0)</f>
        <v>0</v>
      </c>
      <c r="AE42">
        <f ca="1">-SUMIF('[1]Fluxo de Movimentações'!$A$5:$F$10001,"="&amp;$C42,'[1]Fluxo de Movimentações'!$H$5:$H$10001)</f>
        <v>0</v>
      </c>
      <c r="AF42" s="26">
        <v>0</v>
      </c>
      <c r="AG42" s="26">
        <v>3457.52</v>
      </c>
      <c r="AH42" s="26">
        <v>2773.14</v>
      </c>
      <c r="AI42" s="26">
        <v>-30241.012200000001</v>
      </c>
      <c r="AJ42" s="26"/>
      <c r="AK42" s="26"/>
      <c r="AL42" s="26"/>
      <c r="AM42" s="26">
        <v>0</v>
      </c>
      <c r="AN42">
        <v>0</v>
      </c>
    </row>
    <row r="43" spans="3:40">
      <c r="C43" s="1">
        <v>44918</v>
      </c>
      <c r="D43" s="39">
        <v>8696627.8292999994</v>
      </c>
      <c r="E43" s="32">
        <v>3.970021</v>
      </c>
      <c r="F43" s="88">
        <f t="shared" ref="F43" si="100">D43/TRUNC(E43,6)</f>
        <v>2190574.7675642017</v>
      </c>
      <c r="G43" s="15">
        <f t="shared" ref="G43" si="101">H43*I43</f>
        <v>8576828.0736549292</v>
      </c>
      <c r="H43" s="32">
        <v>0.97197929999999999</v>
      </c>
      <c r="I43" s="15">
        <f>SUMIFS([1]Master!$K$2:$K$10000,[1]Master!$A$2:$A$10000,$I$12,[1]Master!$F$2:$F$10000,"&lt;="&amp;$C43)</f>
        <v>8824085.1154494025</v>
      </c>
      <c r="J43" s="15">
        <f t="shared" ref="J43" si="102">K43*L43</f>
        <v>89929.020423544542</v>
      </c>
      <c r="K43" s="43">
        <v>0.77392609999999995</v>
      </c>
      <c r="L43" s="40">
        <v>116198.45928900001</v>
      </c>
      <c r="M43" s="15">
        <f t="shared" si="3"/>
        <v>0</v>
      </c>
      <c r="N43" s="32">
        <v>0</v>
      </c>
      <c r="O43" s="40">
        <v>0</v>
      </c>
      <c r="P43" s="15">
        <f t="shared" si="4"/>
        <v>21874.841846412342</v>
      </c>
      <c r="Q43" s="32">
        <v>3.6208206999999999</v>
      </c>
      <c r="R43" s="40">
        <v>6041.40432759135</v>
      </c>
      <c r="S43" s="15">
        <f t="shared" ref="S43" si="103">(((1+0.3%)^(1/252))-1)*D42+SUM(S42)</f>
        <v>1975.4644454618215</v>
      </c>
      <c r="T43" s="15">
        <f>IF((NETWORKDAYS(DATE(YEAR(C43),MONTH(C43),1),C43,Feriados!$A$2:$A$842))&gt;=5,0,IF(NETWORKDAYS(DATE(YEAR(C43),MONTH(C43),1),C43,Feriados!$A$2:$A$842)=1,S42,T42))</f>
        <v>0</v>
      </c>
      <c r="U43" s="26">
        <v>0</v>
      </c>
      <c r="V43" s="26">
        <v>0</v>
      </c>
      <c r="W43" s="15">
        <f t="shared" ref="W43" si="104">SUM(G43+J43+M43+P43)</f>
        <v>8688631.9359248858</v>
      </c>
      <c r="X43" s="50">
        <f>'Fluxo de Caixa_'!AD49</f>
        <v>-4.1648672777228057E-7</v>
      </c>
      <c r="AB43" s="26">
        <v>3740.6392999999998</v>
      </c>
      <c r="AC43" s="26">
        <v>0</v>
      </c>
      <c r="AD43">
        <f>SUMIFS([1]Master!$J$2:$J$100,[1]Master!$A$2:$A$100,"="&amp;$I$12,[1]Master!$E$2:$E$100,"="&amp;C43,[1]Master!$J$2:$J$100,"&gt;"&amp;0)</f>
        <v>0</v>
      </c>
      <c r="AE43">
        <f ca="1">-SUMIF('[1]Fluxo de Movimentações'!$A$5:$F$10001,"="&amp;$C43,'[1]Fluxo de Movimentações'!$H$5:$H$10001)</f>
        <v>0</v>
      </c>
      <c r="AF43" s="26">
        <v>0</v>
      </c>
      <c r="AG43" s="26">
        <v>3457.52</v>
      </c>
      <c r="AH43" s="26">
        <v>2773.14</v>
      </c>
      <c r="AI43" s="26">
        <v>0</v>
      </c>
      <c r="AJ43" s="26"/>
      <c r="AK43" s="26"/>
      <c r="AL43" s="26"/>
      <c r="AM43" s="26">
        <v>0</v>
      </c>
      <c r="AN43">
        <v>0</v>
      </c>
    </row>
    <row r="44" spans="3:40">
      <c r="C44" s="1">
        <v>44921</v>
      </c>
      <c r="D44" s="39">
        <v>8560058.2222000007</v>
      </c>
      <c r="E44" s="32">
        <v>3.9076768</v>
      </c>
      <c r="F44" s="88">
        <f t="shared" ref="F44" si="105">D44/TRUNC(E44,6)</f>
        <v>2190575.2222548649</v>
      </c>
      <c r="G44" s="15">
        <f t="shared" ref="G44" si="106">H44*I44</f>
        <v>8442228.1265293993</v>
      </c>
      <c r="H44" s="32">
        <v>0.95672559999999995</v>
      </c>
      <c r="I44" s="15">
        <f>SUMIFS([1]Master!$K$2:$K$10000,[1]Master!$A$2:$A$10000,$I$12,[1]Master!$F$2:$F$10000,"&lt;="&amp;$C44)</f>
        <v>8824085.1154494025</v>
      </c>
      <c r="J44" s="15">
        <f t="shared" ref="J44" si="107">K44*L44</f>
        <v>88099.661599574101</v>
      </c>
      <c r="K44" s="43">
        <v>0.75818269999999999</v>
      </c>
      <c r="L44" s="40">
        <v>116198.45928900001</v>
      </c>
      <c r="M44" s="15">
        <f t="shared" si="3"/>
        <v>0</v>
      </c>
      <c r="N44" s="32">
        <v>0</v>
      </c>
      <c r="O44" s="40">
        <v>0</v>
      </c>
      <c r="P44" s="15">
        <f t="shared" si="4"/>
        <v>21907.397079217506</v>
      </c>
      <c r="Q44" s="32">
        <v>3.6227102000000002</v>
      </c>
      <c r="R44" s="40">
        <v>6047.2397375913497</v>
      </c>
      <c r="S44" s="15">
        <f t="shared" ref="S44" si="108">(((1+0.3%)^(1/252))-1)*D43+SUM(S43)</f>
        <v>2078.8413565310543</v>
      </c>
      <c r="T44" s="15">
        <f>IF((NETWORKDAYS(DATE(YEAR(C44),MONTH(C44),1),C44,Feriados!$A$2:$A$842))&gt;=5,0,IF(NETWORKDAYS(DATE(YEAR(C44),MONTH(C44),1),C44,Feriados!$A$2:$A$842)=1,S43,T43))</f>
        <v>0</v>
      </c>
      <c r="U44" s="26">
        <v>0</v>
      </c>
      <c r="V44" s="26">
        <v>0</v>
      </c>
      <c r="W44" s="15">
        <f t="shared" ref="W44" si="109">SUM(G44+J44+M44+P44)</f>
        <v>8552235.1852081921</v>
      </c>
      <c r="X44" s="50">
        <f>'Fluxo de Caixa_'!AD50</f>
        <v>6.7181914786829111E-7</v>
      </c>
      <c r="AB44" s="26">
        <v>3692.2921999999999</v>
      </c>
      <c r="AC44" s="26">
        <v>0</v>
      </c>
      <c r="AD44">
        <f>SUMIFS([1]Master!$J$2:$J$100,[1]Master!$A$2:$A$100,"="&amp;$I$12,[1]Master!$E$2:$E$100,"="&amp;C44,[1]Master!$J$2:$J$100,"&gt;"&amp;0)</f>
        <v>0</v>
      </c>
      <c r="AE44">
        <f ca="1">-SUMIF('[1]Fluxo de Movimentações'!$A$5:$F$10001,"="&amp;$C44,'[1]Fluxo de Movimentações'!$H$5:$H$10001)</f>
        <v>0</v>
      </c>
      <c r="AF44" s="26">
        <v>0</v>
      </c>
      <c r="AG44" s="26">
        <v>3457.52</v>
      </c>
      <c r="AH44" s="26">
        <v>2752</v>
      </c>
      <c r="AI44" s="26">
        <v>0</v>
      </c>
      <c r="AJ44" s="26"/>
      <c r="AK44" s="26"/>
      <c r="AL44" s="26"/>
      <c r="AM44" s="26">
        <v>0</v>
      </c>
      <c r="AN44">
        <v>0</v>
      </c>
    </row>
    <row r="45" spans="3:40">
      <c r="C45" s="1">
        <v>44922</v>
      </c>
      <c r="D45" s="39">
        <v>8417994.8850999996</v>
      </c>
      <c r="E45" s="32">
        <v>3.8428247999999998</v>
      </c>
      <c r="F45" s="88">
        <f t="shared" ref="F45" si="110">D45/TRUNC(E45,6)</f>
        <v>2190575.1824959978</v>
      </c>
      <c r="G45" s="15">
        <f t="shared" ref="G45" si="111">H45*I45</f>
        <v>8304485.0402857456</v>
      </c>
      <c r="H45" s="32">
        <v>0.9411157</v>
      </c>
      <c r="I45" s="15">
        <f>SUMIFS([1]Master!$K$2:$K$10000,[1]Master!$A$2:$A$10000,$I$12,[1]Master!$F$2:$F$10000,"&lt;="&amp;$C45)</f>
        <v>8824085.1154494025</v>
      </c>
      <c r="J45" s="15">
        <f t="shared" ref="J45" si="112">K45*L45</f>
        <v>83918.724835896588</v>
      </c>
      <c r="K45" s="43">
        <v>0.72220169999999995</v>
      </c>
      <c r="L45" s="40">
        <v>116198.45928900001</v>
      </c>
      <c r="M45" s="15">
        <f t="shared" si="3"/>
        <v>0</v>
      </c>
      <c r="N45" s="32">
        <v>0</v>
      </c>
      <c r="O45" s="40">
        <v>0</v>
      </c>
      <c r="P45" s="15">
        <f t="shared" si="4"/>
        <v>21918.181121841553</v>
      </c>
      <c r="Q45" s="32">
        <v>3.6244934999999998</v>
      </c>
      <c r="R45" s="40">
        <v>6047.2397375913497</v>
      </c>
      <c r="S45" s="15">
        <f t="shared" ref="S45" si="113">(((1+0.3%)^(1/252))-1)*D44+SUM(S44)</f>
        <v>2180.5948631721508</v>
      </c>
      <c r="T45" s="15">
        <f>IF((NETWORKDAYS(DATE(YEAR(C45),MONTH(C45),1),C45,Feriados!$A$2:$A$842))&gt;=5,0,IF(NETWORKDAYS(DATE(YEAR(C45),MONTH(C45),1),C45,Feriados!$A$2:$A$842)=1,S44,T44))</f>
        <v>0</v>
      </c>
      <c r="U45" s="26">
        <v>0</v>
      </c>
      <c r="V45" s="26">
        <v>0</v>
      </c>
      <c r="W45" s="15">
        <f t="shared" ref="W45" si="114">SUM(G45+J45+M45+P45)</f>
        <v>8410321.9462434836</v>
      </c>
      <c r="X45" s="50">
        <f>'Fluxo de Caixa_'!AD51</f>
        <v>0</v>
      </c>
      <c r="AB45" s="26">
        <v>3643.9450999999999</v>
      </c>
      <c r="AC45" s="26">
        <v>0</v>
      </c>
      <c r="AD45">
        <f>SUMIFS([1]Master!$J$2:$J$100,[1]Master!$A$2:$A$100,"="&amp;$I$12,[1]Master!$E$2:$E$100,"="&amp;C45,[1]Master!$J$2:$J$100,"&gt;"&amp;0)</f>
        <v>0</v>
      </c>
      <c r="AE45">
        <f ca="1">-SUMIF('[1]Fluxo de Movimentações'!$A$5:$F$10001,"="&amp;$C45,'[1]Fluxo de Movimentações'!$H$5:$H$10001)</f>
        <v>0</v>
      </c>
      <c r="AF45" s="26">
        <v>0</v>
      </c>
      <c r="AG45" s="26">
        <v>3457.52</v>
      </c>
      <c r="AH45" s="26">
        <v>2752</v>
      </c>
      <c r="AI45" s="26">
        <v>0</v>
      </c>
      <c r="AJ45" s="26"/>
      <c r="AK45" s="26"/>
      <c r="AL45" s="26"/>
      <c r="AM45" s="26">
        <v>0</v>
      </c>
      <c r="AN45">
        <v>0</v>
      </c>
    </row>
    <row r="46" spans="3:40">
      <c r="C46" s="1">
        <v>44923</v>
      </c>
      <c r="D46" s="39">
        <v>8588643.5079999994</v>
      </c>
      <c r="E46" s="32">
        <v>3.9207261</v>
      </c>
      <c r="F46" s="88">
        <f t="shared" ref="F46" si="115">D46/TRUNC(E46,6)</f>
        <v>2190574.783343697</v>
      </c>
      <c r="G46" s="15">
        <f t="shared" ref="G46" si="116">H46*I46</f>
        <v>8473050.6558376644</v>
      </c>
      <c r="H46" s="32">
        <v>0.96021860000000003</v>
      </c>
      <c r="I46" s="15">
        <f>SUMIFS([1]Master!$K$2:$K$10000,[1]Master!$A$2:$A$10000,$I$12,[1]Master!$F$2:$F$10000,"&lt;="&amp;$C46)</f>
        <v>8824085.1154494025</v>
      </c>
      <c r="J46" s="15">
        <f t="shared" ref="J46" si="117">K46*L46</f>
        <v>86138.998516607084</v>
      </c>
      <c r="K46" s="43">
        <v>0.74130929999999995</v>
      </c>
      <c r="L46" s="40">
        <v>116198.45928900001</v>
      </c>
      <c r="M46" s="15">
        <f t="shared" si="3"/>
        <v>0</v>
      </c>
      <c r="N46" s="32">
        <v>0</v>
      </c>
      <c r="O46" s="40">
        <v>0</v>
      </c>
      <c r="P46" s="15">
        <f t="shared" si="4"/>
        <v>21929.329813021777</v>
      </c>
      <c r="Q46" s="32">
        <v>3.6263371000000002</v>
      </c>
      <c r="R46" s="40">
        <v>6047.2397375913497</v>
      </c>
      <c r="S46" s="15">
        <f t="shared" ref="S46" si="118">(((1+0.3%)^(1/252))-1)*D45+SUM(S45)</f>
        <v>2280.6596613559182</v>
      </c>
      <c r="T46" s="15">
        <f>IF((NETWORKDAYS(DATE(YEAR(C46),MONTH(C46),1),C46,Feriados!$A$2:$A$842))&gt;=5,0,IF(NETWORKDAYS(DATE(YEAR(C46),MONTH(C46),1),C46,Feriados!$A$2:$A$842)=1,S45,T45))</f>
        <v>0</v>
      </c>
      <c r="U46" s="26">
        <v>0</v>
      </c>
      <c r="V46" s="26">
        <v>0</v>
      </c>
      <c r="W46" s="15">
        <f t="shared" ref="W46" si="119">SUM(G46+J46+M46+P46)</f>
        <v>8581118.9841672927</v>
      </c>
      <c r="X46" s="50">
        <f>'Fluxo de Caixa_'!AD52</f>
        <v>0</v>
      </c>
      <c r="AB46" s="26">
        <v>3595.598</v>
      </c>
      <c r="AC46" s="26">
        <v>0</v>
      </c>
      <c r="AD46">
        <f>SUMIFS([1]Master!$J$2:$J$100,[1]Master!$A$2:$A$100,"="&amp;$I$12,[1]Master!$E$2:$E$100,"="&amp;C46,[1]Master!$J$2:$J$100,"&gt;"&amp;0)</f>
        <v>0</v>
      </c>
      <c r="AE46">
        <f ca="1">-SUMIF('[1]Fluxo de Movimentações'!$A$5:$F$10001,"="&amp;$C46,'[1]Fluxo de Movimentações'!$H$5:$H$10001)</f>
        <v>0</v>
      </c>
      <c r="AF46" s="26">
        <v>0</v>
      </c>
      <c r="AG46" s="26">
        <v>3457.52</v>
      </c>
      <c r="AH46" s="26">
        <v>2752</v>
      </c>
      <c r="AI46" s="26">
        <v>0</v>
      </c>
      <c r="AJ46" s="26"/>
      <c r="AK46" s="26"/>
      <c r="AL46" s="26"/>
      <c r="AM46" s="26">
        <v>0</v>
      </c>
      <c r="AN46">
        <v>0</v>
      </c>
    </row>
    <row r="47" spans="3:40">
      <c r="C47" s="1">
        <v>44924</v>
      </c>
      <c r="D47" s="39">
        <v>8582830.6308999993</v>
      </c>
      <c r="E47" s="32">
        <v>3.9180725000000001</v>
      </c>
      <c r="F47" s="88">
        <f t="shared" ref="F47:F48" si="120">D47/TRUNC(E47,6)</f>
        <v>2190575.0151860402</v>
      </c>
      <c r="G47" s="15">
        <f t="shared" ref="G47:G48" si="121">H47*I47</f>
        <v>8472733.8711820189</v>
      </c>
      <c r="H47" s="32">
        <v>0.96018269999999994</v>
      </c>
      <c r="I47" s="15">
        <f>SUMIFS([1]Master!$K$2:$K$10000,[1]Master!$A$2:$A$10000,$I$12,[1]Master!$F$2:$F$10000,"&lt;="&amp;$C47)</f>
        <v>8824085.1154494025</v>
      </c>
      <c r="J47" s="15">
        <f t="shared" ref="J47:J48" si="122">K47*L47</f>
        <v>80782.319262459772</v>
      </c>
      <c r="K47" s="43">
        <v>0.69520990000000005</v>
      </c>
      <c r="L47" s="40">
        <v>116198.45928900001</v>
      </c>
      <c r="M47" s="15">
        <f t="shared" si="3"/>
        <v>0</v>
      </c>
      <c r="N47" s="32">
        <v>0</v>
      </c>
      <c r="O47" s="40">
        <v>0</v>
      </c>
      <c r="P47" s="15">
        <f t="shared" si="4"/>
        <v>24692.353326339413</v>
      </c>
      <c r="Q47" s="32">
        <v>3.6281599999999998</v>
      </c>
      <c r="R47" s="40">
        <v>6805.7509388614098</v>
      </c>
      <c r="S47" s="15">
        <f t="shared" ref="S47:S48" si="123">(((1+0.3%)^(1/252))-1)*D46+SUM(S46)</f>
        <v>2382.7529616050706</v>
      </c>
      <c r="T47" s="15">
        <f>IF((NETWORKDAYS(DATE(YEAR(C47),MONTH(C47),1),C47,Feriados!$A$2:$A$842))&gt;=5,0,IF(NETWORKDAYS(DATE(YEAR(C47),MONTH(C47),1),C47,Feriados!$A$2:$A$842)=1,S46,T46))</f>
        <v>0</v>
      </c>
      <c r="U47" s="26">
        <v>0</v>
      </c>
      <c r="V47" s="26">
        <v>0</v>
      </c>
      <c r="W47" s="15">
        <f t="shared" ref="W47:W48" si="124">SUM(G47+J47+M47+P47)</f>
        <v>8578208.543770818</v>
      </c>
      <c r="X47" s="50">
        <f>'Fluxo de Caixa_'!AD53</f>
        <v>1.8644641386345029E-11</v>
      </c>
      <c r="AB47" s="26">
        <v>3547.2509</v>
      </c>
      <c r="AC47" s="26">
        <v>0</v>
      </c>
      <c r="AD47">
        <f>SUMIFS([1]Master!$J$2:$J$100,[1]Master!$A$2:$A$100,"="&amp;$I$12,[1]Master!$E$2:$E$100,"="&amp;C47,[1]Master!$J$2:$J$100,"&gt;"&amp;0)</f>
        <v>0</v>
      </c>
      <c r="AE47">
        <f ca="1">-SUMIF('[1]Fluxo de Movimentações'!$A$5:$F$10001,"="&amp;$C47,'[1]Fluxo de Movimentações'!$H$5:$H$10001)</f>
        <v>0</v>
      </c>
      <c r="AF47" s="26">
        <v>0</v>
      </c>
      <c r="AG47" s="26">
        <v>3457.52</v>
      </c>
      <c r="AH47" s="26">
        <v>0</v>
      </c>
      <c r="AI47" s="26">
        <v>0</v>
      </c>
      <c r="AJ47" s="26"/>
      <c r="AK47" s="26"/>
      <c r="AL47" s="26"/>
      <c r="AM47" s="26">
        <v>0</v>
      </c>
      <c r="AN47">
        <v>0</v>
      </c>
    </row>
    <row r="48" spans="3:40">
      <c r="C48" s="1">
        <v>44925</v>
      </c>
      <c r="D48" s="39">
        <v>8584091.7268000003</v>
      </c>
      <c r="E48" s="32">
        <v>3.9186481999999998</v>
      </c>
      <c r="F48" s="88">
        <f t="shared" si="120"/>
        <v>2190574.8428539638</v>
      </c>
      <c r="G48" s="15">
        <f t="shared" si="121"/>
        <v>8474133.371081328</v>
      </c>
      <c r="H48" s="32">
        <v>0.96034129999999995</v>
      </c>
      <c r="I48" s="15">
        <f>SUMIFS([1]Master!$K$2:$K$10000,[1]Master!$A$2:$A$10000,$I$12,[1]Master!$F$2:$F$10000,"&lt;="&amp;$C48)</f>
        <v>8824085.1154494025</v>
      </c>
      <c r="J48" s="15">
        <f t="shared" si="122"/>
        <v>80781.761509855176</v>
      </c>
      <c r="K48" s="43">
        <v>0.69520510000000002</v>
      </c>
      <c r="L48" s="40">
        <v>116198.45928900001</v>
      </c>
      <c r="M48" s="15">
        <f t="shared" si="3"/>
        <v>0</v>
      </c>
      <c r="N48" s="32">
        <v>0</v>
      </c>
      <c r="O48" s="40">
        <v>0</v>
      </c>
      <c r="P48" s="15">
        <f t="shared" si="4"/>
        <v>24704.871144041263</v>
      </c>
      <c r="Q48" s="32">
        <v>3.6299993000000002</v>
      </c>
      <c r="R48" s="40">
        <v>6805.7509388614098</v>
      </c>
      <c r="S48" s="15">
        <f t="shared" si="123"/>
        <v>2484.7771641199265</v>
      </c>
      <c r="T48" s="15">
        <f>IF((NETWORKDAYS(DATE(YEAR(C48),MONTH(C48),1),C48,Feriados!$A$2:$A$842))&gt;=5,0,IF(NETWORKDAYS(DATE(YEAR(C48),MONTH(C48),1),C48,Feriados!$A$2:$A$842)=1,S47,T47))</f>
        <v>0</v>
      </c>
      <c r="U48" s="26">
        <v>0</v>
      </c>
      <c r="V48" s="26">
        <v>0</v>
      </c>
      <c r="W48" s="15">
        <f t="shared" si="124"/>
        <v>8579620.0037352238</v>
      </c>
      <c r="X48" s="50">
        <f>'Fluxo de Caixa_'!AD54</f>
        <v>0</v>
      </c>
      <c r="AB48" s="26">
        <v>3498.9038</v>
      </c>
      <c r="AC48" s="26">
        <v>0</v>
      </c>
      <c r="AD48">
        <f>SUMIFS([1]Master!$J$2:$J$100,[1]Master!$A$2:$A$100,"="&amp;$I$12,[1]Master!$E$2:$E$100,"="&amp;C48,[1]Master!$J$2:$J$100,"&gt;"&amp;0)</f>
        <v>0</v>
      </c>
      <c r="AE48">
        <f ca="1">-SUMIF('[1]Fluxo de Movimentações'!$A$5:$F$10001,"="&amp;$C48,'[1]Fluxo de Movimentações'!$H$5:$H$10001)</f>
        <v>0</v>
      </c>
      <c r="AF48" s="26">
        <v>0</v>
      </c>
      <c r="AG48" s="26">
        <v>3457.52</v>
      </c>
      <c r="AH48" s="26">
        <v>0</v>
      </c>
      <c r="AI48" s="26">
        <v>0</v>
      </c>
      <c r="AJ48" s="26"/>
      <c r="AK48" s="26"/>
      <c r="AL48" s="26"/>
      <c r="AM48" s="26">
        <v>0</v>
      </c>
      <c r="AN48">
        <v>0</v>
      </c>
    </row>
    <row r="49" spans="3:40">
      <c r="C49" s="1">
        <v>44928</v>
      </c>
      <c r="D49" s="39">
        <v>8278536.2138999999</v>
      </c>
      <c r="E49" s="32">
        <v>3.7791617</v>
      </c>
      <c r="F49" s="88">
        <f t="shared" ref="F49" si="125">D49/TRUNC(E49,6)</f>
        <v>2190575.1604390498</v>
      </c>
      <c r="G49" s="15">
        <f t="shared" ref="G49" si="126">H49*I49</f>
        <v>8167540.5337450402</v>
      </c>
      <c r="H49" s="32">
        <v>0.92559630000000004</v>
      </c>
      <c r="I49" s="15">
        <f>SUMIFS([1]Master!$K$2:$K$10000,[1]Master!$A$2:$A$10000,$I$12,[1]Master!$F$2:$F$10000,"&lt;="&amp;$C49)</f>
        <v>8824085.1154494025</v>
      </c>
      <c r="J49" s="15">
        <f t="shared" ref="J49" si="127">K49*L49</f>
        <v>81956.923008028549</v>
      </c>
      <c r="K49" s="43">
        <v>0.70531849999999996</v>
      </c>
      <c r="L49" s="40">
        <v>116198.45928900001</v>
      </c>
      <c r="M49" s="15">
        <f t="shared" si="3"/>
        <v>0</v>
      </c>
      <c r="N49" s="32">
        <v>0</v>
      </c>
      <c r="O49" s="40">
        <v>0</v>
      </c>
      <c r="P49" s="15">
        <f t="shared" si="4"/>
        <v>24717.237874072267</v>
      </c>
      <c r="Q49" s="32">
        <v>3.6318163999999999</v>
      </c>
      <c r="R49" s="40">
        <v>6805.7509388614098</v>
      </c>
      <c r="S49" s="15">
        <f>(((1+0.3%)^(1/252))-1)*D48</f>
        <v>102.03919317574923</v>
      </c>
      <c r="T49" s="15">
        <f>IF((NETWORKDAYS(DATE(YEAR(C49),MONTH(C49),1),C49,Feriados!$A$2:$A$842))&gt;=5,0,IF(NETWORKDAYS(DATE(YEAR(C49),MONTH(C49),1),C49,Feriados!$A$2:$A$842)=1,S48,T48))</f>
        <v>2484.7771641199265</v>
      </c>
      <c r="U49" s="26">
        <v>0</v>
      </c>
      <c r="V49" s="26">
        <v>0</v>
      </c>
      <c r="W49" s="15">
        <f t="shared" ref="W49" si="128">SUM(G49+J49+M49+P49)</f>
        <v>8274214.6946271406</v>
      </c>
      <c r="X49" s="50">
        <f>'Fluxo de Caixa_'!AD55</f>
        <v>0</v>
      </c>
      <c r="AB49" s="26">
        <v>3450.7339000000002</v>
      </c>
      <c r="AC49" s="26">
        <v>0</v>
      </c>
      <c r="AD49">
        <f>SUMIFS([1]Master!$J$2:$J$100,[1]Master!$A$2:$A$100,"="&amp;$I$12,[1]Master!$E$2:$E$100,"="&amp;C49,[1]Master!$J$2:$J$100,"&gt;"&amp;0)</f>
        <v>0</v>
      </c>
      <c r="AE49">
        <f ca="1">-SUMIF('[1]Fluxo de Movimentações'!$A$5:$F$10001,"="&amp;$C49,'[1]Fluxo de Movimentações'!$H$5:$H$10001)</f>
        <v>0</v>
      </c>
      <c r="AF49" s="26">
        <v>0</v>
      </c>
      <c r="AG49" s="26">
        <v>3457.52</v>
      </c>
      <c r="AH49" s="26">
        <v>0</v>
      </c>
      <c r="AI49" s="26">
        <v>0</v>
      </c>
      <c r="AJ49" s="26"/>
      <c r="AK49" s="26"/>
      <c r="AL49" s="26"/>
      <c r="AM49" s="26">
        <v>0</v>
      </c>
      <c r="AN49">
        <v>0</v>
      </c>
    </row>
    <row r="50" spans="3:40">
      <c r="C50" s="1">
        <v>44929</v>
      </c>
      <c r="D50" s="39">
        <v>8096743.7939999998</v>
      </c>
      <c r="E50" s="32">
        <v>3.6961732</v>
      </c>
      <c r="F50" s="88">
        <f t="shared" ref="F50" si="129">D50/TRUNC(E50,6)</f>
        <v>2190574.8984151985</v>
      </c>
      <c r="G50" s="15">
        <f t="shared" ref="G50" si="130">H50*I50</f>
        <v>7985256.627629431</v>
      </c>
      <c r="H50" s="32">
        <v>0.90533540000000001</v>
      </c>
      <c r="I50" s="15">
        <f>SUMIFS([1]Master!$K$2:$K$10000,[1]Master!$A$2:$A$10000,$I$12,[1]Master!$F$2:$F$10000,"&lt;="&amp;$C50)</f>
        <v>8820219.1448930763</v>
      </c>
      <c r="J50" s="15">
        <f t="shared" ref="J50" si="131">K50*L50</f>
        <v>79082.359042753553</v>
      </c>
      <c r="K50" s="43">
        <v>0.68058010000000002</v>
      </c>
      <c r="L50" s="40">
        <v>116198.45928900001</v>
      </c>
      <c r="M50" s="15">
        <f t="shared" si="3"/>
        <v>0</v>
      </c>
      <c r="N50" s="32">
        <v>0</v>
      </c>
      <c r="O50" s="40">
        <v>0</v>
      </c>
      <c r="P50" s="15">
        <f t="shared" si="4"/>
        <v>24729.857778038197</v>
      </c>
      <c r="Q50" s="32">
        <v>3.6336707000000001</v>
      </c>
      <c r="R50" s="40">
        <v>6805.7509388614098</v>
      </c>
      <c r="S50" s="15">
        <f t="shared" ref="S50:S55" si="132">(((1+0.3%)^(1/252))-1)*D49+SUM(S49)</f>
        <v>200.44624459451131</v>
      </c>
      <c r="T50" s="15">
        <f>IF((NETWORKDAYS(DATE(YEAR(C50),MONTH(C50),1),C50,Feriados!$A$2:$A$842))&gt;=5,0,IF(NETWORKDAYS(DATE(YEAR(C50),MONTH(C50),1),C50,Feriados!$A$2:$A$842)=1,S49,T49))</f>
        <v>2484.7771641199265</v>
      </c>
      <c r="U50" s="26">
        <v>0</v>
      </c>
      <c r="V50" s="26">
        <v>0</v>
      </c>
      <c r="W50" s="15">
        <f t="shared" ref="W50" si="133">SUM(G50+J50+M50+P50)</f>
        <v>8089068.8444502223</v>
      </c>
      <c r="X50" s="50">
        <f>'Fluxo de Caixa_'!AD56</f>
        <v>0</v>
      </c>
      <c r="AB50" s="26">
        <v>3402.5639999999999</v>
      </c>
      <c r="AC50" s="26">
        <v>0</v>
      </c>
      <c r="AD50">
        <f>SUMIFS([1]Master!$J$2:$J$100,[1]Master!$A$2:$A$100,"="&amp;$I$12,[1]Master!$E$2:$E$100,"="&amp;C50,[1]Master!$J$2:$J$100,"&gt;"&amp;0)</f>
        <v>0</v>
      </c>
      <c r="AE50">
        <f ca="1">-SUMIF('[1]Fluxo de Movimentações'!$A$5:$F$10001,"="&amp;$C50,'[1]Fluxo de Movimentações'!$H$5:$H$10001)</f>
        <v>0</v>
      </c>
      <c r="AF50" s="26">
        <v>3500</v>
      </c>
      <c r="AG50" s="26">
        <v>3457.52</v>
      </c>
      <c r="AH50" s="26">
        <v>0</v>
      </c>
      <c r="AI50" s="26">
        <v>0</v>
      </c>
      <c r="AJ50" s="26"/>
      <c r="AK50" s="26"/>
      <c r="AL50" s="26"/>
      <c r="AM50" s="26">
        <v>0</v>
      </c>
      <c r="AN50">
        <v>0</v>
      </c>
    </row>
    <row r="51" spans="3:40">
      <c r="C51" s="1">
        <v>44930</v>
      </c>
      <c r="D51" s="39">
        <v>8182497.5941000003</v>
      </c>
      <c r="E51" s="32">
        <v>3.7353200000000002</v>
      </c>
      <c r="F51" s="88">
        <f t="shared" ref="F51" si="134">D51/TRUNC(E51,6)</f>
        <v>2190574.7282963707</v>
      </c>
      <c r="G51" s="15">
        <f t="shared" ref="G51" si="135">H51*I51</f>
        <v>8069575.2765888656</v>
      </c>
      <c r="H51" s="32">
        <v>0.91489509999999996</v>
      </c>
      <c r="I51" s="15">
        <f>SUMIFS([1]Master!$K$2:$K$10000,[1]Master!$A$2:$A$10000,$I$12,[1]Master!$F$2:$F$10000,"&lt;="&amp;$C51)</f>
        <v>8820219.1448930763</v>
      </c>
      <c r="J51" s="15">
        <f t="shared" ref="J51" si="136">K51*L51</f>
        <v>80649.446324262797</v>
      </c>
      <c r="K51" s="43">
        <v>0.69406639999999997</v>
      </c>
      <c r="L51" s="40">
        <v>116198.45928900001</v>
      </c>
      <c r="M51" s="15">
        <f t="shared" si="3"/>
        <v>0</v>
      </c>
      <c r="N51" s="32">
        <v>0</v>
      </c>
      <c r="O51" s="40">
        <v>0</v>
      </c>
      <c r="P51" s="15">
        <f t="shared" si="4"/>
        <v>24742.332038934033</v>
      </c>
      <c r="Q51" s="32">
        <v>3.6355035999999998</v>
      </c>
      <c r="R51" s="40">
        <v>6805.7509388614098</v>
      </c>
      <c r="S51" s="15">
        <f t="shared" si="132"/>
        <v>296.69232750985572</v>
      </c>
      <c r="T51" s="15">
        <f>IF((NETWORKDAYS(DATE(YEAR(C51),MONTH(C51),1),C51,Feriados!$A$2:$A$842))&gt;=5,0,IF(NETWORKDAYS(DATE(YEAR(C51),MONTH(C51),1),C51,Feriados!$A$2:$A$842)=1,S50,T50))</f>
        <v>2484.7771641199265</v>
      </c>
      <c r="U51" s="26">
        <v>0</v>
      </c>
      <c r="V51" s="26">
        <v>0</v>
      </c>
      <c r="W51" s="15">
        <f t="shared" ref="W51" si="137">SUM(G51+J51+M51+P51)</f>
        <v>8174967.0549520627</v>
      </c>
      <c r="X51" s="50">
        <f>'Fluxo de Caixa_'!AD57</f>
        <v>0</v>
      </c>
      <c r="AB51" s="26">
        <v>3354.3941</v>
      </c>
      <c r="AC51" s="26">
        <v>0</v>
      </c>
      <c r="AD51">
        <f>SUMIFS([1]Master!$J$2:$J$100,[1]Master!$A$2:$A$100,"="&amp;$I$12,[1]Master!$E$2:$E$100,"="&amp;C51,[1]Master!$J$2:$J$100,"&gt;"&amp;0)</f>
        <v>0</v>
      </c>
      <c r="AE51">
        <f ca="1">-SUMIF('[1]Fluxo de Movimentações'!$A$5:$F$10001,"="&amp;$C51,'[1]Fluxo de Movimentações'!$H$5:$H$10001)</f>
        <v>0</v>
      </c>
      <c r="AF51" s="26">
        <v>3500</v>
      </c>
      <c r="AG51" s="26">
        <v>3457.52</v>
      </c>
      <c r="AH51" s="26">
        <v>0</v>
      </c>
      <c r="AI51" s="26">
        <v>0</v>
      </c>
      <c r="AJ51" s="26"/>
      <c r="AK51" s="26"/>
      <c r="AL51" s="26"/>
      <c r="AM51" s="26">
        <v>0</v>
      </c>
      <c r="AN51">
        <v>0</v>
      </c>
    </row>
    <row r="52" spans="3:40">
      <c r="C52" s="1">
        <v>44931</v>
      </c>
      <c r="D52" s="39">
        <v>8268172.5341999996</v>
      </c>
      <c r="E52" s="32">
        <v>3.7744306999999999</v>
      </c>
      <c r="F52" s="88">
        <f t="shared" ref="F52" si="138">D52/TRUNC(E52,6)</f>
        <v>2190575.1422598907</v>
      </c>
      <c r="G52" s="15">
        <f t="shared" ref="G52" si="139">H52*I52</f>
        <v>8153684.8863545656</v>
      </c>
      <c r="H52" s="32">
        <v>0.92443109999999995</v>
      </c>
      <c r="I52" s="15">
        <f>SUMIFS([1]Master!$K$2:$K$10000,[1]Master!$A$2:$A$10000,$I$12,[1]Master!$F$2:$F$10000,"&lt;="&amp;$C52)</f>
        <v>8820219.1448930763</v>
      </c>
      <c r="J52" s="15">
        <f t="shared" ref="J52" si="140">K52*L52</f>
        <v>82347.17553355066</v>
      </c>
      <c r="K52" s="43">
        <v>0.708677</v>
      </c>
      <c r="L52" s="40">
        <v>116198.45928900001</v>
      </c>
      <c r="M52" s="15">
        <f t="shared" si="3"/>
        <v>0</v>
      </c>
      <c r="N52" s="32">
        <v>0</v>
      </c>
      <c r="O52" s="40">
        <v>0</v>
      </c>
      <c r="P52" s="15">
        <f t="shared" si="4"/>
        <v>28255.353482205377</v>
      </c>
      <c r="Q52" s="32">
        <v>3.6374168999999998</v>
      </c>
      <c r="R52" s="40">
        <v>7767.9722338688698</v>
      </c>
      <c r="S52" s="15">
        <f t="shared" si="132"/>
        <v>393.95776679421931</v>
      </c>
      <c r="T52" s="15">
        <f>IF((NETWORKDAYS(DATE(YEAR(C52),MONTH(C52),1),C52,Feriados!$A$2:$A$842))&gt;=5,0,IF(NETWORKDAYS(DATE(YEAR(C52),MONTH(C52),1),C52,Feriados!$A$2:$A$842)=1,S51,T51))</f>
        <v>2484.7771641199265</v>
      </c>
      <c r="U52" s="26">
        <v>0</v>
      </c>
      <c r="V52" s="26">
        <v>0</v>
      </c>
      <c r="W52" s="15">
        <f t="shared" ref="W52" si="141">SUM(G52+J52+M52+P52)</f>
        <v>8264287.4153703218</v>
      </c>
      <c r="X52" s="50">
        <f>'Fluxo de Caixa_'!AD58</f>
        <v>-2.0463630789890885E-11</v>
      </c>
      <c r="AB52" s="26">
        <v>3306.2242000000001</v>
      </c>
      <c r="AC52" s="26">
        <v>0</v>
      </c>
      <c r="AD52">
        <f>SUMIFS([1]Master!$J$2:$J$100,[1]Master!$A$2:$A$100,"="&amp;$I$12,[1]Master!$E$2:$E$100,"="&amp;C52,[1]Master!$J$2:$J$100,"&gt;"&amp;0)</f>
        <v>0</v>
      </c>
      <c r="AE52">
        <f ca="1">-SUMIF('[1]Fluxo de Movimentações'!$A$5:$F$10001,"="&amp;$C52,'[1]Fluxo de Movimentações'!$H$5:$H$10001)</f>
        <v>0</v>
      </c>
      <c r="AF52" s="26">
        <v>0</v>
      </c>
      <c r="AG52" s="26">
        <v>3457.52</v>
      </c>
      <c r="AH52" s="26">
        <v>0</v>
      </c>
      <c r="AI52" s="26">
        <v>0</v>
      </c>
      <c r="AJ52" s="26"/>
      <c r="AK52" s="26"/>
      <c r="AL52" s="26"/>
      <c r="AM52" s="26">
        <v>0</v>
      </c>
      <c r="AN52">
        <v>0</v>
      </c>
    </row>
    <row r="53" spans="3:40">
      <c r="C53" s="1">
        <v>44932</v>
      </c>
      <c r="D53" s="39">
        <v>8445655.3443</v>
      </c>
      <c r="E53" s="32">
        <v>3.8554518</v>
      </c>
      <c r="F53" s="88">
        <f t="shared" ref="F53" si="142">D53/TRUNC(E53,6)</f>
        <v>2190575.1997107472</v>
      </c>
      <c r="G53" s="15">
        <f t="shared" ref="G53" si="143">H53*I53</f>
        <v>8330516.1678590402</v>
      </c>
      <c r="H53" s="32">
        <v>0.94447950000000003</v>
      </c>
      <c r="I53" s="15">
        <f>SUMIFS([1]Master!$K$2:$K$10000,[1]Master!$A$2:$A$10000,$I$12,[1]Master!$F$2:$F$10000,"&lt;="&amp;$C53)</f>
        <v>8820219.1448930763</v>
      </c>
      <c r="J53" s="15">
        <f t="shared" ref="J53" si="144">K53*L53</f>
        <v>83130.422868234091</v>
      </c>
      <c r="K53" s="43">
        <v>0.71541759999999999</v>
      </c>
      <c r="L53" s="40">
        <v>116198.45928900001</v>
      </c>
      <c r="M53" s="15">
        <f t="shared" si="3"/>
        <v>0</v>
      </c>
      <c r="N53" s="32">
        <v>0</v>
      </c>
      <c r="O53" s="40">
        <v>0</v>
      </c>
      <c r="P53" s="15">
        <f t="shared" si="4"/>
        <v>25785.390880252748</v>
      </c>
      <c r="Q53" s="32">
        <v>3.6393141</v>
      </c>
      <c r="R53" s="40">
        <v>7085.2336928688701</v>
      </c>
      <c r="S53" s="15">
        <f t="shared" si="132"/>
        <v>492.24162503791098</v>
      </c>
      <c r="T53" s="15">
        <f>IF((NETWORKDAYS(DATE(YEAR(C53),MONTH(C53),1),C53,Feriados!$A$2:$A$842))&gt;=5,0,IF(NETWORKDAYS(DATE(YEAR(C53),MONTH(C53),1),C53,Feriados!$A$2:$A$842)=1,S52,T52))</f>
        <v>0</v>
      </c>
      <c r="U53" s="26">
        <v>0</v>
      </c>
      <c r="V53" s="26">
        <v>0</v>
      </c>
      <c r="W53" s="15">
        <f t="shared" ref="W53" si="145">SUM(G53+J53+M53+P53)</f>
        <v>8439431.9816075265</v>
      </c>
      <c r="X53" s="50">
        <f>'Fluxo de Caixa_'!AD59</f>
        <v>-1.1252727745159063E-6</v>
      </c>
      <c r="AB53" s="26">
        <v>3258.0542999999998</v>
      </c>
      <c r="AC53" s="26">
        <v>0</v>
      </c>
      <c r="AD53">
        <f>SUMIFS([1]Master!$J$2:$J$100,[1]Master!$A$2:$A$100,"="&amp;$I$12,[1]Master!$E$2:$E$100,"="&amp;C53,[1]Master!$J$2:$J$100,"&gt;"&amp;0)</f>
        <v>0</v>
      </c>
      <c r="AE53">
        <f ca="1">-SUMIF('[1]Fluxo de Movimentações'!$A$5:$F$10001,"="&amp;$C53,'[1]Fluxo de Movimentações'!$H$5:$H$10001)</f>
        <v>0</v>
      </c>
      <c r="AF53" s="26">
        <v>0</v>
      </c>
      <c r="AG53" s="26">
        <v>3457.52</v>
      </c>
      <c r="AH53" s="26">
        <v>0</v>
      </c>
      <c r="AI53" s="26">
        <v>0</v>
      </c>
      <c r="AJ53" s="26"/>
      <c r="AK53" s="26"/>
      <c r="AL53" s="26"/>
      <c r="AM53" s="26">
        <v>0</v>
      </c>
      <c r="AN53">
        <v>0</v>
      </c>
    </row>
    <row r="54" spans="3:40">
      <c r="C54" s="1">
        <v>44935</v>
      </c>
      <c r="D54" s="39">
        <v>8457654.5343999993</v>
      </c>
      <c r="E54" s="32">
        <v>3.8609293999999998</v>
      </c>
      <c r="F54" s="88">
        <f t="shared" ref="F54" si="146">D54/TRUNC(E54,6)</f>
        <v>2190574.9974682257</v>
      </c>
      <c r="G54" s="15">
        <f t="shared" ref="G54" si="147">H54*I54</f>
        <v>8342259.4076285511</v>
      </c>
      <c r="H54" s="32">
        <v>0.94581090000000001</v>
      </c>
      <c r="I54" s="15">
        <f>SUMIFS([1]Master!$K$2:$K$10000,[1]Master!$A$2:$A$10000,$I$12,[1]Master!$F$2:$F$10000,"&lt;="&amp;$C54)</f>
        <v>8820219.1448930763</v>
      </c>
      <c r="J54" s="15">
        <f t="shared" ref="J54" si="148">K54*L54</f>
        <v>83521.732799735735</v>
      </c>
      <c r="K54" s="43">
        <v>0.71878520000000001</v>
      </c>
      <c r="L54" s="40">
        <v>116198.45928900001</v>
      </c>
      <c r="M54" s="15">
        <f t="shared" si="3"/>
        <v>0</v>
      </c>
      <c r="N54" s="32">
        <v>0</v>
      </c>
      <c r="O54" s="40">
        <v>0</v>
      </c>
      <c r="P54" s="15">
        <f t="shared" si="4"/>
        <v>25798.592796192672</v>
      </c>
      <c r="Q54" s="32">
        <v>3.6411774000000001</v>
      </c>
      <c r="R54" s="40">
        <v>7085.2336928688701</v>
      </c>
      <c r="S54" s="15">
        <f t="shared" si="132"/>
        <v>592.6352234057241</v>
      </c>
      <c r="T54" s="15">
        <f>IF((NETWORKDAYS(DATE(YEAR(C54),MONTH(C54),1),C54,Feriados!$A$2:$A$842))&gt;=5,0,IF(NETWORKDAYS(DATE(YEAR(C54),MONTH(C54),1),C54,Feriados!$A$2:$A$842)=1,S53,T53))</f>
        <v>0</v>
      </c>
      <c r="U54" s="26">
        <v>0</v>
      </c>
      <c r="V54" s="26">
        <v>0</v>
      </c>
      <c r="W54" s="15">
        <f t="shared" ref="W54" si="149">SUM(G54+J54+M54+P54)</f>
        <v>8451579.7332244795</v>
      </c>
      <c r="X54" s="50">
        <f>'Fluxo de Caixa_'!AD60</f>
        <v>0</v>
      </c>
      <c r="AB54" s="26">
        <v>3209.8843999999999</v>
      </c>
      <c r="AC54" s="26">
        <v>0</v>
      </c>
      <c r="AD54">
        <f>SUMIFS([1]Master!$J$2:$J$100,[1]Master!$A$2:$A$100,"="&amp;$I$12,[1]Master!$E$2:$E$100,"="&amp;C54,[1]Master!$J$2:$J$100,"&gt;"&amp;0)</f>
        <v>0</v>
      </c>
      <c r="AE54">
        <f ca="1">-SUMIF('[1]Fluxo de Movimentações'!$A$5:$F$10001,"="&amp;$C54,'[1]Fluxo de Movimentações'!$H$5:$H$10001)</f>
        <v>0</v>
      </c>
      <c r="AF54" s="26">
        <v>0</v>
      </c>
      <c r="AG54" s="26">
        <v>3457.52</v>
      </c>
      <c r="AH54" s="26">
        <v>0</v>
      </c>
      <c r="AI54" s="26">
        <v>0</v>
      </c>
      <c r="AJ54" s="26"/>
      <c r="AK54" s="26"/>
      <c r="AL54" s="26"/>
      <c r="AM54" s="26">
        <v>0</v>
      </c>
      <c r="AN54">
        <v>0</v>
      </c>
    </row>
    <row r="55" spans="3:40">
      <c r="C55" s="1">
        <v>44936</v>
      </c>
      <c r="D55" s="39">
        <v>8628872.7744999994</v>
      </c>
      <c r="E55" s="32">
        <v>3.9390907999999998</v>
      </c>
      <c r="F55" s="88">
        <f t="shared" ref="F55" si="150">D55/TRUNC(E55,6)</f>
        <v>2190575.1771348203</v>
      </c>
      <c r="G55" s="15">
        <f t="shared" ref="G55" si="151">H55*I55</f>
        <v>8511001.6661552433</v>
      </c>
      <c r="H55" s="32">
        <v>0.96494219999999997</v>
      </c>
      <c r="I55" s="15">
        <f>SUMIFS([1]Master!$K$2:$K$10000,[1]Master!$A$2:$A$10000,$I$12,[1]Master!$F$2:$F$10000,"&lt;="&amp;$C55)</f>
        <v>8820219.1448930763</v>
      </c>
      <c r="J55" s="15">
        <f t="shared" ref="J55" si="152">K55*L55</f>
        <v>86133.862544706513</v>
      </c>
      <c r="K55" s="43">
        <v>0.74126510000000001</v>
      </c>
      <c r="L55" s="40">
        <v>116198.45928900001</v>
      </c>
      <c r="M55" s="15">
        <f t="shared" si="3"/>
        <v>0</v>
      </c>
      <c r="N55" s="32">
        <v>0</v>
      </c>
      <c r="O55" s="40">
        <v>0</v>
      </c>
      <c r="P55" s="15">
        <f t="shared" si="4"/>
        <v>25811.144287679588</v>
      </c>
      <c r="Q55" s="32">
        <v>3.6429488999999999</v>
      </c>
      <c r="R55" s="40">
        <v>7085.2336928688701</v>
      </c>
      <c r="S55" s="15">
        <f t="shared" si="132"/>
        <v>693.17145627879813</v>
      </c>
      <c r="T55" s="15">
        <f>IF((NETWORKDAYS(DATE(YEAR(C55),MONTH(C55),1),C55,Feriados!$A$2:$A$842))&gt;=5,0,IF(NETWORKDAYS(DATE(YEAR(C55),MONTH(C55),1),C55,Feriados!$A$2:$A$842)=1,S54,T54))</f>
        <v>0</v>
      </c>
      <c r="U55" s="26">
        <v>0</v>
      </c>
      <c r="V55" s="26">
        <v>0</v>
      </c>
      <c r="W55" s="15">
        <f t="shared" ref="W55" si="153">SUM(G55+J55+M55+P55)</f>
        <v>8622946.6729876287</v>
      </c>
      <c r="X55" s="50">
        <f>'Fluxo de Caixa_'!AD61</f>
        <v>0</v>
      </c>
      <c r="AB55" s="26">
        <v>3161.7145</v>
      </c>
      <c r="AC55" s="26">
        <v>0</v>
      </c>
      <c r="AD55">
        <f>SUMIFS([1]Master!$J$2:$J$100,[1]Master!$A$2:$A$100,"="&amp;$I$12,[1]Master!$E$2:$E$100,"="&amp;C55,[1]Master!$J$2:$J$100,"&gt;"&amp;0)</f>
        <v>0</v>
      </c>
      <c r="AE55">
        <f ca="1">-SUMIF('[1]Fluxo de Movimentações'!$A$5:$F$10001,"="&amp;$C55,'[1]Fluxo de Movimentações'!$H$5:$H$10001)</f>
        <v>0</v>
      </c>
      <c r="AF55" s="26">
        <v>0</v>
      </c>
      <c r="AG55" s="26">
        <v>3457.52</v>
      </c>
      <c r="AH55" s="26">
        <v>0</v>
      </c>
      <c r="AI55" s="26">
        <v>0</v>
      </c>
      <c r="AJ55" s="26"/>
      <c r="AK55" s="26"/>
      <c r="AL55" s="26"/>
      <c r="AM55" s="26">
        <v>0</v>
      </c>
      <c r="AN55">
        <v>0</v>
      </c>
    </row>
    <row r="56" spans="3:40">
      <c r="C56" s="1">
        <v>44937</v>
      </c>
      <c r="D56" s="39">
        <v>8741818.2946000006</v>
      </c>
      <c r="E56" s="32">
        <v>3.9906505000000001</v>
      </c>
      <c r="F56" s="88">
        <f t="shared" ref="F56" si="154">D56/TRUNC(E56,6)</f>
        <v>2190575.0428125747</v>
      </c>
      <c r="G56" s="15">
        <f t="shared" ref="G56" si="155">H56*I56</f>
        <v>8623040.4998432491</v>
      </c>
      <c r="H56" s="32">
        <v>0.97764470000000003</v>
      </c>
      <c r="I56" s="15">
        <f>SUMIFS([1]Master!$K$2:$K$10000,[1]Master!$A$2:$A$10000,$I$12,[1]Master!$F$2:$F$10000,"&lt;="&amp;$C56)</f>
        <v>8820219.1448930763</v>
      </c>
      <c r="J56" s="15">
        <f t="shared" ref="J56" si="156">K56*L56</f>
        <v>87178.34725556348</v>
      </c>
      <c r="K56" s="43">
        <v>0.75025390000000003</v>
      </c>
      <c r="L56" s="40">
        <v>116198.45928900001</v>
      </c>
      <c r="M56" s="15">
        <f t="shared" si="3"/>
        <v>0</v>
      </c>
      <c r="N56" s="32">
        <v>0</v>
      </c>
      <c r="O56" s="40">
        <v>0</v>
      </c>
      <c r="P56" s="15">
        <f t="shared" si="4"/>
        <v>25824.082632926136</v>
      </c>
      <c r="Q56" s="32">
        <v>3.6447750000000001</v>
      </c>
      <c r="R56" s="40">
        <v>7085.2336928688701</v>
      </c>
      <c r="S56" s="15">
        <f t="shared" ref="S56" si="157">(((1+0.3%)^(1/252))-1)*D55+SUM(S55)</f>
        <v>795.74296226320553</v>
      </c>
      <c r="T56" s="15">
        <f>IF((NETWORKDAYS(DATE(YEAR(C56),MONTH(C56),1),C56,Feriados!$A$2:$A$842))&gt;=5,0,IF(NETWORKDAYS(DATE(YEAR(C56),MONTH(C56),1),C56,Feriados!$A$2:$A$842)=1,S55,T55))</f>
        <v>0</v>
      </c>
      <c r="U56" s="26">
        <v>0</v>
      </c>
      <c r="V56" s="26">
        <v>0</v>
      </c>
      <c r="W56" s="15">
        <f t="shared" ref="W56" si="158">SUM(G56+J56+M56+P56)</f>
        <v>8736042.9297317378</v>
      </c>
      <c r="X56" s="50">
        <f>'Fluxo de Caixa_'!AD62</f>
        <v>0</v>
      </c>
      <c r="AB56" s="26">
        <v>3113.5446000000002</v>
      </c>
      <c r="AC56" s="26">
        <v>0</v>
      </c>
      <c r="AD56">
        <f>SUMIFS([1]Master!$J$2:$J$100,[1]Master!$A$2:$A$100,"="&amp;$I$12,[1]Master!$E$2:$E$100,"="&amp;C56,[1]Master!$J$2:$J$100,"&gt;"&amp;0)</f>
        <v>0</v>
      </c>
      <c r="AE56">
        <f ca="1">-SUMIF('[1]Fluxo de Movimentações'!$A$5:$F$10001,"="&amp;$C56,'[1]Fluxo de Movimentações'!$H$5:$H$10001)</f>
        <v>0</v>
      </c>
      <c r="AF56" s="26">
        <v>0</v>
      </c>
      <c r="AG56" s="26">
        <v>3457.52</v>
      </c>
      <c r="AH56" s="26">
        <v>0</v>
      </c>
      <c r="AI56" s="26">
        <v>0</v>
      </c>
      <c r="AJ56" s="26"/>
      <c r="AK56" s="26"/>
      <c r="AL56" s="26"/>
      <c r="AM56" s="26">
        <v>0</v>
      </c>
      <c r="AN56">
        <v>0</v>
      </c>
    </row>
    <row r="57" spans="3:40">
      <c r="C57" s="1">
        <v>44938</v>
      </c>
      <c r="D57" s="39">
        <v>8680765.4547000006</v>
      </c>
      <c r="E57" s="32">
        <v>3.9627797999999999</v>
      </c>
      <c r="F57" s="88">
        <f t="shared" ref="F57" si="159">D57/TRUNC(E57,6)</f>
        <v>2190575.2136821155</v>
      </c>
      <c r="G57" s="15">
        <f t="shared" ref="G57" si="160">H57*I57</f>
        <v>8561213.409703292</v>
      </c>
      <c r="H57" s="32">
        <v>0.97063500000000003</v>
      </c>
      <c r="I57" s="15">
        <f>SUMIFS([1]Master!$K$2:$K$10000,[1]Master!$A$2:$A$10000,$I$12,[1]Master!$F$2:$F$10000,"&lt;="&amp;$C57)</f>
        <v>8820219.1448930763</v>
      </c>
      <c r="J57" s="15">
        <f t="shared" ref="J57" si="161">K57*L57</f>
        <v>88092.201658487757</v>
      </c>
      <c r="K57" s="43">
        <v>0.75811850000000003</v>
      </c>
      <c r="L57" s="40">
        <v>116198.45928900001</v>
      </c>
      <c r="M57" s="15">
        <f t="shared" si="3"/>
        <v>0</v>
      </c>
      <c r="N57" s="32">
        <v>0</v>
      </c>
      <c r="O57" s="40">
        <v>0</v>
      </c>
      <c r="P57" s="15">
        <f t="shared" si="4"/>
        <v>25836.561855029388</v>
      </c>
      <c r="Q57" s="32">
        <v>3.6465363000000002</v>
      </c>
      <c r="R57" s="40">
        <v>7085.2336928688701</v>
      </c>
      <c r="S57" s="15">
        <f t="shared" ref="S57" si="162">(((1+0.3%)^(1/252))-1)*D56+SUM(S56)</f>
        <v>899.65705289262996</v>
      </c>
      <c r="T57" s="15">
        <f>IF((NETWORKDAYS(DATE(YEAR(C57),MONTH(C57),1),C57,Feriados!$A$2:$A$842))&gt;=5,0,IF(NETWORKDAYS(DATE(YEAR(C57),MONTH(C57),1),C57,Feriados!$A$2:$A$842)=1,S56,T56))</f>
        <v>0</v>
      </c>
      <c r="U57" s="26">
        <v>0</v>
      </c>
      <c r="V57" s="26">
        <v>0</v>
      </c>
      <c r="W57" s="15">
        <f t="shared" ref="W57" si="163">SUM(G57+J57+M57+P57)</f>
        <v>8675142.1732168086</v>
      </c>
      <c r="X57" s="50">
        <f>'Fluxo de Caixa_'!AD63</f>
        <v>0</v>
      </c>
      <c r="AB57" s="26">
        <v>3065.3746999999998</v>
      </c>
      <c r="AC57" s="26">
        <v>0</v>
      </c>
      <c r="AD57">
        <f>SUMIFS([1]Master!$J$2:$J$100,[1]Master!$A$2:$A$100,"="&amp;$I$12,[1]Master!$E$2:$E$100,"="&amp;C57,[1]Master!$J$2:$J$100,"&gt;"&amp;0)</f>
        <v>0</v>
      </c>
      <c r="AE57">
        <f ca="1">-SUMIF('[1]Fluxo de Movimentações'!$A$5:$F$10001,"="&amp;$C57,'[1]Fluxo de Movimentações'!$H$5:$H$10001)</f>
        <v>0</v>
      </c>
      <c r="AF57" s="26">
        <v>0</v>
      </c>
      <c r="AG57" s="26">
        <v>3457.52</v>
      </c>
      <c r="AH57" s="26">
        <v>0</v>
      </c>
      <c r="AI57" s="26">
        <v>0</v>
      </c>
      <c r="AJ57" s="26"/>
      <c r="AK57" s="26"/>
      <c r="AL57" s="26"/>
      <c r="AM57" s="26">
        <v>0</v>
      </c>
      <c r="AN57">
        <v>0</v>
      </c>
    </row>
    <row r="58" spans="3:40">
      <c r="C58" s="1">
        <v>44939</v>
      </c>
      <c r="D58" s="39">
        <v>8632587.0543000009</v>
      </c>
      <c r="E58" s="32">
        <v>3.9407863000000001</v>
      </c>
      <c r="F58" s="88">
        <f t="shared" ref="F58" si="164">D58/TRUNC(E58,6)</f>
        <v>2190574.9396947715</v>
      </c>
      <c r="G58" s="15">
        <f t="shared" ref="G58" si="165">H58*I58</f>
        <v>8515656.0957980044</v>
      </c>
      <c r="H58" s="32">
        <v>0.96546989999999999</v>
      </c>
      <c r="I58" s="15">
        <f>SUMIFS([1]Master!$K$2:$K$10000,[1]Master!$A$2:$A$10000,$I$12,[1]Master!$F$2:$F$10000,"&lt;="&amp;$C58)</f>
        <v>8820219.1448930763</v>
      </c>
      <c r="J58" s="15">
        <f t="shared" ref="J58" si="166">K58*L58</f>
        <v>85609.505377318987</v>
      </c>
      <c r="K58" s="43">
        <v>0.73675250000000003</v>
      </c>
      <c r="L58" s="40">
        <v>116198.45928900001</v>
      </c>
      <c r="M58" s="15">
        <f t="shared" si="3"/>
        <v>0</v>
      </c>
      <c r="N58" s="32">
        <v>0</v>
      </c>
      <c r="O58" s="40">
        <v>0</v>
      </c>
      <c r="P58" s="15">
        <f t="shared" si="4"/>
        <v>25847.417206057915</v>
      </c>
      <c r="Q58" s="32">
        <v>3.6483648</v>
      </c>
      <c r="R58" s="40">
        <v>7084.65809286887</v>
      </c>
      <c r="S58" s="15">
        <f t="shared" ref="S58" si="167">(((1+0.3%)^(1/252))-1)*D57+SUM(S57)</f>
        <v>1002.8454077397778</v>
      </c>
      <c r="T58" s="15">
        <f>IF((NETWORKDAYS(DATE(YEAR(C58),MONTH(C58),1),C58,Feriados!$A$2:$A$842))&gt;=5,0,IF(NETWORKDAYS(DATE(YEAR(C58),MONTH(C58),1),C58,Feriados!$A$2:$A$842)=1,S57,T57))</f>
        <v>0</v>
      </c>
      <c r="U58" s="26">
        <v>0</v>
      </c>
      <c r="V58" s="26">
        <v>0</v>
      </c>
      <c r="W58" s="15">
        <f t="shared" ref="W58:W59" si="168">SUM(G58+J58+M58+P58)</f>
        <v>8627113.0183813814</v>
      </c>
      <c r="X58" s="50">
        <f>'Fluxo de Caixa_'!AD64</f>
        <v>4.1999987788804454</v>
      </c>
      <c r="AB58" s="26">
        <v>3019.3042999999998</v>
      </c>
      <c r="AC58" s="26">
        <v>0</v>
      </c>
      <c r="AD58">
        <f>SUMIFS([1]Master!$J$2:$J$100,[1]Master!$A$2:$A$100,"="&amp;$I$12,[1]Master!$E$2:$E$100,"="&amp;C58,[1]Master!$J$2:$J$100,"&gt;"&amp;0)</f>
        <v>0</v>
      </c>
      <c r="AE58">
        <f ca="1">-SUMIF('[1]Fluxo de Movimentações'!$A$5:$F$10001,"="&amp;$C58,'[1]Fluxo de Movimentações'!$H$5:$H$10001)</f>
        <v>0</v>
      </c>
      <c r="AF58" s="26">
        <v>0</v>
      </c>
      <c r="AG58" s="26">
        <v>3457.52</v>
      </c>
      <c r="AH58" s="26">
        <v>0</v>
      </c>
      <c r="AI58" s="26">
        <v>0</v>
      </c>
      <c r="AJ58" s="26"/>
      <c r="AK58" s="26"/>
      <c r="AL58" s="26"/>
      <c r="AM58" s="26">
        <v>0</v>
      </c>
      <c r="AN58">
        <v>0</v>
      </c>
    </row>
    <row r="59" spans="3:40">
      <c r="C59" s="1">
        <v>44942</v>
      </c>
      <c r="D59" s="39">
        <v>8552661.6089999992</v>
      </c>
      <c r="E59" s="32">
        <v>3.9043003000000001</v>
      </c>
      <c r="F59" s="88">
        <f t="shared" ref="F59" si="169">D59/TRUNC(E59,6)</f>
        <v>2190574.906897523</v>
      </c>
      <c r="G59" s="15">
        <f t="shared" ref="G59" si="170">H59*I59</f>
        <v>8439126.5823654234</v>
      </c>
      <c r="H59" s="32">
        <v>0.95679329999999996</v>
      </c>
      <c r="I59" s="15">
        <f>SUMIFS([1]Master!$K$2:$K$10000,[1]Master!$A$2:$A$10000,$I$12,[1]Master!$F$2:$F$10000,"&lt;="&amp;$C59)</f>
        <v>8820219.1448930763</v>
      </c>
      <c r="J59" s="15">
        <f t="shared" ref="J59" si="171">K59*L59</f>
        <v>82342.515975333168</v>
      </c>
      <c r="K59" s="43">
        <v>0.70863690000000001</v>
      </c>
      <c r="L59" s="40">
        <v>116198.45928900001</v>
      </c>
      <c r="M59" s="15">
        <f t="shared" si="3"/>
        <v>0</v>
      </c>
      <c r="N59" s="32">
        <v>0</v>
      </c>
      <c r="O59" s="40">
        <v>0</v>
      </c>
      <c r="P59" s="15">
        <f t="shared" si="4"/>
        <v>25860.156129774707</v>
      </c>
      <c r="Q59" s="32">
        <v>3.6501629000000002</v>
      </c>
      <c r="R59" s="40">
        <v>7084.65809286887</v>
      </c>
      <c r="S59" s="15">
        <f t="shared" ref="S59" si="172">(((1+0.3%)^(1/252))-1)*D58+SUM(S58)</f>
        <v>1105.4610654091955</v>
      </c>
      <c r="T59" s="15">
        <f>IF((NETWORKDAYS(DATE(YEAR(C59),MONTH(C59),1),C59,Feriados!$A$2:$A$842))&gt;=5,0,IF(NETWORKDAYS(DATE(YEAR(C59),MONTH(C59),1),C59,Feriados!$A$2:$A$842)=1,S58,T58))</f>
        <v>0</v>
      </c>
      <c r="U59" s="26">
        <v>0</v>
      </c>
      <c r="V59" s="26">
        <v>0</v>
      </c>
      <c r="W59" s="15">
        <f t="shared" si="168"/>
        <v>8547329.2544705328</v>
      </c>
      <c r="X59" s="50">
        <f>'Fluxo de Caixa_'!AD65</f>
        <v>0</v>
      </c>
      <c r="AB59" s="26">
        <v>2980.239</v>
      </c>
      <c r="AC59" s="26">
        <v>0</v>
      </c>
      <c r="AD59">
        <f>SUMIFS([1]Master!$J$2:$J$100,[1]Master!$A$2:$A$100,"="&amp;$I$12,[1]Master!$E$2:$E$100,"="&amp;C59,[1]Master!$J$2:$J$100,"&gt;"&amp;0)</f>
        <v>0</v>
      </c>
      <c r="AE59">
        <f ca="1">-SUMIF('[1]Fluxo de Movimentações'!$A$5:$F$10001,"="&amp;$C59,'[1]Fluxo de Movimentações'!$H$5:$H$10001)</f>
        <v>0</v>
      </c>
      <c r="AF59" s="26">
        <v>0</v>
      </c>
      <c r="AG59" s="26">
        <v>3457.52</v>
      </c>
      <c r="AH59" s="26">
        <v>0</v>
      </c>
      <c r="AI59" s="26">
        <v>0</v>
      </c>
      <c r="AJ59" s="26"/>
      <c r="AK59" s="26"/>
      <c r="AL59" s="26"/>
      <c r="AM59" s="26">
        <v>0</v>
      </c>
      <c r="AN59">
        <v>0</v>
      </c>
    </row>
    <row r="60" spans="3:40">
      <c r="C60" s="1">
        <v>44943</v>
      </c>
      <c r="D60" s="39">
        <v>8652178.1024999991</v>
      </c>
      <c r="E60" s="32">
        <v>3.9497296999999998</v>
      </c>
      <c r="F60" s="88">
        <f t="shared" ref="F60" si="173">D60/TRUNC(E60,6)</f>
        <v>2190575.1261668834</v>
      </c>
      <c r="G60" s="15">
        <f t="shared" ref="G60" si="174">H60*I60</f>
        <v>8538118.5478943028</v>
      </c>
      <c r="H60" s="32">
        <v>0.9680166</v>
      </c>
      <c r="I60" s="15">
        <f>SUMIFS([1]Master!$K$2:$K$10000,[1]Master!$A$2:$A$10000,$I$12,[1]Master!$F$2:$F$10000,"&lt;="&amp;$C60)</f>
        <v>8820219.1448930763</v>
      </c>
      <c r="J60" s="15">
        <f t="shared" ref="J60" si="175">K60*L60</f>
        <v>82995.214341005398</v>
      </c>
      <c r="K60" s="43">
        <v>0.71425399999999994</v>
      </c>
      <c r="L60" s="40">
        <v>116198.45928900001</v>
      </c>
      <c r="M60" s="15">
        <f t="shared" si="3"/>
        <v>0</v>
      </c>
      <c r="N60" s="32">
        <v>0</v>
      </c>
      <c r="O60" s="40">
        <v>0</v>
      </c>
      <c r="P60" s="15">
        <f t="shared" si="4"/>
        <v>25872.797993675616</v>
      </c>
      <c r="Q60" s="32">
        <v>3.6519472999999998</v>
      </c>
      <c r="R60" s="40">
        <v>7084.65809286887</v>
      </c>
      <c r="S60" s="15">
        <f t="shared" ref="S60" si="176">(((1+0.3%)^(1/252))-1)*D59+SUM(S59)</f>
        <v>1207.1266484274813</v>
      </c>
      <c r="T60" s="15">
        <f>IF((NETWORKDAYS(DATE(YEAR(C60),MONTH(C60),1),C60,Feriados!$A$2:$A$842))&gt;=5,0,IF(NETWORKDAYS(DATE(YEAR(C60),MONTH(C60),1),C60,Feriados!$A$2:$A$842)=1,S59,T59))</f>
        <v>0</v>
      </c>
      <c r="U60" s="26">
        <v>0</v>
      </c>
      <c r="V60" s="26">
        <v>0</v>
      </c>
      <c r="W60" s="15">
        <f t="shared" ref="W60" si="177">SUM(G60+J60+M60+P60)</f>
        <v>8646986.5602289829</v>
      </c>
      <c r="X60" s="50">
        <f>'Fluxo de Caixa_'!AD66</f>
        <v>0</v>
      </c>
      <c r="AB60" s="26">
        <v>2941.0825</v>
      </c>
      <c r="AC60" s="26">
        <v>0</v>
      </c>
      <c r="AD60">
        <f>SUMIFS([1]Master!$J$2:$J$100,[1]Master!$A$2:$A$100,"="&amp;$I$12,[1]Master!$E$2:$E$100,"="&amp;C60,[1]Master!$J$2:$J$100,"&gt;"&amp;0)</f>
        <v>0</v>
      </c>
      <c r="AE60">
        <f ca="1">-SUMIF('[1]Fluxo de Movimentações'!$A$5:$F$10001,"="&amp;$C60,'[1]Fluxo de Movimentações'!$H$5:$H$10001)</f>
        <v>0</v>
      </c>
      <c r="AF60" s="26">
        <v>0</v>
      </c>
      <c r="AG60" s="26">
        <v>3457.52</v>
      </c>
      <c r="AH60" s="26">
        <v>0</v>
      </c>
      <c r="AI60" s="26">
        <v>0</v>
      </c>
      <c r="AJ60" s="26"/>
      <c r="AK60" s="26"/>
      <c r="AL60" s="26"/>
      <c r="AM60" s="26">
        <v>0</v>
      </c>
      <c r="AN60">
        <v>0</v>
      </c>
    </row>
    <row r="61" spans="3:40">
      <c r="C61" s="1">
        <v>44944</v>
      </c>
      <c r="D61" s="39">
        <v>8684425.5859999992</v>
      </c>
      <c r="E61" s="32">
        <v>3.9644507</v>
      </c>
      <c r="F61" s="88">
        <f t="shared" ref="F61" si="178">D61/TRUNC(E61,6)</f>
        <v>2190575.1329944883</v>
      </c>
      <c r="G61" s="15">
        <f t="shared" ref="G61" si="179">H61*I61</f>
        <v>8568013.7986640036</v>
      </c>
      <c r="H61" s="32">
        <v>0.97140599999999999</v>
      </c>
      <c r="I61" s="15">
        <f>SUMIFS([1]Master!$K$2:$K$10000,[1]Master!$A$2:$A$10000,$I$12,[1]Master!$F$2:$F$10000,"&lt;="&amp;$C61)</f>
        <v>8820219.1448930763</v>
      </c>
      <c r="J61" s="15">
        <f t="shared" ref="J61" si="180">K61*L61</f>
        <v>85476.84159634872</v>
      </c>
      <c r="K61" s="43">
        <v>0.73561080000000001</v>
      </c>
      <c r="L61" s="40">
        <v>116198.45928900001</v>
      </c>
      <c r="M61" s="15">
        <f t="shared" si="3"/>
        <v>0</v>
      </c>
      <c r="N61" s="32">
        <v>0</v>
      </c>
      <c r="O61" s="40">
        <v>0</v>
      </c>
      <c r="P61" s="15">
        <f t="shared" si="4"/>
        <v>25885.399475025402</v>
      </c>
      <c r="Q61" s="32">
        <v>3.6537259999999998</v>
      </c>
      <c r="R61" s="40">
        <v>7084.65809286887</v>
      </c>
      <c r="S61" s="15">
        <f t="shared" ref="S61" si="181">(((1+0.3%)^(1/252))-1)*D60+SUM(S60)</f>
        <v>1309.9751851032538</v>
      </c>
      <c r="T61" s="15">
        <f>IF((NETWORKDAYS(DATE(YEAR(C61),MONTH(C61),1),C61,Feriados!$A$2:$A$842))&gt;=5,0,IF(NETWORKDAYS(DATE(YEAR(C61),MONTH(C61),1),C61,Feriados!$A$2:$A$842)=1,S60,T60))</f>
        <v>0</v>
      </c>
      <c r="U61" s="26">
        <v>0</v>
      </c>
      <c r="V61" s="26">
        <v>0</v>
      </c>
      <c r="W61" s="15">
        <f t="shared" ref="W61" si="182">SUM(G61+J61+M61+P61)</f>
        <v>8679376.0397353768</v>
      </c>
      <c r="X61" s="50">
        <f>'Fluxo de Caixa_'!AD67</f>
        <v>0</v>
      </c>
      <c r="AB61" s="26">
        <v>2901.9259999999999</v>
      </c>
      <c r="AC61" s="26">
        <v>0</v>
      </c>
      <c r="AD61">
        <f>SUMIFS([1]Master!$J$2:$J$100,[1]Master!$A$2:$A$100,"="&amp;$I$12,[1]Master!$E$2:$E$100,"="&amp;C61,[1]Master!$J$2:$J$100,"&gt;"&amp;0)</f>
        <v>0</v>
      </c>
      <c r="AE61">
        <f ca="1">-SUMIF('[1]Fluxo de Movimentações'!$A$5:$F$10001,"="&amp;$C61,'[1]Fluxo de Movimentações'!$H$5:$H$10001)</f>
        <v>0</v>
      </c>
      <c r="AF61" s="26">
        <v>0</v>
      </c>
      <c r="AG61" s="26">
        <v>3457.52</v>
      </c>
      <c r="AH61" s="26">
        <v>0</v>
      </c>
      <c r="AI61" s="26">
        <v>0</v>
      </c>
      <c r="AJ61" s="26"/>
      <c r="AK61" s="26"/>
      <c r="AL61" s="26"/>
      <c r="AM61" s="26">
        <v>0</v>
      </c>
      <c r="AN61">
        <v>0</v>
      </c>
    </row>
    <row r="62" spans="3:40">
      <c r="C62" s="1">
        <v>44945</v>
      </c>
      <c r="D62" s="39">
        <v>8733735.6195</v>
      </c>
      <c r="E62" s="32">
        <v>3.9869607999999999</v>
      </c>
      <c r="F62" s="88">
        <f t="shared" ref="F62" si="183">D62/TRUNC(E62,6)</f>
        <v>2190575.1799616753</v>
      </c>
      <c r="G62" s="15">
        <f t="shared" ref="G62" si="184">H62*I62</f>
        <v>8617323.2337935288</v>
      </c>
      <c r="H62" s="32">
        <v>0.97699650000000005</v>
      </c>
      <c r="I62" s="15">
        <f>SUMIFS([1]Master!$K$2:$K$10000,[1]Master!$A$2:$A$10000,$I$12,[1]Master!$F$2:$F$10000,"&lt;="&amp;$C62)</f>
        <v>8820219.1448930763</v>
      </c>
      <c r="J62" s="15">
        <f t="shared" ref="J62" si="185">K62*L62</f>
        <v>85607.007110444261</v>
      </c>
      <c r="K62" s="43">
        <v>0.73673100000000002</v>
      </c>
      <c r="L62" s="40">
        <v>116198.45928900001</v>
      </c>
      <c r="M62" s="15">
        <f t="shared" si="3"/>
        <v>0</v>
      </c>
      <c r="N62" s="32">
        <v>0</v>
      </c>
      <c r="O62" s="40">
        <v>0</v>
      </c>
      <c r="P62" s="15">
        <f t="shared" si="4"/>
        <v>25898.221997707686</v>
      </c>
      <c r="Q62" s="32">
        <v>3.6555358999999998</v>
      </c>
      <c r="R62" s="40">
        <v>7084.65809286887</v>
      </c>
      <c r="S62" s="15">
        <f t="shared" ref="S62" si="186">(((1+0.3%)^(1/252))-1)*D61+SUM(S61)</f>
        <v>1413.2070479715942</v>
      </c>
      <c r="T62" s="15">
        <f>IF((NETWORKDAYS(DATE(YEAR(C62),MONTH(C62),1),C62,Feriados!$A$2:$A$842))&gt;=5,0,IF(NETWORKDAYS(DATE(YEAR(C62),MONTH(C62),1),C62,Feriados!$A$2:$A$842)=1,S61,T61))</f>
        <v>0</v>
      </c>
      <c r="U62" s="26">
        <v>0</v>
      </c>
      <c r="V62" s="26">
        <v>0</v>
      </c>
      <c r="W62" s="15">
        <f t="shared" ref="W62" si="187">SUM(G62+J62+M62+P62)</f>
        <v>8728828.4629016817</v>
      </c>
      <c r="X62" s="50">
        <f>'Fluxo de Caixa_'!AD68</f>
        <v>0</v>
      </c>
      <c r="AB62" s="26">
        <v>2862.7694999999999</v>
      </c>
      <c r="AC62" s="26">
        <v>0</v>
      </c>
      <c r="AD62">
        <f>SUMIFS([1]Master!$J$2:$J$100,[1]Master!$A$2:$A$100,"="&amp;$I$12,[1]Master!$E$2:$E$100,"="&amp;C62,[1]Master!$J$2:$J$100,"&gt;"&amp;0)</f>
        <v>0</v>
      </c>
      <c r="AE62">
        <f ca="1">-SUMIF('[1]Fluxo de Movimentações'!$A$5:$F$10001,"="&amp;$C62,'[1]Fluxo de Movimentações'!$H$5:$H$10001)</f>
        <v>0</v>
      </c>
      <c r="AF62" s="26">
        <v>0</v>
      </c>
      <c r="AG62" s="26">
        <v>3457.52</v>
      </c>
      <c r="AH62" s="26">
        <v>0</v>
      </c>
      <c r="AI62" s="26">
        <v>0</v>
      </c>
      <c r="AJ62" s="26"/>
      <c r="AK62" s="26"/>
      <c r="AL62" s="26"/>
      <c r="AM62" s="26">
        <v>0</v>
      </c>
      <c r="AN62">
        <v>0</v>
      </c>
    </row>
    <row r="63" spans="3:40">
      <c r="C63" s="1">
        <v>44946</v>
      </c>
      <c r="D63" s="39">
        <v>8658205.3929999992</v>
      </c>
      <c r="E63" s="32">
        <v>3.9524811</v>
      </c>
      <c r="F63" s="88">
        <f t="shared" ref="F63" si="188">D63/TRUNC(E63,6)</f>
        <v>2190574.8295817231</v>
      </c>
      <c r="G63" s="15">
        <f t="shared" ref="G63" si="189">H63*I63</f>
        <v>8543229.8648887686</v>
      </c>
      <c r="H63" s="32">
        <v>0.96859609999999996</v>
      </c>
      <c r="I63" s="15">
        <f>SUMIFS([1]Master!$K$2:$K$10000,[1]Master!$A$2:$A$10000,$I$12,[1]Master!$F$2:$F$10000,"&lt;="&amp;$C63)</f>
        <v>8820219.1448930763</v>
      </c>
      <c r="J63" s="15">
        <f t="shared" ref="J63" si="190">K63*L63</f>
        <v>84300.157898358666</v>
      </c>
      <c r="K63" s="43">
        <v>0.72548429999999997</v>
      </c>
      <c r="L63" s="40">
        <v>116198.45928900001</v>
      </c>
      <c r="M63" s="15">
        <f t="shared" si="3"/>
        <v>0</v>
      </c>
      <c r="N63" s="32">
        <v>0</v>
      </c>
      <c r="O63" s="40">
        <v>0</v>
      </c>
      <c r="P63" s="15">
        <f t="shared" si="4"/>
        <v>25911.180545825355</v>
      </c>
      <c r="Q63" s="32">
        <v>3.657365</v>
      </c>
      <c r="R63" s="40">
        <v>7084.65809286887</v>
      </c>
      <c r="S63" s="15">
        <f t="shared" ref="S63" si="191">(((1+0.3%)^(1/252))-1)*D62+SUM(S62)</f>
        <v>1517.0250597528243</v>
      </c>
      <c r="T63" s="15">
        <f>IF((NETWORKDAYS(DATE(YEAR(C63),MONTH(C63),1),C63,Feriados!$A$2:$A$842))&gt;=5,0,IF(NETWORKDAYS(DATE(YEAR(C63),MONTH(C63),1),C63,Feriados!$A$2:$A$842)=1,S62,T62))</f>
        <v>0</v>
      </c>
      <c r="U63" s="26">
        <v>0</v>
      </c>
      <c r="V63" s="26">
        <v>0</v>
      </c>
      <c r="W63" s="15">
        <f t="shared" ref="W63" si="192">SUM(G63+J63+M63+P63)</f>
        <v>8653441.2033329532</v>
      </c>
      <c r="X63" s="50">
        <f>'Fluxo de Caixa_'!AD69</f>
        <v>0</v>
      </c>
      <c r="AB63" s="26">
        <v>2823.6129999999998</v>
      </c>
      <c r="AC63" s="26">
        <v>0</v>
      </c>
      <c r="AD63">
        <f>SUMIFS([1]Master!$J$2:$J$100,[1]Master!$A$2:$A$100,"="&amp;$I$12,[1]Master!$E$2:$E$100,"="&amp;C63,[1]Master!$J$2:$J$100,"&gt;"&amp;0)</f>
        <v>0</v>
      </c>
      <c r="AE63">
        <f ca="1">-SUMIF('[1]Fluxo de Movimentações'!$A$5:$F$10001,"="&amp;$C63,'[1]Fluxo de Movimentações'!$H$5:$H$10001)</f>
        <v>0</v>
      </c>
      <c r="AF63" s="26">
        <v>0</v>
      </c>
      <c r="AG63" s="26">
        <v>3457.52</v>
      </c>
      <c r="AH63" s="26">
        <v>0</v>
      </c>
      <c r="AI63" s="26">
        <v>0</v>
      </c>
      <c r="AJ63" s="26"/>
      <c r="AK63" s="26"/>
      <c r="AL63" s="26"/>
      <c r="AM63" s="26">
        <v>0</v>
      </c>
      <c r="AN63">
        <v>0</v>
      </c>
    </row>
    <row r="64" spans="3:40">
      <c r="C64" s="1">
        <f>WORKDAY($C63,1,Feriados!B51:B891)</f>
        <v>44949</v>
      </c>
      <c r="D64" s="39">
        <v>8618720.8864999991</v>
      </c>
      <c r="E64" s="32">
        <v>3.9344564000000002</v>
      </c>
      <c r="F64" s="88">
        <f t="shared" ref="F64" si="193">D64/TRUNC(E64,6)</f>
        <v>2190574.983301376</v>
      </c>
      <c r="G64" s="15">
        <f t="shared" ref="G64" si="194">H64*I64</f>
        <v>8505443.164050132</v>
      </c>
      <c r="H64" s="32">
        <v>0.96431199999999995</v>
      </c>
      <c r="I64" s="15">
        <f>SUMIFS([1]Master!$K$2:$K$10000,[1]Master!$A$2:$A$10000,$I$12,[1]Master!$F$2:$F$10000,"&lt;="&amp;$C64)</f>
        <v>8820219.1448930763</v>
      </c>
      <c r="J64" s="15">
        <f t="shared" ref="J64" si="195">K64*L64</f>
        <v>82731.095243041505</v>
      </c>
      <c r="K64" s="43">
        <v>0.71198099999999998</v>
      </c>
      <c r="L64" s="40">
        <v>116198.45928900001</v>
      </c>
      <c r="M64" s="15">
        <f t="shared" si="3"/>
        <v>0</v>
      </c>
      <c r="N64" s="32">
        <v>0</v>
      </c>
      <c r="O64" s="40">
        <v>0</v>
      </c>
      <c r="P64" s="15">
        <f t="shared" si="4"/>
        <v>25924.511746958706</v>
      </c>
      <c r="Q64" s="32">
        <v>3.6592467000000002</v>
      </c>
      <c r="R64" s="40">
        <v>7084.65809286887</v>
      </c>
      <c r="S64" s="15">
        <f t="shared" ref="S64:S65" si="196">(((1+0.3%)^(1/252))-1)*D63+SUM(S63)</f>
        <v>1619.9452428973473</v>
      </c>
      <c r="T64" s="15">
        <f>IF((NETWORKDAYS(DATE(YEAR(C64),MONTH(C64),1),C64,Feriados!$A$2:$A$842))&gt;=5,0,IF(NETWORKDAYS(DATE(YEAR(C64),MONTH(C64),1),C64,Feriados!$A$2:$A$842)=1,S63,T63))</f>
        <v>0</v>
      </c>
      <c r="U64" s="26">
        <v>0</v>
      </c>
      <c r="V64" s="26">
        <v>0</v>
      </c>
      <c r="W64" s="15">
        <f t="shared" ref="W64" si="197">SUM(G64+J64+M64+P64)</f>
        <v>8614098.7710401323</v>
      </c>
      <c r="X64" s="50">
        <f>'Fluxo de Caixa_'!AD70</f>
        <v>0</v>
      </c>
      <c r="AB64" s="26">
        <v>2784.4564999999998</v>
      </c>
      <c r="AC64" s="26">
        <v>0</v>
      </c>
      <c r="AD64">
        <f>SUMIFS([1]Master!$J$2:$J$100,[1]Master!$A$2:$A$100,"="&amp;$I$12,[1]Master!$E$2:$E$100,"="&amp;C64,[1]Master!$J$2:$J$100,"&gt;"&amp;0)</f>
        <v>0</v>
      </c>
      <c r="AE64">
        <f ca="1">-SUMIF('[1]Fluxo de Movimentações'!$A$5:$F$10001,"="&amp;$C64,'[1]Fluxo de Movimentações'!$H$5:$H$10001)</f>
        <v>0</v>
      </c>
      <c r="AF64" s="26">
        <v>0</v>
      </c>
      <c r="AG64" s="26">
        <v>3457.52</v>
      </c>
      <c r="AH64" s="26">
        <v>0</v>
      </c>
      <c r="AI64" s="26">
        <v>0</v>
      </c>
      <c r="AJ64" s="26"/>
      <c r="AK64" s="26"/>
      <c r="AL64" s="26"/>
      <c r="AM64" s="26">
        <v>0</v>
      </c>
      <c r="AN64">
        <v>0</v>
      </c>
    </row>
    <row r="65" spans="3:40">
      <c r="C65" s="1">
        <f>WORKDAY($C64,1,Feriados!B52:B892)</f>
        <v>44950</v>
      </c>
      <c r="D65" s="39">
        <v>8757072.3800000008</v>
      </c>
      <c r="E65" s="32">
        <v>3.997614</v>
      </c>
      <c r="F65" s="88">
        <f t="shared" ref="F65" si="198">D65/TRUNC(E65,6)</f>
        <v>2190574.7728520064</v>
      </c>
      <c r="G65" s="15">
        <f t="shared" ref="G65" si="199">H65*I65</f>
        <v>8642870.9985467121</v>
      </c>
      <c r="H65" s="32">
        <v>0.97989300000000001</v>
      </c>
      <c r="I65" s="15">
        <f>SUMIFS([1]Master!$K$2:$K$10000,[1]Master!$A$2:$A$10000,$I$12,[1]Master!$F$2:$F$10000,"&lt;="&amp;$C65)</f>
        <v>8820219.1448930763</v>
      </c>
      <c r="J65" s="15">
        <f t="shared" ref="J65" si="200">K65*L65</f>
        <v>83783.597647589413</v>
      </c>
      <c r="K65" s="43">
        <v>0.72103879999999998</v>
      </c>
      <c r="L65" s="40">
        <v>116198.45928900001</v>
      </c>
      <c r="M65" s="15">
        <f t="shared" si="3"/>
        <v>0</v>
      </c>
      <c r="N65" s="32">
        <v>0</v>
      </c>
      <c r="O65" s="40">
        <v>0</v>
      </c>
      <c r="P65" s="15">
        <f t="shared" si="4"/>
        <v>25937.270507718153</v>
      </c>
      <c r="Q65" s="32">
        <v>3.6610475999999998</v>
      </c>
      <c r="R65" s="40">
        <v>7084.65809286887</v>
      </c>
      <c r="S65" s="15">
        <f t="shared" si="196"/>
        <v>1722.3960732769617</v>
      </c>
      <c r="T65" s="15">
        <f>IF((NETWORKDAYS(DATE(YEAR(C65),MONTH(C65),1),C65,Feriados!$A$2:$A$842))&gt;=5,0,IF(NETWORKDAYS(DATE(YEAR(C65),MONTH(C65),1),C65,Feriados!$A$2:$A$842)=1,S64,T64))</f>
        <v>0</v>
      </c>
      <c r="U65" s="26">
        <v>0</v>
      </c>
      <c r="V65" s="26">
        <v>0</v>
      </c>
      <c r="W65" s="15">
        <f t="shared" ref="W65" si="201">SUM(G65+J65+M65+P65)</f>
        <v>8752591.8667020183</v>
      </c>
      <c r="X65" s="50">
        <f>'Fluxo de Caixa_'!AD71</f>
        <v>0</v>
      </c>
      <c r="AB65" s="26">
        <v>2745.3</v>
      </c>
      <c r="AC65" s="26">
        <v>0</v>
      </c>
      <c r="AD65">
        <f>SUMIFS([1]Master!$J$2:$J$100,[1]Master!$A$2:$A$100,"="&amp;$I$12,[1]Master!$E$2:$E$100,"="&amp;C65,[1]Master!$J$2:$J$100,"&gt;"&amp;0)</f>
        <v>0</v>
      </c>
      <c r="AE65">
        <f ca="1">-SUMIF('[1]Fluxo de Movimentações'!$A$5:$F$10001,"="&amp;$C65,'[1]Fluxo de Movimentações'!$H$5:$H$10001)</f>
        <v>0</v>
      </c>
      <c r="AF65" s="26">
        <v>0</v>
      </c>
      <c r="AG65" s="26">
        <v>3457.52</v>
      </c>
      <c r="AH65" s="26">
        <v>0</v>
      </c>
      <c r="AI65" s="26">
        <v>0</v>
      </c>
      <c r="AJ65" s="26"/>
      <c r="AK65" s="26"/>
      <c r="AL65" s="26"/>
      <c r="AM65" s="26">
        <v>0</v>
      </c>
      <c r="AN65">
        <v>0</v>
      </c>
    </row>
    <row r="66" spans="3:40">
      <c r="C66" s="1">
        <f>WORKDAY($C65,1,Feriados!B53:B893)</f>
        <v>44951</v>
      </c>
      <c r="D66" s="39">
        <v>8837813.4134999998</v>
      </c>
      <c r="E66" s="32">
        <v>4.0344724000000003</v>
      </c>
      <c r="F66" s="88">
        <f t="shared" ref="F66" si="202">D66/TRUNC(E66,6)</f>
        <v>2190574.9782127622</v>
      </c>
      <c r="G66" s="15">
        <f t="shared" ref="G66" si="203">H66*I66</f>
        <v>8722950.65018511</v>
      </c>
      <c r="H66" s="32">
        <v>0.98897210000000002</v>
      </c>
      <c r="I66" s="15">
        <f>SUMIFS([1]Master!$K$2:$K$10000,[1]Master!$A$2:$A$10000,$I$12,[1]Master!$F$2:$F$10000,"&lt;="&amp;$C66)</f>
        <v>8820219.1448930763</v>
      </c>
      <c r="J66" s="15">
        <f t="shared" ref="J66" si="204">K66*L66</f>
        <v>84574.978874423075</v>
      </c>
      <c r="K66" s="43">
        <v>0.72784939999999998</v>
      </c>
      <c r="L66" s="40">
        <v>116198.45928900001</v>
      </c>
      <c r="M66" s="15">
        <f t="shared" si="3"/>
        <v>0</v>
      </c>
      <c r="N66" s="32">
        <v>0</v>
      </c>
      <c r="O66" s="40">
        <v>0</v>
      </c>
      <c r="P66" s="15">
        <f t="shared" si="4"/>
        <v>25950.524486078295</v>
      </c>
      <c r="Q66" s="32">
        <v>3.6629184000000001</v>
      </c>
      <c r="R66" s="40">
        <v>7084.65809286887</v>
      </c>
      <c r="S66" s="15">
        <f t="shared" ref="S66" si="205">(((1+0.3%)^(1/252))-1)*D65+SUM(S65)</f>
        <v>1826.4914893880316</v>
      </c>
      <c r="T66" s="15">
        <f>IF((NETWORKDAYS(DATE(YEAR(C66),MONTH(C66),1),C66,Feriados!$A$2:$A$842))&gt;=5,0,IF(NETWORKDAYS(DATE(YEAR(C66),MONTH(C66),1),C66,Feriados!$A$2:$A$842)=1,S65,T65))</f>
        <v>0</v>
      </c>
      <c r="U66" s="26">
        <v>0</v>
      </c>
      <c r="V66" s="26">
        <v>0</v>
      </c>
      <c r="W66" s="15">
        <f t="shared" ref="W66" si="206">SUM(G66+J66+M66+P66)</f>
        <v>8833476.1535456106</v>
      </c>
      <c r="X66" s="50">
        <f>'Fluxo de Caixa_'!AD72</f>
        <v>0</v>
      </c>
      <c r="AB66" s="26">
        <v>2706.1435000000001</v>
      </c>
      <c r="AC66" s="26">
        <v>0</v>
      </c>
      <c r="AD66">
        <f>SUMIFS([1]Master!$J$2:$J$100,[1]Master!$A$2:$A$100,"="&amp;$I$12,[1]Master!$E$2:$E$100,"="&amp;C66,[1]Master!$J$2:$J$100,"&gt;"&amp;0)</f>
        <v>0</v>
      </c>
      <c r="AE66">
        <f ca="1">-SUMIF('[1]Fluxo de Movimentações'!$A$5:$F$10001,"="&amp;$C66,'[1]Fluxo de Movimentações'!$H$5:$H$10001)</f>
        <v>0</v>
      </c>
      <c r="AF66" s="26">
        <v>0</v>
      </c>
      <c r="AG66" s="26">
        <v>3457.52</v>
      </c>
      <c r="AH66" s="26">
        <v>0</v>
      </c>
      <c r="AI66" s="26">
        <v>0</v>
      </c>
      <c r="AJ66" s="26"/>
      <c r="AK66" s="68">
        <v>4.0344724000000003</v>
      </c>
      <c r="AL66" s="26"/>
      <c r="AM66" s="26">
        <v>0</v>
      </c>
      <c r="AN66">
        <v>0</v>
      </c>
    </row>
    <row r="67" spans="3:40">
      <c r="C67" s="1">
        <f>WORKDAY($C66,1,Feriados!B54:B894)</f>
        <v>44952</v>
      </c>
      <c r="D67" s="39">
        <v>8864919.2770000007</v>
      </c>
      <c r="E67" s="32">
        <v>4.0468463000000003</v>
      </c>
      <c r="F67" s="88">
        <f t="shared" ref="F67" si="207">D67/TRUNC(E67,6)</f>
        <v>2190574.9012935013</v>
      </c>
      <c r="G67" s="15">
        <f t="shared" ref="G67" si="208">H67*I67</f>
        <v>8749628.2850107532</v>
      </c>
      <c r="H67" s="32">
        <v>0.99199669999999995</v>
      </c>
      <c r="I67" s="15">
        <f>SUMIFS([1]Master!$K$2:$K$10000,[1]Master!$A$2:$A$10000,$I$12,[1]Master!$F$2:$F$10000,"&lt;="&amp;$C67)</f>
        <v>8820219.1448930763</v>
      </c>
      <c r="J67" s="15">
        <f t="shared" ref="J67" si="209">K67*L67</f>
        <v>85499.128460840351</v>
      </c>
      <c r="K67" s="43">
        <v>0.73580259999999997</v>
      </c>
      <c r="L67" s="40">
        <v>116198.45928900001</v>
      </c>
      <c r="M67" s="15">
        <f t="shared" si="3"/>
        <v>0</v>
      </c>
      <c r="N67" s="32">
        <v>0</v>
      </c>
      <c r="O67" s="40">
        <v>0</v>
      </c>
      <c r="P67" s="15">
        <f t="shared" si="4"/>
        <v>25964.046972980152</v>
      </c>
      <c r="Q67" s="32">
        <v>3.6648271000000001</v>
      </c>
      <c r="R67" s="40">
        <v>7084.65809286887</v>
      </c>
      <c r="S67" s="15">
        <f>(((1+1.35%)^(1/252))-1)*D66+SUM(S66)</f>
        <v>2296.7909501016829</v>
      </c>
      <c r="T67" s="15">
        <f>IF((NETWORKDAYS(DATE(YEAR(C67),MONTH(C67),1),C67,Feriados!$A$2:$A$842))&gt;=5,0,IF(NETWORKDAYS(DATE(YEAR(C67),MONTH(C67),1),C67,Feriados!$A$2:$A$842)=1,S66,T66))</f>
        <v>0</v>
      </c>
      <c r="U67" s="26">
        <v>0</v>
      </c>
      <c r="V67" s="26">
        <v>0</v>
      </c>
      <c r="W67" s="15">
        <f t="shared" ref="W67" si="210">SUM(G67+J67+M67+P67)</f>
        <v>8861091.4604445752</v>
      </c>
      <c r="X67" s="50">
        <f>'Fluxo de Caixa_'!AD73</f>
        <v>0</v>
      </c>
      <c r="AB67" s="26">
        <v>2666.9870000000001</v>
      </c>
      <c r="AC67" s="26">
        <v>0</v>
      </c>
      <c r="AD67">
        <f>SUMIFS([1]Master!$J$2:$J$100,[1]Master!$A$2:$A$100,"="&amp;$I$12,[1]Master!$E$2:$E$100,"="&amp;C67,[1]Master!$J$2:$J$100,"&gt;"&amp;0)</f>
        <v>0</v>
      </c>
      <c r="AE67">
        <f ca="1">-SUMIF('[1]Fluxo de Movimentações'!$A$5:$F$10001,"="&amp;$C67,'[1]Fluxo de Movimentações'!$H$5:$H$10001)</f>
        <v>0</v>
      </c>
      <c r="AF67" s="26">
        <v>0</v>
      </c>
      <c r="AG67" s="26">
        <v>3457.52</v>
      </c>
      <c r="AH67" s="26">
        <v>0</v>
      </c>
      <c r="AI67" s="26">
        <v>0</v>
      </c>
      <c r="AJ67" s="26">
        <v>0</v>
      </c>
      <c r="AK67" s="68">
        <v>4.0468463000000003</v>
      </c>
      <c r="AL67" s="26"/>
      <c r="AM67" s="26">
        <v>0</v>
      </c>
      <c r="AN67">
        <v>0</v>
      </c>
    </row>
    <row r="68" spans="3:40">
      <c r="C68" s="1">
        <f>WORKDAY($C67,1,Feriados!B55:B895)</f>
        <v>44953</v>
      </c>
      <c r="D68" s="39">
        <v>8825053.1005000006</v>
      </c>
      <c r="E68" s="32">
        <v>4.0286473000000003</v>
      </c>
      <c r="F68" s="88">
        <f t="shared" ref="F68" si="211">D68/TRUNC(E68,6)</f>
        <v>2190574.9251547726</v>
      </c>
      <c r="G68" s="15">
        <f t="shared" ref="G68" si="212">H68*I68</f>
        <v>8710394.1862104405</v>
      </c>
      <c r="H68" s="32">
        <v>0.98754850000000005</v>
      </c>
      <c r="I68" s="15">
        <f>SUMIFS([1]Master!$K$2:$K$10000,[1]Master!$A$2:$A$10000,$I$12,[1]Master!$F$2:$F$10000,"&lt;="&amp;$C68)</f>
        <v>8820219.1448930763</v>
      </c>
      <c r="J68" s="15">
        <f t="shared" ref="J68" si="213">K68*L68</f>
        <v>85365.198116663858</v>
      </c>
      <c r="K68" s="43">
        <v>0.73465000000000003</v>
      </c>
      <c r="L68" s="40">
        <v>116198.45928900001</v>
      </c>
      <c r="M68" s="15">
        <f t="shared" si="3"/>
        <v>0</v>
      </c>
      <c r="N68" s="32">
        <v>0</v>
      </c>
      <c r="O68" s="40">
        <v>0</v>
      </c>
      <c r="P68" s="15">
        <f t="shared" si="4"/>
        <v>25976.800066013126</v>
      </c>
      <c r="Q68" s="32">
        <v>3.6666272000000002</v>
      </c>
      <c r="R68" s="40">
        <v>7084.65809286887</v>
      </c>
      <c r="S68" s="15">
        <f>(((1+1.35%)^(1/252))-1)*D67+SUM(S67)</f>
        <v>2768.5328346808074</v>
      </c>
      <c r="T68" s="15">
        <f>IF((NETWORKDAYS(DATE(YEAR(C68),MONTH(C68),1),C68,Feriados!$A$2:$A$842))&gt;=5,0,IF(NETWORKDAYS(DATE(YEAR(C68),MONTH(C68),1),C68,Feriados!$A$2:$A$842)=1,S67,T67))</f>
        <v>0</v>
      </c>
      <c r="U68" s="26">
        <v>0</v>
      </c>
      <c r="V68" s="26">
        <v>0</v>
      </c>
      <c r="W68" s="15">
        <f t="shared" ref="W68" si="214">SUM(G68+J68+M68+P68)</f>
        <v>8821736.1843931172</v>
      </c>
      <c r="X68" s="50">
        <f>'Fluxo de Caixa_'!AD74</f>
        <v>0</v>
      </c>
      <c r="AB68" s="26">
        <v>2627.8305</v>
      </c>
      <c r="AC68" s="26">
        <v>0</v>
      </c>
      <c r="AD68">
        <f>SUMIFS([1]Master!$J$2:$J$100,[1]Master!$A$2:$A$100,"="&amp;$I$12,[1]Master!$E$2:$E$100,"="&amp;C68,[1]Master!$J$2:$J$100,"&gt;"&amp;0)</f>
        <v>0</v>
      </c>
      <c r="AE68">
        <f ca="1">-SUMIF('[1]Fluxo de Movimentações'!$A$5:$F$10001,"="&amp;$C68,'[1]Fluxo de Movimentações'!$H$5:$H$10001)</f>
        <v>0</v>
      </c>
      <c r="AF68" s="26">
        <v>0</v>
      </c>
      <c r="AG68" s="26">
        <v>3457.52</v>
      </c>
      <c r="AH68" s="26">
        <v>0</v>
      </c>
      <c r="AI68" s="26">
        <v>0</v>
      </c>
      <c r="AJ68" s="26">
        <v>0</v>
      </c>
      <c r="AK68" s="68">
        <v>4.0286473000000003</v>
      </c>
      <c r="AL68" s="26"/>
      <c r="AM68" s="26">
        <v>0</v>
      </c>
      <c r="AN68">
        <v>0</v>
      </c>
    </row>
    <row r="69" spans="3:40">
      <c r="C69" s="1">
        <f>WORKDAY($C68,1,Feriados!B56:B896)</f>
        <v>44956</v>
      </c>
      <c r="D69" s="39">
        <v>8789858.9240000006</v>
      </c>
      <c r="E69" s="32">
        <v>4.0125811000000002</v>
      </c>
      <c r="F69" s="88">
        <f t="shared" ref="F69" si="215">D69/TRUNC(E69,6)</f>
        <v>2190574.8255300019</v>
      </c>
      <c r="G69" s="15">
        <f t="shared" ref="G69" si="216">H69*I69</f>
        <v>8674898.9783056471</v>
      </c>
      <c r="H69" s="32">
        <v>0.98352419999999996</v>
      </c>
      <c r="I69" s="15">
        <f>SUMIFS([1]Master!$K$2:$K$10000,[1]Master!$A$2:$A$10000,$I$12,[1]Master!$F$2:$F$10000,"&lt;="&amp;$C69)</f>
        <v>8820219.1448930763</v>
      </c>
      <c r="J69" s="15">
        <f t="shared" ref="J69" si="217">K69*L69</f>
        <v>86162.342787078247</v>
      </c>
      <c r="K69" s="43">
        <v>0.74151020000000001</v>
      </c>
      <c r="L69" s="40">
        <v>116198.45928900001</v>
      </c>
      <c r="M69" s="15">
        <f t="shared" si="3"/>
        <v>0</v>
      </c>
      <c r="N69" s="32">
        <v>0</v>
      </c>
      <c r="O69" s="40">
        <v>0</v>
      </c>
      <c r="P69" s="15">
        <f t="shared" si="4"/>
        <v>25989.463183888322</v>
      </c>
      <c r="Q69" s="32">
        <v>3.6684146000000002</v>
      </c>
      <c r="R69" s="40">
        <v>7084.65809286887</v>
      </c>
      <c r="S69" s="15">
        <f>(((1+1.35%)^(1/252))-1)*D68+SUM(S68)</f>
        <v>3238.1532622398022</v>
      </c>
      <c r="T69" s="15">
        <f>IF((NETWORKDAYS(DATE(YEAR(C69),MONTH(C69),1),C69,Feriados!$A$2:$A$842))&gt;=5,0,IF(NETWORKDAYS(DATE(YEAR(C69),MONTH(C69),1),C69,Feriados!$A$2:$A$842)=1,S68,T68))</f>
        <v>0</v>
      </c>
      <c r="U69" s="26">
        <v>0</v>
      </c>
      <c r="V69" s="26">
        <v>0</v>
      </c>
      <c r="W69" s="15">
        <f t="shared" ref="W69" si="218">SUM(G69+J69+M69+P69)</f>
        <v>8787050.784276614</v>
      </c>
      <c r="X69" s="50">
        <f>'Fluxo de Caixa_'!AD75</f>
        <v>0</v>
      </c>
      <c r="AB69" s="26">
        <v>2588.674</v>
      </c>
      <c r="AC69" s="26">
        <v>0</v>
      </c>
      <c r="AD69">
        <f>SUMIFS([1]Master!$J$2:$J$100,[1]Master!$A$2:$A$100,"="&amp;$I$12,[1]Master!$E$2:$E$100,"="&amp;C69,[1]Master!$J$2:$J$100,"&gt;"&amp;0)</f>
        <v>0</v>
      </c>
      <c r="AE69">
        <f ca="1">-SUMIF('[1]Fluxo de Movimentações'!$A$5:$F$10001,"="&amp;$C69,'[1]Fluxo de Movimentações'!$H$5:$H$10001)</f>
        <v>0</v>
      </c>
      <c r="AF69" s="26">
        <v>0</v>
      </c>
      <c r="AG69" s="26">
        <v>3457.52</v>
      </c>
      <c r="AH69" s="26">
        <v>0</v>
      </c>
      <c r="AI69" s="26">
        <v>0</v>
      </c>
      <c r="AJ69" s="26">
        <v>0</v>
      </c>
      <c r="AK69" s="68">
        <v>4.0125811000000002</v>
      </c>
      <c r="AL69" s="26"/>
      <c r="AM69" s="26">
        <v>0</v>
      </c>
      <c r="AN69">
        <v>0</v>
      </c>
    </row>
    <row r="70" spans="3:40">
      <c r="C70" s="1">
        <f>WORKDAY($C69,1,Feriados!B57:B897)</f>
        <v>44957</v>
      </c>
      <c r="D70" s="39">
        <v>8928802.1274999995</v>
      </c>
      <c r="E70" s="32">
        <v>4.0760088999999997</v>
      </c>
      <c r="F70" s="88">
        <f t="shared" ref="F70" si="219">D70/TRUNC(E70,6)</f>
        <v>2190575.2215157575</v>
      </c>
      <c r="G70" s="15">
        <f t="shared" ref="G70" si="220">H70*I70</f>
        <v>8823004.5700990334</v>
      </c>
      <c r="H70" s="32">
        <v>1.0003158000000001</v>
      </c>
      <c r="I70" s="15">
        <f>SUMIFS([1]Master!$K$2:$K$10000,[1]Master!$A$2:$A$10000,$I$12,[1]Master!$F$2:$F$10000,"&lt;="&amp;$C70)</f>
        <v>8820219.1448930763</v>
      </c>
      <c r="J70" s="15">
        <f t="shared" ref="J70" si="221">K70*L70</f>
        <v>87491.281326274693</v>
      </c>
      <c r="K70" s="43">
        <v>0.75294700000000003</v>
      </c>
      <c r="L70" s="40">
        <v>116198.45928900001</v>
      </c>
      <c r="M70" s="15">
        <f t="shared" si="3"/>
        <v>0</v>
      </c>
      <c r="N70" s="32">
        <v>0</v>
      </c>
      <c r="O70" s="40">
        <v>0</v>
      </c>
      <c r="P70" s="15">
        <f t="shared" si="4"/>
        <v>26003.01188402512</v>
      </c>
      <c r="Q70" s="32">
        <v>3.6703269999999999</v>
      </c>
      <c r="R70" s="40">
        <v>7084.65809286887</v>
      </c>
      <c r="S70" s="15">
        <f>(((1+1.35%)^(1/252))-1)*D69+SUM(S69)</f>
        <v>3705.9008507317344</v>
      </c>
      <c r="T70" s="15">
        <f>IF((NETWORKDAYS(DATE(YEAR(C70),MONTH(C70),1),C70,Feriados!$A$2:$A$842))&gt;=5,0,IF(NETWORKDAYS(DATE(YEAR(C70),MONTH(C70),1),C70,Feriados!$A$2:$A$842)=1,S69,T69))</f>
        <v>0</v>
      </c>
      <c r="U70" s="26">
        <v>0</v>
      </c>
      <c r="V70" s="26">
        <v>0</v>
      </c>
      <c r="W70" s="15">
        <f t="shared" ref="W70" si="222">SUM(G70+J70+M70+P70)</f>
        <v>8936498.8633093331</v>
      </c>
      <c r="X70" s="50">
        <f>'Fluxo de Caixa_'!AD76</f>
        <v>0</v>
      </c>
      <c r="AB70" s="26">
        <v>2549.5174999999999</v>
      </c>
      <c r="AC70" s="26">
        <v>0</v>
      </c>
      <c r="AD70">
        <f>SUMIFS([1]Master!$J$2:$J$100,[1]Master!$A$2:$A$100,"="&amp;$I$12,[1]Master!$E$2:$E$100,"="&amp;C70,[1]Master!$J$2:$J$100,"&gt;"&amp;0)</f>
        <v>0</v>
      </c>
      <c r="AE70">
        <f ca="1">-SUMIF('[1]Fluxo de Movimentações'!$A$5:$F$10001,"="&amp;$C70,'[1]Fluxo de Movimentações'!$H$5:$H$10001)</f>
        <v>0</v>
      </c>
      <c r="AF70" s="26">
        <v>0</v>
      </c>
      <c r="AG70" s="26">
        <v>3457.52</v>
      </c>
      <c r="AH70" s="26">
        <v>0</v>
      </c>
      <c r="AI70" s="26">
        <v>0</v>
      </c>
      <c r="AJ70" s="26">
        <v>-9997.98</v>
      </c>
      <c r="AK70" s="68">
        <v>4.0805730000000002</v>
      </c>
      <c r="AL70" s="26"/>
      <c r="AM70" s="26">
        <v>0</v>
      </c>
      <c r="AN70">
        <v>0</v>
      </c>
    </row>
    <row r="71" spans="3:40">
      <c r="C71" s="1">
        <f>WORKDAY($C70,1,Feriados!B58:B898)</f>
        <v>44958</v>
      </c>
      <c r="D71" s="39">
        <v>8898512.0465999991</v>
      </c>
      <c r="E71" s="32">
        <v>4.0621814000000001</v>
      </c>
      <c r="F71" s="88">
        <f t="shared" ref="F71" si="223">D71/TRUNC(E71,6)</f>
        <v>2190574.9760042694</v>
      </c>
      <c r="G71" s="15">
        <f t="shared" ref="G71" si="224">H71*I71</f>
        <v>8787818.9518862255</v>
      </c>
      <c r="H71" s="32">
        <v>0.99632659999999995</v>
      </c>
      <c r="I71" s="15">
        <f>SUMIFS([1]Master!$K$2:$K$10000,[1]Master!$A$2:$A$10000,$I$12,[1]Master!$F$2:$F$10000,"&lt;="&amp;$C71)</f>
        <v>8820219.1448930763</v>
      </c>
      <c r="J71" s="15">
        <f t="shared" ref="J71" si="225">K71*L71</f>
        <v>88154.821008198604</v>
      </c>
      <c r="K71" s="43">
        <v>0.75865740000000004</v>
      </c>
      <c r="L71" s="40">
        <v>116198.45928900001</v>
      </c>
      <c r="M71" s="15">
        <f t="shared" si="3"/>
        <v>0</v>
      </c>
      <c r="N71" s="32">
        <v>0</v>
      </c>
      <c r="O71" s="40">
        <v>0</v>
      </c>
      <c r="P71" s="15">
        <f t="shared" si="4"/>
        <v>26015.702632066877</v>
      </c>
      <c r="Q71" s="32">
        <v>3.6721183000000002</v>
      </c>
      <c r="R71" s="40">
        <v>7084.65809286887</v>
      </c>
      <c r="S71" s="54">
        <f>(((1+1.35%)^(1/252))-1)*D70</f>
        <v>475.14137591632618</v>
      </c>
      <c r="T71" s="15">
        <f>IF((NETWORKDAYS(DATE(YEAR(C71),MONTH(C71),1),C71,Feriados!$A$2:$A$842))&gt;=5,0,IF(NETWORKDAYS(DATE(YEAR(C71),MONTH(C71),1),C71,Feriados!$A$2:$A$842)=1,S70,T70))</f>
        <v>3705.9008507317344</v>
      </c>
      <c r="U71" s="26">
        <v>0</v>
      </c>
      <c r="V71" s="26">
        <v>0</v>
      </c>
      <c r="W71" s="15">
        <f t="shared" ref="W71" si="226">SUM(G71+J71+M71+P71)</f>
        <v>8901989.4755264912</v>
      </c>
      <c r="X71" s="50">
        <f>'Fluxo de Caixa_'!AD77</f>
        <v>0</v>
      </c>
      <c r="AB71" s="26">
        <v>2510.3166000000001</v>
      </c>
      <c r="AC71" s="26">
        <v>0</v>
      </c>
      <c r="AD71">
        <f>SUMIFS([1]Master!$J$2:$J$100,[1]Master!$A$2:$A$100,"="&amp;$I$12,[1]Master!$E$2:$E$100,"="&amp;C71,[1]Master!$J$2:$J$100,"&gt;"&amp;0)</f>
        <v>0</v>
      </c>
      <c r="AE71">
        <f ca="1">-SUMIF('[1]Fluxo de Movimentações'!$A$5:$F$10001,"="&amp;$C71,'[1]Fluxo de Movimentações'!$H$5:$H$10001)</f>
        <v>0</v>
      </c>
      <c r="AF71" s="26">
        <v>0</v>
      </c>
      <c r="AG71" s="26">
        <v>3457.52</v>
      </c>
      <c r="AH71" s="26">
        <v>0</v>
      </c>
      <c r="AI71" s="26">
        <v>0</v>
      </c>
      <c r="AJ71" s="26">
        <v>-5264.34</v>
      </c>
      <c r="AK71" s="68">
        <v>4.0645845999999999</v>
      </c>
      <c r="AL71" s="26"/>
      <c r="AM71" s="26">
        <v>0</v>
      </c>
      <c r="AN71">
        <v>0</v>
      </c>
    </row>
    <row r="72" spans="3:40">
      <c r="C72" s="1">
        <f>WORKDAY($C71,1,Feriados!B59:B899)</f>
        <v>44959</v>
      </c>
      <c r="D72" s="39">
        <v>8887021.9956999999</v>
      </c>
      <c r="E72" s="32">
        <v>4.0569362</v>
      </c>
      <c r="F72" s="88">
        <f t="shared" ref="F72" si="227">D72/TRUNC(E72,6)</f>
        <v>2190574.8564187353</v>
      </c>
      <c r="G72" s="15">
        <f t="shared" ref="G72" si="228">H72*I72</f>
        <v>8771191.0441364832</v>
      </c>
      <c r="H72" s="32">
        <v>0.99489490000000003</v>
      </c>
      <c r="I72" s="15">
        <f>SUMIFS([1]Master!$K$2:$K$10000,[1]Master!$A$2:$A$10000,$I$12,[1]Master!$F$2:$F$10000,"&lt;="&amp;$C72)</f>
        <v>8816198.6197099648</v>
      </c>
      <c r="J72" s="15">
        <f t="shared" ref="J72" si="229">K72*L72</f>
        <v>87621.226063297581</v>
      </c>
      <c r="K72" s="43">
        <v>0.75406530000000005</v>
      </c>
      <c r="L72" s="40">
        <v>116198.45928900001</v>
      </c>
      <c r="M72" s="15">
        <f t="shared" si="3"/>
        <v>0</v>
      </c>
      <c r="N72" s="32">
        <v>0</v>
      </c>
      <c r="O72" s="40">
        <v>0</v>
      </c>
      <c r="P72" s="15">
        <f t="shared" si="4"/>
        <v>26029.045168653178</v>
      </c>
      <c r="Q72" s="32">
        <v>3.6740016</v>
      </c>
      <c r="R72" s="40">
        <v>7084.65809286887</v>
      </c>
      <c r="S72" s="15">
        <f t="shared" ref="S72:S77" si="230">(((1+1.35%)^(1/252))-1)*D71+SUM(S71)</f>
        <v>948.67088156047816</v>
      </c>
      <c r="T72" s="15">
        <f>IF((NETWORKDAYS(DATE(YEAR(C72),MONTH(C72),1),C72,Feriados!$A$2:$A$842))&gt;=5,0,IF(NETWORKDAYS(DATE(YEAR(C72),MONTH(C72),1),C72,Feriados!$A$2:$A$842)=1,S71,T71))</f>
        <v>3705.9008507317344</v>
      </c>
      <c r="U72" s="26">
        <v>0</v>
      </c>
      <c r="V72" s="26">
        <v>0</v>
      </c>
      <c r="W72" s="15">
        <f t="shared" ref="W72" si="231">SUM(G72+J72+M72+P72)</f>
        <v>8884841.3153684344</v>
      </c>
      <c r="X72" s="50">
        <f>'Fluxo de Caixa_'!AD78</f>
        <v>0</v>
      </c>
      <c r="AB72" s="26">
        <v>2471.1156999999998</v>
      </c>
      <c r="AC72" s="26">
        <v>0</v>
      </c>
      <c r="AD72">
        <f>SUMIFS([1]Master!$J$2:$J$100,[1]Master!$A$2:$A$100,"="&amp;$I$12,[1]Master!$E$2:$E$100,"="&amp;C72,[1]Master!$J$2:$J$100,"&gt;"&amp;0)</f>
        <v>0</v>
      </c>
      <c r="AE72">
        <f ca="1">-SUMIF('[1]Fluxo de Movimentações'!$A$5:$F$10001,"="&amp;$C72,'[1]Fluxo de Movimentações'!$H$5:$H$10001)</f>
        <v>0</v>
      </c>
      <c r="AF72" s="26">
        <v>4000</v>
      </c>
      <c r="AG72" s="26">
        <v>3457.52</v>
      </c>
      <c r="AH72" s="26">
        <v>0</v>
      </c>
      <c r="AI72" s="26">
        <v>0</v>
      </c>
      <c r="AJ72" s="26">
        <v>-3093.5269657109102</v>
      </c>
      <c r="AK72" s="68">
        <v>4.0583483999999999</v>
      </c>
      <c r="AL72" s="26"/>
      <c r="AM72" s="26">
        <v>0</v>
      </c>
      <c r="AN72">
        <v>0</v>
      </c>
    </row>
    <row r="73" spans="3:40">
      <c r="C73" s="1">
        <f>WORKDAY($C72,1,Feriados!B60:B900)</f>
        <v>44960</v>
      </c>
      <c r="D73" s="39">
        <v>8698530.1148000006</v>
      </c>
      <c r="E73" s="32">
        <v>3.9708893999999999</v>
      </c>
      <c r="F73" s="88">
        <f t="shared" ref="F73" si="232">D73/TRUNC(E73,6)</f>
        <v>2190574.9858029275</v>
      </c>
      <c r="G73" s="15">
        <f t="shared" ref="G73" si="233">H73*I73</f>
        <v>8582234.3407401014</v>
      </c>
      <c r="H73" s="32">
        <v>0.97346200000000005</v>
      </c>
      <c r="I73" s="15">
        <f>SUMIFS([1]Master!$K$2:$K$10000,[1]Master!$A$2:$A$10000,$I$12,[1]Master!$F$2:$F$10000,"&lt;="&amp;$C73)</f>
        <v>8816198.6197099648</v>
      </c>
      <c r="J73" s="15">
        <f t="shared" ref="J73" si="234">K73*L73</f>
        <v>85491.412883143566</v>
      </c>
      <c r="K73" s="43">
        <v>0.73573619999999995</v>
      </c>
      <c r="L73" s="40">
        <v>116198.45928900001</v>
      </c>
      <c r="M73" s="15">
        <f t="shared" si="3"/>
        <v>0</v>
      </c>
      <c r="N73" s="32">
        <v>0</v>
      </c>
      <c r="O73" s="40">
        <v>0</v>
      </c>
      <c r="P73" s="15">
        <f t="shared" si="4"/>
        <v>26042.282143833894</v>
      </c>
      <c r="Q73" s="32">
        <v>3.6758700000000002</v>
      </c>
      <c r="R73" s="40">
        <v>7084.65809286887</v>
      </c>
      <c r="S73" s="15">
        <f t="shared" si="230"/>
        <v>1421.5889503605813</v>
      </c>
      <c r="T73" s="15">
        <f>IF((NETWORKDAYS(DATE(YEAR(C73),MONTH(C73),1),C73,Feriados!$A$2:$A$842))&gt;=5,0,IF(NETWORKDAYS(DATE(YEAR(C73),MONTH(C73),1),C73,Feriados!$A$2:$A$842)=1,S72,T72))</f>
        <v>3705.9008507317344</v>
      </c>
      <c r="U73" s="26">
        <v>0</v>
      </c>
      <c r="V73" s="26">
        <v>0</v>
      </c>
      <c r="W73" s="15">
        <f t="shared" ref="W73" si="235">SUM(G73+J73+M73+P73)</f>
        <v>8693768.0357670784</v>
      </c>
      <c r="X73" s="50">
        <f>'Fluxo de Caixa_'!AD79</f>
        <v>0</v>
      </c>
      <c r="AB73" s="26">
        <v>2431.9148</v>
      </c>
      <c r="AC73" s="26">
        <v>0</v>
      </c>
      <c r="AD73">
        <f>SUMIFS([1]Master!$J$2:$J$100,[1]Master!$A$2:$A$100,"="&amp;$I$12,[1]Master!$E$2:$E$100,"="&amp;C73,[1]Master!$J$2:$J$100,"&gt;"&amp;0)</f>
        <v>0</v>
      </c>
      <c r="AE73">
        <f ca="1">-SUMIF('[1]Fluxo de Movimentações'!$A$5:$F$10001,"="&amp;$C73,'[1]Fluxo de Movimentações'!$H$5:$H$10001)</f>
        <v>0</v>
      </c>
      <c r="AF73" s="26">
        <v>4000</v>
      </c>
      <c r="AG73" s="26">
        <v>3457.52</v>
      </c>
      <c r="AH73" s="26">
        <v>0</v>
      </c>
      <c r="AI73" s="26">
        <v>0</v>
      </c>
      <c r="AJ73" s="26">
        <v>0</v>
      </c>
      <c r="AK73" s="68">
        <v>3.9708893999999999</v>
      </c>
      <c r="AL73" s="26"/>
      <c r="AM73" s="26">
        <v>0</v>
      </c>
      <c r="AN73">
        <v>0</v>
      </c>
    </row>
    <row r="74" spans="3:40">
      <c r="C74" s="1">
        <f>WORKDAY($C73,1,Feriados!B61:B901)</f>
        <v>44963</v>
      </c>
      <c r="D74" s="39">
        <v>8677191.5438999999</v>
      </c>
      <c r="E74" s="32">
        <v>3.9611483000000001</v>
      </c>
      <c r="F74" s="88">
        <f t="shared" ref="F74" si="236">D74/TRUNC(E74,6)</f>
        <v>2190574.9403708219</v>
      </c>
      <c r="G74" s="15">
        <f t="shared" ref="G74" si="237">H74*I74</f>
        <v>8561653.8066822514</v>
      </c>
      <c r="H74" s="32">
        <v>0.97112759999999998</v>
      </c>
      <c r="I74" s="15">
        <f>SUMIFS([1]Master!$K$2:$K$10000,[1]Master!$A$2:$A$10000,$I$12,[1]Master!$F$2:$F$10000,"&lt;="&amp;$C74)</f>
        <v>8816198.6197099648</v>
      </c>
      <c r="J74" s="15">
        <f t="shared" ref="J74" si="238">K74*L74</f>
        <v>0</v>
      </c>
      <c r="K74" s="43">
        <v>0</v>
      </c>
      <c r="L74" s="40">
        <v>0</v>
      </c>
      <c r="M74" s="15">
        <f t="shared" si="3"/>
        <v>0</v>
      </c>
      <c r="N74" s="32">
        <v>0</v>
      </c>
      <c r="O74" s="40">
        <v>0</v>
      </c>
      <c r="P74" s="15">
        <f t="shared" si="4"/>
        <v>30054.722094979144</v>
      </c>
      <c r="Q74" s="32">
        <v>3.6776258999999998</v>
      </c>
      <c r="R74" s="40">
        <v>8172.3163019324902</v>
      </c>
      <c r="S74" s="15">
        <f t="shared" si="230"/>
        <v>1884.4765256677172</v>
      </c>
      <c r="T74" s="15">
        <f>IF((NETWORKDAYS(DATE(YEAR(C74),MONTH(C74),1),C74,Feriados!$A$2:$A$842))&gt;=5,0,IF(NETWORKDAYS(DATE(YEAR(C74),MONTH(C74),1),C74,Feriados!$A$2:$A$842)=1,S73,T73))</f>
        <v>3705.9008507317344</v>
      </c>
      <c r="U74" s="26">
        <v>0</v>
      </c>
      <c r="V74" s="26">
        <v>0</v>
      </c>
      <c r="W74" s="15">
        <f t="shared" ref="W74" si="239">SUM(G74+J74+M74+P74)</f>
        <v>8591708.5287772305</v>
      </c>
      <c r="X74" s="50">
        <f>'Fluxo de Caixa_'!AD80</f>
        <v>1.5916157281026244E-11</v>
      </c>
      <c r="AB74" s="26">
        <v>2392.7139000000002</v>
      </c>
      <c r="AC74" s="26">
        <v>0</v>
      </c>
      <c r="AD74">
        <f>SUMIFS([1]Master!$J$2:$J$100,[1]Master!$A$2:$A$100,"="&amp;$I$12,[1]Master!$E$2:$E$100,"="&amp;C74,[1]Master!$J$2:$J$100,"&gt;"&amp;0)</f>
        <v>0</v>
      </c>
      <c r="AE74">
        <f ca="1">-SUMIF('[1]Fluxo de Movimentações'!$A$5:$F$10001,"="&amp;$C74,'[1]Fluxo de Movimentações'!$H$5:$H$10001)</f>
        <v>0</v>
      </c>
      <c r="AF74" s="26">
        <v>0</v>
      </c>
      <c r="AG74" s="26">
        <v>3457.52</v>
      </c>
      <c r="AH74" s="26">
        <v>0</v>
      </c>
      <c r="AI74" s="26">
        <v>0</v>
      </c>
      <c r="AJ74" s="26">
        <v>0</v>
      </c>
      <c r="AK74" s="68">
        <v>3.9611483000000001</v>
      </c>
      <c r="AL74" s="26">
        <v>85223.02</v>
      </c>
      <c r="AM74" s="26">
        <v>0</v>
      </c>
      <c r="AN74" s="26">
        <v>0</v>
      </c>
    </row>
    <row r="75" spans="3:40">
      <c r="C75" s="1">
        <f>WORKDAY($C74,1,Feriados!B62:B902)</f>
        <v>44964</v>
      </c>
      <c r="D75" s="39">
        <v>8569354.5529999994</v>
      </c>
      <c r="E75" s="32">
        <v>3.9119206000000002</v>
      </c>
      <c r="F75" s="88">
        <f t="shared" ref="F75" si="240">D75/TRUNC(E75,6)</f>
        <v>2190575.1019959506</v>
      </c>
      <c r="G75" s="15">
        <f t="shared" ref="G75" si="241">H75*I75</f>
        <v>8454302.4825694896</v>
      </c>
      <c r="H75" s="32">
        <v>0.958951</v>
      </c>
      <c r="I75" s="15">
        <f>SUMIFS([1]Master!$K$2:$K$10000,[1]Master!$A$2:$A$10000,$I$12,[1]Master!$F$2:$F$10000,"&lt;="&amp;$C75)</f>
        <v>8816198.6197099648</v>
      </c>
      <c r="J75" s="15">
        <f t="shared" ref="J75" si="242">K75*L75</f>
        <v>0</v>
      </c>
      <c r="K75" s="43">
        <v>0</v>
      </c>
      <c r="L75" s="40">
        <v>0</v>
      </c>
      <c r="M75" s="15">
        <f t="shared" si="3"/>
        <v>0</v>
      </c>
      <c r="N75" s="32">
        <v>0</v>
      </c>
      <c r="O75" s="40">
        <v>0</v>
      </c>
      <c r="P75" s="15">
        <f t="shared" si="4"/>
        <v>26364.215145163238</v>
      </c>
      <c r="Q75" s="32">
        <v>3.6794959999999999</v>
      </c>
      <c r="R75" s="40">
        <v>7165.1702149324901</v>
      </c>
      <c r="S75" s="15">
        <f t="shared" si="230"/>
        <v>2346.2285804657481</v>
      </c>
      <c r="T75" s="15">
        <f>IF((NETWORKDAYS(DATE(YEAR(C75),MONTH(C75),1),C75,Feriados!$A$2:$A$842))&gt;=5,0,IF(NETWORKDAYS(DATE(YEAR(C75),MONTH(C75),1),C75,Feriados!$A$2:$A$842)=1,S74,T74))</f>
        <v>0</v>
      </c>
      <c r="U75" s="26">
        <v>0</v>
      </c>
      <c r="V75" s="26">
        <v>0</v>
      </c>
      <c r="W75" s="15">
        <f t="shared" ref="W75:W76" si="243">SUM(G75+J75+M75+P75)</f>
        <v>8480666.6977146529</v>
      </c>
      <c r="X75" s="50">
        <f>'Fluxo de Caixa_'!AD81</f>
        <v>0.19999853215222174</v>
      </c>
      <c r="AB75" s="26">
        <v>2353.5129999999999</v>
      </c>
      <c r="AC75" s="26">
        <v>0</v>
      </c>
      <c r="AD75">
        <f>SUMIFS([1]Master!$J$2:$J$100,[1]Master!$A$2:$A$100,"="&amp;$I$12,[1]Master!$E$2:$E$100,"="&amp;C75,[1]Master!$J$2:$J$100,"&gt;"&amp;0)</f>
        <v>0</v>
      </c>
      <c r="AE75">
        <f ca="1">-SUMIF('[1]Fluxo de Movimentações'!$A$5:$F$10001,"="&amp;$C75,'[1]Fluxo de Movimentações'!$H$5:$H$10001)</f>
        <v>0</v>
      </c>
      <c r="AF75" s="26">
        <v>0</v>
      </c>
      <c r="AG75" s="26">
        <v>3457.52</v>
      </c>
      <c r="AH75" s="26">
        <v>0</v>
      </c>
      <c r="AI75" s="26">
        <v>0</v>
      </c>
      <c r="AJ75" s="26">
        <v>0</v>
      </c>
      <c r="AK75" s="68">
        <v>3.9119206000000002</v>
      </c>
      <c r="AL75" s="26">
        <v>85223.02</v>
      </c>
      <c r="AM75" s="26">
        <v>0</v>
      </c>
      <c r="AN75" s="26">
        <v>0</v>
      </c>
    </row>
    <row r="76" spans="3:40">
      <c r="C76" s="1">
        <f>WORKDAY($C75,1,Feriados!B63:B903)</f>
        <v>44965</v>
      </c>
      <c r="D76" s="39">
        <v>8682516.4420999996</v>
      </c>
      <c r="E76" s="32">
        <v>3.9635791999999999</v>
      </c>
      <c r="F76" s="88">
        <f t="shared" ref="F76" si="244">D76/TRUNC(E76,6)</f>
        <v>2190574.8421060862</v>
      </c>
      <c r="G76" s="15">
        <f t="shared" ref="G76" si="245">H76*I76</f>
        <v>8567945.9276371375</v>
      </c>
      <c r="H76" s="32">
        <v>0.97184130000000002</v>
      </c>
      <c r="I76" s="15">
        <f>SUMIFS([1]Master!$K$2:$K$10000,[1]Master!$A$2:$A$10000,$I$12,[1]Master!$F$2:$F$10000,"&lt;="&amp;$C76)</f>
        <v>8816198.6197099648</v>
      </c>
      <c r="J76" s="15">
        <f t="shared" ref="J76" si="246">K76*L76</f>
        <v>0</v>
      </c>
      <c r="K76" s="43">
        <v>0</v>
      </c>
      <c r="L76" s="40">
        <v>0</v>
      </c>
      <c r="M76" s="15">
        <f t="shared" si="3"/>
        <v>0</v>
      </c>
      <c r="N76" s="32">
        <v>0</v>
      </c>
      <c r="O76" s="40">
        <v>0</v>
      </c>
      <c r="P76" s="15">
        <f t="shared" si="4"/>
        <v>24600.888375520557</v>
      </c>
      <c r="Q76" s="32">
        <v>3.6814015000000002</v>
      </c>
      <c r="R76" s="40">
        <v>6682.4790437882302</v>
      </c>
      <c r="S76" s="15">
        <f t="shared" si="230"/>
        <v>2802.2421481185556</v>
      </c>
      <c r="T76" s="15">
        <f>IF((NETWORKDAYS(DATE(YEAR(C76),MONTH(C76),1),C76,Feriados!$A$2:$A$842))&gt;=5,0,IF(NETWORKDAYS(DATE(YEAR(C76),MONTH(C76),1),C76,Feriados!$A$2:$A$842)=1,S75,T75))</f>
        <v>0</v>
      </c>
      <c r="U76" s="26">
        <v>0</v>
      </c>
      <c r="V76" s="26">
        <v>0</v>
      </c>
      <c r="W76" s="15">
        <f t="shared" si="243"/>
        <v>8592546.8160126582</v>
      </c>
      <c r="X76" s="50">
        <f>'Fluxo de Caixa_'!AD82</f>
        <v>1.4872393876430579E-6</v>
      </c>
      <c r="AB76" s="26">
        <v>2314.3121000000001</v>
      </c>
      <c r="AC76" s="26">
        <v>0</v>
      </c>
      <c r="AD76">
        <f>SUMIFS([1]Master!$J$2:$J$100,[1]Master!$A$2:$A$100,"="&amp;$I$12,[1]Master!$E$2:$E$100,"="&amp;C76,[1]Master!$J$2:$J$100,"&gt;"&amp;0)</f>
        <v>87000</v>
      </c>
      <c r="AE76">
        <f ca="1">-SUMIF('[1]Fluxo de Movimentações'!$A$5:$F$10001,"="&amp;$C76,'[1]Fluxo de Movimentações'!$H$5:$H$10001)</f>
        <v>0</v>
      </c>
      <c r="AF76" s="26">
        <v>0</v>
      </c>
      <c r="AG76" s="26">
        <v>3457.52</v>
      </c>
      <c r="AH76" s="26">
        <v>0</v>
      </c>
      <c r="AI76" s="26">
        <v>0</v>
      </c>
      <c r="AJ76" s="26">
        <v>0</v>
      </c>
      <c r="AK76" s="68">
        <v>3.9635791999999999</v>
      </c>
      <c r="AL76" s="15">
        <f>-SUMIFS([1]Master!$J$1:$J$200,[1]Master!$A$1:$A$200,"="&amp;$I$12,[1]Master!$G$1:$G$200,"&gt;"&amp;C76,[1]Master!$E$1:$E$200,"&lt;="&amp;C76)</f>
        <v>0</v>
      </c>
      <c r="AM76" s="26">
        <v>0</v>
      </c>
      <c r="AN76" s="26">
        <v>0</v>
      </c>
    </row>
    <row r="77" spans="3:40">
      <c r="C77" s="1">
        <f>WORKDAY($C76,1,Feriados!B64:B904)</f>
        <v>44966</v>
      </c>
      <c r="D77" s="39">
        <v>8539674.7811999992</v>
      </c>
      <c r="E77" s="32">
        <v>3.8983718000000001</v>
      </c>
      <c r="F77" s="88">
        <f t="shared" ref="F77" si="247">D77/TRUNC(E77,6)</f>
        <v>2190575.1867126036</v>
      </c>
      <c r="G77" s="15">
        <f t="shared" ref="G77" si="248">H77*I77</f>
        <v>8512593.4133842662</v>
      </c>
      <c r="H77" s="32">
        <v>0.95569459999999995</v>
      </c>
      <c r="I77" s="15">
        <f>SUMIFS([1]Master!$K$2:$K$10000,[1]Master!$A$2:$A$10000,$I$12,[1]Master!$F$2:$F$10000,"&lt;="&amp;$C77)</f>
        <v>8907231.8849392552</v>
      </c>
      <c r="J77" s="15">
        <f t="shared" ref="J77" si="249">K77*L77</f>
        <v>0</v>
      </c>
      <c r="K77" s="43">
        <v>0</v>
      </c>
      <c r="L77" s="40">
        <v>0</v>
      </c>
      <c r="M77" s="15">
        <f t="shared" si="3"/>
        <v>0</v>
      </c>
      <c r="N77" s="32">
        <v>0</v>
      </c>
      <c r="O77" s="40">
        <v>0</v>
      </c>
      <c r="P77" s="15">
        <f t="shared" si="4"/>
        <v>24612.972302375441</v>
      </c>
      <c r="Q77" s="32">
        <v>3.6832098000000002</v>
      </c>
      <c r="R77" s="40">
        <v>6682.4790437882302</v>
      </c>
      <c r="S77" s="15">
        <f t="shared" si="230"/>
        <v>3264.2775644942358</v>
      </c>
      <c r="T77" s="15">
        <f>IF((NETWORKDAYS(DATE(YEAR(C77),MONTH(C77),1),C77,Feriados!$A$2:$A$842))&gt;=5,0,IF(NETWORKDAYS(DATE(YEAR(C77),MONTH(C77),1),C77,Feriados!$A$2:$A$842)=1,S76,T76))</f>
        <v>0</v>
      </c>
      <c r="U77" s="26">
        <v>0</v>
      </c>
      <c r="V77" s="26">
        <v>0</v>
      </c>
      <c r="W77" s="15">
        <f t="shared" ref="W77" si="250">SUM(G77+J77+M77+P77)</f>
        <v>8537206.3856866416</v>
      </c>
      <c r="X77" s="50">
        <f>'Fluxo de Caixa_'!AD83</f>
        <v>0</v>
      </c>
      <c r="AB77" s="26">
        <v>2275.1111999999998</v>
      </c>
      <c r="AC77" s="26">
        <v>0</v>
      </c>
      <c r="AD77">
        <f>SUMIFS([1]Master!$J$2:$J$100,[1]Master!$A$2:$A$100,"="&amp;$I$12,[1]Master!$E$2:$E$100,"="&amp;C77,[1]Master!$J$2:$J$100,"&gt;"&amp;0)</f>
        <v>0</v>
      </c>
      <c r="AE77">
        <f ca="1">-SUMIF('[1]Fluxo de Movimentações'!$A$5:$F$10001,"="&amp;$C77,'[1]Fluxo de Movimentações'!$H$5:$H$10001)</f>
        <v>0</v>
      </c>
      <c r="AF77" s="26">
        <v>0</v>
      </c>
      <c r="AG77" s="26">
        <v>3457.52</v>
      </c>
      <c r="AH77" s="26">
        <v>0</v>
      </c>
      <c r="AI77" s="26">
        <v>0</v>
      </c>
      <c r="AJ77" s="26">
        <v>0</v>
      </c>
      <c r="AK77" s="68">
        <v>3.8983718000000001</v>
      </c>
      <c r="AL77" s="15">
        <f>-SUMIFS([1]Master!$J$1:$J$200,[1]Master!$A$1:$A$200,"="&amp;$I$12,[1]Master!$G$1:$G$200,"&gt;"&amp;C77,[1]Master!$E$1:$E$200,"&lt;="&amp;C77)</f>
        <v>0</v>
      </c>
      <c r="AM77" s="26">
        <v>0</v>
      </c>
      <c r="AN77" s="26">
        <v>0</v>
      </c>
    </row>
    <row r="78" spans="3:40">
      <c r="C78" s="1">
        <f>WORKDAY($C77,1,Feriados!B65:B905)</f>
        <v>44967</v>
      </c>
      <c r="D78" s="39">
        <v>8530436.7302999999</v>
      </c>
      <c r="E78" s="32">
        <v>3.8941545999999998</v>
      </c>
      <c r="F78" s="88">
        <f t="shared" ref="F78" si="251">D78/TRUNC(E78,6)</f>
        <v>2190575.0851918031</v>
      </c>
      <c r="G78" s="15">
        <f t="shared" ref="G78" si="252">H78*I78</f>
        <v>8503836.7137181833</v>
      </c>
      <c r="H78" s="32">
        <v>0.95471150000000005</v>
      </c>
      <c r="I78" s="15">
        <f>SUMIFS([1]Master!$K$2:$K$10000,[1]Master!$A$2:$A$10000,$I$12,[1]Master!$F$2:$F$10000,"&lt;="&amp;$C78)</f>
        <v>8907231.8849392552</v>
      </c>
      <c r="J78" s="15">
        <f t="shared" ref="J78" si="253">K78*L78</f>
        <v>0</v>
      </c>
      <c r="K78" s="43">
        <v>0</v>
      </c>
      <c r="L78" s="40">
        <v>0</v>
      </c>
      <c r="M78" s="15">
        <f t="shared" si="3"/>
        <v>0</v>
      </c>
      <c r="N78" s="32">
        <v>0</v>
      </c>
      <c r="O78" s="40">
        <v>0</v>
      </c>
      <c r="P78" s="15">
        <f t="shared" si="4"/>
        <v>24625.251357618399</v>
      </c>
      <c r="Q78" s="32">
        <v>3.6850472999999999</v>
      </c>
      <c r="R78" s="40">
        <v>6682.4790437882302</v>
      </c>
      <c r="S78" s="15">
        <f t="shared" ref="S78" si="254">(((1+1.35%)^(1/252))-1)*D77+SUM(S77)</f>
        <v>3718.7117391435295</v>
      </c>
      <c r="T78" s="15">
        <f>IF((NETWORKDAYS(DATE(YEAR(C78),MONTH(C78),1),C78,Feriados!$A$2:$A$842))&gt;=5,0,IF(NETWORKDAYS(DATE(YEAR(C78),MONTH(C78),1),C78,Feriados!$A$2:$A$842)=1,S77,T77))</f>
        <v>0</v>
      </c>
      <c r="U78" s="26">
        <v>0</v>
      </c>
      <c r="V78" s="26">
        <v>0</v>
      </c>
      <c r="W78" s="15">
        <f t="shared" ref="W78" si="255">SUM(G78+J78+M78+P78)</f>
        <v>8528461.9650758021</v>
      </c>
      <c r="X78" s="50">
        <f>'Fluxo de Caixa_'!AD84</f>
        <v>0</v>
      </c>
      <c r="AB78" s="26">
        <v>2235.9103</v>
      </c>
      <c r="AC78" s="26">
        <v>0</v>
      </c>
      <c r="AD78">
        <f>SUMIFS([1]Master!$J$2:$J$100,[1]Master!$A$2:$A$100,"="&amp;$I$12,[1]Master!$E$2:$E$100,"="&amp;C78,[1]Master!$J$2:$J$100,"&gt;"&amp;0)</f>
        <v>0</v>
      </c>
      <c r="AE78">
        <f ca="1">-SUMIF('[1]Fluxo de Movimentações'!$A$5:$F$10001,"="&amp;$C78,'[1]Fluxo de Movimentações'!$H$5:$H$10001)</f>
        <v>0</v>
      </c>
      <c r="AF78" s="26">
        <v>0</v>
      </c>
      <c r="AG78" s="26">
        <v>3457.52</v>
      </c>
      <c r="AH78" s="26">
        <v>0</v>
      </c>
      <c r="AI78" s="26">
        <v>0</v>
      </c>
      <c r="AJ78" s="26">
        <v>0</v>
      </c>
      <c r="AK78" s="68">
        <v>3.8941545999999998</v>
      </c>
      <c r="AL78" s="15">
        <f>-SUMIFS([1]Master!$J$1:$J$200,[1]Master!$A$1:$A$200,"="&amp;$I$12,[1]Master!$G$1:$G$200,"&gt;"&amp;C78,[1]Master!$E$1:$E$200,"&lt;="&amp;C78)</f>
        <v>0</v>
      </c>
      <c r="AM78" s="26">
        <v>0</v>
      </c>
      <c r="AN78" s="26">
        <v>0</v>
      </c>
    </row>
    <row r="79" spans="3:40">
      <c r="C79" s="1">
        <f>WORKDAY($C78,1,Feriados!B66:B906)</f>
        <v>44970</v>
      </c>
      <c r="D79" s="39">
        <v>8503238.1894000005</v>
      </c>
      <c r="E79" s="32">
        <v>3.8817384000000001</v>
      </c>
      <c r="F79" s="88">
        <f t="shared" ref="F79" si="256">D79/TRUNC(E79,6)</f>
        <v>2190574.9922843841</v>
      </c>
      <c r="G79" s="15">
        <f t="shared" ref="G79" si="257">H79*I79</f>
        <v>8477119.4716793094</v>
      </c>
      <c r="H79" s="32">
        <v>0.951712</v>
      </c>
      <c r="I79" s="15">
        <f>SUMIFS([1]Master!$K$2:$K$10000,[1]Master!$A$2:$A$10000,$I$12,[1]Master!$F$2:$F$10000,"&lt;="&amp;$C79)</f>
        <v>8907231.8849392552</v>
      </c>
      <c r="J79" s="15">
        <f t="shared" ref="J79" si="258">K79*L79</f>
        <v>0</v>
      </c>
      <c r="K79" s="43">
        <v>0</v>
      </c>
      <c r="L79" s="40">
        <v>0</v>
      </c>
      <c r="M79" s="15">
        <f t="shared" si="3"/>
        <v>0</v>
      </c>
      <c r="N79" s="32">
        <v>0</v>
      </c>
      <c r="O79" s="40">
        <v>0</v>
      </c>
      <c r="P79" s="15">
        <f t="shared" si="4"/>
        <v>24637.097388219321</v>
      </c>
      <c r="Q79" s="32">
        <v>3.68682</v>
      </c>
      <c r="R79" s="40">
        <v>6682.4790437882302</v>
      </c>
      <c r="S79" s="15">
        <f t="shared" ref="S79" si="259">(((1+1.35%)^(1/252))-1)*D78+SUM(S78)</f>
        <v>4172.6543159107405</v>
      </c>
      <c r="T79" s="15">
        <f>IF((NETWORKDAYS(DATE(YEAR(C79),MONTH(C79),1),C79,Feriados!$A$2:$A$842))&gt;=5,0,IF(NETWORKDAYS(DATE(YEAR(C79),MONTH(C79),1),C79,Feriados!$A$2:$A$842)=1,S78,T78))</f>
        <v>0</v>
      </c>
      <c r="U79" s="26">
        <v>0</v>
      </c>
      <c r="V79" s="26">
        <v>0</v>
      </c>
      <c r="W79" s="15">
        <f t="shared" ref="W79" si="260">SUM(G79+J79+M79+P79)</f>
        <v>8501756.5690675285</v>
      </c>
      <c r="X79" s="50">
        <f>'Fluxo de Caixa_'!AD85</f>
        <v>0</v>
      </c>
      <c r="AB79" s="26">
        <f>(+-2196.7094)*-1</f>
        <v>2196.7094000000002</v>
      </c>
      <c r="AC79" s="26">
        <v>0</v>
      </c>
      <c r="AD79">
        <f>SUMIFS([1]Master!$J$2:$J$100,[1]Master!$A$2:$A$100,"="&amp;$I$12,[1]Master!$E$2:$E$100,"="&amp;C79,[1]Master!$J$2:$J$100,"&gt;"&amp;0)</f>
        <v>0</v>
      </c>
      <c r="AE79">
        <f ca="1">-SUMIF('[1]Fluxo de Movimentações'!$A$5:$F$10001,"="&amp;$C79,'[1]Fluxo de Movimentações'!$H$5:$H$10001)</f>
        <v>0</v>
      </c>
      <c r="AF79" s="26">
        <v>0</v>
      </c>
      <c r="AG79" s="26">
        <v>3457.52</v>
      </c>
      <c r="AH79" s="26">
        <v>0</v>
      </c>
      <c r="AI79" s="26">
        <v>0</v>
      </c>
      <c r="AJ79" s="26">
        <v>0</v>
      </c>
      <c r="AK79" s="68">
        <v>3.8817384000000001</v>
      </c>
      <c r="AL79" s="15">
        <f>-SUMIFS([1]Master!$J$1:$J$200,[1]Master!$A$1:$A$200,"="&amp;$I$12,[1]Master!$G$1:$G$200,"&gt;"&amp;C79,[1]Master!$E$1:$E$200,"&lt;="&amp;C79)</f>
        <v>0</v>
      </c>
      <c r="AM79" s="26">
        <v>0</v>
      </c>
      <c r="AN79" s="26">
        <v>0</v>
      </c>
    </row>
    <row r="80" spans="3:40">
      <c r="C80" s="1">
        <f>WORKDAY($C79,1,Feriados!B67:B907)</f>
        <v>44971</v>
      </c>
      <c r="D80" s="39">
        <v>8405602.7785</v>
      </c>
      <c r="E80" s="32">
        <v>3.8371677000000002</v>
      </c>
      <c r="F80" s="88">
        <f t="shared" ref="F80" si="261">D80/TRUNC(E80,6)</f>
        <v>2190575.1765560373</v>
      </c>
      <c r="G80" s="15">
        <f t="shared" ref="G80" si="262">H80*I80</f>
        <v>8379962.9491711445</v>
      </c>
      <c r="H80" s="32">
        <v>0.94080439999999999</v>
      </c>
      <c r="I80" s="15">
        <f>SUMIFS([1]Master!$K$2:$K$10000,[1]Master!$A$2:$A$10000,$I$12,[1]Master!$F$2:$F$10000,"&lt;="&amp;$C80)</f>
        <v>8907231.8849392552</v>
      </c>
      <c r="J80" s="15">
        <f t="shared" ref="J80" si="263">K80*L80</f>
        <v>0</v>
      </c>
      <c r="K80" s="43">
        <v>0</v>
      </c>
      <c r="L80" s="40">
        <v>0</v>
      </c>
      <c r="M80" s="15">
        <f t="shared" si="3"/>
        <v>0</v>
      </c>
      <c r="N80" s="32">
        <v>0</v>
      </c>
      <c r="O80" s="40">
        <v>0</v>
      </c>
      <c r="P80" s="15">
        <f t="shared" si="4"/>
        <v>24649.897676827699</v>
      </c>
      <c r="Q80" s="32">
        <v>3.6887354999999999</v>
      </c>
      <c r="R80" s="40">
        <v>6682.4790437882302</v>
      </c>
      <c r="S80" s="15">
        <f t="shared" ref="S80" si="264">(((1+1.35%)^(1/252))-1)*D79+SUM(S79)</f>
        <v>4625.1495370347639</v>
      </c>
      <c r="T80" s="15">
        <f>IF((NETWORKDAYS(DATE(YEAR(C80),MONTH(C80),1),C80,Feriados!$A$2:$A$842))&gt;=5,0,IF(NETWORKDAYS(DATE(YEAR(C80),MONTH(C80),1),C80,Feriados!$A$2:$A$842)=1,S79,T79))</f>
        <v>0</v>
      </c>
      <c r="U80" s="26">
        <v>0</v>
      </c>
      <c r="V80" s="26">
        <v>0</v>
      </c>
      <c r="W80" s="15">
        <f t="shared" ref="W80" si="265">SUM(G80+J80+M80+P80)</f>
        <v>8404612.8468479719</v>
      </c>
      <c r="X80" s="50">
        <f>'Fluxo de Caixa_'!AD86</f>
        <v>0</v>
      </c>
      <c r="AB80" s="26">
        <v>2157.5084999999999</v>
      </c>
      <c r="AC80" s="26">
        <v>0</v>
      </c>
      <c r="AD80">
        <f>SUMIFS([1]Master!$J$2:$J$100,[1]Master!$A$2:$A$100,"="&amp;$I$12,[1]Master!$E$2:$E$100,"="&amp;C80,[1]Master!$J$2:$J$100,"&gt;"&amp;0)</f>
        <v>0</v>
      </c>
      <c r="AE80">
        <f ca="1">-SUMIF('[1]Fluxo de Movimentações'!$A$5:$F$10001,"="&amp;$C80,'[1]Fluxo de Movimentações'!$H$5:$H$10001)</f>
        <v>0</v>
      </c>
      <c r="AF80" s="26">
        <v>0</v>
      </c>
      <c r="AG80" s="26">
        <v>3457.52</v>
      </c>
      <c r="AH80" s="26">
        <v>0</v>
      </c>
      <c r="AI80" s="26">
        <v>0</v>
      </c>
      <c r="AJ80" s="26">
        <v>0</v>
      </c>
      <c r="AK80" s="68">
        <v>3.8371677000000002</v>
      </c>
      <c r="AL80" s="15">
        <f>-SUMIFS([1]Master!$J$1:$J$200,[1]Master!$A$1:$A$200,"="&amp;$I$12,[1]Master!$G$1:$G$200,"&gt;"&amp;C80,[1]Master!$E$1:$E$200,"&lt;="&amp;C80)</f>
        <v>0</v>
      </c>
      <c r="AM80" s="26">
        <v>0</v>
      </c>
      <c r="AN80" s="26">
        <v>0</v>
      </c>
    </row>
    <row r="81" spans="3:40">
      <c r="C81" s="1">
        <f>WORKDAY($C80,1,Feriados!B68:B908)</f>
        <v>44972</v>
      </c>
      <c r="D81" s="39">
        <v>8553684.5887000002</v>
      </c>
      <c r="E81" s="32">
        <v>3.9047673000000001</v>
      </c>
      <c r="F81" s="88">
        <f t="shared" ref="F81" si="266">D81/TRUNC(E81,6)</f>
        <v>2190574.9020876279</v>
      </c>
      <c r="G81" s="15">
        <f t="shared" ref="G81" si="267">H81*I81</f>
        <v>8528518.653271351</v>
      </c>
      <c r="H81" s="32">
        <v>0.95748250000000001</v>
      </c>
      <c r="I81" s="15">
        <f>SUMIFS([1]Master!$K$2:$K$10000,[1]Master!$A$2:$A$10000,$I$12,[1]Master!$F$2:$F$10000,"&lt;="&amp;$C81)</f>
        <v>8907231.8849392552</v>
      </c>
      <c r="J81" s="15">
        <f t="shared" ref="J81" si="268">K81*L81</f>
        <v>0</v>
      </c>
      <c r="K81" s="43">
        <v>0</v>
      </c>
      <c r="L81" s="40">
        <v>0</v>
      </c>
      <c r="M81" s="15">
        <f t="shared" si="3"/>
        <v>0</v>
      </c>
      <c r="N81" s="32">
        <v>0</v>
      </c>
      <c r="O81" s="40">
        <v>0</v>
      </c>
      <c r="P81" s="15">
        <f t="shared" si="4"/>
        <v>24662.500164056379</v>
      </c>
      <c r="Q81" s="32">
        <v>3.6906213999999999</v>
      </c>
      <c r="R81" s="40">
        <v>6682.4790437882302</v>
      </c>
      <c r="S81" s="15">
        <f t="shared" ref="S81" si="269">(((1+1.35%)^(1/252))-1)*D80+SUM(S80)</f>
        <v>5072.4491425755614</v>
      </c>
      <c r="T81" s="15">
        <f>IF((NETWORKDAYS(DATE(YEAR(C81),MONTH(C81),1),C81,Feriados!$A$2:$A$842))&gt;=5,0,IF(NETWORKDAYS(DATE(YEAR(C81),MONTH(C81),1),C81,Feriados!$A$2:$A$842)=1,S80,T80))</f>
        <v>0</v>
      </c>
      <c r="U81" s="26">
        <v>0</v>
      </c>
      <c r="V81" s="26">
        <v>0</v>
      </c>
      <c r="W81" s="15">
        <f t="shared" ref="W81" si="270">SUM(G81+J81+M81+P81)</f>
        <v>8553181.1534354072</v>
      </c>
      <c r="X81" s="50">
        <f>'Fluxo de Caixa_'!AD87</f>
        <v>0</v>
      </c>
      <c r="AB81" s="26">
        <v>2118.3087</v>
      </c>
      <c r="AC81" s="26">
        <v>0</v>
      </c>
      <c r="AD81">
        <f>SUMIFS([1]Master!$J$2:$J$100,[1]Master!$A$2:$A$100,"="&amp;$I$12,[1]Master!$E$2:$E$100,"="&amp;C81,[1]Master!$J$2:$J$100,"&gt;"&amp;0)</f>
        <v>0</v>
      </c>
      <c r="AE81">
        <f ca="1">-SUMIF('[1]Fluxo de Movimentações'!$A$5:$F$10001,"="&amp;$C81,'[1]Fluxo de Movimentações'!$H$5:$H$10001)</f>
        <v>0</v>
      </c>
      <c r="AF81" s="26">
        <v>0</v>
      </c>
      <c r="AG81" s="26">
        <v>3457.52</v>
      </c>
      <c r="AH81" s="26">
        <v>0</v>
      </c>
      <c r="AI81" s="26">
        <v>0</v>
      </c>
      <c r="AJ81" s="26">
        <v>0</v>
      </c>
      <c r="AK81" s="68">
        <v>3.9047673000000001</v>
      </c>
      <c r="AL81" s="15">
        <f>-SUMIFS([1]Master!$J$1:$J$200,[1]Master!$A$1:$A$200,"="&amp;$I$12,[1]Master!$G$1:$G$200,"&gt;"&amp;C81,[1]Master!$E$1:$E$200,"&lt;="&amp;C81)</f>
        <v>0</v>
      </c>
      <c r="AM81" s="26">
        <v>0</v>
      </c>
      <c r="AN81" s="26">
        <v>0</v>
      </c>
    </row>
    <row r="82" spans="3:40">
      <c r="C82" s="1">
        <f>WORKDAY($C81,1,Feriados!B69:B909)</f>
        <v>44973</v>
      </c>
      <c r="D82" s="39">
        <v>8636305.9605</v>
      </c>
      <c r="E82" s="32">
        <v>3.9424839999999999</v>
      </c>
      <c r="F82" s="88">
        <f t="shared" ref="F82" si="271">D82/TRUNC(E82,6)</f>
        <v>2190574.7646661345</v>
      </c>
      <c r="G82" s="15">
        <f t="shared" ref="G82" si="272">H82*I82</f>
        <v>8611622.2360346448</v>
      </c>
      <c r="H82" s="32">
        <v>0.96681240000000002</v>
      </c>
      <c r="I82" s="15">
        <f>SUMIFS([1]Master!$K$2:$K$10000,[1]Master!$A$2:$A$10000,$I$12,[1]Master!$F$2:$F$10000,"&lt;="&amp;$C82)</f>
        <v>8907231.8849392552</v>
      </c>
      <c r="J82" s="15">
        <f t="shared" ref="J82" si="273">K82*L82</f>
        <v>0</v>
      </c>
      <c r="K82" s="43">
        <v>0</v>
      </c>
      <c r="L82" s="40">
        <v>0</v>
      </c>
      <c r="M82" s="15">
        <f t="shared" si="3"/>
        <v>0</v>
      </c>
      <c r="N82" s="32">
        <v>0</v>
      </c>
      <c r="O82" s="40">
        <v>0</v>
      </c>
      <c r="P82" s="15">
        <f t="shared" si="4"/>
        <v>24529.803275820912</v>
      </c>
      <c r="Q82" s="32">
        <v>3.6924625</v>
      </c>
      <c r="R82" s="40">
        <v>6643.2098567882304</v>
      </c>
      <c r="S82" s="15">
        <f t="shared" ref="S82" si="274">(((1+1.35%)^(1/252))-1)*D81+SUM(S81)</f>
        <v>5527.6288415535182</v>
      </c>
      <c r="T82" s="15">
        <f>IF((NETWORKDAYS(DATE(YEAR(C82),MONTH(C82),1),C82,Feriados!$A$2:$A$842))&gt;=5,0,IF(NETWORKDAYS(DATE(YEAR(C82),MONTH(C82),1),C82,Feriados!$A$2:$A$842)=1,S81,T81))</f>
        <v>0</v>
      </c>
      <c r="U82" s="26">
        <v>0</v>
      </c>
      <c r="V82" s="26">
        <v>0</v>
      </c>
      <c r="W82" s="15">
        <f t="shared" ref="W82" si="275">SUM(G82+J82+M82+P82)</f>
        <v>8636152.0393104665</v>
      </c>
      <c r="X82" s="50">
        <f>'Fluxo de Caixa_'!AD88</f>
        <v>4.0298704107044614E-7</v>
      </c>
      <c r="AB82" s="26">
        <v>2223.9605000000001</v>
      </c>
      <c r="AC82" s="26">
        <v>0</v>
      </c>
      <c r="AD82">
        <f>SUMIFS([1]Master!$J$2:$J$100,[1]Master!$A$2:$A$100,"="&amp;$I$12,[1]Master!$E$2:$E$100,"="&amp;C82,[1]Master!$J$2:$J$100,"&gt;"&amp;0)</f>
        <v>0</v>
      </c>
      <c r="AE82">
        <f ca="1">-SUMIF('[1]Fluxo de Movimentações'!$A$5:$F$10001,"="&amp;$C82,'[1]Fluxo de Movimentações'!$H$5:$H$10001)</f>
        <v>0</v>
      </c>
      <c r="AF82" s="26">
        <v>0</v>
      </c>
      <c r="AG82" s="26">
        <v>3457.52</v>
      </c>
      <c r="AH82" s="26">
        <v>0</v>
      </c>
      <c r="AI82" s="26">
        <v>0</v>
      </c>
      <c r="AJ82" s="26">
        <v>0</v>
      </c>
      <c r="AK82" s="68">
        <v>3.9424839999999999</v>
      </c>
      <c r="AL82" s="15">
        <f>-SUMIFS([1]Master!$J$1:$J$200,[1]Master!$A$1:$A$200,"="&amp;$I$12,[1]Master!$G$1:$G$200,"&gt;"&amp;C82,[1]Master!$E$1:$E$200,"&lt;="&amp;C82)</f>
        <v>0</v>
      </c>
      <c r="AM82" s="26">
        <v>0</v>
      </c>
      <c r="AN82" s="26">
        <v>0</v>
      </c>
    </row>
    <row r="83" spans="3:40">
      <c r="C83" s="1">
        <f>WORKDAY($C82,1,Feriados!B70:B910)</f>
        <v>44974</v>
      </c>
      <c r="D83" s="39">
        <v>8605343.2123000007</v>
      </c>
      <c r="E83" s="32">
        <v>3.9283494999999999</v>
      </c>
      <c r="F83" s="88">
        <f t="shared" ref="F83" si="276">D83/TRUNC(E83,6)</f>
        <v>2190575.0258696466</v>
      </c>
      <c r="G83" s="15">
        <f t="shared" ref="G83" si="277">H83*I83</f>
        <v>8581153.2679258324</v>
      </c>
      <c r="H83" s="32">
        <v>0.96339169999999996</v>
      </c>
      <c r="I83" s="15">
        <f>SUMIFS([1]Master!$K$2:$K$10000,[1]Master!$A$2:$A$10000,$I$12,[1]Master!$F$2:$F$10000,"&lt;="&amp;$C83)</f>
        <v>8907231.8849392552</v>
      </c>
      <c r="J83" s="15">
        <f t="shared" ref="J83" si="278">K83*L83</f>
        <v>0</v>
      </c>
      <c r="K83" s="43">
        <v>0</v>
      </c>
      <c r="L83" s="40">
        <v>0</v>
      </c>
      <c r="M83" s="15">
        <f t="shared" si="3"/>
        <v>0</v>
      </c>
      <c r="N83" s="32">
        <v>0</v>
      </c>
      <c r="O83" s="40">
        <v>0</v>
      </c>
      <c r="P83" s="15">
        <f t="shared" si="4"/>
        <v>24542.194855166777</v>
      </c>
      <c r="Q83" s="32">
        <v>3.6943277999999999</v>
      </c>
      <c r="R83" s="40">
        <v>6643.2098567882304</v>
      </c>
      <c r="S83" s="15">
        <f t="shared" ref="S83" si="279">(((1+1.35%)^(1/252))-1)*D82+SUM(S82)</f>
        <v>5987.2051921446</v>
      </c>
      <c r="T83" s="15">
        <f>IF((NETWORKDAYS(DATE(YEAR(C83),MONTH(C83),1),C83,Feriados!$A$2:$A$842))&gt;=5,0,IF(NETWORKDAYS(DATE(YEAR(C83),MONTH(C83),1),C83,Feriados!$A$2:$A$842)=1,S82,T82))</f>
        <v>0</v>
      </c>
      <c r="U83" s="26">
        <v>0</v>
      </c>
      <c r="V83" s="26">
        <v>0</v>
      </c>
      <c r="W83" s="15">
        <f t="shared" ref="W83" si="280">SUM(G83+J83+M83+P83)</f>
        <v>8605695.462780999</v>
      </c>
      <c r="X83" s="50">
        <f>'Fluxo de Caixa_'!AD89</f>
        <v>0</v>
      </c>
      <c r="AB83" s="26">
        <v>2177.3622999999998</v>
      </c>
      <c r="AC83" s="26">
        <v>0</v>
      </c>
      <c r="AD83">
        <f>SUMIFS([1]Master!$J$2:$J$100,[1]Master!$A$2:$A$100,"="&amp;$I$12,[1]Master!$E$2:$E$100,"="&amp;C83,[1]Master!$J$2:$J$100,"&gt;"&amp;0)</f>
        <v>0</v>
      </c>
      <c r="AE83">
        <f ca="1">-SUMIF('[1]Fluxo de Movimentações'!$A$5:$F$10001,"="&amp;$C83,'[1]Fluxo de Movimentações'!$H$5:$H$10001)</f>
        <v>0</v>
      </c>
      <c r="AF83" s="26">
        <v>0</v>
      </c>
      <c r="AG83" s="26">
        <v>3457.52</v>
      </c>
      <c r="AH83" s="26">
        <v>0</v>
      </c>
      <c r="AI83" s="26">
        <v>0</v>
      </c>
      <c r="AJ83" s="26">
        <v>0</v>
      </c>
      <c r="AK83" s="68">
        <v>3.9283494999999999</v>
      </c>
      <c r="AL83" s="15">
        <f>-SUMIFS([1]Master!$J$1:$J$200,[1]Master!$A$1:$A$200,"="&amp;$I$12,[1]Master!$G$1:$G$200,"&gt;"&amp;C83,[1]Master!$E$1:$E$200,"&lt;="&amp;C83)</f>
        <v>0</v>
      </c>
      <c r="AM83" s="26">
        <v>0</v>
      </c>
      <c r="AN83" s="26">
        <v>0</v>
      </c>
    </row>
    <row r="84" spans="3:40">
      <c r="C84" s="1">
        <v>44979</v>
      </c>
      <c r="D84" s="39">
        <v>8456098.4041000009</v>
      </c>
      <c r="E84" s="32">
        <v>3.8602191000000001</v>
      </c>
      <c r="F84" s="88">
        <f t="shared" ref="F84" si="281">D84/TRUNC(E84,6)</f>
        <v>2190574.7845135215</v>
      </c>
      <c r="G84" s="15">
        <f t="shared" ref="G84" si="282">H84*I84</f>
        <v>8432400.714000972</v>
      </c>
      <c r="H84" s="32">
        <v>0.94669150000000002</v>
      </c>
      <c r="I84" s="15">
        <f>SUMIFS([1]Master!$K$2:$K$10000,[1]Master!$A$2:$A$10000,$I$12,[1]Master!$F$2:$F$10000,"&lt;="&amp;$C84)</f>
        <v>8907231.8849392552</v>
      </c>
      <c r="J84" s="15">
        <f t="shared" ref="J84" si="283">K84*L84</f>
        <v>0</v>
      </c>
      <c r="K84" s="43">
        <v>0</v>
      </c>
      <c r="L84" s="40">
        <v>0</v>
      </c>
      <c r="M84" s="15">
        <f t="shared" si="3"/>
        <v>0</v>
      </c>
      <c r="N84" s="32">
        <v>0</v>
      </c>
      <c r="O84" s="40">
        <v>0</v>
      </c>
      <c r="P84" s="15">
        <f t="shared" si="4"/>
        <v>24554.455563278469</v>
      </c>
      <c r="Q84" s="32">
        <v>3.6961734000000002</v>
      </c>
      <c r="R84" s="40">
        <v>6643.2098567882304</v>
      </c>
      <c r="S84" s="15">
        <f t="shared" ref="S84" si="284">(((1+1.35%)^(1/252))-1)*D83+SUM(S83)</f>
        <v>6445.1338768369624</v>
      </c>
      <c r="T84" s="15">
        <f>IF((NETWORKDAYS(DATE(YEAR(C84),MONTH(C84),1),C84,Feriados!$A$2:$A$842))&gt;=5,0,IF(NETWORKDAYS(DATE(YEAR(C84),MONTH(C84),1),C84,Feriados!$A$2:$A$842)=1,S83,T83))</f>
        <v>0</v>
      </c>
      <c r="U84" s="26">
        <v>0</v>
      </c>
      <c r="V84" s="26">
        <v>0</v>
      </c>
      <c r="W84" s="15">
        <f t="shared" ref="W84" si="285">SUM(G84+J84+M84+P84)</f>
        <v>8456955.1695642509</v>
      </c>
      <c r="X84" s="50">
        <f>'Fluxo de Caixa_'!AD90</f>
        <v>0</v>
      </c>
      <c r="AB84" s="26">
        <v>2130.7640999999999</v>
      </c>
      <c r="AC84" s="26">
        <v>0</v>
      </c>
      <c r="AD84">
        <f>SUMIFS([1]Master!$J$2:$J$100,[1]Master!$A$2:$A$100,"="&amp;$I$12,[1]Master!$E$2:$E$100,"="&amp;C84,[1]Master!$J$2:$J$100,"&gt;"&amp;0)</f>
        <v>0</v>
      </c>
      <c r="AE84">
        <f ca="1">-SUMIF('[1]Fluxo de Movimentações'!$A$5:$F$10001,"="&amp;$C84,'[1]Fluxo de Movimentações'!$H$5:$H$10001)</f>
        <v>0</v>
      </c>
      <c r="AF84" s="26">
        <v>0</v>
      </c>
      <c r="AG84" s="26">
        <v>3457.52</v>
      </c>
      <c r="AH84" s="26">
        <v>0</v>
      </c>
      <c r="AI84" s="26">
        <v>0</v>
      </c>
      <c r="AJ84" s="26">
        <v>0</v>
      </c>
      <c r="AK84" s="68">
        <v>3.8602191000000001</v>
      </c>
      <c r="AL84" s="15">
        <f>-SUMIFS([1]Master!$J$1:$J$200,[1]Master!$A$1:$A$200,"="&amp;$I$12,[1]Master!$G$1:$G$200,"&gt;"&amp;C84,[1]Master!$E$1:$E$200,"&lt;="&amp;C84)</f>
        <v>0</v>
      </c>
      <c r="AM84" s="26">
        <v>0</v>
      </c>
      <c r="AN84" s="26">
        <v>0</v>
      </c>
    </row>
    <row r="85" spans="3:40">
      <c r="C85" s="1">
        <f>WORKDAY($C84,1,Feriados!B72:B912)</f>
        <v>44980</v>
      </c>
      <c r="D85" s="39">
        <v>8386556.5679000001</v>
      </c>
      <c r="E85" s="32">
        <v>3.8284731000000001</v>
      </c>
      <c r="F85" s="88">
        <f t="shared" ref="F85" si="286">D85/TRUNC(E85,6)</f>
        <v>2190574.8239311078</v>
      </c>
      <c r="G85" s="15">
        <f t="shared" ref="G85" si="287">H85*I85</f>
        <v>8363342.9451970365</v>
      </c>
      <c r="H85" s="32">
        <v>0.93893850000000001</v>
      </c>
      <c r="I85" s="15">
        <f>SUMIFS([1]Master!$K$2:$K$10000,[1]Master!$A$2:$A$10000,$I$12,[1]Master!$F$2:$F$10000,"&lt;="&amp;$C85)</f>
        <v>8907231.8849392552</v>
      </c>
      <c r="J85" s="15">
        <f t="shared" ref="J85" si="288">K85*L85</f>
        <v>0</v>
      </c>
      <c r="K85" s="43">
        <v>0</v>
      </c>
      <c r="L85" s="40">
        <v>0</v>
      </c>
      <c r="M85" s="15">
        <f t="shared" ref="M85" si="289">N85*O85</f>
        <v>0</v>
      </c>
      <c r="N85" s="32">
        <v>0</v>
      </c>
      <c r="O85" s="40">
        <v>0</v>
      </c>
      <c r="P85" s="15">
        <f t="shared" ref="P85" si="290">Q85*R85</f>
        <v>24566.977349537527</v>
      </c>
      <c r="Q85" s="32">
        <v>3.6980583</v>
      </c>
      <c r="R85" s="40">
        <v>6643.2098567882304</v>
      </c>
      <c r="S85" s="15">
        <f t="shared" ref="S85" si="291">(((1+1.35%)^(1/252))-1)*D84+SUM(S84)</f>
        <v>6895.1205797826233</v>
      </c>
      <c r="T85" s="15">
        <f>IF((NETWORKDAYS(DATE(YEAR(C85),MONTH(C85),1),C85,Feriados!$A$2:$A$842))&gt;=5,0,IF(NETWORKDAYS(DATE(YEAR(C85),MONTH(C85),1),C85,Feriados!$A$2:$A$842)=1,S84,T84))</f>
        <v>0</v>
      </c>
      <c r="U85" s="26">
        <v>0</v>
      </c>
      <c r="V85" s="26">
        <v>0</v>
      </c>
      <c r="W85" s="15">
        <f t="shared" ref="W85" si="292">SUM(G85+J85+M85+P85)</f>
        <v>8387909.9225465739</v>
      </c>
      <c r="X85" s="50">
        <f>'Fluxo de Caixa_'!AD91</f>
        <v>0</v>
      </c>
      <c r="AB85" s="26">
        <v>2084.1579000000002</v>
      </c>
      <c r="AC85" s="26">
        <v>0</v>
      </c>
      <c r="AD85">
        <f>SUMIFS([1]Master!$J$2:$J$100,[1]Master!$A$2:$A$100,"="&amp;$I$12,[1]Master!$E$2:$E$100,"="&amp;C85,[1]Master!$J$2:$J$100,"&gt;"&amp;0)</f>
        <v>0</v>
      </c>
      <c r="AE85">
        <f ca="1">-SUMIF('[1]Fluxo de Movimentações'!$A$5:$F$10001,"="&amp;$C85,'[1]Fluxo de Movimentações'!$H$5:$H$10001)</f>
        <v>0</v>
      </c>
      <c r="AF85" s="26">
        <v>0</v>
      </c>
      <c r="AG85" s="26">
        <v>3457.52</v>
      </c>
      <c r="AH85" s="26">
        <v>0</v>
      </c>
      <c r="AI85" s="26">
        <v>0</v>
      </c>
      <c r="AJ85" s="26">
        <v>0</v>
      </c>
      <c r="AK85" s="68">
        <v>3.8284731000000001</v>
      </c>
      <c r="AL85" s="15">
        <f>-SUMIFS([1]Master!$J$1:$J$200,[1]Master!$A$1:$A$200,"="&amp;$I$12,[1]Master!$G$1:$G$200,"&gt;"&amp;C85,[1]Master!$E$1:$E$200,"&lt;="&amp;C85)</f>
        <v>0</v>
      </c>
      <c r="AM85" s="26">
        <v>0</v>
      </c>
      <c r="AN85" s="26">
        <v>0</v>
      </c>
    </row>
    <row r="86" spans="3:40">
      <c r="C86" s="1">
        <f>WORKDAY($C85,1,Feriados!B73:B913)</f>
        <v>44981</v>
      </c>
      <c r="D86" s="39">
        <v>8300894.0217000004</v>
      </c>
      <c r="E86" s="32">
        <v>3.7893680999999999</v>
      </c>
      <c r="F86" s="88">
        <f t="shared" ref="F86" si="293">D86/TRUNC(E86,6)</f>
        <v>2190574.7928678347</v>
      </c>
      <c r="G86" s="15">
        <f t="shared" ref="G86" si="294">H86*I86</f>
        <v>8278158.6330654202</v>
      </c>
      <c r="H86" s="32">
        <v>0.92937499999999995</v>
      </c>
      <c r="I86" s="15">
        <f>SUMIFS([1]Master!$K$2:$K$10000,[1]Master!$A$2:$A$10000,$I$12,[1]Master!$F$2:$F$10000,"&lt;="&amp;$C86)</f>
        <v>8907231.8849392552</v>
      </c>
      <c r="J86" s="15">
        <f t="shared" ref="J86" si="295">K86*L86</f>
        <v>0</v>
      </c>
      <c r="K86" s="43">
        <v>0</v>
      </c>
      <c r="L86" s="40">
        <v>0</v>
      </c>
      <c r="M86" s="15">
        <f t="shared" ref="M86:M87" si="296">N86*O86</f>
        <v>0</v>
      </c>
      <c r="N86" s="32">
        <v>0</v>
      </c>
      <c r="O86" s="40">
        <v>0</v>
      </c>
      <c r="P86" s="15">
        <f t="shared" ref="P86:P89" si="297">Q86*R86</f>
        <v>24579.630007030766</v>
      </c>
      <c r="Q86" s="32">
        <v>3.6999629000000001</v>
      </c>
      <c r="R86" s="40">
        <v>6643.2098567882304</v>
      </c>
      <c r="S86" s="15">
        <f t="shared" ref="S86" si="298">(((1+1.35%)^(1/252))-1)*D85+SUM(S85)</f>
        <v>7341.4066515278173</v>
      </c>
      <c r="T86" s="15">
        <f>IF((NETWORKDAYS(DATE(YEAR(C86),MONTH(C86),1),C86,Feriados!$A$2:$A$842))&gt;=5,0,IF(NETWORKDAYS(DATE(YEAR(C86),MONTH(C86),1),C86,Feriados!$A$2:$A$842)=1,S85,T85))</f>
        <v>0</v>
      </c>
      <c r="U86" s="26">
        <v>0</v>
      </c>
      <c r="V86" s="26">
        <v>0</v>
      </c>
      <c r="W86" s="15">
        <f t="shared" ref="W86" si="299">SUM(G86+J86+M86+P86)</f>
        <v>8302738.2630724506</v>
      </c>
      <c r="X86" s="50">
        <f>'Fluxo de Caixa_'!AD92</f>
        <v>0</v>
      </c>
      <c r="AB86" s="26">
        <v>2039.5517</v>
      </c>
      <c r="AC86" s="26">
        <v>0</v>
      </c>
      <c r="AD86">
        <f>SUMIFS([1]Master!$J$2:$J$100,[1]Master!$A$2:$A$100,"="&amp;$I$12,[1]Master!$E$2:$E$100,"="&amp;C86,[1]Master!$J$2:$J$100,"&gt;"&amp;0)</f>
        <v>0</v>
      </c>
      <c r="AE86">
        <f ca="1">-SUMIF('[1]Fluxo de Movimentações'!$A$5:$F$10001,"="&amp;$C86,'[1]Fluxo de Movimentações'!$H$5:$H$10001)</f>
        <v>0</v>
      </c>
      <c r="AF86" s="26">
        <v>0</v>
      </c>
      <c r="AG86" s="26">
        <v>3457.52</v>
      </c>
      <c r="AH86" s="26">
        <v>0</v>
      </c>
      <c r="AI86" s="26">
        <v>0</v>
      </c>
      <c r="AJ86" s="26">
        <v>0</v>
      </c>
      <c r="AK86" s="68">
        <v>3.7893680999999999</v>
      </c>
      <c r="AL86" s="15">
        <f>-SUMIFS([1]Master!$J$1:$J$200,[1]Master!$A$1:$A$200,"="&amp;$I$12,[1]Master!$G$1:$G$200,"&gt;"&amp;C86,[1]Master!$E$1:$E$200,"&lt;="&amp;C86)</f>
        <v>0</v>
      </c>
      <c r="AM86" s="26">
        <v>0</v>
      </c>
      <c r="AN86" s="26">
        <v>0</v>
      </c>
    </row>
    <row r="87" spans="3:40">
      <c r="C87" s="1">
        <f>WORKDAY($C86,1,Feriados!B74:B914)</f>
        <v>44984</v>
      </c>
      <c r="D87" s="39">
        <v>8268427.2855000002</v>
      </c>
      <c r="E87" s="32">
        <v>3.7745470000000001</v>
      </c>
      <c r="F87" s="88">
        <f t="shared" ref="F87" si="300">D87/TRUNC(E87,6)</f>
        <v>2190574.7326765303</v>
      </c>
      <c r="G87" s="15">
        <f t="shared" ref="G87" si="301">H87*I87</f>
        <v>8246165.637581096</v>
      </c>
      <c r="H87" s="32">
        <v>0.92578320000000003</v>
      </c>
      <c r="I87" s="15">
        <f>SUMIFS([1]Master!$K$2:$K$10000,[1]Master!$A$2:$A$10000,$I$12,[1]Master!$F$2:$F$10000,"&lt;="&amp;$C87)</f>
        <v>8907231.8849392552</v>
      </c>
      <c r="J87" s="15">
        <f t="shared" ref="J87" si="302">K87*L87</f>
        <v>0</v>
      </c>
      <c r="K87" s="43">
        <v>0</v>
      </c>
      <c r="L87" s="40">
        <v>0</v>
      </c>
      <c r="M87" s="15">
        <f t="shared" si="296"/>
        <v>0</v>
      </c>
      <c r="N87" s="32">
        <v>0</v>
      </c>
      <c r="O87" s="40">
        <v>0</v>
      </c>
      <c r="P87" s="15">
        <f t="shared" si="297"/>
        <v>24592.211582178537</v>
      </c>
      <c r="Q87" s="32">
        <v>3.7018567999999998</v>
      </c>
      <c r="R87" s="40">
        <v>6643.2098567882304</v>
      </c>
      <c r="S87" s="15">
        <f t="shared" ref="S87" si="303">(((1+1.35%)^(1/252))-1)*D86+SUM(S86)</f>
        <v>7783.134237209063</v>
      </c>
      <c r="T87" s="15">
        <f>IF((NETWORKDAYS(DATE(YEAR(C87),MONTH(C87),1),C87,Feriados!$A$2:$A$842))&gt;=5,0,IF(NETWORKDAYS(DATE(YEAR(C87),MONTH(C87),1),C87,Feriados!$A$2:$A$842)=1,S86,T86))</f>
        <v>0</v>
      </c>
      <c r="U87" s="26">
        <v>0</v>
      </c>
      <c r="V87" s="26">
        <v>0</v>
      </c>
      <c r="W87" s="15">
        <f t="shared" ref="W87" si="304">SUM(G87+J87+M87+P87)</f>
        <v>8270757.8491632743</v>
      </c>
      <c r="X87" s="50">
        <f>'Fluxo de Caixa_'!AD93</f>
        <v>0</v>
      </c>
      <c r="AB87" s="26">
        <v>1994.9455</v>
      </c>
      <c r="AC87" s="26">
        <v>0</v>
      </c>
      <c r="AD87">
        <f>SUMIFS([1]Master!$J$2:$J$100,[1]Master!$A$2:$A$100,"="&amp;$I$12,[1]Master!$E$2:$E$100,"="&amp;C87,[1]Master!$J$2:$J$100,"&gt;"&amp;0)</f>
        <v>0</v>
      </c>
      <c r="AE87">
        <f ca="1">-SUMIF('[1]Fluxo de Movimentações'!$A$5:$F$10001,"="&amp;$C87,'[1]Fluxo de Movimentações'!$H$5:$H$10001)</f>
        <v>0</v>
      </c>
      <c r="AF87" s="26">
        <v>0</v>
      </c>
      <c r="AG87" s="26">
        <v>3457.52</v>
      </c>
      <c r="AH87" s="26">
        <v>0</v>
      </c>
      <c r="AI87" s="26">
        <v>0</v>
      </c>
      <c r="AJ87" s="26">
        <v>0</v>
      </c>
      <c r="AK87" s="68">
        <v>3.7745470000000001</v>
      </c>
      <c r="AL87" s="15">
        <f>-SUMIFS([1]Master!$J$1:$J$200,[1]Master!$A$1:$A$200,"="&amp;$I$12,[1]Master!$G$1:$G$200,"&gt;"&amp;C87,[1]Master!$E$1:$E$200,"&lt;="&amp;C87)</f>
        <v>0</v>
      </c>
      <c r="AM87" s="26">
        <v>0</v>
      </c>
      <c r="AN87" s="26">
        <v>0</v>
      </c>
    </row>
    <row r="88" spans="3:40">
      <c r="C88" s="1">
        <f>WORKDAY($C87,1,Feriados!B75:B915)</f>
        <v>44985</v>
      </c>
      <c r="D88" s="39">
        <v>8219689.4693</v>
      </c>
      <c r="E88" s="32">
        <v>3.7522981</v>
      </c>
      <c r="F88" s="88">
        <f t="shared" ref="F88" si="305">D88/TRUNC(E88,6)</f>
        <v>2190574.8075712537</v>
      </c>
      <c r="G88" s="15">
        <f t="shared" ref="G88" si="306">H88*I88</f>
        <v>8197900.0201661754</v>
      </c>
      <c r="H88" s="32">
        <v>0.92036450000000003</v>
      </c>
      <c r="I88" s="15">
        <f>SUMIFS([1]Master!$K$2:$K$10000,[1]Master!$A$2:$A$10000,$I$12,[1]Master!$F$2:$F$10000,"&lt;="&amp;$C88)</f>
        <v>8907231.8849392552</v>
      </c>
      <c r="J88" s="15">
        <f t="shared" ref="J88" si="307">K88*L88</f>
        <v>0</v>
      </c>
      <c r="K88" s="43">
        <v>0</v>
      </c>
      <c r="L88" s="40">
        <v>0</v>
      </c>
      <c r="M88" s="15">
        <f t="shared" ref="M88:M90" si="308">N88*O88</f>
        <v>0</v>
      </c>
      <c r="N88" s="32">
        <v>0</v>
      </c>
      <c r="O88" s="40">
        <v>0</v>
      </c>
      <c r="P88" s="15">
        <f t="shared" si="297"/>
        <v>24604.614454981162</v>
      </c>
      <c r="Q88" s="32">
        <v>3.7037238000000001</v>
      </c>
      <c r="R88" s="40">
        <v>6643.2098567882304</v>
      </c>
      <c r="S88" s="15">
        <f t="shared" ref="S88" si="309">(((1+1.35%)^(1/252))-1)*D87+SUM(S87)</f>
        <v>8223.1341230836279</v>
      </c>
      <c r="T88" s="15">
        <f>IF((NETWORKDAYS(DATE(YEAR(C88),MONTH(C88),1),C88,Feriados!$A$2:$A$842))&gt;=5,0,IF(NETWORKDAYS(DATE(YEAR(C88),MONTH(C88),1),C88,Feriados!$A$2:$A$842)=1,S87,T87))</f>
        <v>0</v>
      </c>
      <c r="U88" s="26">
        <v>0</v>
      </c>
      <c r="V88" s="26">
        <v>0</v>
      </c>
      <c r="W88" s="15">
        <f t="shared" ref="W88" si="310">SUM(G88+J88+M88+P88)</f>
        <v>8222504.6346211564</v>
      </c>
      <c r="X88" s="50">
        <f>'Fluxo de Caixa_'!AD94</f>
        <v>0</v>
      </c>
      <c r="AB88" s="26">
        <v>1950.3393000000001</v>
      </c>
      <c r="AC88" s="26">
        <v>0</v>
      </c>
      <c r="AD88">
        <f>SUMIFS([1]Master!$J$2:$J$100,[1]Master!$A$2:$A$100,"="&amp;$I$12,[1]Master!$E$2:$E$100,"="&amp;C88,[1]Master!$J$2:$J$100,"&gt;"&amp;0)</f>
        <v>0</v>
      </c>
      <c r="AE88">
        <f ca="1">-SUMIF('[1]Fluxo de Movimentações'!$A$5:$F$10001,"="&amp;$C88,'[1]Fluxo de Movimentações'!$H$5:$H$10001)</f>
        <v>0</v>
      </c>
      <c r="AF88" s="26">
        <v>0</v>
      </c>
      <c r="AG88" s="26">
        <v>3457.52</v>
      </c>
      <c r="AH88" s="26">
        <v>0</v>
      </c>
      <c r="AI88" s="26">
        <v>0</v>
      </c>
      <c r="AJ88" s="26">
        <v>0</v>
      </c>
      <c r="AK88" s="68">
        <v>3.7522981</v>
      </c>
      <c r="AL88" s="15">
        <f>-SUMIFS([1]Master!$J$1:$J$200,[1]Master!$A$1:$A$200,"="&amp;$I$12,[1]Master!$G$1:$G$200,"&gt;"&amp;C88,[1]Master!$E$1:$E$200,"&lt;="&amp;C88)</f>
        <v>0</v>
      </c>
      <c r="AM88" s="26">
        <v>0</v>
      </c>
      <c r="AN88" s="26">
        <v>0</v>
      </c>
    </row>
    <row r="89" spans="3:40">
      <c r="C89" s="1">
        <f>WORKDAY($C88,1,Feriados!B76:B916)</f>
        <v>44986</v>
      </c>
      <c r="D89" s="39">
        <v>8084610.6085000001</v>
      </c>
      <c r="E89" s="32">
        <v>3.6906344</v>
      </c>
      <c r="F89" s="88">
        <f t="shared" ref="F89" si="311">D89/TRUNC(E89,6)</f>
        <v>2190575.0091989613</v>
      </c>
      <c r="G89" s="15">
        <f t="shared" ref="G89" si="312">H89*I89</f>
        <v>8063290.369028219</v>
      </c>
      <c r="H89" s="32">
        <v>0.9052521</v>
      </c>
      <c r="I89" s="15">
        <f>SUMIFS([1]Master!$K$2:$K$10000,[1]Master!$A$2:$A$10000,$I$12,[1]Master!$F$2:$F$10000,"&lt;="&amp;$C89)</f>
        <v>8907231.8849392552</v>
      </c>
      <c r="J89" s="15">
        <f t="shared" ref="J89" si="313">K89*L89</f>
        <v>0</v>
      </c>
      <c r="K89" s="43">
        <v>0</v>
      </c>
      <c r="L89" s="40">
        <v>0</v>
      </c>
      <c r="M89" s="15">
        <f t="shared" si="308"/>
        <v>0</v>
      </c>
      <c r="N89" s="32">
        <v>0</v>
      </c>
      <c r="O89" s="40">
        <v>0</v>
      </c>
      <c r="P89" s="15">
        <f t="shared" si="297"/>
        <v>24117.380047986266</v>
      </c>
      <c r="Q89" s="32">
        <v>3.7056453999999999</v>
      </c>
      <c r="R89" s="40">
        <v>6508.2805947882298</v>
      </c>
      <c r="S89" s="15">
        <f>(((1+1.35%)^(1/252))-1)*D88</f>
        <v>437.40632934618014</v>
      </c>
      <c r="T89" s="15">
        <f>IF((NETWORKDAYS(DATE(YEAR(C89),MONTH(C89),1),C89,Feriados!$A$2:$A$842))&gt;=5,0,IF(NETWORKDAYS(DATE(YEAR(C89),MONTH(C89),1),C89,Feriados!$A$2:$A$842)=1,S88,T88))</f>
        <v>8223.1341230836279</v>
      </c>
      <c r="U89" s="26">
        <v>0</v>
      </c>
      <c r="V89" s="26">
        <v>0</v>
      </c>
      <c r="W89" s="15">
        <f t="shared" ref="W89" si="314">SUM(G89+J89+M89+P89)</f>
        <v>8087407.7490762053</v>
      </c>
      <c r="X89" s="50">
        <f>'Fluxo de Caixa_'!AD95</f>
        <v>-9.4430311037285719E-7</v>
      </c>
      <c r="AB89" s="26">
        <v>2405.7584999999999</v>
      </c>
      <c r="AC89" s="26">
        <v>0</v>
      </c>
      <c r="AD89">
        <f>SUMIFS([1]Master!$J$2:$J$100,[1]Master!$A$2:$A$100,"="&amp;$I$12,[1]Master!$E$2:$E$100,"="&amp;C89,[1]Master!$J$2:$J$100,"&gt;"&amp;0)</f>
        <v>0</v>
      </c>
      <c r="AE89">
        <f ca="1">-SUMIF('[1]Fluxo de Movimentações'!$A$5:$F$10001,"="&amp;$C89,'[1]Fluxo de Movimentações'!$H$5:$H$10001)</f>
        <v>0</v>
      </c>
      <c r="AF89" s="26">
        <v>0</v>
      </c>
      <c r="AG89" s="26">
        <v>3457.52</v>
      </c>
      <c r="AH89" s="26">
        <v>0</v>
      </c>
      <c r="AI89" s="26">
        <v>0</v>
      </c>
      <c r="AJ89" s="26">
        <v>0</v>
      </c>
      <c r="AK89" s="68">
        <v>3.6906344</v>
      </c>
      <c r="AL89" s="15">
        <f>-SUMIFS([1]Master!$J$1:$J$200,[1]Master!$A$1:$A$200,"="&amp;$I$12,[1]Master!$G$1:$G$200,"&gt;"&amp;C89,[1]Master!$E$1:$E$200,"&lt;="&amp;C89)</f>
        <v>0</v>
      </c>
      <c r="AM89" s="26">
        <v>0</v>
      </c>
      <c r="AN89" s="26">
        <v>0</v>
      </c>
    </row>
    <row r="90" spans="3:40">
      <c r="C90" s="1">
        <f>WORKDAY($C89,1,Feriados!B77:B917)</f>
        <v>44987</v>
      </c>
      <c r="D90" s="39">
        <v>8081588.7757000001</v>
      </c>
      <c r="E90" s="32">
        <v>3.6892550000000002</v>
      </c>
      <c r="F90" s="88">
        <f t="shared" ref="F90" si="315">D90/TRUNC(E90,6)</f>
        <v>2190574.730047123</v>
      </c>
      <c r="G90" s="15">
        <f t="shared" ref="G90" si="316">H90*I90</f>
        <v>8051732.2120308653</v>
      </c>
      <c r="H90" s="32">
        <v>0.90496489999999996</v>
      </c>
      <c r="I90" s="15">
        <f>SUMIFS([1]Master!$K$2:$K$10000,[1]Master!$A$2:$A$10000,$I$12,[1]Master!$F$2:$F$10000,"&lt;="&amp;$C90)</f>
        <v>8897286.7478405684</v>
      </c>
      <c r="J90" s="15">
        <f t="shared" ref="J90" si="317">K90*L90</f>
        <v>0</v>
      </c>
      <c r="K90" s="43">
        <v>0</v>
      </c>
      <c r="L90" s="40">
        <v>0</v>
      </c>
      <c r="M90" s="15">
        <f t="shared" si="308"/>
        <v>0</v>
      </c>
      <c r="N90" s="32">
        <v>0</v>
      </c>
      <c r="O90" s="40">
        <v>0</v>
      </c>
      <c r="P90" s="15">
        <f t="shared" ref="P90:P95" si="318">Q90*R90</f>
        <v>24130.484470963875</v>
      </c>
      <c r="Q90" s="32">
        <v>3.7076589000000002</v>
      </c>
      <c r="R90" s="40">
        <v>6508.2805947882298</v>
      </c>
      <c r="S90" s="15">
        <f t="shared" ref="S90:S95" si="319">(((1+1.35%)^(1/252))-1)*D89 + SUM(S89)</f>
        <v>867.62451017464957</v>
      </c>
      <c r="T90" s="15">
        <f>IF((NETWORKDAYS(DATE(YEAR(C90),MONTH(C90),1),C90,Feriados!$A$2:$A$842))&gt;=5,0,IF(NETWORKDAYS(DATE(YEAR(C90),MONTH(C90),1),C90,Feriados!$A$2:$A$842)=1,S89,T89))</f>
        <v>8223.1341230836279</v>
      </c>
      <c r="U90" s="26">
        <v>0</v>
      </c>
      <c r="V90" s="26">
        <v>0</v>
      </c>
      <c r="W90" s="15">
        <f t="shared" ref="W90" si="320">SUM(G90+J90+M90+P90)</f>
        <v>8075862.6965018287</v>
      </c>
      <c r="X90" s="50">
        <f>'Fluxo de Caixa_'!AD96</f>
        <v>0</v>
      </c>
      <c r="AB90" s="26">
        <v>2359.1857</v>
      </c>
      <c r="AC90" s="26">
        <v>0</v>
      </c>
      <c r="AD90">
        <f>SUMIFS([1]Master!$J$2:$J$100,[1]Master!$A$2:$A$100,"="&amp;$I$12,[1]Master!$E$2:$E$100,"="&amp;C90,[1]Master!$J$2:$J$100,"&gt;"&amp;0)</f>
        <v>0</v>
      </c>
      <c r="AE90">
        <f ca="1">-SUMIF('[1]Fluxo de Movimentações'!$A$5:$F$10001,"="&amp;$C90,'[1]Fluxo de Movimentações'!$H$5:$H$10001)</f>
        <v>0</v>
      </c>
      <c r="AF90" s="26">
        <v>0</v>
      </c>
      <c r="AG90" s="26">
        <v>3457.52</v>
      </c>
      <c r="AH90" s="26">
        <v>0</v>
      </c>
      <c r="AI90" s="26">
        <v>0</v>
      </c>
      <c r="AJ90" s="26">
        <v>0</v>
      </c>
      <c r="AK90" s="68">
        <v>3.6892550000000002</v>
      </c>
      <c r="AL90" s="15">
        <f>-SUMIFS([1]Master!$J$1:$J$200,[1]Master!$A$1:$A$200,"="&amp;$I$12,[1]Master!$G$1:$G$200,"&gt;"&amp;C90,[1]Master!$E$1:$E$200,"&lt;="&amp;C90)</f>
        <v>9000</v>
      </c>
      <c r="AM90" s="26">
        <v>0</v>
      </c>
      <c r="AN90" s="26">
        <v>0</v>
      </c>
    </row>
    <row r="91" spans="3:40">
      <c r="C91" s="1">
        <f>WORKDAY($C90,1,Feriados!B78:B918)</f>
        <v>44988</v>
      </c>
      <c r="D91" s="39">
        <v>8023520.3328999998</v>
      </c>
      <c r="E91" s="32">
        <v>3.6627467</v>
      </c>
      <c r="F91" s="88">
        <f t="shared" ref="F91" si="321">D91/TRUNC(E91,6)</f>
        <v>2190575.1403182205</v>
      </c>
      <c r="G91" s="15">
        <f t="shared" ref="G91" si="322">H91*I91</f>
        <v>7994126.7289819717</v>
      </c>
      <c r="H91" s="32">
        <v>0.89849040000000002</v>
      </c>
      <c r="I91" s="15">
        <f>SUMIFS([1]Master!$K$2:$K$10000,[1]Master!$A$2:$A$10000,$I$12,[1]Master!$F$2:$F$10000,"&lt;="&amp;$C91)</f>
        <v>8897286.7478405684</v>
      </c>
      <c r="J91" s="15">
        <f t="shared" ref="J91" si="323">K91*L91</f>
        <v>0</v>
      </c>
      <c r="K91" s="43">
        <v>0</v>
      </c>
      <c r="L91" s="40">
        <v>0</v>
      </c>
      <c r="M91" s="15">
        <f t="shared" ref="M91" si="324">N91*O91</f>
        <v>0</v>
      </c>
      <c r="N91" s="32">
        <v>0</v>
      </c>
      <c r="O91" s="40">
        <v>0</v>
      </c>
      <c r="P91" s="15">
        <f t="shared" si="318"/>
        <v>24144.154463525167</v>
      </c>
      <c r="Q91" s="32">
        <v>3.7097593</v>
      </c>
      <c r="R91" s="40">
        <v>6508.2805947882298</v>
      </c>
      <c r="S91" s="15">
        <f t="shared" si="319"/>
        <v>1297.6818858050781</v>
      </c>
      <c r="T91" s="15">
        <f>IF((NETWORKDAYS(DATE(YEAR(C91),MONTH(C91),1),C91,Feriados!$A$2:$A$842))&gt;=5,0,IF(NETWORKDAYS(DATE(YEAR(C91),MONTH(C91),1),C91,Feriados!$A$2:$A$842)=1,S90,T90))</f>
        <v>8223.1341230836279</v>
      </c>
      <c r="U91" s="26">
        <v>0</v>
      </c>
      <c r="V91" s="26">
        <v>0</v>
      </c>
      <c r="W91" s="15">
        <f t="shared" ref="W91" si="325">SUM(G91+J91+M91+P91)</f>
        <v>8018270.8834454967</v>
      </c>
      <c r="X91" s="50">
        <f>'Fluxo de Caixa_'!AD97</f>
        <v>0</v>
      </c>
      <c r="AB91" s="26">
        <v>2312.6129000000001</v>
      </c>
      <c r="AC91" s="26">
        <v>0</v>
      </c>
      <c r="AD91">
        <f>SUMIFS([1]Master!$J$2:$J$100,[1]Master!$A$2:$A$100,"="&amp;$I$12,[1]Master!$E$2:$E$100,"="&amp;C91,[1]Master!$J$2:$J$100,"&gt;"&amp;0)</f>
        <v>0</v>
      </c>
      <c r="AE91">
        <f ca="1">-SUMIF('[1]Fluxo de Movimentações'!$A$5:$F$10001,"="&amp;$C91,'[1]Fluxo de Movimentações'!$H$5:$H$10001)</f>
        <v>0</v>
      </c>
      <c r="AF91" s="26">
        <v>0</v>
      </c>
      <c r="AG91" s="26">
        <v>3457.52</v>
      </c>
      <c r="AH91" s="26">
        <v>0</v>
      </c>
      <c r="AI91" s="26">
        <v>0</v>
      </c>
      <c r="AJ91" s="26">
        <v>0</v>
      </c>
      <c r="AK91" s="68">
        <v>3.6627467</v>
      </c>
      <c r="AL91" s="15">
        <f>-SUMIFS([1]Master!$J$1:$J$200,[1]Master!$A$1:$A$200,"="&amp;$I$12,[1]Master!$G$1:$G$200,"&gt;"&amp;C91,[1]Master!$E$1:$E$200,"&lt;="&amp;C91)</f>
        <v>9000</v>
      </c>
      <c r="AM91" s="26">
        <v>0</v>
      </c>
      <c r="AN91" s="26">
        <v>0</v>
      </c>
    </row>
    <row r="92" spans="3:40">
      <c r="C92" s="1">
        <f>WORKDAY($C91,1,Feriados!B79:B919)</f>
        <v>44991</v>
      </c>
      <c r="D92" s="39">
        <v>8115068.0201000003</v>
      </c>
      <c r="E92" s="32">
        <v>3.7045382999999998</v>
      </c>
      <c r="F92" s="88">
        <f t="shared" ref="F92" si="326">D92/TRUNC(E92,6)</f>
        <v>2190574.9165213048</v>
      </c>
      <c r="G92" s="15">
        <f t="shared" ref="G92" si="327">H92*I92</f>
        <v>8086136.2404274149</v>
      </c>
      <c r="H92" s="32">
        <v>0.90883170000000002</v>
      </c>
      <c r="I92" s="15">
        <f>SUMIFS([1]Master!$K$2:$K$10000,[1]Master!$A$2:$A$10000,$I$12,[1]Master!$F$2:$F$10000,"&lt;="&amp;$C92)</f>
        <v>8897286.7478405684</v>
      </c>
      <c r="J92" s="15">
        <f t="shared" ref="J92" si="328">K92*L92</f>
        <v>0</v>
      </c>
      <c r="K92" s="43">
        <v>0</v>
      </c>
      <c r="L92" s="40">
        <v>0</v>
      </c>
      <c r="M92" s="15">
        <f t="shared" ref="M92" si="329">N92*O92</f>
        <v>0</v>
      </c>
      <c r="N92" s="32">
        <v>0</v>
      </c>
      <c r="O92" s="40">
        <v>0</v>
      </c>
      <c r="P92" s="15">
        <f t="shared" si="318"/>
        <v>33155.860257002947</v>
      </c>
      <c r="Q92" s="32">
        <v>3.7115578999999999</v>
      </c>
      <c r="R92" s="40">
        <v>8933.1383613880698</v>
      </c>
      <c r="S92" s="15">
        <f t="shared" si="319"/>
        <v>1724.6491806592362</v>
      </c>
      <c r="T92" s="15">
        <f>IF((NETWORKDAYS(DATE(YEAR(C92),MONTH(C92),1),C92,Feriados!$A$2:$A$842))&gt;=5,0,IF(NETWORKDAYS(DATE(YEAR(C92),MONTH(C92),1),C92,Feriados!$A$2:$A$842)=1,S91,T91))</f>
        <v>8223.1341230836279</v>
      </c>
      <c r="U92" s="26">
        <v>0</v>
      </c>
      <c r="V92" s="26">
        <v>0</v>
      </c>
      <c r="W92" s="15">
        <f t="shared" ref="W92" si="330">SUM(G92+J92+M92+P92)</f>
        <v>8119292.1006844174</v>
      </c>
      <c r="X92" s="50">
        <f>'Fluxo de Caixa_'!AD98</f>
        <v>7.2759576141834259E-12</v>
      </c>
      <c r="AB92" s="26">
        <v>2266.0401000000002</v>
      </c>
      <c r="AC92" s="26">
        <v>0</v>
      </c>
      <c r="AD92">
        <f>SUMIFS([1]Master!$J$2:$J$100,[1]Master!$A$2:$A$100,"="&amp;$I$12,[1]Master!$E$2:$E$100,"="&amp;C92,[1]Master!$J$2:$J$100,"&gt;"&amp;0)</f>
        <v>0</v>
      </c>
      <c r="AE92">
        <f ca="1">-SUMIF('[1]Fluxo de Movimentações'!$A$5:$F$10001,"="&amp;$C92,'[1]Fluxo de Movimentações'!$H$5:$H$10001)</f>
        <v>0</v>
      </c>
      <c r="AF92" s="26">
        <v>0</v>
      </c>
      <c r="AG92" s="26">
        <v>3457.52</v>
      </c>
      <c r="AH92" s="26">
        <v>0</v>
      </c>
      <c r="AI92" s="26">
        <v>0</v>
      </c>
      <c r="AJ92" s="26">
        <v>0</v>
      </c>
      <c r="AK92" s="68">
        <v>3.7045382999999998</v>
      </c>
      <c r="AL92" s="15">
        <f>-SUMIFS([1]Master!$J$1:$J$200,[1]Master!$A$1:$A$200,"="&amp;$I$12,[1]Master!$G$1:$G$200,"&gt;"&amp;C92,[1]Master!$E$1:$E$200,"&lt;="&amp;C92)</f>
        <v>0</v>
      </c>
      <c r="AM92" s="26">
        <v>0</v>
      </c>
      <c r="AN92" s="26">
        <v>0</v>
      </c>
    </row>
    <row r="93" spans="3:40">
      <c r="C93" s="1">
        <f>WORKDAY($C92,1,Feriados!B80:B920)</f>
        <v>44992</v>
      </c>
      <c r="D93" s="39">
        <v>8106500.8273</v>
      </c>
      <c r="E93" s="32">
        <v>3.7006272999999998</v>
      </c>
      <c r="F93" s="88">
        <f t="shared" ref="F93" si="331">D93/TRUNC(E93,6)</f>
        <v>2190574.9558926094</v>
      </c>
      <c r="G93" s="15">
        <f t="shared" ref="G93" si="332">H93*I93</f>
        <v>8078029.9224714572</v>
      </c>
      <c r="H93" s="32">
        <v>0.90792059999999997</v>
      </c>
      <c r="I93" s="15">
        <f>SUMIFS([1]Master!$K$2:$K$10000,[1]Master!$A$2:$A$10000,$I$12,[1]Master!$F$2:$F$10000,"&lt;="&amp;$C93)</f>
        <v>8897286.7478405684</v>
      </c>
      <c r="J93" s="15">
        <f t="shared" ref="J93" si="333">K93*L93</f>
        <v>0</v>
      </c>
      <c r="K93" s="43">
        <v>0</v>
      </c>
      <c r="L93" s="40">
        <v>0</v>
      </c>
      <c r="M93" s="15">
        <f t="shared" ref="M93" si="334">N93*O93</f>
        <v>0</v>
      </c>
      <c r="N93" s="32">
        <v>0</v>
      </c>
      <c r="O93" s="40">
        <v>0</v>
      </c>
      <c r="P93" s="15">
        <f t="shared" si="318"/>
        <v>24950.367073265526</v>
      </c>
      <c r="Q93" s="32">
        <v>3.7135199000000001</v>
      </c>
      <c r="R93" s="40">
        <v>6718.7918053880703</v>
      </c>
      <c r="S93" s="15">
        <f t="shared" si="319"/>
        <v>2156.4881361725766</v>
      </c>
      <c r="T93" s="15">
        <f>IF((NETWORKDAYS(DATE(YEAR(C93),MONTH(C93),1),C93,Feriados!$A$2:$A$842))&gt;=5,0,IF(NETWORKDAYS(DATE(YEAR(C93),MONTH(C93),1),C93,Feriados!$A$2:$A$842)=1,S92,T92))</f>
        <v>0</v>
      </c>
      <c r="U93" s="26">
        <v>0</v>
      </c>
      <c r="V93" s="26">
        <v>0</v>
      </c>
      <c r="W93" s="15">
        <f t="shared" ref="W93" si="335">SUM(G93+J93+M93+P93)</f>
        <v>8102980.289544723</v>
      </c>
      <c r="X93" s="50">
        <f>'Fluxo de Caixa_'!AD99</f>
        <v>1.2024629540974274E-6</v>
      </c>
      <c r="AB93" s="26">
        <v>2219.4672999999998</v>
      </c>
      <c r="AC93" s="26">
        <v>0</v>
      </c>
      <c r="AD93">
        <f>SUMIFS([1]Master!$J$2:$J$100,[1]Master!$A$2:$A$100,"="&amp;$I$12,[1]Master!$E$2:$E$100,"="&amp;C93,[1]Master!$J$2:$J$100,"&gt;"&amp;0)</f>
        <v>0</v>
      </c>
      <c r="AE93">
        <f ca="1">-SUMIF('[1]Fluxo de Movimentações'!$A$5:$F$10001,"="&amp;$C93,'[1]Fluxo de Movimentações'!$H$5:$H$10001)</f>
        <v>0</v>
      </c>
      <c r="AF93" s="26">
        <v>0</v>
      </c>
      <c r="AG93" s="26">
        <v>3457.52</v>
      </c>
      <c r="AH93" s="26">
        <v>0</v>
      </c>
      <c r="AI93" s="26">
        <v>0</v>
      </c>
      <c r="AJ93" s="26">
        <v>0</v>
      </c>
      <c r="AK93" s="68">
        <v>3.7006272999999998</v>
      </c>
      <c r="AL93" s="15">
        <f>-SUMIFS([1]Master!$J$1:$J$200,[1]Master!$A$1:$A$200,"="&amp;$I$12,[1]Master!$G$1:$G$200,"&gt;"&amp;C93,[1]Master!$E$1:$E$200,"&lt;="&amp;C93)</f>
        <v>0</v>
      </c>
      <c r="AM93" s="26">
        <v>0</v>
      </c>
      <c r="AN93" s="26">
        <v>0</v>
      </c>
    </row>
    <row r="94" spans="3:40">
      <c r="C94" s="1">
        <f>WORKDAY($C93,1,Feriados!B81:B921)</f>
        <v>44993</v>
      </c>
      <c r="D94" s="39">
        <v>8401869.1144999992</v>
      </c>
      <c r="E94" s="32">
        <v>3.8354632999999998</v>
      </c>
      <c r="F94" s="88">
        <f t="shared" ref="F94" si="336">D94/TRUNC(E94,6)</f>
        <v>2190574.9356726944</v>
      </c>
      <c r="G94" s="15">
        <f t="shared" ref="G94" si="337">H94*I94</f>
        <v>8373863.8171084821</v>
      </c>
      <c r="H94" s="32">
        <v>0.94117050000000002</v>
      </c>
      <c r="I94" s="15">
        <f>SUMIFS([1]Master!$K$2:$K$10000,[1]Master!$A$2:$A$10000,$I$12,[1]Master!$F$2:$F$10000,"&lt;="&amp;$C94)</f>
        <v>8897286.7478405684</v>
      </c>
      <c r="J94" s="15">
        <f t="shared" ref="J94" si="338">K94*L94</f>
        <v>0</v>
      </c>
      <c r="K94" s="43">
        <v>0</v>
      </c>
      <c r="L94" s="40">
        <v>0</v>
      </c>
      <c r="M94" s="15">
        <f t="shared" ref="M94" si="339">N94*O94</f>
        <v>0</v>
      </c>
      <c r="N94" s="32">
        <v>0</v>
      </c>
      <c r="O94" s="40">
        <v>0</v>
      </c>
      <c r="P94" s="15">
        <f t="shared" si="318"/>
        <v>24962.999073738836</v>
      </c>
      <c r="Q94" s="32">
        <v>3.7153999999999998</v>
      </c>
      <c r="R94" s="40">
        <v>6718.7918053880703</v>
      </c>
      <c r="S94" s="15">
        <f t="shared" si="319"/>
        <v>2587.8711931547809</v>
      </c>
      <c r="T94" s="15">
        <f>IF((NETWORKDAYS(DATE(YEAR(C94),MONTH(C94),1),C94,Feriados!$A$2:$A$842))&gt;=5,0,IF(NETWORKDAYS(DATE(YEAR(C94),MONTH(C94),1),C94,Feriados!$A$2:$A$842)=1,S93,T93))</f>
        <v>0</v>
      </c>
      <c r="U94" s="26">
        <v>0</v>
      </c>
      <c r="V94" s="26">
        <v>0</v>
      </c>
      <c r="W94" s="15">
        <f t="shared" ref="W94" si="340">SUM(G94+J94+M94+P94)</f>
        <v>8398826.8161822204</v>
      </c>
      <c r="X94" s="50">
        <f>'Fluxo de Caixa_'!AD100</f>
        <v>0</v>
      </c>
      <c r="AB94" s="26">
        <v>2172.8944999999999</v>
      </c>
      <c r="AC94" s="26">
        <v>0</v>
      </c>
      <c r="AD94">
        <f>SUMIFS([1]Master!$J$2:$J$100,[1]Master!$A$2:$A$100,"="&amp;$I$12,[1]Master!$E$2:$E$100,"="&amp;C94,[1]Master!$J$2:$J$100,"&gt;"&amp;0)</f>
        <v>0</v>
      </c>
      <c r="AE94">
        <f ca="1">-SUMIF('[1]Fluxo de Movimentações'!$A$5:$F$10001,"="&amp;$C94,'[1]Fluxo de Movimentações'!$H$5:$H$10001)</f>
        <v>0</v>
      </c>
      <c r="AF94" s="26">
        <v>0</v>
      </c>
      <c r="AG94" s="26">
        <v>3457.52</v>
      </c>
      <c r="AH94" s="26">
        <v>0</v>
      </c>
      <c r="AI94" s="26">
        <v>0</v>
      </c>
      <c r="AJ94" s="26">
        <v>0</v>
      </c>
      <c r="AK94" s="68">
        <v>3.8354632999999998</v>
      </c>
      <c r="AL94" s="15">
        <f>-SUMIFS([1]Master!$J$1:$J$200,[1]Master!$A$1:$A$200,"="&amp;$I$12,[1]Master!$G$1:$G$200,"&gt;"&amp;C94,[1]Master!$E$1:$E$200,"&lt;="&amp;C94)</f>
        <v>0</v>
      </c>
      <c r="AM94" s="26">
        <v>0</v>
      </c>
      <c r="AN94" s="26">
        <v>0</v>
      </c>
    </row>
    <row r="95" spans="3:40">
      <c r="C95" s="1">
        <f>WORKDAY($C94,1,Feriados!B82:B922)</f>
        <v>44994</v>
      </c>
      <c r="D95" s="39">
        <v>8387553.4917000001</v>
      </c>
      <c r="E95" s="32">
        <v>3.8289282</v>
      </c>
      <c r="F95" s="88">
        <f t="shared" ref="F95" si="341">D95/TRUNC(E95,6)</f>
        <v>2190574.8793657129</v>
      </c>
      <c r="G95" s="15">
        <f t="shared" ref="G95" si="342">H95*I95</f>
        <v>8360029.425944264</v>
      </c>
      <c r="H95" s="32">
        <v>0.9396156</v>
      </c>
      <c r="I95" s="15">
        <f>SUMIFS([1]Master!$K$2:$K$10000,[1]Master!$A$2:$A$10000,$I$12,[1]Master!$F$2:$F$10000,"&lt;="&amp;$C95)</f>
        <v>8897286.7478405684</v>
      </c>
      <c r="J95" s="15">
        <f t="shared" ref="J95" si="343">K95*L95</f>
        <v>0</v>
      </c>
      <c r="K95" s="43">
        <v>0</v>
      </c>
      <c r="L95" s="40">
        <v>0</v>
      </c>
      <c r="M95" s="15">
        <f t="shared" ref="M95" si="344">N95*O95</f>
        <v>0</v>
      </c>
      <c r="N95" s="32">
        <v>0</v>
      </c>
      <c r="O95" s="40">
        <v>0</v>
      </c>
      <c r="P95" s="15">
        <f t="shared" si="318"/>
        <v>24975.152696235604</v>
      </c>
      <c r="Q95" s="32">
        <v>3.7172089000000001</v>
      </c>
      <c r="R95" s="40">
        <v>6718.7918053880703</v>
      </c>
      <c r="S95" s="15">
        <f t="shared" si="319"/>
        <v>3034.9721137852357</v>
      </c>
      <c r="T95" s="15">
        <f>IF((NETWORKDAYS(DATE(YEAR(C95),MONTH(C95),1),C95,Feriados!$A$2:$A$842))&gt;=5,0,IF(NETWORKDAYS(DATE(YEAR(C95),MONTH(C95),1),C95,Feriados!$A$2:$A$842)=1,S94,T94))</f>
        <v>0</v>
      </c>
      <c r="U95" s="26">
        <v>0</v>
      </c>
      <c r="V95" s="26">
        <v>0</v>
      </c>
      <c r="W95" s="15">
        <f t="shared" ref="W95" si="345">SUM(G95+J95+M95+P95)</f>
        <v>8385004.5786405001</v>
      </c>
      <c r="X95" s="50">
        <f>'Fluxo de Caixa_'!AD101</f>
        <v>0</v>
      </c>
      <c r="AB95" s="26">
        <v>2126.3217</v>
      </c>
      <c r="AC95" s="26">
        <v>0</v>
      </c>
      <c r="AD95">
        <f>SUMIFS([1]Master!$J$2:$J$100,[1]Master!$A$2:$A$100,"="&amp;$I$12,[1]Master!$E$2:$E$100,"="&amp;C95,[1]Master!$J$2:$J$100,"&gt;"&amp;0)</f>
        <v>0</v>
      </c>
      <c r="AE95">
        <f ca="1">-SUMIF('[1]Fluxo de Movimentações'!$A$5:$F$10001,"="&amp;$C95,'[1]Fluxo de Movimentações'!$H$5:$H$10001)</f>
        <v>0</v>
      </c>
      <c r="AF95" s="26">
        <v>0</v>
      </c>
      <c r="AG95" s="26">
        <v>3457.52</v>
      </c>
      <c r="AH95" s="26">
        <v>0</v>
      </c>
      <c r="AI95" s="26">
        <v>0</v>
      </c>
      <c r="AJ95" s="26">
        <v>0</v>
      </c>
      <c r="AK95" s="68">
        <v>3.8289282</v>
      </c>
      <c r="AL95" s="15">
        <f>-SUMIFS([1]Master!$J$1:$J$200,[1]Master!$A$1:$A$200,"="&amp;$I$12,[1]Master!$G$1:$G$200,"&gt;"&amp;C95,[1]Master!$E$1:$E$200,"&lt;="&amp;C95)</f>
        <v>0</v>
      </c>
      <c r="AM95" s="26">
        <v>0</v>
      </c>
      <c r="AN95" s="26">
        <v>0</v>
      </c>
    </row>
    <row r="96" spans="3:40">
      <c r="C96" s="1">
        <f>WORKDAY($C95,1,Feriados!B83:B923)</f>
        <v>44995</v>
      </c>
      <c r="D96" s="39">
        <v>8264888.3788999999</v>
      </c>
      <c r="E96" s="32">
        <v>3.7729314999999999</v>
      </c>
      <c r="F96" s="88">
        <f t="shared" ref="F96" si="346">D96/TRUNC(E96,6)</f>
        <v>2190575.0141998357</v>
      </c>
      <c r="G96" s="15">
        <f t="shared" ref="G96" si="347">H96*I96</f>
        <v>8237844.7664935198</v>
      </c>
      <c r="H96" s="32">
        <v>0.92588280000000001</v>
      </c>
      <c r="I96" s="15">
        <f>SUMIFS([1]Master!$K$2:$K$10000,[1]Master!$A$2:$A$10000,$I$12,[1]Master!$F$2:$F$10000,"&lt;="&amp;$C96)</f>
        <v>8897286.7478405684</v>
      </c>
      <c r="J96" s="15">
        <f t="shared" ref="J96" si="348">K96*L96</f>
        <v>0</v>
      </c>
      <c r="K96" s="43">
        <v>0</v>
      </c>
      <c r="L96" s="40">
        <v>0</v>
      </c>
      <c r="M96" s="15">
        <f t="shared" ref="M96" si="349">N96*O96</f>
        <v>0</v>
      </c>
      <c r="N96" s="32">
        <v>0</v>
      </c>
      <c r="O96" s="40">
        <v>0</v>
      </c>
      <c r="P96" s="15">
        <f t="shared" ref="P96" si="350">Q96*R96</f>
        <v>24987.602617450986</v>
      </c>
      <c r="Q96" s="32">
        <v>3.7190618999999998</v>
      </c>
      <c r="R96" s="40">
        <v>6718.7918053880703</v>
      </c>
      <c r="S96" s="15">
        <f t="shared" ref="S96" si="351">(((1+1.35%)^(1/252))-1)*D95 + SUM(S95)</f>
        <v>3481.3112362912434</v>
      </c>
      <c r="T96" s="15">
        <f>IF((NETWORKDAYS(DATE(YEAR(C96),MONTH(C96),1),C96,Feriados!$A$2:$A$842))&gt;=5,0,IF(NETWORKDAYS(DATE(YEAR(C96),MONTH(C96),1),C96,Feriados!$A$2:$A$842)=1,S95,T95))</f>
        <v>0</v>
      </c>
      <c r="U96" s="26">
        <v>0</v>
      </c>
      <c r="V96" s="26">
        <v>0</v>
      </c>
      <c r="W96" s="15">
        <f t="shared" ref="W96" si="352">SUM(G96+J96+M96+P96)</f>
        <v>8262832.3691109708</v>
      </c>
      <c r="X96" s="50">
        <f>'Fluxo de Caixa_'!AD102</f>
        <v>0</v>
      </c>
      <c r="AB96" s="26">
        <v>2079.7489</v>
      </c>
      <c r="AC96" s="26">
        <v>0</v>
      </c>
      <c r="AD96">
        <f>SUMIFS([1]Master!$J$2:$J$100,[1]Master!$A$2:$A$100,"="&amp;$I$12,[1]Master!$E$2:$E$100,"="&amp;C96,[1]Master!$J$2:$J$100,"&gt;"&amp;0)</f>
        <v>0</v>
      </c>
      <c r="AE96">
        <f ca="1">-SUMIF('[1]Fluxo de Movimentações'!$A$5:$F$10001,"="&amp;$C96,'[1]Fluxo de Movimentações'!$H$5:$H$10001)</f>
        <v>0</v>
      </c>
      <c r="AF96" s="26">
        <v>0</v>
      </c>
      <c r="AG96" s="26">
        <v>3457.52</v>
      </c>
      <c r="AH96" s="26">
        <v>0</v>
      </c>
      <c r="AI96" s="26">
        <v>0</v>
      </c>
      <c r="AJ96" s="26">
        <v>0</v>
      </c>
      <c r="AK96" s="68">
        <v>3.7729314999999999</v>
      </c>
      <c r="AL96" s="15">
        <f>-SUMIFS([1]Master!$J$1:$J$200,[1]Master!$A$1:$A$200,"="&amp;$I$12,[1]Master!$G$1:$G$200,"&gt;"&amp;C96,[1]Master!$E$1:$E$200,"&lt;="&amp;C96)</f>
        <v>0</v>
      </c>
      <c r="AM96" s="26">
        <v>0</v>
      </c>
      <c r="AN96" s="26">
        <v>0</v>
      </c>
    </row>
    <row r="97" spans="3:40">
      <c r="C97" s="1">
        <f>WORKDAY($C96,1,Feriados!B84:B924)</f>
        <v>44998</v>
      </c>
      <c r="D97" s="39">
        <v>8253183.4061000003</v>
      </c>
      <c r="E97" s="32">
        <v>3.7675881000000002</v>
      </c>
      <c r="F97" s="88">
        <f t="shared" ref="F97" si="353">D97/TRUNC(E97,6)</f>
        <v>2190574.8203094397</v>
      </c>
      <c r="G97" s="15">
        <f t="shared" ref="G97" si="354">H97*I97</f>
        <v>8226614.6111603957</v>
      </c>
      <c r="H97" s="32">
        <v>0.92462060000000001</v>
      </c>
      <c r="I97" s="15">
        <f>SUMIFS([1]Master!$K$2:$K$10000,[1]Master!$A$2:$A$10000,$I$12,[1]Master!$F$2:$F$10000,"&lt;="&amp;$C97)</f>
        <v>8897286.7478405684</v>
      </c>
      <c r="J97" s="15">
        <f t="shared" ref="J97" si="355">K97*L97</f>
        <v>0</v>
      </c>
      <c r="K97" s="43">
        <v>0</v>
      </c>
      <c r="L97" s="40">
        <v>0</v>
      </c>
      <c r="M97" s="15">
        <f t="shared" ref="M97" si="356">N97*O97</f>
        <v>0</v>
      </c>
      <c r="N97" s="32">
        <v>0</v>
      </c>
      <c r="O97" s="40">
        <v>0</v>
      </c>
      <c r="P97" s="15">
        <f t="shared" ref="P97" si="357">Q97*R97</f>
        <v>24999.164986268879</v>
      </c>
      <c r="Q97" s="32">
        <v>3.7207827999999998</v>
      </c>
      <c r="R97" s="40">
        <v>6718.7918053880703</v>
      </c>
      <c r="S97" s="15">
        <f t="shared" ref="S97" si="358">(((1+1.35%)^(1/252))-1)*D96 + SUM(S96)</f>
        <v>3921.1228011651679</v>
      </c>
      <c r="T97" s="15">
        <f>IF((NETWORKDAYS(DATE(YEAR(C97),MONTH(C97),1),C97,Feriados!$A$2:$A$842))&gt;=5,0,IF(NETWORKDAYS(DATE(YEAR(C97),MONTH(C97),1),C97,Feriados!$A$2:$A$842)=1,S96,T96))</f>
        <v>0</v>
      </c>
      <c r="U97" s="26">
        <v>0</v>
      </c>
      <c r="V97" s="26">
        <v>0</v>
      </c>
      <c r="W97" s="15">
        <f t="shared" ref="W97" si="359">SUM(G97+J97+M97+P97)</f>
        <v>8251613.7761466643</v>
      </c>
      <c r="X97" s="50">
        <f>'Fluxo de Caixa_'!AD103</f>
        <v>0</v>
      </c>
      <c r="AB97" s="26">
        <v>2033.1760999999999</v>
      </c>
      <c r="AC97" s="26">
        <v>0</v>
      </c>
      <c r="AD97">
        <f>SUMIFS([1]Master!$J$2:$J$100,[1]Master!$A$2:$A$100,"="&amp;$I$12,[1]Master!$E$2:$E$100,"="&amp;C97,[1]Master!$J$2:$J$100,"&gt;"&amp;0)</f>
        <v>0</v>
      </c>
      <c r="AE97">
        <f ca="1">-SUMIF('[1]Fluxo de Movimentações'!$A$5:$F$10001,"="&amp;$C97,'[1]Fluxo de Movimentações'!$H$5:$H$10001)</f>
        <v>0</v>
      </c>
      <c r="AF97" s="26">
        <v>0</v>
      </c>
      <c r="AG97" s="26">
        <v>3457.52</v>
      </c>
      <c r="AH97" s="26">
        <v>0</v>
      </c>
      <c r="AI97" s="26">
        <v>0</v>
      </c>
      <c r="AJ97" s="26">
        <v>0</v>
      </c>
      <c r="AK97" s="68">
        <v>3.7675881000000002</v>
      </c>
      <c r="AL97" s="15">
        <f>-SUMIFS([1]Master!$J$1:$J$200,[1]Master!$A$1:$A$200,"="&amp;$I$12,[1]Master!$G$1:$G$200,"&gt;"&amp;C97,[1]Master!$E$1:$E$200,"&lt;="&amp;C97)</f>
        <v>0</v>
      </c>
      <c r="AM97" s="26">
        <v>0</v>
      </c>
      <c r="AN97" s="26">
        <v>0</v>
      </c>
    </row>
    <row r="98" spans="3:40">
      <c r="C98" s="1">
        <f>WORKDAY($C97,1,Feriados!B85:B925)</f>
        <v>44999</v>
      </c>
      <c r="D98" s="39">
        <v>8172264.7132999999</v>
      </c>
      <c r="E98" s="32">
        <v>3.7306485999999999</v>
      </c>
      <c r="F98" s="88">
        <f t="shared" ref="F98" si="360">D98/TRUNC(E98,6)</f>
        <v>2190575.1261711102</v>
      </c>
      <c r="G98" s="15">
        <f t="shared" ref="G98" si="361">H98*I98</f>
        <v>8146169.7930297945</v>
      </c>
      <c r="H98" s="32">
        <v>0.91557909999999998</v>
      </c>
      <c r="I98" s="15">
        <f>SUMIFS([1]Master!$K$2:$K$10000,[1]Master!$A$2:$A$10000,$I$12,[1]Master!$F$2:$F$10000,"&lt;="&amp;$C98)</f>
        <v>8897286.7478405684</v>
      </c>
      <c r="J98" s="15">
        <f t="shared" ref="J98" si="362">K98*L98</f>
        <v>0</v>
      </c>
      <c r="K98" s="43">
        <v>0</v>
      </c>
      <c r="L98" s="40">
        <v>0</v>
      </c>
      <c r="M98" s="15">
        <f t="shared" ref="M98" si="363">N98*O98</f>
        <v>0</v>
      </c>
      <c r="N98" s="32">
        <v>0</v>
      </c>
      <c r="O98" s="40">
        <v>0</v>
      </c>
      <c r="P98" s="15">
        <f t="shared" ref="P98" si="364">Q98*R98</f>
        <v>25011.049857093429</v>
      </c>
      <c r="Q98" s="32">
        <v>3.7225516999999999</v>
      </c>
      <c r="R98" s="40">
        <v>6718.7918053880703</v>
      </c>
      <c r="S98" s="15">
        <f t="shared" ref="S98" si="365">(((1+1.35%)^(1/252))-1)*D97 + SUM(S97)</f>
        <v>4360.3114922423792</v>
      </c>
      <c r="T98" s="15">
        <f>IF((NETWORKDAYS(DATE(YEAR(C98),MONTH(C98),1),C98,Feriados!$A$2:$A$842))&gt;=5,0,IF(NETWORKDAYS(DATE(YEAR(C98),MONTH(C98),1),C98,Feriados!$A$2:$A$842)=1,S97,T97))</f>
        <v>0</v>
      </c>
      <c r="U98" s="26">
        <v>0</v>
      </c>
      <c r="V98" s="26">
        <v>0</v>
      </c>
      <c r="W98" s="15">
        <f t="shared" ref="W98" si="366">SUM(G98+J98+M98+P98)</f>
        <v>8171180.8428868875</v>
      </c>
      <c r="X98" s="50">
        <f>'Fluxo de Caixa_'!AD104</f>
        <v>0</v>
      </c>
      <c r="AB98" s="26">
        <v>1986.6033</v>
      </c>
      <c r="AC98" s="26">
        <v>0</v>
      </c>
      <c r="AD98">
        <f>SUMIFS([1]Master!$J$2:$J$100,[1]Master!$A$2:$A$100,"="&amp;$I$12,[1]Master!$E$2:$E$100,"="&amp;C98,[1]Master!$J$2:$J$100,"&gt;"&amp;0)</f>
        <v>0</v>
      </c>
      <c r="AE98">
        <f ca="1">-SUMIF('[1]Fluxo de Movimentações'!$A$5:$F$10001,"="&amp;$C98,'[1]Fluxo de Movimentações'!$H$5:$H$10001)</f>
        <v>0</v>
      </c>
      <c r="AF98" s="26">
        <v>0</v>
      </c>
      <c r="AG98" s="26">
        <v>3457.52</v>
      </c>
      <c r="AH98" s="26">
        <v>0</v>
      </c>
      <c r="AI98" s="26">
        <v>0</v>
      </c>
      <c r="AJ98" s="26">
        <v>0</v>
      </c>
      <c r="AK98" s="68">
        <v>3.7306485999999999</v>
      </c>
      <c r="AL98" s="15">
        <f>-SUMIFS([1]Master!$J$1:$J$200,[1]Master!$A$1:$A$200,"="&amp;$I$12,[1]Master!$G$1:$G$200,"&gt;"&amp;C98,[1]Master!$E$1:$E$200,"&lt;="&amp;C98)</f>
        <v>0</v>
      </c>
      <c r="AM98" s="26">
        <v>0</v>
      </c>
      <c r="AN98" s="26">
        <v>0</v>
      </c>
    </row>
    <row r="99" spans="3:40">
      <c r="C99" s="1">
        <f>WORKDAY($C98,1,Feriados!B86:B926)</f>
        <v>45000</v>
      </c>
      <c r="D99" s="39">
        <v>8228213.9005000005</v>
      </c>
      <c r="E99" s="32">
        <v>3.7561895000000001</v>
      </c>
      <c r="F99" s="88">
        <f t="shared" ref="F99" si="367">D99/TRUNC(E99,6)</f>
        <v>2190575.048406776</v>
      </c>
      <c r="G99" s="15">
        <f t="shared" ref="G99" si="368">H99*I99</f>
        <v>8202588.3780265264</v>
      </c>
      <c r="H99" s="32">
        <v>0.92192019999999997</v>
      </c>
      <c r="I99" s="15">
        <f>SUMIFS([1]Master!$K$2:$K$10000,[1]Master!$A$2:$A$10000,$I$12,[1]Master!$F$2:$F$10000,"&lt;="&amp;$C99)</f>
        <v>8897286.7478405684</v>
      </c>
      <c r="J99" s="15">
        <f t="shared" ref="J99" si="369">K99*L99</f>
        <v>0</v>
      </c>
      <c r="K99" s="43">
        <v>0</v>
      </c>
      <c r="L99" s="40">
        <v>0</v>
      </c>
      <c r="M99" s="15">
        <f t="shared" ref="M99" si="370">N99*O99</f>
        <v>0</v>
      </c>
      <c r="N99" s="32">
        <v>0</v>
      </c>
      <c r="O99" s="40">
        <v>0</v>
      </c>
      <c r="P99" s="15">
        <f t="shared" ref="P99" si="371">Q99*R99</f>
        <v>25023.100010196395</v>
      </c>
      <c r="Q99" s="32">
        <v>3.7243452000000001</v>
      </c>
      <c r="R99" s="40">
        <v>6718.7918053880703</v>
      </c>
      <c r="S99" s="15">
        <f t="shared" ref="S99" si="372">(((1+1.35%)^(1/252))-1)*D98 + SUM(S98)</f>
        <v>4795.1941388485266</v>
      </c>
      <c r="T99" s="15">
        <f>IF((NETWORKDAYS(DATE(YEAR(C99),MONTH(C99),1),C99,Feriados!$A$2:$A$842))&gt;=5,0,IF(NETWORKDAYS(DATE(YEAR(C99),MONTH(C99),1),C99,Feriados!$A$2:$A$842)=1,S98,T98))</f>
        <v>0</v>
      </c>
      <c r="U99" s="26">
        <v>0</v>
      </c>
      <c r="V99" s="26">
        <v>0</v>
      </c>
      <c r="W99" s="15">
        <f t="shared" ref="W99" si="373">SUM(G99+J99+M99+P99)</f>
        <v>8227611.4780367231</v>
      </c>
      <c r="X99" s="50">
        <f>'Fluxo de Caixa_'!AD105</f>
        <v>0</v>
      </c>
      <c r="AB99" s="26">
        <v>1940.0305000000001</v>
      </c>
      <c r="AC99" s="26">
        <v>0</v>
      </c>
      <c r="AD99">
        <f>SUMIFS([1]Master!$J$2:$J$100,[1]Master!$A$2:$A$100,"="&amp;$I$12,[1]Master!$E$2:$E$100,"="&amp;C99,[1]Master!$J$2:$J$100,"&gt;"&amp;0)</f>
        <v>0</v>
      </c>
      <c r="AE99">
        <f ca="1">-SUMIF('[1]Fluxo de Movimentações'!$A$5:$F$10001,"="&amp;$C99,'[1]Fluxo de Movimentações'!$H$5:$H$10001)</f>
        <v>0</v>
      </c>
      <c r="AF99" s="26">
        <v>0</v>
      </c>
      <c r="AG99" s="26">
        <v>3457.52</v>
      </c>
      <c r="AH99" s="26">
        <v>0</v>
      </c>
      <c r="AI99" s="26">
        <v>0</v>
      </c>
      <c r="AJ99" s="26">
        <v>0</v>
      </c>
      <c r="AK99" s="68">
        <v>3.7561895000000001</v>
      </c>
      <c r="AL99" s="15">
        <f>-SUMIFS([1]Master!$J$1:$J$200,[1]Master!$A$1:$A$200,"="&amp;$I$12,[1]Master!$G$1:$G$200,"&gt;"&amp;C99,[1]Master!$E$1:$E$200,"&lt;="&amp;C99)</f>
        <v>0</v>
      </c>
      <c r="AM99" s="26">
        <v>0</v>
      </c>
      <c r="AN99" s="26">
        <v>0</v>
      </c>
    </row>
    <row r="100" spans="3:40">
      <c r="C100" s="1">
        <f>WORKDAY($C99,1,Feriados!B87:B927)</f>
        <v>45001</v>
      </c>
      <c r="D100" s="39">
        <v>8295212.7877000002</v>
      </c>
      <c r="E100" s="32">
        <v>3.7867746000000002</v>
      </c>
      <c r="F100" s="88">
        <f t="shared" ref="F100" si="374">D100/TRUNC(E100,6)</f>
        <v>2190575.0878452216</v>
      </c>
      <c r="G100" s="15">
        <f t="shared" ref="G100" si="375">H100*I100</f>
        <v>8270060.0623501008</v>
      </c>
      <c r="H100" s="32">
        <v>0.92950359999999999</v>
      </c>
      <c r="I100" s="15">
        <f>SUMIFS([1]Master!$K$2:$K$10000,[1]Master!$A$2:$A$10000,$I$12,[1]Master!$F$2:$F$10000,"&lt;="&amp;$C100)</f>
        <v>8897286.7478405684</v>
      </c>
      <c r="J100" s="15">
        <f t="shared" ref="J100" si="376">K100*L100</f>
        <v>0</v>
      </c>
      <c r="K100" s="43">
        <v>0</v>
      </c>
      <c r="L100" s="40">
        <v>0</v>
      </c>
      <c r="M100" s="15">
        <f t="shared" ref="M100" si="377">N100*O100</f>
        <v>0</v>
      </c>
      <c r="N100" s="32">
        <v>0</v>
      </c>
      <c r="O100" s="40">
        <v>0</v>
      </c>
      <c r="P100" s="15">
        <f t="shared" ref="P100:P105" si="378">Q100*R100</f>
        <v>25034.725535657257</v>
      </c>
      <c r="Q100" s="32">
        <v>3.7260754999999999</v>
      </c>
      <c r="R100" s="40">
        <v>6718.7918053880703</v>
      </c>
      <c r="S100" s="15">
        <f t="shared" ref="S100" si="379">(((1+1.35%)^(1/252))-1)*D99 + SUM(S99)</f>
        <v>5233.0540911904272</v>
      </c>
      <c r="T100" s="15">
        <f>IF((NETWORKDAYS(DATE(YEAR(C100),MONTH(C100),1),C100,Feriados!$A$2:$A$842))&gt;=5,0,IF(NETWORKDAYS(DATE(YEAR(C100),MONTH(C100),1),C100,Feriados!$A$2:$A$842)=1,S99,T99))</f>
        <v>0</v>
      </c>
      <c r="U100" s="26">
        <v>0</v>
      </c>
      <c r="V100" s="26">
        <v>0</v>
      </c>
      <c r="W100" s="15">
        <f t="shared" ref="W100" si="380">SUM(G100+J100+M100+P100)</f>
        <v>8295094.7878857581</v>
      </c>
      <c r="X100" s="50">
        <f>'Fluxo de Caixa_'!AD106</f>
        <v>0</v>
      </c>
      <c r="AB100" s="26">
        <v>1893.4576999999999</v>
      </c>
      <c r="AC100" s="26">
        <v>0</v>
      </c>
      <c r="AD100">
        <f>SUMIFS([1]Master!$J$2:$J$100,[1]Master!$A$2:$A$100,"="&amp;$I$12,[1]Master!$E$2:$E$100,"="&amp;C100,[1]Master!$J$2:$J$100,"&gt;"&amp;0)</f>
        <v>0</v>
      </c>
      <c r="AE100">
        <f ca="1">-SUMIF('[1]Fluxo de Movimentações'!$A$5:$F$10001,"="&amp;$C100,'[1]Fluxo de Movimentações'!$H$5:$H$10001)</f>
        <v>0</v>
      </c>
      <c r="AF100" s="26">
        <v>0</v>
      </c>
      <c r="AG100" s="26">
        <v>3457.52</v>
      </c>
      <c r="AH100" s="26">
        <v>0</v>
      </c>
      <c r="AI100" s="26">
        <v>0</v>
      </c>
      <c r="AJ100" s="26">
        <v>0</v>
      </c>
      <c r="AK100" s="68">
        <v>3.7867746000000002</v>
      </c>
      <c r="AL100" s="15">
        <f>-SUMIFS([1]Master!$J$1:$J$200,[1]Master!$A$1:$A$200,"="&amp;$I$12,[1]Master!$G$1:$G$200,"&gt;"&amp;C100,[1]Master!$E$1:$E$200,"&lt;="&amp;C100)</f>
        <v>0</v>
      </c>
      <c r="AM100" s="26">
        <v>0</v>
      </c>
      <c r="AN100" s="26">
        <v>0</v>
      </c>
    </row>
    <row r="101" spans="3:40">
      <c r="C101" s="1">
        <f>WORKDAY($C100,1,Feriados!B88:B928)</f>
        <v>45002</v>
      </c>
      <c r="D101" s="39">
        <v>8144162.7648999998</v>
      </c>
      <c r="E101" s="32">
        <v>3.7178201</v>
      </c>
      <c r="F101" s="88">
        <f t="shared" ref="F101" si="381">D101/TRUNC(E101,6)</f>
        <v>2190574.7897692733</v>
      </c>
      <c r="G101" s="15">
        <f t="shared" ref="G101" si="382">H101*I101</f>
        <v>8119485.9403443458</v>
      </c>
      <c r="H101" s="32">
        <v>0.91257999999999995</v>
      </c>
      <c r="I101" s="15">
        <f>SUMIFS([1]Master!$K$2:$K$10000,[1]Master!$A$2:$A$10000,$I$12,[1]Master!$F$2:$F$10000,"&lt;="&amp;$C101)</f>
        <v>8897286.7478405684</v>
      </c>
      <c r="J101" s="15">
        <f t="shared" ref="J101" si="383">K101*L101</f>
        <v>0</v>
      </c>
      <c r="K101" s="43">
        <v>0</v>
      </c>
      <c r="L101" s="40">
        <v>0</v>
      </c>
      <c r="M101" s="15">
        <f t="shared" ref="M101" si="384">N101*O101</f>
        <v>0</v>
      </c>
      <c r="N101" s="32">
        <v>0</v>
      </c>
      <c r="O101" s="40">
        <v>0</v>
      </c>
      <c r="P101" s="15">
        <f t="shared" si="378"/>
        <v>25046.824064061217</v>
      </c>
      <c r="Q101" s="32">
        <v>3.7278761999999999</v>
      </c>
      <c r="R101" s="40">
        <v>6718.7918053880703</v>
      </c>
      <c r="S101" s="15">
        <f t="shared" ref="S101" si="385">(((1+1.35%)^(1/252))-1)*D100 + SUM(S100)</f>
        <v>5674.4793530771576</v>
      </c>
      <c r="T101" s="15">
        <f>IF((NETWORKDAYS(DATE(YEAR(C101),MONTH(C101),1),C101,Feriados!$A$2:$A$842))&gt;=5,0,IF(NETWORKDAYS(DATE(YEAR(C101),MONTH(C101),1),C101,Feriados!$A$2:$A$842)=1,S100,T100))</f>
        <v>0</v>
      </c>
      <c r="U101" s="26">
        <v>0</v>
      </c>
      <c r="V101" s="26">
        <v>0</v>
      </c>
      <c r="W101" s="15">
        <f t="shared" ref="W101" si="386">SUM(G101+J101+M101+P101)</f>
        <v>8144532.7644084068</v>
      </c>
      <c r="X101" s="50">
        <f>'Fluxo de Caixa_'!AD107</f>
        <v>0</v>
      </c>
      <c r="AB101" s="26">
        <v>1846.8849</v>
      </c>
      <c r="AC101" s="26">
        <v>0</v>
      </c>
      <c r="AD101">
        <f>SUMIFS([1]Master!$J$2:$J$100,[1]Master!$A$2:$A$100,"="&amp;$I$12,[1]Master!$E$2:$E$100,"="&amp;C101,[1]Master!$J$2:$J$100,"&gt;"&amp;0)</f>
        <v>0</v>
      </c>
      <c r="AE101">
        <f ca="1">-SUMIF('[1]Fluxo de Movimentações'!$A$5:$F$10001,"="&amp;$C101,'[1]Fluxo de Movimentações'!$H$5:$H$10001)</f>
        <v>0</v>
      </c>
      <c r="AF101" s="26">
        <v>0</v>
      </c>
      <c r="AG101" s="26">
        <v>3457.52</v>
      </c>
      <c r="AH101" s="26">
        <v>0</v>
      </c>
      <c r="AI101" s="26">
        <v>0</v>
      </c>
      <c r="AJ101" s="26">
        <v>0</v>
      </c>
      <c r="AK101" s="68">
        <v>3.7178201</v>
      </c>
      <c r="AL101" s="15">
        <f>-SUMIFS([1]Master!$J$1:$J$200,[1]Master!$A$1:$A$200,"="&amp;$I$12,[1]Master!$G$1:$G$200,"&gt;"&amp;C101,[1]Master!$E$1:$E$200,"&lt;="&amp;C101)</f>
        <v>0</v>
      </c>
      <c r="AM101" s="26">
        <v>0</v>
      </c>
      <c r="AN101" s="26">
        <v>0</v>
      </c>
    </row>
    <row r="102" spans="3:40">
      <c r="C102" s="1">
        <f>WORKDAY($C101,1,Feriados!B89:B929)</f>
        <v>45005</v>
      </c>
      <c r="D102" s="39">
        <v>7965126.3221000005</v>
      </c>
      <c r="E102" s="32">
        <v>3.6360896999999999</v>
      </c>
      <c r="F102" s="88">
        <f t="shared" ref="F102" si="387">D102/TRUNC(E102,6)</f>
        <v>2190575.181768103</v>
      </c>
      <c r="G102" s="15">
        <f t="shared" ref="G102" si="388">H102*I102</f>
        <v>7940917.3953151861</v>
      </c>
      <c r="H102" s="32">
        <v>0.89251000000000003</v>
      </c>
      <c r="I102" s="15">
        <f>SUMIFS([1]Master!$K$2:$K$10000,[1]Master!$A$2:$A$10000,$I$12,[1]Master!$F$2:$F$10000,"&lt;="&amp;$C102)</f>
        <v>8897286.7478405684</v>
      </c>
      <c r="J102" s="15">
        <f t="shared" ref="J102" si="389">K102*L102</f>
        <v>0</v>
      </c>
      <c r="K102" s="43">
        <v>0</v>
      </c>
      <c r="L102" s="40">
        <v>0</v>
      </c>
      <c r="M102" s="15">
        <f t="shared" ref="M102" si="390">N102*O102</f>
        <v>0</v>
      </c>
      <c r="N102" s="32">
        <v>0</v>
      </c>
      <c r="O102" s="40">
        <v>0</v>
      </c>
      <c r="P102" s="15">
        <f t="shared" si="378"/>
        <v>25058.874217164182</v>
      </c>
      <c r="Q102" s="32">
        <v>3.7296697000000001</v>
      </c>
      <c r="R102" s="40">
        <v>6718.7918053880703</v>
      </c>
      <c r="S102" s="15">
        <f t="shared" ref="S102" si="391">(((1+1.35%)^(1/252))-1)*D101 + SUM(S101)</f>
        <v>6107.8665696986291</v>
      </c>
      <c r="T102" s="15">
        <f>IF((NETWORKDAYS(DATE(YEAR(C102),MONTH(C102),1),C102,Feriados!$A$2:$A$842))&gt;=5,0,IF(NETWORKDAYS(DATE(YEAR(C102),MONTH(C102),1),C102,Feriados!$A$2:$A$842)=1,S101,T101))</f>
        <v>0</v>
      </c>
      <c r="U102" s="26">
        <v>0</v>
      </c>
      <c r="V102" s="26">
        <v>0</v>
      </c>
      <c r="W102" s="15">
        <f t="shared" ref="W102" si="392">SUM(G102+J102+M102+P102)</f>
        <v>7965976.2695323499</v>
      </c>
      <c r="X102" s="50">
        <f>'Fluxo de Caixa_'!AD108</f>
        <v>0</v>
      </c>
      <c r="AB102" s="26">
        <v>1800.3121000000001</v>
      </c>
      <c r="AC102" s="26">
        <v>0</v>
      </c>
      <c r="AD102">
        <f>SUMIFS([1]Master!$J$2:$J$100,[1]Master!$A$2:$A$100,"="&amp;$I$12,[1]Master!$E$2:$E$100,"="&amp;C102,[1]Master!$J$2:$J$100,"&gt;"&amp;0)</f>
        <v>0</v>
      </c>
      <c r="AE102">
        <f ca="1">-SUMIF('[1]Fluxo de Movimentações'!$A$5:$F$10001,"="&amp;$C102,'[1]Fluxo de Movimentações'!$H$5:$H$10001)</f>
        <v>0</v>
      </c>
      <c r="AF102" s="26">
        <v>0</v>
      </c>
      <c r="AG102" s="26">
        <v>3457.52</v>
      </c>
      <c r="AH102" s="26">
        <v>0</v>
      </c>
      <c r="AI102" s="26">
        <v>0</v>
      </c>
      <c r="AJ102" s="26">
        <v>0</v>
      </c>
      <c r="AK102" s="68">
        <v>3.6360896999999999</v>
      </c>
      <c r="AL102" s="15">
        <f>-SUMIFS([1]Master!$J$1:$J$200,[1]Master!$A$1:$A$200,"="&amp;$I$12,[1]Master!$G$1:$G$200,"&gt;"&amp;C102,[1]Master!$E$1:$E$200,"&lt;="&amp;C102)</f>
        <v>0</v>
      </c>
      <c r="AM102" s="26">
        <v>0</v>
      </c>
      <c r="AN102" s="26">
        <v>0</v>
      </c>
    </row>
    <row r="103" spans="3:40">
      <c r="C103" s="1">
        <f>WORKDAY($C102,1,Feriados!B90:B930)</f>
        <v>45006</v>
      </c>
      <c r="D103" s="39">
        <v>7960884.5093</v>
      </c>
      <c r="E103" s="32">
        <v>3.6341532999999999</v>
      </c>
      <c r="F103" s="88">
        <f t="shared" ref="F103" si="393">D103/TRUNC(E103,6)</f>
        <v>2190574.9453311404</v>
      </c>
      <c r="G103" s="15">
        <f t="shared" ref="G103" si="394">H103*I103</f>
        <v>7937126.2614319315</v>
      </c>
      <c r="H103" s="32">
        <v>0.89208390000000004</v>
      </c>
      <c r="I103" s="15">
        <f>SUMIFS([1]Master!$K$2:$K$10000,[1]Master!$A$2:$A$10000,$I$12,[1]Master!$F$2:$F$10000,"&lt;="&amp;$C103)</f>
        <v>8897286.7478405684</v>
      </c>
      <c r="J103" s="15">
        <f t="shared" ref="J103" si="395">K103*L103</f>
        <v>0</v>
      </c>
      <c r="K103" s="43">
        <v>0</v>
      </c>
      <c r="L103" s="40">
        <v>0</v>
      </c>
      <c r="M103" s="15">
        <f t="shared" ref="M103" si="396">N103*O103</f>
        <v>0</v>
      </c>
      <c r="N103" s="32">
        <v>0</v>
      </c>
      <c r="O103" s="40">
        <v>0</v>
      </c>
      <c r="P103" s="15">
        <f t="shared" si="378"/>
        <v>25071.367138647121</v>
      </c>
      <c r="Q103" s="32">
        <v>3.7315290999999999</v>
      </c>
      <c r="R103" s="40">
        <v>6718.7918053880703</v>
      </c>
      <c r="S103" s="15">
        <f t="shared" ref="S103" si="397">(((1+1.35%)^(1/252))-1)*D102 + SUM(S102)</f>
        <v>6531.7264588514854</v>
      </c>
      <c r="T103" s="15">
        <f>IF((NETWORKDAYS(DATE(YEAR(C103),MONTH(C103),1),C103,Feriados!$A$2:$A$842))&gt;=5,0,IF(NETWORKDAYS(DATE(YEAR(C103),MONTH(C103),1),C103,Feriados!$A$2:$A$842)=1,S102,T102))</f>
        <v>0</v>
      </c>
      <c r="U103" s="26">
        <v>0</v>
      </c>
      <c r="V103" s="26">
        <v>0</v>
      </c>
      <c r="W103" s="15">
        <f t="shared" ref="W103" si="398">SUM(G103+J103+M103+P103)</f>
        <v>7962197.628570579</v>
      </c>
      <c r="X103" s="50">
        <f>'Fluxo de Caixa_'!AD109</f>
        <v>0</v>
      </c>
      <c r="AB103" s="26">
        <v>1760.9893</v>
      </c>
      <c r="AC103" s="26">
        <v>0</v>
      </c>
      <c r="AD103">
        <f>SUMIFS([1]Master!$J$2:$J$100,[1]Master!$A$2:$A$100,"="&amp;$I$12,[1]Master!$E$2:$E$100,"="&amp;C103,[1]Master!$J$2:$J$100,"&gt;"&amp;0)</f>
        <v>0</v>
      </c>
      <c r="AE103">
        <f ca="1">-SUMIF('[1]Fluxo de Movimentações'!$A$5:$F$10001,"="&amp;$C103,'[1]Fluxo de Movimentações'!$H$5:$H$10001)</f>
        <v>0</v>
      </c>
      <c r="AF103" s="26">
        <v>0</v>
      </c>
      <c r="AG103" s="26">
        <v>3457.52</v>
      </c>
      <c r="AH103" s="26">
        <v>0</v>
      </c>
      <c r="AI103" s="26">
        <v>0</v>
      </c>
      <c r="AJ103" s="26">
        <v>0</v>
      </c>
      <c r="AK103" s="68">
        <v>3.6341532999999999</v>
      </c>
      <c r="AL103" s="15">
        <f>-SUMIFS([1]Master!$J$1:$J$200,[1]Master!$A$1:$A$200,"="&amp;$I$12,[1]Master!$G$1:$G$200,"&gt;"&amp;C103,[1]Master!$E$1:$E$200,"&lt;="&amp;C103)</f>
        <v>0</v>
      </c>
      <c r="AM103" s="26">
        <v>0</v>
      </c>
      <c r="AN103" s="26">
        <v>0</v>
      </c>
    </row>
    <row r="104" spans="3:40">
      <c r="C104" s="1">
        <f>WORKDAY($C103,1,Feriados!B91:B931)</f>
        <v>45007</v>
      </c>
      <c r="D104" s="39">
        <v>7852468.8964999998</v>
      </c>
      <c r="E104" s="32">
        <v>3.5846615000000002</v>
      </c>
      <c r="F104" s="88">
        <f t="shared" ref="F104" si="399">D104/TRUNC(E104,6)</f>
        <v>2190575.0352683277</v>
      </c>
      <c r="G104" s="15">
        <f t="shared" ref="G104" si="400">H104*I104</f>
        <v>7829161.2456615847</v>
      </c>
      <c r="H104" s="32">
        <v>0.87994930000000005</v>
      </c>
      <c r="I104" s="15">
        <f>SUMIFS([1]Master!$K$2:$K$10000,[1]Master!$A$2:$A$10000,$I$12,[1]Master!$F$2:$F$10000,"&lt;="&amp;$C104)</f>
        <v>8897286.7478405684</v>
      </c>
      <c r="J104" s="15">
        <f t="shared" ref="J104" si="401">K104*L104</f>
        <v>0</v>
      </c>
      <c r="K104" s="43">
        <v>0</v>
      </c>
      <c r="L104" s="40">
        <v>0</v>
      </c>
      <c r="M104" s="15">
        <f t="shared" ref="M104" si="402">N104*O104</f>
        <v>0</v>
      </c>
      <c r="N104" s="32">
        <v>0</v>
      </c>
      <c r="O104" s="40">
        <v>0</v>
      </c>
      <c r="P104" s="15">
        <f t="shared" si="378"/>
        <v>25083.720981139686</v>
      </c>
      <c r="Q104" s="32">
        <v>3.7333677999999999</v>
      </c>
      <c r="R104" s="40">
        <v>6718.7918053880703</v>
      </c>
      <c r="S104" s="15">
        <f t="shared" ref="S104" si="403">(((1+1.35%)^(1/252))-1)*D103 + SUM(S103)</f>
        <v>6955.3606222304488</v>
      </c>
      <c r="T104" s="15">
        <f>IF((NETWORKDAYS(DATE(YEAR(C104),MONTH(C104),1),C104,Feriados!$A$2:$A$842))&gt;=5,0,IF(NETWORKDAYS(DATE(YEAR(C104),MONTH(C104),1),C104,Feriados!$A$2:$A$842)=1,S103,T103))</f>
        <v>0</v>
      </c>
      <c r="U104" s="26">
        <v>0</v>
      </c>
      <c r="V104" s="26">
        <v>0</v>
      </c>
      <c r="W104" s="15">
        <f t="shared" ref="W104" si="404">SUM(G104+J104+M104+P104)</f>
        <v>7854244.9666427244</v>
      </c>
      <c r="X104" s="50">
        <f>'Fluxo de Caixa_'!AD110</f>
        <v>0</v>
      </c>
      <c r="AB104" s="26">
        <v>1721.6665</v>
      </c>
      <c r="AC104" s="26">
        <v>0</v>
      </c>
      <c r="AD104">
        <f>SUMIFS([1]Master!$J$2:$J$100,[1]Master!$A$2:$A$100,"="&amp;$I$12,[1]Master!$E$2:$E$100,"="&amp;C104,[1]Master!$J$2:$J$100,"&gt;"&amp;0)</f>
        <v>0</v>
      </c>
      <c r="AE104">
        <f ca="1">-SUMIF('[1]Fluxo de Movimentações'!$A$5:$F$10001,"="&amp;$C104,'[1]Fluxo de Movimentações'!$H$5:$H$10001)</f>
        <v>0</v>
      </c>
      <c r="AF104" s="26">
        <v>0</v>
      </c>
      <c r="AG104" s="26">
        <v>3457.52</v>
      </c>
      <c r="AH104" s="26">
        <v>0</v>
      </c>
      <c r="AI104" s="26">
        <v>0</v>
      </c>
      <c r="AJ104" s="26">
        <v>0</v>
      </c>
      <c r="AK104" s="68">
        <v>3.5846615000000002</v>
      </c>
      <c r="AL104" s="15">
        <f>-SUMIFS([1]Master!$J$1:$J$200,[1]Master!$A$1:$A$200,"="&amp;$I$12,[1]Master!$G$1:$G$200,"&gt;"&amp;C104,[1]Master!$E$1:$E$200,"&lt;="&amp;C104)</f>
        <v>0</v>
      </c>
      <c r="AM104" s="26">
        <v>0</v>
      </c>
      <c r="AN104" s="26">
        <v>0</v>
      </c>
    </row>
    <row r="105" spans="3:40">
      <c r="C105" s="1">
        <f>WORKDAY($C104,1,Feriados!B92:B932)</f>
        <v>45008</v>
      </c>
      <c r="D105" s="39">
        <v>7672910.1536999997</v>
      </c>
      <c r="E105" s="32">
        <v>3.5026926999999999</v>
      </c>
      <c r="F105" s="88">
        <f t="shared" ref="F105" si="405">D105/TRUNC(E105,6)</f>
        <v>2190575.1786625828</v>
      </c>
      <c r="G105" s="15">
        <f t="shared" ref="G105" si="406">H105*I105</f>
        <v>7650047.2969547817</v>
      </c>
      <c r="H105" s="32">
        <v>0.85981799999999997</v>
      </c>
      <c r="I105" s="15">
        <f>SUMIFS([1]Master!$K$2:$K$10000,[1]Master!$A$2:$A$10000,$I$12,[1]Master!$F$2:$F$10000,"&lt;="&amp;$C105)</f>
        <v>8897286.7478405684</v>
      </c>
      <c r="J105" s="15">
        <f t="shared" ref="J105" si="407">K105*L105</f>
        <v>0</v>
      </c>
      <c r="K105" s="43">
        <v>0</v>
      </c>
      <c r="L105" s="40">
        <v>0</v>
      </c>
      <c r="M105" s="15">
        <f t="shared" ref="M105" si="408">N105*O105</f>
        <v>0</v>
      </c>
      <c r="N105" s="32">
        <v>0</v>
      </c>
      <c r="O105" s="40">
        <v>0</v>
      </c>
      <c r="P105" s="15">
        <f t="shared" si="378"/>
        <v>25096.11715202063</v>
      </c>
      <c r="Q105" s="32">
        <v>3.7352128000000002</v>
      </c>
      <c r="R105" s="40">
        <v>6718.7918053880703</v>
      </c>
      <c r="S105" s="15">
        <f t="shared" ref="S105" si="409">(((1+1.35%)^(1/252))-1)*D104 + SUM(S104)</f>
        <v>7373.2255074127379</v>
      </c>
      <c r="T105" s="15">
        <f>IF((NETWORKDAYS(DATE(YEAR(C105),MONTH(C105),1),C105,Feriados!$A$2:$A$842))&gt;=5,0,IF(NETWORKDAYS(DATE(YEAR(C105),MONTH(C105),1),C105,Feriados!$A$2:$A$842)=1,S104,T104))</f>
        <v>0</v>
      </c>
      <c r="U105" s="26">
        <v>0</v>
      </c>
      <c r="V105" s="26">
        <v>0</v>
      </c>
      <c r="W105" s="15">
        <f t="shared" ref="W105" si="410">SUM(G105+J105+M105+P105)</f>
        <v>7675143.4141068021</v>
      </c>
      <c r="X105" s="50">
        <f>'Fluxo de Caixa_'!AD111</f>
        <v>0</v>
      </c>
      <c r="AB105" s="26">
        <v>1682.3436999999999</v>
      </c>
      <c r="AC105" s="26">
        <v>0</v>
      </c>
      <c r="AD105">
        <f>SUMIFS([1]Master!$J$2:$J$100,[1]Master!$A$2:$A$100,"="&amp;$I$12,[1]Master!$E$2:$E$100,"="&amp;C105,[1]Master!$J$2:$J$100,"&gt;"&amp;0)</f>
        <v>0</v>
      </c>
      <c r="AE105">
        <f ca="1">-SUMIF('[1]Fluxo de Movimentações'!$A$5:$F$10001,"="&amp;$C105,'[1]Fluxo de Movimentações'!$H$5:$H$10001)</f>
        <v>0</v>
      </c>
      <c r="AF105" s="26">
        <v>0</v>
      </c>
      <c r="AG105" s="26">
        <v>3457.52</v>
      </c>
      <c r="AH105" s="26">
        <v>0</v>
      </c>
      <c r="AI105" s="26">
        <v>0</v>
      </c>
      <c r="AJ105" s="26">
        <v>0</v>
      </c>
      <c r="AK105" s="68">
        <v>3.5026926999999999</v>
      </c>
      <c r="AL105" s="15">
        <f>-SUMIFS([1]Master!$J$1:$J$200,[1]Master!$A$1:$A$200,"="&amp;$I$12,[1]Master!$G$1:$G$200,"&gt;"&amp;C105,[1]Master!$E$1:$E$200,"&lt;="&amp;C105)</f>
        <v>0</v>
      </c>
      <c r="AM105" s="26">
        <v>0</v>
      </c>
      <c r="AN105" s="26">
        <v>0</v>
      </c>
    </row>
    <row r="106" spans="3:40">
      <c r="C106" s="1">
        <f>WORKDAY($C105,1,Feriados!B93:B933)</f>
        <v>45009</v>
      </c>
      <c r="D106" s="39">
        <v>7751158.0708999997</v>
      </c>
      <c r="E106" s="32">
        <v>3.5384129999999998</v>
      </c>
      <c r="F106" s="88">
        <f t="shared" ref="F106" si="411">D106/TRUNC(E106,6)</f>
        <v>2190574.7211815016</v>
      </c>
      <c r="G106" s="15">
        <f t="shared" ref="G106" si="412">H106*I106</f>
        <v>7728730.4523093095</v>
      </c>
      <c r="H106" s="32">
        <v>0.86866149999999998</v>
      </c>
      <c r="I106" s="15">
        <f>SUMIFS([1]Master!$K$2:$K$10000,[1]Master!$A$2:$A$10000,$I$12,[1]Master!$F$2:$F$10000,"&lt;="&amp;$C106)</f>
        <v>8897286.7478405684</v>
      </c>
      <c r="J106" s="15">
        <f t="shared" ref="J106" si="413">K106*L106</f>
        <v>0</v>
      </c>
      <c r="K106" s="43">
        <v>0</v>
      </c>
      <c r="L106" s="40">
        <v>0</v>
      </c>
      <c r="M106" s="15">
        <f t="shared" ref="M106" si="414">N106*O106</f>
        <v>0</v>
      </c>
      <c r="N106" s="32">
        <v>0</v>
      </c>
      <c r="O106" s="40">
        <v>0</v>
      </c>
      <c r="P106" s="15">
        <f t="shared" ref="P106:P110" si="415">Q106*R106</f>
        <v>25108.499213438779</v>
      </c>
      <c r="Q106" s="32">
        <v>3.7370557</v>
      </c>
      <c r="R106" s="40">
        <v>6718.7918053880703</v>
      </c>
      <c r="S106" s="15">
        <f t="shared" ref="S106" si="416">(((1+1.35%)^(1/252))-1)*D105 + SUM(S105)</f>
        <v>7781.5352712144077</v>
      </c>
      <c r="T106" s="15">
        <f>IF((NETWORKDAYS(DATE(YEAR(C106),MONTH(C106),1),C106,Feriados!$A$2:$A$842))&gt;=5,0,IF(NETWORKDAYS(DATE(YEAR(C106),MONTH(C106),1),C106,Feriados!$A$2:$A$842)=1,S105,T105))</f>
        <v>0</v>
      </c>
      <c r="U106" s="26">
        <v>0</v>
      </c>
      <c r="V106" s="26">
        <v>0</v>
      </c>
      <c r="W106" s="15">
        <f t="shared" ref="W106" si="417">SUM(G106+J106+M106+P106)</f>
        <v>7753838.951522748</v>
      </c>
      <c r="X106" s="50">
        <f>'Fluxo de Caixa_'!AD112</f>
        <v>0</v>
      </c>
      <c r="AB106" s="26">
        <v>1643.0209</v>
      </c>
      <c r="AC106" s="26">
        <v>0</v>
      </c>
      <c r="AD106">
        <f>SUMIFS([1]Master!$J$2:$J$100,[1]Master!$A$2:$A$100,"="&amp;$I$12,[1]Master!$E$2:$E$100,"="&amp;C106,[1]Master!$J$2:$J$100,"&gt;"&amp;0)</f>
        <v>0</v>
      </c>
      <c r="AE106">
        <f ca="1">-SUMIF('[1]Fluxo de Movimentações'!$A$5:$F$10001,"="&amp;$C106,'[1]Fluxo de Movimentações'!$H$5:$H$10001)</f>
        <v>0</v>
      </c>
      <c r="AF106" s="26">
        <v>0</v>
      </c>
      <c r="AG106" s="26">
        <v>3457.52</v>
      </c>
      <c r="AH106" s="26">
        <v>0</v>
      </c>
      <c r="AI106" s="26">
        <v>0</v>
      </c>
      <c r="AJ106" s="26">
        <v>0</v>
      </c>
      <c r="AK106" s="68">
        <v>3.5384129999999998</v>
      </c>
      <c r="AL106" s="15">
        <f>-SUMIFS([1]Master!$J$1:$J$200,[1]Master!$A$1:$A$200,"="&amp;$I$12,[1]Master!$G$1:$G$200,"&gt;"&amp;C106,[1]Master!$E$1:$E$200,"&lt;="&amp;C106)</f>
        <v>0</v>
      </c>
      <c r="AM106" s="26">
        <v>0</v>
      </c>
      <c r="AN106" s="26">
        <v>0</v>
      </c>
    </row>
    <row r="107" spans="3:40">
      <c r="C107" s="1">
        <f>WORKDAY($C106,1,Feriados!B94:B934)</f>
        <v>45012</v>
      </c>
      <c r="D107" s="39">
        <v>7826860.4981000004</v>
      </c>
      <c r="E107" s="32">
        <v>3.5729712</v>
      </c>
      <c r="F107" s="88">
        <f t="shared" ref="F107" si="418">D107/TRUNC(E107,6)</f>
        <v>2190574.873991421</v>
      </c>
      <c r="G107" s="15">
        <f t="shared" ref="G107" si="419">H107*I107</f>
        <v>7804872.5425686548</v>
      </c>
      <c r="H107" s="32">
        <v>0.87721939999999998</v>
      </c>
      <c r="I107" s="15">
        <f>SUMIFS([1]Master!$K$2:$K$10000,[1]Master!$A$2:$A$10000,$I$12,[1]Master!$F$2:$F$10000,"&lt;="&amp;$C107)</f>
        <v>8897286.7478405684</v>
      </c>
      <c r="J107" s="15">
        <f t="shared" ref="J107" si="420">K107*L107</f>
        <v>0</v>
      </c>
      <c r="K107" s="43">
        <v>0</v>
      </c>
      <c r="L107" s="40">
        <v>0</v>
      </c>
      <c r="M107" s="15">
        <f t="shared" ref="M107" si="421">N107*O107</f>
        <v>0</v>
      </c>
      <c r="N107" s="32">
        <v>0</v>
      </c>
      <c r="O107" s="40">
        <v>0</v>
      </c>
      <c r="P107" s="15">
        <f t="shared" si="415"/>
        <v>25120.630663922588</v>
      </c>
      <c r="Q107" s="32">
        <v>3.7388612999999999</v>
      </c>
      <c r="R107" s="40">
        <v>6718.7918053880703</v>
      </c>
      <c r="S107" s="15">
        <f t="shared" ref="S107" si="422">(((1+1.35%)^(1/252))-1)*D106 + SUM(S106)</f>
        <v>8194.0089556081221</v>
      </c>
      <c r="T107" s="15">
        <f>IF((NETWORKDAYS(DATE(YEAR(C107),MONTH(C107),1),C107,Feriados!$A$2:$A$842))&gt;=5,0,IF(NETWORKDAYS(DATE(YEAR(C107),MONTH(C107),1),C107,Feriados!$A$2:$A$842)=1,S106,T106))</f>
        <v>0</v>
      </c>
      <c r="U107" s="26">
        <v>0</v>
      </c>
      <c r="V107" s="26">
        <v>0</v>
      </c>
      <c r="W107" s="15">
        <f t="shared" ref="W107" si="423">SUM(G107+J107+M107+P107)</f>
        <v>7829993.1732325777</v>
      </c>
      <c r="X107" s="50">
        <f>'Fluxo de Caixa_'!AD113</f>
        <v>0</v>
      </c>
      <c r="AB107" s="26">
        <v>1603.6981000000001</v>
      </c>
      <c r="AC107" s="26">
        <v>0</v>
      </c>
      <c r="AD107">
        <f>SUMIFS([1]Master!$J$2:$J$100,[1]Master!$A$2:$A$100,"="&amp;$I$12,[1]Master!$E$2:$E$100,"="&amp;C107,[1]Master!$J$2:$J$100,"&gt;"&amp;0)</f>
        <v>0</v>
      </c>
      <c r="AE107">
        <f ca="1">-SUMIF('[1]Fluxo de Movimentações'!$A$5:$F$10001,"="&amp;$C107,'[1]Fluxo de Movimentações'!$H$5:$H$10001)</f>
        <v>0</v>
      </c>
      <c r="AF107" s="26">
        <v>0</v>
      </c>
      <c r="AG107" s="26">
        <v>3457.52</v>
      </c>
      <c r="AH107" s="26">
        <v>0</v>
      </c>
      <c r="AI107" s="26">
        <v>0</v>
      </c>
      <c r="AJ107" s="26">
        <v>0</v>
      </c>
      <c r="AK107" s="68">
        <v>3.5729712</v>
      </c>
      <c r="AL107" s="15">
        <f>-SUMIFS([1]Master!$J$1:$J$200,[1]Master!$A$1:$A$200,"="&amp;$I$12,[1]Master!$G$1:$G$200,"&gt;"&amp;C107,[1]Master!$E$1:$E$200,"&lt;="&amp;C107)</f>
        <v>0</v>
      </c>
      <c r="AM107" s="26">
        <v>0</v>
      </c>
      <c r="AN107" s="26">
        <v>0</v>
      </c>
    </row>
    <row r="108" spans="3:40">
      <c r="C108" s="1">
        <f>WORKDAY($C107,1,Feriados!B95:B935)</f>
        <v>45013</v>
      </c>
      <c r="D108" s="39">
        <v>7934154.9653000003</v>
      </c>
      <c r="E108" s="32">
        <v>3.6219513000000001</v>
      </c>
      <c r="F108" s="88">
        <f t="shared" ref="F108" si="424">D108/TRUNC(E108,6)</f>
        <v>2190574.9043264254</v>
      </c>
      <c r="G108" s="15">
        <f t="shared" ref="G108" si="425">H108*I108</f>
        <v>7912610.6775269303</v>
      </c>
      <c r="H108" s="32">
        <v>0.88932849999999997</v>
      </c>
      <c r="I108" s="15">
        <f>SUMIFS([1]Master!$K$2:$K$10000,[1]Master!$A$2:$A$10000,$I$12,[1]Master!$F$2:$F$10000,"&lt;="&amp;$C108)</f>
        <v>8897286.7478405684</v>
      </c>
      <c r="J108" s="15">
        <f t="shared" ref="J108" si="426">K108*L108</f>
        <v>0</v>
      </c>
      <c r="K108" s="43">
        <v>0</v>
      </c>
      <c r="L108" s="40">
        <v>0</v>
      </c>
      <c r="M108" s="15">
        <f t="shared" ref="M108" si="427">N108*O108</f>
        <v>0</v>
      </c>
      <c r="N108" s="32">
        <v>0</v>
      </c>
      <c r="O108" s="40">
        <v>0</v>
      </c>
      <c r="P108" s="15">
        <f t="shared" si="415"/>
        <v>25132.782270781812</v>
      </c>
      <c r="Q108" s="32">
        <v>3.7406698999999999</v>
      </c>
      <c r="R108" s="40">
        <v>6718.7918053880703</v>
      </c>
      <c r="S108" s="15">
        <f t="shared" ref="S108" si="428">(((1+1.35%)^(1/252))-1)*D107 + SUM(S107)</f>
        <v>8610.5111037203042</v>
      </c>
      <c r="T108" s="15">
        <f>IF((NETWORKDAYS(DATE(YEAR(C108),MONTH(C108),1),C108,Feriados!$A$2:$A$842))&gt;=5,0,IF(NETWORKDAYS(DATE(YEAR(C108),MONTH(C108),1),C108,Feriados!$A$2:$A$842)=1,S107,T107))</f>
        <v>0</v>
      </c>
      <c r="U108" s="26">
        <v>0</v>
      </c>
      <c r="V108" s="26">
        <v>0</v>
      </c>
      <c r="W108" s="15">
        <f t="shared" ref="W108" si="429">SUM(G108+J108+M108+P108)</f>
        <v>7937743.459797712</v>
      </c>
      <c r="X108" s="50">
        <f>'Fluxo de Caixa_'!AD114</f>
        <v>0</v>
      </c>
      <c r="AB108" s="26">
        <v>1564.3752999999999</v>
      </c>
      <c r="AC108" s="26">
        <v>0</v>
      </c>
      <c r="AD108">
        <f>SUMIFS([1]Master!$J$2:$J$100,[1]Master!$A$2:$A$100,"="&amp;$I$12,[1]Master!$E$2:$E$100,"="&amp;C108,[1]Master!$J$2:$J$100,"&gt;"&amp;0)</f>
        <v>0</v>
      </c>
      <c r="AE108">
        <f ca="1">-SUMIF('[1]Fluxo de Movimentações'!$A$5:$F$10001,"="&amp;$C108,'[1]Fluxo de Movimentações'!$H$5:$H$10001)</f>
        <v>0</v>
      </c>
      <c r="AF108" s="26">
        <v>0</v>
      </c>
      <c r="AG108" s="26">
        <v>3457.52</v>
      </c>
      <c r="AH108" s="26">
        <v>0</v>
      </c>
      <c r="AI108" s="26">
        <v>0</v>
      </c>
      <c r="AJ108" s="26">
        <v>0</v>
      </c>
      <c r="AK108" s="68">
        <v>3.6219513000000001</v>
      </c>
      <c r="AL108" s="15">
        <f>-SUMIFS([1]Master!$J$1:$J$200,[1]Master!$A$1:$A$200,"="&amp;$I$12,[1]Master!$G$1:$G$200,"&gt;"&amp;C108,[1]Master!$E$1:$E$200,"&lt;="&amp;C108)</f>
        <v>0</v>
      </c>
      <c r="AM108" s="26">
        <v>0</v>
      </c>
      <c r="AN108" s="26">
        <v>0</v>
      </c>
    </row>
    <row r="109" spans="3:40">
      <c r="C109" s="1">
        <f>WORKDAY($C108,1,Feriados!B96:B936)</f>
        <v>45014</v>
      </c>
      <c r="D109" s="39">
        <v>7919563.1325000003</v>
      </c>
      <c r="E109" s="32">
        <v>3.6152901000000002</v>
      </c>
      <c r="F109" s="88">
        <f t="shared" ref="F109" si="430">D109/TRUNC(E109,6)</f>
        <v>2190574.7899891851</v>
      </c>
      <c r="G109" s="15">
        <f t="shared" ref="G109" si="431">H109*I109</f>
        <v>7898467.5505125634</v>
      </c>
      <c r="H109" s="32">
        <v>0.8877389</v>
      </c>
      <c r="I109" s="15">
        <f>SUMIFS([1]Master!$K$2:$K$10000,[1]Master!$A$2:$A$10000,$I$12,[1]Master!$F$2:$F$10000,"&lt;="&amp;$C109)</f>
        <v>8897286.7478405684</v>
      </c>
      <c r="J109" s="15">
        <f t="shared" ref="J109" si="432">K109*L109</f>
        <v>0</v>
      </c>
      <c r="K109" s="43">
        <v>0</v>
      </c>
      <c r="L109" s="40">
        <v>0</v>
      </c>
      <c r="M109" s="15">
        <f t="shared" ref="M109" si="433">N109*O109</f>
        <v>0</v>
      </c>
      <c r="N109" s="32">
        <v>0</v>
      </c>
      <c r="O109" s="40">
        <v>0</v>
      </c>
      <c r="P109" s="15">
        <f t="shared" si="415"/>
        <v>25145.605756821577</v>
      </c>
      <c r="Q109" s="32">
        <v>3.7425785</v>
      </c>
      <c r="R109" s="40">
        <v>6718.7918053880703</v>
      </c>
      <c r="S109" s="15">
        <f t="shared" ref="S109" si="434">(((1+1.35%)^(1/252))-1)*D108 + SUM(S108)</f>
        <v>9032.7228688724481</v>
      </c>
      <c r="T109" s="15">
        <f>IF((NETWORKDAYS(DATE(YEAR(C109),MONTH(C109),1),C109,Feriados!$A$2:$A$842))&gt;=5,0,IF(NETWORKDAYS(DATE(YEAR(C109),MONTH(C109),1),C109,Feriados!$A$2:$A$842)=1,S108,T108))</f>
        <v>0</v>
      </c>
      <c r="U109" s="26">
        <v>0</v>
      </c>
      <c r="V109" s="26">
        <v>0</v>
      </c>
      <c r="W109" s="15">
        <f t="shared" ref="W109" si="435">SUM(G109+J109+M109+P109)</f>
        <v>7923613.1562693845</v>
      </c>
      <c r="X109" s="50">
        <f>'Fluxo de Caixa_'!AD115</f>
        <v>0</v>
      </c>
      <c r="AB109" s="26">
        <v>1525.0525</v>
      </c>
      <c r="AC109" s="26">
        <v>0</v>
      </c>
      <c r="AD109">
        <f>SUMIFS([1]Master!$J$2:$J$100,[1]Master!$A$2:$A$100,"="&amp;$I$12,[1]Master!$E$2:$E$100,"="&amp;C109,[1]Master!$J$2:$J$100,"&gt;"&amp;0)</f>
        <v>0</v>
      </c>
      <c r="AE109">
        <f ca="1">-SUMIF('[1]Fluxo de Movimentações'!$A$5:$F$10001,"="&amp;$C109,'[1]Fluxo de Movimentações'!$H$5:$H$10001)</f>
        <v>0</v>
      </c>
      <c r="AF109" s="26">
        <v>0</v>
      </c>
      <c r="AG109" s="26">
        <v>3457.52</v>
      </c>
      <c r="AH109" s="26">
        <v>0</v>
      </c>
      <c r="AI109" s="26">
        <v>0</v>
      </c>
      <c r="AJ109" s="26">
        <v>0</v>
      </c>
      <c r="AK109" s="68">
        <v>3.6152901000000002</v>
      </c>
      <c r="AL109" s="15">
        <f>-SUMIFS([1]Master!$J$1:$J$200,[1]Master!$A$1:$A$200,"="&amp;$I$12,[1]Master!$G$1:$G$200,"&gt;"&amp;C109,[1]Master!$E$1:$E$200,"&lt;="&amp;C109)</f>
        <v>0</v>
      </c>
      <c r="AM109" s="26">
        <v>0</v>
      </c>
      <c r="AN109" s="26">
        <v>0</v>
      </c>
    </row>
    <row r="110" spans="3:40">
      <c r="C110" s="1">
        <f>WORKDAY($C109,1,Feriados!B97:B937)</f>
        <v>45015</v>
      </c>
      <c r="D110" s="39">
        <v>8092653.8997</v>
      </c>
      <c r="E110" s="32">
        <v>3.6943062000000002</v>
      </c>
      <c r="F110" s="88">
        <f t="shared" ref="F110" si="436">D110/TRUNC(E110,6)</f>
        <v>2190574.8737922627</v>
      </c>
      <c r="G110" s="15">
        <f t="shared" ref="G110" si="437">H110*I110</f>
        <v>8072007.3490718445</v>
      </c>
      <c r="H110" s="32">
        <v>0.90724369999999999</v>
      </c>
      <c r="I110" s="15">
        <f>SUMIFS([1]Master!$K$2:$K$10000,[1]Master!$A$2:$A$10000,$I$12,[1]Master!$F$2:$F$10000,"&lt;="&amp;$C110)</f>
        <v>8897286.7478405684</v>
      </c>
      <c r="J110" s="15">
        <f t="shared" ref="J110" si="438">K110*L110</f>
        <v>0</v>
      </c>
      <c r="K110" s="43">
        <v>0</v>
      </c>
      <c r="L110" s="40">
        <v>0</v>
      </c>
      <c r="M110" s="15">
        <f t="shared" ref="M110" si="439">N110*O110</f>
        <v>0</v>
      </c>
      <c r="N110" s="32">
        <v>0</v>
      </c>
      <c r="O110" s="40">
        <v>0</v>
      </c>
      <c r="P110" s="15">
        <f t="shared" si="415"/>
        <v>25157.330048521981</v>
      </c>
      <c r="Q110" s="32">
        <v>3.7443235000000001</v>
      </c>
      <c r="R110" s="40">
        <v>6718.7918053880703</v>
      </c>
      <c r="S110" s="15">
        <f t="shared" ref="S110" si="440">(((1+1.35%)^(1/252))-1)*D109 + SUM(S109)</f>
        <v>9454.1581375343885</v>
      </c>
      <c r="T110" s="15">
        <f>IF((NETWORKDAYS(DATE(YEAR(C110),MONTH(C110),1),C110,Feriados!$A$2:$A$842))&gt;=5,0,IF(NETWORKDAYS(DATE(YEAR(C110),MONTH(C110),1),C110,Feriados!$A$2:$A$842)=1,S109,T109))</f>
        <v>0</v>
      </c>
      <c r="U110" s="26">
        <v>0</v>
      </c>
      <c r="V110" s="26">
        <v>0</v>
      </c>
      <c r="W110" s="15">
        <f t="shared" ref="W110" si="441">SUM(G110+J110+M110+P110)</f>
        <v>8097164.6791203665</v>
      </c>
      <c r="X110" s="50">
        <f>'Fluxo de Caixa_'!AD116</f>
        <v>0</v>
      </c>
      <c r="AB110" s="26">
        <v>1485.7297000000001</v>
      </c>
      <c r="AC110" s="26">
        <v>0</v>
      </c>
      <c r="AD110">
        <f>SUMIFS([1]Master!$J$2:$J$100,[1]Master!$A$2:$A$100,"="&amp;$I$12,[1]Master!$E$2:$E$100,"="&amp;C110,[1]Master!$J$2:$J$100,"&gt;"&amp;0)</f>
        <v>0</v>
      </c>
      <c r="AE110">
        <f ca="1">-SUMIF('[1]Fluxo de Movimentações'!$A$5:$F$10001,"="&amp;$C110,'[1]Fluxo de Movimentações'!$H$5:$H$10001)</f>
        <v>0</v>
      </c>
      <c r="AF110" s="26">
        <v>0</v>
      </c>
      <c r="AG110" s="26">
        <v>3457.52</v>
      </c>
      <c r="AH110" s="26">
        <v>0</v>
      </c>
      <c r="AI110" s="26">
        <v>0</v>
      </c>
      <c r="AJ110" s="26">
        <v>0</v>
      </c>
      <c r="AK110" s="68">
        <v>3.6943062000000002</v>
      </c>
      <c r="AL110" s="15">
        <f>-SUMIFS([1]Master!$J$1:$J$200,[1]Master!$A$1:$A$200,"="&amp;$I$12,[1]Master!$G$1:$G$200,"&gt;"&amp;C110,[1]Master!$E$1:$E$200,"&lt;="&amp;C110)</f>
        <v>0</v>
      </c>
      <c r="AM110" s="26">
        <v>0</v>
      </c>
      <c r="AN110" s="26">
        <v>0</v>
      </c>
    </row>
    <row r="111" spans="3:40">
      <c r="C111" s="1">
        <f>WORKDAY($C110,1,Feriados!B98:B938)</f>
        <v>45016</v>
      </c>
      <c r="D111" s="39">
        <v>7958114.1568999998</v>
      </c>
      <c r="E111" s="32">
        <v>3.6328887000000001</v>
      </c>
      <c r="F111" s="88">
        <f t="shared" ref="F111" si="442">D111/TRUNC(E111,6)</f>
        <v>2190575.1448709676</v>
      </c>
      <c r="G111" s="15">
        <f t="shared" ref="G111" si="443">H111*I111</f>
        <v>7937925.2377818869</v>
      </c>
      <c r="H111" s="32">
        <v>0.89217369999999996</v>
      </c>
      <c r="I111" s="15">
        <f>SUMIFS([1]Master!$K$2:$K$10000,[1]Master!$A$2:$A$10000,$I$12,[1]Master!$F$2:$F$10000,"&lt;="&amp;$C111)</f>
        <v>8897286.7478405684</v>
      </c>
      <c r="J111" s="15">
        <f t="shared" ref="J111" si="444">K111*L111</f>
        <v>0</v>
      </c>
      <c r="K111" s="43">
        <v>0</v>
      </c>
      <c r="L111" s="40">
        <v>0</v>
      </c>
      <c r="M111" s="15">
        <f t="shared" ref="M111" si="445">N111*O111</f>
        <v>0</v>
      </c>
      <c r="N111" s="32">
        <v>0</v>
      </c>
      <c r="O111" s="40">
        <v>0</v>
      </c>
      <c r="P111" s="15">
        <f t="shared" ref="P111:P118" si="446">Q111*R111</f>
        <v>25169.658359605684</v>
      </c>
      <c r="Q111" s="32">
        <v>3.7461584000000001</v>
      </c>
      <c r="R111" s="40">
        <v>6718.7918053880703</v>
      </c>
      <c r="S111" s="15">
        <f t="shared" ref="S111" si="447">(((1+1.35%)^(1/252))-1)*D110 + SUM(S110)</f>
        <v>9884.8043377537106</v>
      </c>
      <c r="T111" s="15">
        <f>IF((NETWORKDAYS(DATE(YEAR(C111),MONTH(C111),1),C111,Feriados!$A$2:$A$842))&gt;=5,0,IF(NETWORKDAYS(DATE(YEAR(C111),MONTH(C111),1),C111,Feriados!$A$2:$A$842)=1,S110,T110))</f>
        <v>0</v>
      </c>
      <c r="U111" s="26">
        <v>0</v>
      </c>
      <c r="V111" s="26">
        <v>0</v>
      </c>
      <c r="W111" s="15">
        <f t="shared" ref="W111" si="448">SUM(G111+J111+M111+P111)</f>
        <v>7963094.8961414928</v>
      </c>
      <c r="X111" s="50">
        <f>'Fluxo de Caixa_'!AD117</f>
        <v>0</v>
      </c>
      <c r="AB111" s="26">
        <v>1446.4069</v>
      </c>
      <c r="AC111" s="26">
        <v>0</v>
      </c>
      <c r="AD111">
        <f>SUMIFS([1]Master!$J$2:$J$100,[1]Master!$A$2:$A$100,"="&amp;$I$12,[1]Master!$E$2:$E$100,"="&amp;C111,[1]Master!$J$2:$J$100,"&gt;"&amp;0)</f>
        <v>0</v>
      </c>
      <c r="AE111">
        <f ca="1">-SUMIF('[1]Fluxo de Movimentações'!$A$5:$F$10001,"="&amp;$C111,'[1]Fluxo de Movimentações'!$H$5:$H$10001)</f>
        <v>0</v>
      </c>
      <c r="AF111" s="26">
        <v>0</v>
      </c>
      <c r="AG111" s="26">
        <v>3457.52</v>
      </c>
      <c r="AH111" s="26">
        <v>0</v>
      </c>
      <c r="AI111" s="26">
        <v>0</v>
      </c>
      <c r="AJ111" s="26">
        <v>0</v>
      </c>
      <c r="AK111" s="68">
        <v>3.6328887000000001</v>
      </c>
      <c r="AL111" s="15">
        <f>-SUMIFS([1]Master!$J$1:$J$200,[1]Master!$A$1:$A$200,"="&amp;$I$12,[1]Master!$G$1:$G$200,"&gt;"&amp;C111,[1]Master!$E$1:$E$200,"&lt;="&amp;C111)</f>
        <v>0</v>
      </c>
      <c r="AM111" s="26">
        <v>0</v>
      </c>
      <c r="AN111" s="26">
        <v>0</v>
      </c>
    </row>
    <row r="112" spans="3:40">
      <c r="C112" s="1">
        <f>WORKDAY($C111,1,Feriados!B99:B939)</f>
        <v>45019</v>
      </c>
      <c r="D112" s="39">
        <v>7792080.0026000002</v>
      </c>
      <c r="E112" s="32">
        <v>3.5570938999999999</v>
      </c>
      <c r="F112" s="88">
        <f t="shared" ref="F112" si="449">D112/TRUNC(E112,6)</f>
        <v>2190575.2822880931</v>
      </c>
      <c r="G112" s="15">
        <f t="shared" ref="G112" si="450">H112*I112</f>
        <v>7772341.3930325257</v>
      </c>
      <c r="H112" s="32">
        <v>0.87356310000000004</v>
      </c>
      <c r="I112" s="15">
        <f>SUMIFS([1]Master!$K$2:$K$10000,[1]Master!$A$2:$A$10000,$I$12,[1]Master!$F$2:$F$10000,"&lt;="&amp;$C112)</f>
        <v>8897286.7478405684</v>
      </c>
      <c r="J112" s="15">
        <f t="shared" ref="J112" si="451">K112*L112</f>
        <v>0</v>
      </c>
      <c r="K112" s="43">
        <v>0</v>
      </c>
      <c r="L112" s="40">
        <v>0</v>
      </c>
      <c r="M112" s="15">
        <f t="shared" ref="M112" si="452">N112*O112</f>
        <v>0</v>
      </c>
      <c r="N112" s="32">
        <v>0</v>
      </c>
      <c r="O112" s="40">
        <v>0</v>
      </c>
      <c r="P112" s="15">
        <f t="shared" si="446"/>
        <v>25182.180843772567</v>
      </c>
      <c r="Q112" s="32">
        <v>3.7480221999999999</v>
      </c>
      <c r="R112" s="40">
        <v>6718.7918053880703</v>
      </c>
      <c r="S112" s="15">
        <f>(((1+1.35%)^(1/252))-1)*D111</f>
        <v>423.48674057439069</v>
      </c>
      <c r="T112" s="15">
        <f>IF((NETWORKDAYS(DATE(YEAR(C112),MONTH(C112),1),C112,Feriados!$A$2:$A$842))&gt;=5,0,IF(NETWORKDAYS(DATE(YEAR(C112),MONTH(C112),1),C112,Feriados!$A$2:$A$842)=1,S111,T111))</f>
        <v>9884.8043377537106</v>
      </c>
      <c r="U112" s="26">
        <v>0</v>
      </c>
      <c r="V112" s="26">
        <v>0</v>
      </c>
      <c r="W112" s="15">
        <f t="shared" ref="W112" si="453">SUM(G112+J112+M112+P112)</f>
        <v>7797523.573876298</v>
      </c>
      <c r="X112" s="50">
        <f>'Fluxo de Caixa_'!AD118</f>
        <v>0</v>
      </c>
      <c r="AB112" s="26">
        <v>1407.0626</v>
      </c>
      <c r="AC112" s="26">
        <v>0</v>
      </c>
      <c r="AD112">
        <f>SUMIFS([1]Master!$J$2:$J$100,[1]Master!$A$2:$A$100,"="&amp;$I$12,[1]Master!$E$2:$E$100,"="&amp;C112,[1]Master!$J$2:$J$100,"&gt;"&amp;0)</f>
        <v>0</v>
      </c>
      <c r="AE112">
        <f ca="1">-SUMIF('[1]Fluxo de Movimentações'!$A$5:$F$10001,"="&amp;$C112,'[1]Fluxo de Movimentações'!$H$5:$H$10001)</f>
        <v>0</v>
      </c>
      <c r="AF112" s="26">
        <v>0</v>
      </c>
      <c r="AG112" s="26">
        <v>3457.52</v>
      </c>
      <c r="AH112" s="26">
        <v>0</v>
      </c>
      <c r="AI112" s="26">
        <v>0</v>
      </c>
      <c r="AJ112" s="26">
        <v>0</v>
      </c>
      <c r="AK112" s="68">
        <v>3.5570938999999999</v>
      </c>
      <c r="AL112" s="15">
        <f>-SUMIFS([1]Master!$J$1:$J$200,[1]Master!$A$1:$A$200,"="&amp;$I$12,[1]Master!$G$1:$G$200,"&gt;"&amp;C112,[1]Master!$E$1:$E$200,"&lt;="&amp;C112)</f>
        <v>0</v>
      </c>
      <c r="AM112" s="26">
        <v>0</v>
      </c>
      <c r="AN112" s="26">
        <v>0</v>
      </c>
    </row>
    <row r="113" spans="3:40">
      <c r="C113" s="1">
        <f>WORKDAY($C112,1,Feriados!B100:B940)</f>
        <v>45020</v>
      </c>
      <c r="D113" s="39">
        <v>7887872.2607000005</v>
      </c>
      <c r="E113" s="32">
        <v>3.6008230999999999</v>
      </c>
      <c r="F113" s="88">
        <f t="shared" ref="F113" si="454">D113/TRUNC(E113,6)</f>
        <v>2190574.8382244837</v>
      </c>
      <c r="G113" s="15">
        <f t="shared" ref="G113" si="455">H113*I113</f>
        <v>7858573.5567684937</v>
      </c>
      <c r="H113" s="32">
        <v>0.88437900000000003</v>
      </c>
      <c r="I113" s="15">
        <f>SUMIFS([1]Master!$K$2:$K$10000,[1]Master!$A$2:$A$10000,$I$12,[1]Master!$F$2:$F$10000,"&lt;="&amp;$C113)</f>
        <v>8885979.37848874</v>
      </c>
      <c r="J113" s="15">
        <f t="shared" ref="J113" si="456">K113*L113</f>
        <v>0</v>
      </c>
      <c r="K113" s="43">
        <v>0</v>
      </c>
      <c r="L113" s="40">
        <v>0</v>
      </c>
      <c r="M113" s="15">
        <f t="shared" ref="M113" si="457">N113*O113</f>
        <v>0</v>
      </c>
      <c r="N113" s="32">
        <v>0</v>
      </c>
      <c r="O113" s="40">
        <v>0</v>
      </c>
      <c r="P113" s="15">
        <f t="shared" si="446"/>
        <v>25194.291466001778</v>
      </c>
      <c r="Q113" s="32">
        <v>3.7498247</v>
      </c>
      <c r="R113" s="40">
        <v>6718.7918053880703</v>
      </c>
      <c r="S113" s="15">
        <f t="shared" ref="S113:S118" si="458">(((1+1.35%)^(1/252))-1)*D112+SUM(S112)</f>
        <v>838.13806343017927</v>
      </c>
      <c r="T113" s="15">
        <f>IF((NETWORKDAYS(DATE(YEAR(C113),MONTH(C113),1),C113,Feriados!$A$2:$A$842))&gt;=5,0,IF(NETWORKDAYS(DATE(YEAR(C113),MONTH(C113),1),C113,Feriados!$A$2:$A$842)=1,S112,T112))</f>
        <v>9884.8043377537106</v>
      </c>
      <c r="U113" s="26">
        <v>0</v>
      </c>
      <c r="V113" s="26">
        <v>0</v>
      </c>
      <c r="W113" s="15">
        <f t="shared" ref="W113" si="459">SUM(G113+J113+M113+P113)</f>
        <v>7883767.8482344951</v>
      </c>
      <c r="X113" s="50">
        <f>'Fluxo de Caixa_'!AD119</f>
        <v>0</v>
      </c>
      <c r="AB113" s="26">
        <v>1369.6907000000001</v>
      </c>
      <c r="AC113" s="26">
        <v>0</v>
      </c>
      <c r="AD113">
        <f>SUMIFS([1]Master!$J$2:$J$100,[1]Master!$A$2:$A$100,"="&amp;$I$12,[1]Master!$E$2:$E$100,"="&amp;C113,[1]Master!$J$2:$J$100,"&gt;"&amp;0)</f>
        <v>0</v>
      </c>
      <c r="AE113">
        <f ca="1">-SUMIF('[1]Fluxo de Movimentações'!$A$5:$F$10001,"="&amp;$C113,'[1]Fluxo de Movimentações'!$H$5:$H$10001)</f>
        <v>0</v>
      </c>
      <c r="AF113" s="26">
        <v>0</v>
      </c>
      <c r="AG113" s="26">
        <v>3457.52</v>
      </c>
      <c r="AH113" s="26">
        <v>0</v>
      </c>
      <c r="AI113" s="26">
        <v>0</v>
      </c>
      <c r="AJ113" s="26">
        <v>0</v>
      </c>
      <c r="AK113" s="68">
        <v>3.6008230999999999</v>
      </c>
      <c r="AL113" s="15">
        <f>-SUMIFS([1]Master!$J$1:$J$200,[1]Master!$A$1:$A$200,"="&amp;$I$12,[1]Master!$G$1:$G$200,"&gt;"&amp;C113,[1]Master!$E$1:$E$200,"&lt;="&amp;C113)</f>
        <v>10000</v>
      </c>
      <c r="AM113" s="26">
        <v>0</v>
      </c>
      <c r="AN113" s="26">
        <v>0</v>
      </c>
    </row>
    <row r="114" spans="3:40">
      <c r="C114" s="1">
        <f>WORKDAY($C113,1,Feriados!B101:B941)</f>
        <v>45021</v>
      </c>
      <c r="D114" s="39">
        <v>7744894.6887999997</v>
      </c>
      <c r="E114" s="32">
        <v>3.5355536999999999</v>
      </c>
      <c r="F114" s="88">
        <f t="shared" ref="F114" si="460">D114/TRUNC(E114,6)</f>
        <v>2190575.1911511435</v>
      </c>
      <c r="G114" s="15">
        <f t="shared" ref="G114" si="461">H114*I114</f>
        <v>7716040.6703416584</v>
      </c>
      <c r="H114" s="32">
        <v>0.86833879999999997</v>
      </c>
      <c r="I114" s="15">
        <f>SUMIFS([1]Master!$K$2:$K$10000,[1]Master!$A$2:$A$10000,$I$12,[1]Master!$F$2:$F$10000,"&lt;="&amp;$C114)</f>
        <v>8885979.37848874</v>
      </c>
      <c r="J114" s="15">
        <f t="shared" ref="J114" si="462">K114*L114</f>
        <v>0</v>
      </c>
      <c r="K114" s="43">
        <v>0</v>
      </c>
      <c r="L114" s="40">
        <v>0</v>
      </c>
      <c r="M114" s="15">
        <f t="shared" ref="M114" si="463">N114*O114</f>
        <v>0</v>
      </c>
      <c r="N114" s="32">
        <v>0</v>
      </c>
      <c r="O114" s="40">
        <v>0</v>
      </c>
      <c r="P114" s="15">
        <f t="shared" si="446"/>
        <v>25206.722574600106</v>
      </c>
      <c r="Q114" s="32">
        <v>3.7516748999999998</v>
      </c>
      <c r="R114" s="40">
        <v>6718.7918053880703</v>
      </c>
      <c r="S114" s="15">
        <f t="shared" si="458"/>
        <v>1257.8869194898434</v>
      </c>
      <c r="T114" s="15">
        <f>IF((NETWORKDAYS(DATE(YEAR(C114),MONTH(C114),1),C114,Feriados!$A$2:$A$842))&gt;=5,0,IF(NETWORKDAYS(DATE(YEAR(C114),MONTH(C114),1),C114,Feriados!$A$2:$A$842)=1,S113,T113))</f>
        <v>9884.8043377537106</v>
      </c>
      <c r="U114" s="26">
        <v>0</v>
      </c>
      <c r="V114" s="26">
        <v>0</v>
      </c>
      <c r="W114" s="15">
        <f t="shared" ref="W114" si="464">SUM(G114+J114+M114+P114)</f>
        <v>7741247.3929162584</v>
      </c>
      <c r="X114" s="50">
        <f>'Fluxo de Caixa_'!AD120</f>
        <v>0</v>
      </c>
      <c r="AB114" s="26">
        <v>1332.3188</v>
      </c>
      <c r="AC114" s="26">
        <v>0</v>
      </c>
      <c r="AD114">
        <f>SUMIFS([1]Master!$J$2:$J$100,[1]Master!$A$2:$A$100,"="&amp;$I$12,[1]Master!$E$2:$E$100,"="&amp;C114,[1]Master!$J$2:$J$100,"&gt;"&amp;0)</f>
        <v>0</v>
      </c>
      <c r="AE114">
        <f ca="1">-SUMIF('[1]Fluxo de Movimentações'!$A$5:$F$10001,"="&amp;$C114,'[1]Fluxo de Movimentações'!$H$5:$H$10001)</f>
        <v>0</v>
      </c>
      <c r="AF114" s="26">
        <v>0</v>
      </c>
      <c r="AG114" s="26">
        <v>3457.52</v>
      </c>
      <c r="AH114" s="26">
        <v>0</v>
      </c>
      <c r="AI114" s="26">
        <v>0</v>
      </c>
      <c r="AJ114" s="26">
        <v>0</v>
      </c>
      <c r="AK114" s="68">
        <v>3.5355536999999999</v>
      </c>
      <c r="AL114" s="15">
        <f>-SUMIFS([1]Master!$J$1:$J$200,[1]Master!$A$1:$A$200,"="&amp;$I$12,[1]Master!$G$1:$G$200,"&gt;"&amp;C114,[1]Master!$E$1:$E$200,"&lt;="&amp;C114)</f>
        <v>10000</v>
      </c>
      <c r="AM114" s="26">
        <v>0</v>
      </c>
      <c r="AN114" s="26">
        <v>0</v>
      </c>
    </row>
    <row r="115" spans="3:40">
      <c r="C115" s="1">
        <f>WORKDAY($C114,1,Feriados!B102:B942)</f>
        <v>45022</v>
      </c>
      <c r="D115" s="39">
        <v>7704675.8768999996</v>
      </c>
      <c r="E115" s="32">
        <v>3.5171937999999998</v>
      </c>
      <c r="F115" s="88">
        <f t="shared" ref="F115" si="465">D115/TRUNC(E115,6)</f>
        <v>2190575.2334034555</v>
      </c>
      <c r="G115" s="15">
        <f t="shared" ref="G115" si="466">H115*I115</f>
        <v>7676259.0292621013</v>
      </c>
      <c r="H115" s="32">
        <v>0.86386189999999996</v>
      </c>
      <c r="I115" s="15">
        <f>SUMIFS([1]Master!$K$2:$K$10000,[1]Master!$A$2:$A$10000,$I$12,[1]Master!$F$2:$F$10000,"&lt;="&amp;$C115)</f>
        <v>8885979.37848874</v>
      </c>
      <c r="J115" s="15">
        <f t="shared" ref="J115" si="467">K115*L115</f>
        <v>0</v>
      </c>
      <c r="K115" s="43">
        <v>0</v>
      </c>
      <c r="L115" s="40">
        <v>0</v>
      </c>
      <c r="M115" s="15">
        <f t="shared" ref="M115" si="468">N115*O115</f>
        <v>0</v>
      </c>
      <c r="N115" s="32">
        <v>0</v>
      </c>
      <c r="O115" s="40">
        <v>0</v>
      </c>
      <c r="P115" s="15">
        <f t="shared" si="446"/>
        <v>35219.059620194799</v>
      </c>
      <c r="Q115" s="32">
        <v>3.7535110999999999</v>
      </c>
      <c r="R115" s="40">
        <v>9382.9640253880698</v>
      </c>
      <c r="S115" s="15">
        <f t="shared" si="458"/>
        <v>1670.0273013927663</v>
      </c>
      <c r="T115" s="15">
        <f>IF((NETWORKDAYS(DATE(YEAR(C115),MONTH(C115),1),C115,Feriados!$A$2:$A$842))&gt;=5,0,IF(NETWORKDAYS(DATE(YEAR(C115),MONTH(C115),1),C115,Feriados!$A$2:$A$842)=1,S114,T114))</f>
        <v>9884.8043377537106</v>
      </c>
      <c r="U115" s="26">
        <v>0</v>
      </c>
      <c r="V115" s="26">
        <v>0</v>
      </c>
      <c r="W115" s="15">
        <f t="shared" ref="W115" si="469">SUM(G115+J115+M115+P115)</f>
        <v>7711478.0888822963</v>
      </c>
      <c r="X115" s="50">
        <f>'Fluxo de Caixa_'!AD121</f>
        <v>-8.163988240994513E-8</v>
      </c>
      <c r="AB115" s="26">
        <v>1294.9468999999999</v>
      </c>
      <c r="AC115" s="26">
        <v>0</v>
      </c>
      <c r="AD115">
        <f>SUMIFS([1]Master!$J$2:$J$100,[1]Master!$A$2:$A$100,"="&amp;$I$12,[1]Master!$E$2:$E$100,"="&amp;C115,[1]Master!$J$2:$J$100,"&gt;"&amp;0)</f>
        <v>0</v>
      </c>
      <c r="AE115">
        <f ca="1">-SUMIF('[1]Fluxo de Movimentações'!$A$5:$F$10001,"="&amp;$C115,'[1]Fluxo de Movimentações'!$H$5:$H$10001)</f>
        <v>0</v>
      </c>
      <c r="AF115" s="26">
        <v>0</v>
      </c>
      <c r="AG115" s="26">
        <v>3457.52</v>
      </c>
      <c r="AH115" s="26">
        <v>0</v>
      </c>
      <c r="AI115" s="26">
        <v>0</v>
      </c>
      <c r="AJ115" s="26">
        <v>0</v>
      </c>
      <c r="AK115" s="68">
        <v>3.5171937999999998</v>
      </c>
      <c r="AL115" s="15">
        <f>-SUMIFS([1]Master!$J$1:$J$200,[1]Master!$A$1:$A$200,"="&amp;$I$12,[1]Master!$G$1:$G$200,"&gt;"&amp;C115,[1]Master!$E$1:$E$200,"&lt;="&amp;C115)</f>
        <v>0</v>
      </c>
      <c r="AM115" s="26">
        <v>0</v>
      </c>
      <c r="AN115" s="26">
        <v>0</v>
      </c>
    </row>
    <row r="116" spans="3:40">
      <c r="C116" s="1">
        <v>45026</v>
      </c>
      <c r="D116" s="39">
        <v>7710756.7249999996</v>
      </c>
      <c r="E116" s="32">
        <v>3.5199696999999999</v>
      </c>
      <c r="F116" s="88">
        <f t="shared" ref="F116" si="470">D116/TRUNC(E116,6)</f>
        <v>2190575.1797814127</v>
      </c>
      <c r="G116" s="15">
        <f t="shared" ref="G116" si="471">H116*I116</f>
        <v>7682768.8977547828</v>
      </c>
      <c r="H116" s="32">
        <v>0.86459450000000004</v>
      </c>
      <c r="I116" s="15">
        <f>SUMIFS([1]Master!$K$2:$K$10000,[1]Master!$A$2:$A$10000,$I$12,[1]Master!$F$2:$F$10000,"&lt;="&amp;$C116)</f>
        <v>8885979.37848874</v>
      </c>
      <c r="J116" s="15">
        <f t="shared" ref="J116" si="472">K116*L116</f>
        <v>0</v>
      </c>
      <c r="K116" s="43">
        <v>0</v>
      </c>
      <c r="L116" s="40">
        <v>0</v>
      </c>
      <c r="M116" s="15">
        <f t="shared" ref="M116" si="473">N116*O116</f>
        <v>0</v>
      </c>
      <c r="N116" s="32">
        <v>0</v>
      </c>
      <c r="O116" s="40">
        <v>0</v>
      </c>
      <c r="P116" s="15">
        <f t="shared" si="446"/>
        <v>25352.738945262219</v>
      </c>
      <c r="Q116" s="32">
        <v>3.7554666999999999</v>
      </c>
      <c r="R116" s="40">
        <v>6750.8890293880704</v>
      </c>
      <c r="S116" s="15">
        <f t="shared" si="458"/>
        <v>2080.0274609734774</v>
      </c>
      <c r="T116" s="15">
        <f>IF((NETWORKDAYS(DATE(YEAR(C116),MONTH(C116),1),C116,Feriados!$A$2:$A$842))&gt;=5,0,IF(NETWORKDAYS(DATE(YEAR(C116),MONTH(C116),1),C116,Feriados!$A$2:$A$842)=1,S115,T115))</f>
        <v>0</v>
      </c>
      <c r="U116" s="26">
        <v>0</v>
      </c>
      <c r="V116" s="26">
        <v>0</v>
      </c>
      <c r="W116" s="15">
        <f t="shared" ref="W116" si="474">SUM(G116+J116+M116+P116)</f>
        <v>7708121.6367000453</v>
      </c>
      <c r="X116" s="50">
        <f>'Fluxo de Caixa_'!AD122</f>
        <v>-6.1936952988617122E-7</v>
      </c>
      <c r="AB116" s="26">
        <v>1257.575</v>
      </c>
      <c r="AC116" s="26">
        <v>0</v>
      </c>
      <c r="AD116">
        <f>SUMIFS([1]Master!$J$2:$J$100,[1]Master!$A$2:$A$100,"="&amp;$I$12,[1]Master!$E$2:$E$100,"="&amp;C116,[1]Master!$J$2:$J$100,"&gt;"&amp;0)</f>
        <v>0</v>
      </c>
      <c r="AE116">
        <f ca="1">-SUMIF('[1]Fluxo de Movimentações'!$A$5:$F$10001,"="&amp;$C116,'[1]Fluxo de Movimentações'!$H$5:$H$10001)</f>
        <v>0</v>
      </c>
      <c r="AF116" s="26">
        <v>0</v>
      </c>
      <c r="AG116" s="26">
        <v>3457.52</v>
      </c>
      <c r="AH116" s="26">
        <v>0</v>
      </c>
      <c r="AI116" s="26">
        <v>0</v>
      </c>
      <c r="AJ116" s="26">
        <v>0</v>
      </c>
      <c r="AK116" s="68">
        <v>3.5199696999999999</v>
      </c>
      <c r="AL116" s="15">
        <f>-SUMIFS([1]Master!$J$1:$J$200,[1]Master!$A$1:$A$200,"="&amp;$I$12,[1]Master!$G$1:$G$200,"&gt;"&amp;C116,[1]Master!$E$1:$E$200,"&lt;="&amp;C116)</f>
        <v>0</v>
      </c>
      <c r="AM116" s="26">
        <v>0</v>
      </c>
      <c r="AN116" s="26">
        <v>0</v>
      </c>
    </row>
    <row r="117" spans="3:40">
      <c r="C117" s="1">
        <v>45027</v>
      </c>
      <c r="D117" s="39">
        <v>8073209.6930999998</v>
      </c>
      <c r="E117" s="32">
        <v>3.6854298999999999</v>
      </c>
      <c r="F117" s="88">
        <f t="shared" ref="F117" si="475">D117/TRUNC(E117,6)</f>
        <v>2190575.2880058195</v>
      </c>
      <c r="G117" s="15">
        <f t="shared" ref="G117" si="476">H117*I117</f>
        <v>8045658.0780052571</v>
      </c>
      <c r="H117" s="32">
        <v>0.90543289999999998</v>
      </c>
      <c r="I117" s="15">
        <f>SUMIFS([1]Master!$K$2:$K$10000,[1]Master!$A$2:$A$10000,$I$12,[1]Master!$F$2:$F$10000,"&lt;="&amp;$C117)</f>
        <v>8885979.37848874</v>
      </c>
      <c r="J117" s="15">
        <f t="shared" ref="J117" si="477">K117*L117</f>
        <v>0</v>
      </c>
      <c r="K117" s="43">
        <v>0</v>
      </c>
      <c r="L117" s="40">
        <v>0</v>
      </c>
      <c r="M117" s="15">
        <f t="shared" ref="M117" si="478">N117*O117</f>
        <v>0</v>
      </c>
      <c r="N117" s="32">
        <v>0</v>
      </c>
      <c r="O117" s="40">
        <v>0</v>
      </c>
      <c r="P117" s="15">
        <f t="shared" si="446"/>
        <v>28792.391534196002</v>
      </c>
      <c r="Q117" s="32">
        <v>3.7571675999999998</v>
      </c>
      <c r="R117" s="40">
        <v>7663.3237053880703</v>
      </c>
      <c r="S117" s="15">
        <f t="shared" si="458"/>
        <v>2490.3512095968972</v>
      </c>
      <c r="T117" s="15">
        <f>IF((NETWORKDAYS(DATE(YEAR(C117),MONTH(C117),1),C117,Feriados!$A$2:$A$842))&gt;=5,0,IF(NETWORKDAYS(DATE(YEAR(C117),MONTH(C117),1),C117,Feriados!$A$2:$A$842)=1,S116,T116))</f>
        <v>0</v>
      </c>
      <c r="U117" s="26">
        <v>0</v>
      </c>
      <c r="V117" s="26">
        <v>0</v>
      </c>
      <c r="W117" s="15">
        <f t="shared" ref="W117" si="479">SUM(G117+J117+M117+P117)</f>
        <v>8074450.4695394533</v>
      </c>
      <c r="X117" s="50">
        <f>'Fluxo de Caixa_'!AD123</f>
        <v>-1.7836969163909089E-6</v>
      </c>
      <c r="AB117" s="26">
        <v>1220.2030999999999</v>
      </c>
      <c r="AC117" s="26">
        <v>0</v>
      </c>
      <c r="AD117">
        <f>SUMIFS([1]Master!$J$2:$J$100,[1]Master!$A$2:$A$100,"="&amp;$I$12,[1]Master!$E$2:$E$100,"="&amp;C117,[1]Master!$J$2:$J$100,"&gt;"&amp;0)</f>
        <v>0</v>
      </c>
      <c r="AE117">
        <f ca="1">-SUMIF('[1]Fluxo de Movimentações'!$A$5:$F$10001,"="&amp;$C117,'[1]Fluxo de Movimentações'!$H$5:$H$10001)</f>
        <v>0</v>
      </c>
      <c r="AF117" s="26">
        <v>0</v>
      </c>
      <c r="AG117" s="26">
        <v>29.35</v>
      </c>
      <c r="AH117" s="26">
        <v>0</v>
      </c>
      <c r="AI117" s="26">
        <v>0</v>
      </c>
      <c r="AJ117" s="26">
        <v>0</v>
      </c>
      <c r="AK117" s="68">
        <v>3.6854298999999999</v>
      </c>
      <c r="AL117" s="15">
        <f>-SUMIFS([1]Master!$J$1:$J$200,[1]Master!$A$1:$A$200,"="&amp;$I$12,[1]Master!$G$1:$G$200,"&gt;"&amp;C117,[1]Master!$E$1:$E$200,"&lt;="&amp;C117)</f>
        <v>0</v>
      </c>
      <c r="AM117" s="26">
        <v>0</v>
      </c>
      <c r="AN117" s="26">
        <v>0</v>
      </c>
    </row>
    <row r="118" spans="3:40">
      <c r="C118" s="1">
        <v>45028</v>
      </c>
      <c r="D118" s="39">
        <v>8142568.8212000001</v>
      </c>
      <c r="E118" s="32">
        <v>3.7170923999999999</v>
      </c>
      <c r="F118" s="88">
        <f t="shared" ref="F118" si="480">D118/TRUNC(E118,6)</f>
        <v>2190575.0035780659</v>
      </c>
      <c r="G118" s="15">
        <f t="shared" ref="G118" si="481">H118*I118</f>
        <v>8115469.886394416</v>
      </c>
      <c r="H118" s="32">
        <v>0.91328929999999997</v>
      </c>
      <c r="I118" s="15">
        <f>SUMIFS([1]Master!$K$2:$K$10000,[1]Master!$A$2:$A$10000,$I$12,[1]Master!$F$2:$F$10000,"&lt;="&amp;$C118)</f>
        <v>8885979.37848874</v>
      </c>
      <c r="J118" s="15">
        <f t="shared" ref="J118" si="482">K118*L118</f>
        <v>0</v>
      </c>
      <c r="K118" s="43">
        <v>0</v>
      </c>
      <c r="L118" s="40">
        <v>0</v>
      </c>
      <c r="M118" s="15">
        <f t="shared" ref="M118" si="483">N118*O118</f>
        <v>0</v>
      </c>
      <c r="N118" s="32">
        <v>0</v>
      </c>
      <c r="O118" s="40">
        <v>0</v>
      </c>
      <c r="P118" s="15">
        <f t="shared" si="446"/>
        <v>28661.69589386064</v>
      </c>
      <c r="Q118" s="32">
        <v>3.7590341999999999</v>
      </c>
      <c r="R118" s="40">
        <v>7624.7499673880702</v>
      </c>
      <c r="S118" s="15">
        <f t="shared" si="458"/>
        <v>2919.9626968787397</v>
      </c>
      <c r="T118" s="15">
        <f>IF((NETWORKDAYS(DATE(YEAR(C118),MONTH(C118),1),C118,Feriados!$A$2:$A$842))&gt;=5,0,IF(NETWORKDAYS(DATE(YEAR(C118),MONTH(C118),1),C118,Feriados!$A$2:$A$842)=1,S117,T117))</f>
        <v>0</v>
      </c>
      <c r="U118" s="26">
        <v>0</v>
      </c>
      <c r="V118" s="26">
        <v>0</v>
      </c>
      <c r="W118" s="15">
        <f t="shared" ref="W118" si="484">SUM(G118+J118+M118+P118)</f>
        <v>8144131.5822882764</v>
      </c>
      <c r="X118" s="50">
        <f>'Fluxo de Caixa_'!AD124</f>
        <v>3.6383977430887171E-7</v>
      </c>
      <c r="AB118" s="26">
        <v>1327.8312000000001</v>
      </c>
      <c r="AC118" s="26">
        <v>0</v>
      </c>
      <c r="AD118">
        <f>SUMIFS([1]Master!$J$2:$J$100,[1]Master!$A$2:$A$100,"="&amp;$I$12,[1]Master!$E$2:$E$100,"="&amp;C118,[1]Master!$J$2:$J$100,"&gt;"&amp;0)</f>
        <v>0</v>
      </c>
      <c r="AE118">
        <f ca="1">-SUMIF('[1]Fluxo de Movimentações'!$A$5:$F$10001,"="&amp;$C118,'[1]Fluxo de Movimentações'!$H$5:$H$10001)</f>
        <v>0</v>
      </c>
      <c r="AF118" s="26">
        <v>0</v>
      </c>
      <c r="AG118" s="26">
        <v>29.35</v>
      </c>
      <c r="AH118" s="26">
        <v>0</v>
      </c>
      <c r="AI118" s="26">
        <v>0</v>
      </c>
      <c r="AJ118" s="26">
        <v>0</v>
      </c>
      <c r="AK118" s="68">
        <v>3.7170923999999999</v>
      </c>
      <c r="AL118" s="15">
        <f>-SUMIFS([1]Master!$J$1:$J$200,[1]Master!$A$1:$A$200,"="&amp;$I$12,[1]Master!$G$1:$G$200,"&gt;"&amp;C118,[1]Master!$E$1:$E$200,"&lt;="&amp;C118)</f>
        <v>0</v>
      </c>
      <c r="AM118" s="26">
        <v>0</v>
      </c>
      <c r="AN118" s="26">
        <v>0</v>
      </c>
    </row>
    <row r="119" spans="3:40">
      <c r="C119" s="1">
        <v>45029</v>
      </c>
      <c r="D119" s="39">
        <v>8163002.0245000003</v>
      </c>
      <c r="E119" s="32">
        <v>3.7264202000000002</v>
      </c>
      <c r="F119" s="88">
        <f t="shared" ref="F119" si="485">D119/TRUNC(E119,6)</f>
        <v>2190574.8746786462</v>
      </c>
      <c r="G119" s="15">
        <f t="shared" ref="G119" si="486">H119*I119</f>
        <v>8136367.0440988084</v>
      </c>
      <c r="H119" s="32">
        <v>0.91564100000000004</v>
      </c>
      <c r="I119" s="15">
        <f>SUMIFS([1]Master!$K$2:$K$10000,[1]Master!$A$2:$A$10000,$I$12,[1]Master!$F$2:$F$10000,"&lt;="&amp;$C119)</f>
        <v>8885979.37848874</v>
      </c>
      <c r="J119" s="15">
        <f t="shared" ref="J119" si="487">K119*L119</f>
        <v>0</v>
      </c>
      <c r="K119" s="43">
        <v>0</v>
      </c>
      <c r="L119" s="40">
        <v>0</v>
      </c>
      <c r="M119" s="15">
        <f t="shared" ref="M119" si="488">N119*O119</f>
        <v>0</v>
      </c>
      <c r="N119" s="32">
        <v>0</v>
      </c>
      <c r="O119" s="40">
        <v>0</v>
      </c>
      <c r="P119" s="15">
        <f>Q119*R119</f>
        <v>28675.313697302394</v>
      </c>
      <c r="Q119" s="32">
        <v>3.7608201999999999</v>
      </c>
      <c r="R119" s="40">
        <v>7624.7499673880702</v>
      </c>
      <c r="S119" s="15">
        <f t="shared" ref="S119" si="489">(((1+1.35%)^(1/252))-1)*D118+SUM(S118)</f>
        <v>3353.2650926483279</v>
      </c>
      <c r="T119" s="15">
        <f>IF((NETWORKDAYS(DATE(YEAR(C119),MONTH(C119),1),C119,Feriados!$A$2:$A$842))&gt;=5,0,IF(NETWORKDAYS(DATE(YEAR(C119),MONTH(C119),1),C119,Feriados!$A$2:$A$842)=1,S118,T118))</f>
        <v>0</v>
      </c>
      <c r="U119" s="26">
        <v>0</v>
      </c>
      <c r="V119" s="26">
        <v>0</v>
      </c>
      <c r="W119" s="15">
        <f t="shared" ref="W119" si="490">SUM(G119+J119+M119+P119)</f>
        <v>8165042.3577961111</v>
      </c>
      <c r="X119" s="50">
        <f>'Fluxo de Caixa_'!AD125</f>
        <v>0</v>
      </c>
      <c r="AB119" s="26">
        <v>1283.5545</v>
      </c>
      <c r="AC119" s="26">
        <v>0</v>
      </c>
      <c r="AD119">
        <f>SUMIFS([1]Master!$J$2:$J$100,[1]Master!$A$2:$A$100,"="&amp;$I$12,[1]Master!$E$2:$E$100,"="&amp;C119,[1]Master!$J$2:$J$100,"&gt;"&amp;0)</f>
        <v>0</v>
      </c>
      <c r="AE119">
        <f ca="1">-SUMIF('[1]Fluxo de Movimentações'!$A$5:$F$10001,"="&amp;$C119,'[1]Fluxo de Movimentações'!$H$5:$H$10001)</f>
        <v>0</v>
      </c>
      <c r="AF119" s="26">
        <v>0</v>
      </c>
      <c r="AG119" s="26">
        <v>29.35</v>
      </c>
      <c r="AH119" s="26">
        <v>0</v>
      </c>
      <c r="AI119" s="26">
        <v>0</v>
      </c>
      <c r="AJ119" s="26">
        <v>0</v>
      </c>
      <c r="AK119" s="68">
        <v>3.7264202000000002</v>
      </c>
      <c r="AL119" s="15">
        <f>-SUMIFS([1]Master!$J$1:$J$200,[1]Master!$A$1:$A$200,"="&amp;$I$12,[1]Master!$G$1:$G$200,"&gt;"&amp;C119,[1]Master!$E$1:$E$200,"&lt;="&amp;C119)</f>
        <v>0</v>
      </c>
      <c r="AM119" s="26">
        <v>0</v>
      </c>
      <c r="AN119" s="26">
        <v>0</v>
      </c>
    </row>
    <row r="120" spans="3:40">
      <c r="C120" s="1">
        <v>45030</v>
      </c>
      <c r="D120" s="39">
        <v>8085260.5278000003</v>
      </c>
      <c r="E120" s="32">
        <v>3.6909310999999998</v>
      </c>
      <c r="F120" s="88">
        <f t="shared" ref="F120" si="491">D120/TRUNC(E120,6)</f>
        <v>2190574.8245632336</v>
      </c>
      <c r="G120" s="15">
        <f t="shared" ref="G120:G125" si="492">H120*I120</f>
        <v>8059090.124433781</v>
      </c>
      <c r="H120" s="32">
        <v>0.90694450000000004</v>
      </c>
      <c r="I120" s="15">
        <f>SUMIFS([1]Master!$K$2:$K$10000,[1]Master!$A$2:$A$10000,$I$12,[1]Master!$F$2:$F$10000,"&lt;="&amp;$C120)</f>
        <v>8885979.37848874</v>
      </c>
      <c r="J120" s="15">
        <f t="shared" ref="J120" si="493">K120*L120</f>
        <v>0</v>
      </c>
      <c r="K120" s="43">
        <v>0</v>
      </c>
      <c r="L120" s="40">
        <v>0</v>
      </c>
      <c r="M120" s="15">
        <f t="shared" ref="M120" si="494">N120*O120</f>
        <v>0</v>
      </c>
      <c r="N120" s="32">
        <v>0</v>
      </c>
      <c r="O120" s="40">
        <v>0</v>
      </c>
      <c r="P120" s="15">
        <f>Q120*R120</f>
        <v>28689.395848017164</v>
      </c>
      <c r="Q120" s="32">
        <v>3.7626670999999998</v>
      </c>
      <c r="R120" s="40">
        <v>7624.7499673880702</v>
      </c>
      <c r="S120" s="15">
        <f t="shared" ref="S120" si="495">(((1+1.35%)^(1/252))-1)*D119+SUM(S119)</f>
        <v>3787.654830279871</v>
      </c>
      <c r="T120" s="15">
        <f>IF((NETWORKDAYS(DATE(YEAR(C120),MONTH(C120),1),C120,Feriados!$A$2:$A$842))&gt;=5,0,IF(NETWORKDAYS(DATE(YEAR(C120),MONTH(C120),1),C120,Feriados!$A$2:$A$842)=1,S119,T119))</f>
        <v>0</v>
      </c>
      <c r="U120" s="26">
        <v>0</v>
      </c>
      <c r="V120" s="26">
        <v>0</v>
      </c>
      <c r="W120" s="15">
        <f t="shared" ref="W120" si="496">SUM(G120+J120+M120+P120)</f>
        <v>8087779.5202817982</v>
      </c>
      <c r="X120" s="50">
        <f>'Fluxo de Caixa_'!AD126</f>
        <v>0</v>
      </c>
      <c r="AB120" s="26">
        <v>1239.2778000000001</v>
      </c>
      <c r="AC120" s="26">
        <v>0</v>
      </c>
      <c r="AD120">
        <f>SUMIFS([1]Master!$J$2:$J$100,[1]Master!$A$2:$A$100,"="&amp;$I$12,[1]Master!$E$2:$E$100,"="&amp;C120,[1]Master!$J$2:$J$100,"&gt;"&amp;0)</f>
        <v>0</v>
      </c>
      <c r="AE120">
        <f ca="1">-SUMIF('[1]Fluxo de Movimentações'!$A$5:$F$10001,"="&amp;$C120,'[1]Fluxo de Movimentações'!$H$5:$H$10001)</f>
        <v>0</v>
      </c>
      <c r="AF120" s="26">
        <v>0</v>
      </c>
      <c r="AG120" s="26">
        <v>29.35</v>
      </c>
      <c r="AH120" s="26">
        <v>0</v>
      </c>
      <c r="AI120" s="26">
        <v>0</v>
      </c>
      <c r="AJ120" s="26">
        <v>0</v>
      </c>
      <c r="AK120" s="68">
        <v>3.6909310999999998</v>
      </c>
      <c r="AL120" s="15">
        <f>-SUMIFS([1]Master!$J$1:$J$200,[1]Master!$A$1:$A$200,"="&amp;$I$12,[1]Master!$G$1:$G$200,"&gt;"&amp;C120,[1]Master!$E$1:$E$200,"&lt;="&amp;C120)</f>
        <v>0</v>
      </c>
      <c r="AM120" s="26">
        <v>0</v>
      </c>
      <c r="AN120" s="26">
        <v>0</v>
      </c>
    </row>
    <row r="121" spans="3:40">
      <c r="C121" s="1">
        <v>45033</v>
      </c>
      <c r="D121" s="39">
        <v>8006846.8110999996</v>
      </c>
      <c r="E121" s="32">
        <v>3.6551352000000001</v>
      </c>
      <c r="F121" s="88">
        <f t="shared" ref="F121" si="497">D121/TRUNC(E121,6)</f>
        <v>2190574.8518454172</v>
      </c>
      <c r="G121" s="15">
        <f t="shared" si="492"/>
        <v>7981136.9817380505</v>
      </c>
      <c r="H121" s="32">
        <v>0.89817190000000002</v>
      </c>
      <c r="I121" s="15">
        <f>SUMIFS([1]Master!$K$2:$K$10000,[1]Master!$A$2:$A$10000,$I$12,[1]Master!$F$2:$F$10000,"&lt;="&amp;$C121)</f>
        <v>8885979.37848874</v>
      </c>
      <c r="J121" s="15">
        <f t="shared" ref="J121" si="498">K121*L121</f>
        <v>0</v>
      </c>
      <c r="K121" s="43">
        <v>0</v>
      </c>
      <c r="L121" s="40">
        <v>0</v>
      </c>
      <c r="M121" s="15">
        <f t="shared" ref="M121" si="499">N121*O121</f>
        <v>0</v>
      </c>
      <c r="N121" s="32">
        <v>0</v>
      </c>
      <c r="O121" s="40">
        <v>0</v>
      </c>
      <c r="P121" s="15">
        <f>Q121*R121</f>
        <v>28703.352952832469</v>
      </c>
      <c r="Q121" s="32">
        <v>3.7644975999999999</v>
      </c>
      <c r="R121" s="40">
        <v>7624.7499673880702</v>
      </c>
      <c r="S121" s="15">
        <f t="shared" ref="S121" si="500">(((1+1.35%)^(1/252))-1)*D120+SUM(S120)</f>
        <v>4217.9075962123698</v>
      </c>
      <c r="T121" s="15">
        <f>IF((NETWORKDAYS(DATE(YEAR(C121),MONTH(C121),1),C121,Feriados!$A$2:$A$842))&gt;=5,0,IF(NETWORKDAYS(DATE(YEAR(C121),MONTH(C121),1),C121,Feriados!$A$2:$A$842)=1,S120,T120))</f>
        <v>0</v>
      </c>
      <c r="U121" s="26">
        <v>0</v>
      </c>
      <c r="V121" s="26">
        <v>0</v>
      </c>
      <c r="W121" s="15">
        <f t="shared" ref="W121" si="501">SUM(G121+J121+M121+P121)</f>
        <v>8009840.3346908828</v>
      </c>
      <c r="X121" s="50">
        <f>'Fluxo de Caixa_'!AD127</f>
        <v>0</v>
      </c>
      <c r="AB121" s="26">
        <v>1195.0011</v>
      </c>
      <c r="AC121" s="26">
        <v>0</v>
      </c>
      <c r="AD121">
        <f>SUMIFS([1]Master!$J$2:$J$100,[1]Master!$A$2:$A$100,"="&amp;$I$12,[1]Master!$E$2:$E$100,"="&amp;C121,[1]Master!$J$2:$J$100,"&gt;"&amp;0)</f>
        <v>0</v>
      </c>
      <c r="AE121">
        <f ca="1">-SUMIF('[1]Fluxo de Movimentações'!$A$5:$F$10001,"="&amp;$C121,'[1]Fluxo de Movimentações'!$H$5:$H$10001)</f>
        <v>0</v>
      </c>
      <c r="AF121" s="26">
        <v>0</v>
      </c>
      <c r="AG121" s="26">
        <v>29.35</v>
      </c>
      <c r="AH121" s="26">
        <v>0</v>
      </c>
      <c r="AI121" s="26">
        <v>0</v>
      </c>
      <c r="AJ121" s="26">
        <v>0</v>
      </c>
      <c r="AK121" s="68">
        <v>3.6551352000000001</v>
      </c>
      <c r="AL121" s="15">
        <f>-SUMIFS([1]Master!$J$1:$J$200,[1]Master!$A$1:$A$200,"="&amp;$I$12,[1]Master!$G$1:$G$200,"&gt;"&amp;C121,[1]Master!$E$1:$E$200,"&lt;="&amp;C121)</f>
        <v>0</v>
      </c>
      <c r="AM121" s="26">
        <v>0</v>
      </c>
      <c r="AN121" s="26">
        <v>0</v>
      </c>
    </row>
    <row r="122" spans="3:40">
      <c r="C122" s="1">
        <v>45034</v>
      </c>
      <c r="D122" s="39">
        <v>7981690.8143999996</v>
      </c>
      <c r="E122" s="32">
        <v>3.6436514</v>
      </c>
      <c r="F122" s="88">
        <f t="shared" ref="F122" si="502">D122/TRUNC(E122,6)</f>
        <v>2190575.0068818335</v>
      </c>
      <c r="G122" s="15">
        <f t="shared" si="492"/>
        <v>7956437.5134576038</v>
      </c>
      <c r="H122" s="32">
        <v>0.89539230000000003</v>
      </c>
      <c r="I122" s="15">
        <f>SUMIFS([1]Master!$K$2:$K$10000,[1]Master!$A$2:$A$10000,$I$12,[1]Master!$F$2:$F$10000,"&lt;="&amp;$C122)</f>
        <v>8885979.37848874</v>
      </c>
      <c r="J122" s="15">
        <f t="shared" ref="J122" si="503">K122*L122</f>
        <v>0</v>
      </c>
      <c r="K122" s="43">
        <v>0</v>
      </c>
      <c r="L122" s="40">
        <v>0</v>
      </c>
      <c r="M122" s="15">
        <f t="shared" ref="M122" si="504">N122*O122</f>
        <v>0</v>
      </c>
      <c r="N122" s="32">
        <v>0</v>
      </c>
      <c r="O122" s="40">
        <v>0</v>
      </c>
      <c r="P122" s="15">
        <f>Q122*R122</f>
        <v>28717.181199373324</v>
      </c>
      <c r="Q122" s="32">
        <v>3.7663112000000001</v>
      </c>
      <c r="R122" s="40">
        <v>7624.7499673880702</v>
      </c>
      <c r="S122" s="15">
        <f t="shared" ref="S122" si="505">(((1+1.35%)^(1/252))-1)*D121+SUM(S121)</f>
        <v>4643.9876186221063</v>
      </c>
      <c r="T122" s="15">
        <f>IF((NETWORKDAYS(DATE(YEAR(C122),MONTH(C122),1),C122,Feriados!$A$2:$A$842))&gt;=5,0,IF(NETWORKDAYS(DATE(YEAR(C122),MONTH(C122),1),C122,Feriados!$A$2:$A$842)=1,S121,T121))</f>
        <v>0</v>
      </c>
      <c r="U122" s="26">
        <v>0</v>
      </c>
      <c r="V122" s="26">
        <v>0</v>
      </c>
      <c r="W122" s="15">
        <f t="shared" ref="W122" si="506">SUM(G122+J122+M122+P122)</f>
        <v>7985154.6946569774</v>
      </c>
      <c r="X122" s="50">
        <f>'Fluxo de Caixa_'!AD128</f>
        <v>0</v>
      </c>
      <c r="AB122" s="26">
        <v>1150.7244000000001</v>
      </c>
      <c r="AC122" s="26">
        <v>0</v>
      </c>
      <c r="AD122">
        <f>SUMIFS([1]Master!$J$2:$J$100,[1]Master!$A$2:$A$100,"="&amp;$I$12,[1]Master!$E$2:$E$100,"="&amp;C122,[1]Master!$J$2:$J$100,"&gt;"&amp;0)</f>
        <v>0</v>
      </c>
      <c r="AE122">
        <f ca="1">-SUMIF('[1]Fluxo de Movimentações'!$A$5:$F$10001,"="&amp;$C122,'[1]Fluxo de Movimentações'!$H$5:$H$10001)</f>
        <v>0</v>
      </c>
      <c r="AF122" s="26">
        <v>0</v>
      </c>
      <c r="AG122" s="26">
        <v>29.35</v>
      </c>
      <c r="AH122" s="26">
        <v>0</v>
      </c>
      <c r="AI122" s="26">
        <v>0</v>
      </c>
      <c r="AJ122" s="26">
        <v>0</v>
      </c>
      <c r="AK122" s="68">
        <v>3.6436514</v>
      </c>
      <c r="AL122" s="15">
        <f>-SUMIFS([1]Master!$J$1:$J$200,[1]Master!$A$1:$A$200,"="&amp;$I$12,[1]Master!$G$1:$G$200,"&gt;"&amp;C122,[1]Master!$E$1:$E$200,"&lt;="&amp;C122)</f>
        <v>0</v>
      </c>
      <c r="AM122" s="26">
        <v>0</v>
      </c>
      <c r="AN122" s="26">
        <v>0</v>
      </c>
    </row>
    <row r="123" spans="3:40">
      <c r="C123" s="1">
        <v>45035</v>
      </c>
      <c r="D123" s="39">
        <v>7791904.5976999998</v>
      </c>
      <c r="E123" s="32">
        <v>3.5570138</v>
      </c>
      <c r="F123" s="88">
        <f t="shared" ref="F123" si="507">D123/TRUNC(E123,6)</f>
        <v>2190575.2376221283</v>
      </c>
      <c r="G123" s="15">
        <f t="shared" si="492"/>
        <v>7767105.728036019</v>
      </c>
      <c r="H123" s="32">
        <v>0.87408549999999996</v>
      </c>
      <c r="I123" s="15">
        <f>SUMIFS([1]Master!$K$2:$K$10000,[1]Master!$A$2:$A$10000,$I$12,[1]Master!$F$2:$F$10000,"&lt;="&amp;$C123)</f>
        <v>8885979.37848874</v>
      </c>
      <c r="J123" s="15">
        <f t="shared" ref="J123" si="508">K123*L123</f>
        <v>0</v>
      </c>
      <c r="K123" s="43">
        <v>0</v>
      </c>
      <c r="L123" s="40">
        <v>0</v>
      </c>
      <c r="M123" s="15">
        <f t="shared" ref="M123" si="509">N123*O123</f>
        <v>0</v>
      </c>
      <c r="N123" s="32">
        <v>0</v>
      </c>
      <c r="O123" s="40">
        <v>0</v>
      </c>
      <c r="P123" s="15">
        <f t="shared" ref="P123:P134" si="510">R123*Q123</f>
        <v>26683.979721526102</v>
      </c>
      <c r="Q123" s="32">
        <v>3.7682232</v>
      </c>
      <c r="R123" s="40">
        <v>7081.31612838807</v>
      </c>
      <c r="S123" s="15">
        <f t="shared" ref="S123" si="511">(((1+1.35%)^(1/252))-1)*D122+SUM(S122)</f>
        <v>5068.7289782735124</v>
      </c>
      <c r="T123" s="15">
        <f>IF((NETWORKDAYS(DATE(YEAR(C123),MONTH(C123),1),C123,Feriados!$A$2:$A$842))&gt;=5,0,IF(NETWORKDAYS(DATE(YEAR(C123),MONTH(C123),1),C123,Feriados!$A$2:$A$842)=1,S122,T122))</f>
        <v>0</v>
      </c>
      <c r="U123" s="26">
        <v>0</v>
      </c>
      <c r="V123" s="26">
        <v>0</v>
      </c>
      <c r="W123" s="15">
        <f t="shared" ref="W123" si="512">SUM(G123+J123+M123+P123)</f>
        <v>7793789.7077575447</v>
      </c>
      <c r="X123" s="50">
        <f>'Fluxo de Caixa_'!AD129</f>
        <v>-2.1513415049412288E-7</v>
      </c>
      <c r="AB123" s="26">
        <v>3154.2276999999999</v>
      </c>
      <c r="AC123" s="26">
        <v>0</v>
      </c>
      <c r="AD123">
        <f>SUMIFS([1]Master!$J$2:$J$100,[1]Master!$A$2:$A$100,"="&amp;$I$12,[1]Master!$E$2:$E$100,"="&amp;C123,[1]Master!$J$2:$J$100,"&gt;"&amp;0)</f>
        <v>0</v>
      </c>
      <c r="AE123">
        <f ca="1">-SUMIF('[1]Fluxo de Movimentações'!$A$5:$F$10001,"="&amp;$C123,'[1]Fluxo de Movimentações'!$H$5:$H$10001)</f>
        <v>0</v>
      </c>
      <c r="AF123" s="26">
        <v>0</v>
      </c>
      <c r="AG123" s="26">
        <v>29.35</v>
      </c>
      <c r="AH123" s="26">
        <v>0</v>
      </c>
      <c r="AI123" s="26">
        <v>0</v>
      </c>
      <c r="AJ123" s="26">
        <v>0</v>
      </c>
      <c r="AK123" s="68">
        <v>3.5570138</v>
      </c>
      <c r="AL123" s="15">
        <f>-SUMIFS([1]Master!$J$1:$J$200,[1]Master!$A$1:$A$200,"="&amp;$I$12,[1]Master!$G$1:$G$200,"&gt;"&amp;C123,[1]Master!$E$1:$E$200,"&lt;="&amp;C123)</f>
        <v>0</v>
      </c>
      <c r="AM123" s="26">
        <v>0</v>
      </c>
      <c r="AN123" s="26">
        <v>0</v>
      </c>
    </row>
    <row r="124" spans="3:40">
      <c r="C124" s="1">
        <v>45036</v>
      </c>
      <c r="D124" s="39">
        <v>7895419.0225</v>
      </c>
      <c r="E124" s="32">
        <v>3.6042681999999999</v>
      </c>
      <c r="F124" s="88">
        <f t="shared" ref="F124" si="513">D124/TRUNC(E124,6)</f>
        <v>2190574.9024489857</v>
      </c>
      <c r="G124" s="15">
        <f t="shared" si="492"/>
        <v>7871074.3525581509</v>
      </c>
      <c r="H124" s="32">
        <v>0.88578579999999996</v>
      </c>
      <c r="I124" s="15">
        <f>SUMIFS([1]Master!$K$2:$K$10000,[1]Master!$A$2:$A$10000,$I$12,[1]Master!$F$2:$F$10000,"&lt;="&amp;$C124)</f>
        <v>8885979.37848874</v>
      </c>
      <c r="J124" s="15">
        <f t="shared" ref="J124" si="514">K124*L124</f>
        <v>0</v>
      </c>
      <c r="K124" s="43">
        <v>0</v>
      </c>
      <c r="L124" s="40">
        <v>0</v>
      </c>
      <c r="M124" s="15">
        <f t="shared" ref="M124" si="515">N124*O124</f>
        <v>0</v>
      </c>
      <c r="N124" s="32">
        <v>0</v>
      </c>
      <c r="O124" s="40">
        <v>0</v>
      </c>
      <c r="P124" s="15">
        <f t="shared" si="510"/>
        <v>26696.85497051074</v>
      </c>
      <c r="Q124" s="32">
        <v>3.7700414000000002</v>
      </c>
      <c r="R124" s="40">
        <v>7081.31612838807</v>
      </c>
      <c r="S124" s="15">
        <f t="shared" ref="S124" si="516">(((1+1.35%)^(1/252))-1)*D123+SUM(S123)</f>
        <v>5483.3709670524186</v>
      </c>
      <c r="T124" s="15">
        <f>IF((NETWORKDAYS(DATE(YEAR(C124),MONTH(C124),1),C124,Feriados!$A$2:$A$842))&gt;=5,0,IF(NETWORKDAYS(DATE(YEAR(C124),MONTH(C124),1),C124,Feriados!$A$2:$A$842)=1,S123,T123))</f>
        <v>0</v>
      </c>
      <c r="U124" s="26">
        <v>0</v>
      </c>
      <c r="V124" s="26">
        <v>0</v>
      </c>
      <c r="W124" s="15">
        <f t="shared" ref="W124" si="517">SUM(G124+J124+M124+P124)</f>
        <v>7897771.2075286619</v>
      </c>
      <c r="X124" s="50">
        <f>'Fluxo de Caixa_'!AD130</f>
        <v>0</v>
      </c>
      <c r="AB124" s="26">
        <v>3101.7925</v>
      </c>
      <c r="AC124" s="26">
        <v>0</v>
      </c>
      <c r="AD124">
        <f>SUMIFS([1]Master!$J$2:$J$100,[1]Master!$A$2:$A$100,"="&amp;$I$12,[1]Master!$E$2:$E$100,"="&amp;C124,[1]Master!$J$2:$J$100,"&gt;"&amp;0)</f>
        <v>0</v>
      </c>
      <c r="AE124">
        <f ca="1">-SUMIF('[1]Fluxo de Movimentações'!$A$5:$F$10001,"="&amp;$C124,'[1]Fluxo de Movimentações'!$H$5:$H$10001)</f>
        <v>0</v>
      </c>
      <c r="AF124" s="26">
        <v>0</v>
      </c>
      <c r="AG124" s="26">
        <v>29.35</v>
      </c>
      <c r="AH124" s="26">
        <v>0</v>
      </c>
      <c r="AI124" s="26">
        <v>0</v>
      </c>
      <c r="AJ124" s="26">
        <v>0</v>
      </c>
      <c r="AK124" s="68">
        <v>3.5570138</v>
      </c>
      <c r="AL124" s="15">
        <f>-SUMIFS([1]Master!$J$1:$J$200,[1]Master!$A$1:$A$200,"="&amp;$I$12,[1]Master!$G$1:$G$200,"&gt;"&amp;C124,[1]Master!$E$1:$E$200,"&lt;="&amp;C124)</f>
        <v>0</v>
      </c>
      <c r="AM124" s="26">
        <v>0</v>
      </c>
      <c r="AN124" s="26">
        <v>0</v>
      </c>
    </row>
    <row r="125" spans="3:40">
      <c r="C125" s="1">
        <v>45040</v>
      </c>
      <c r="D125" s="39">
        <v>7889594.7373000002</v>
      </c>
      <c r="E125" s="32">
        <v>3.6016094999999999</v>
      </c>
      <c r="F125" s="88">
        <f t="shared" ref="F125" si="518">D125/TRUNC(E125,6)</f>
        <v>2190575.0283553824</v>
      </c>
      <c r="G125" s="15">
        <f t="shared" si="492"/>
        <v>7865709.886807357</v>
      </c>
      <c r="H125" s="32">
        <v>0.88518209999999997</v>
      </c>
      <c r="I125" s="15">
        <f>SUMIFS([1]Master!$K$2:$K$10000,[1]Master!$A$2:$A$10000,$I$12,[1]Master!$F$2:$F$10000,"&lt;="&amp;$C125)</f>
        <v>8885979.37848874</v>
      </c>
      <c r="J125" s="15">
        <f t="shared" ref="J125" si="519">K125*L125</f>
        <v>0</v>
      </c>
      <c r="K125" s="43">
        <v>0</v>
      </c>
      <c r="L125" s="40">
        <v>0</v>
      </c>
      <c r="M125" s="15">
        <f t="shared" ref="M125" si="520">N125*O125</f>
        <v>0</v>
      </c>
      <c r="N125" s="32">
        <v>0</v>
      </c>
      <c r="O125" s="40">
        <v>0</v>
      </c>
      <c r="P125" s="15">
        <f t="shared" si="510"/>
        <v>26709.621875358611</v>
      </c>
      <c r="Q125" s="32">
        <v>3.7718443000000001</v>
      </c>
      <c r="R125" s="40">
        <v>7081.31612838807</v>
      </c>
      <c r="S125" s="15">
        <f t="shared" ref="S125" si="521">(((1+1.35%)^(1/252))-1)*D124+SUM(S124)</f>
        <v>5903.521419959472</v>
      </c>
      <c r="T125" s="15">
        <f>IF((NETWORKDAYS(DATE(YEAR(C125),MONTH(C125),1),C125,Feriados!$A$2:$A$842))&gt;=5,0,IF(NETWORKDAYS(DATE(YEAR(C125),MONTH(C125),1),C125,Feriados!$A$2:$A$842)=1,S124,T124))</f>
        <v>0</v>
      </c>
      <c r="U125" s="26">
        <v>0</v>
      </c>
      <c r="V125" s="26">
        <v>0</v>
      </c>
      <c r="W125" s="15">
        <f t="shared" ref="W125" si="522">SUM(G125+J125+M125+P125)</f>
        <v>7892419.5086827157</v>
      </c>
      <c r="X125" s="50">
        <f>'Fluxo de Caixa_'!AD131</f>
        <v>0</v>
      </c>
      <c r="AB125" s="26">
        <v>3049.3573000000001</v>
      </c>
      <c r="AC125" s="26">
        <v>0</v>
      </c>
      <c r="AD125">
        <f>SUMIFS([1]Master!$J$2:$J$100,[1]Master!$A$2:$A$100,"="&amp;$I$12,[1]Master!$E$2:$E$100,"="&amp;C125,[1]Master!$J$2:$J$100,"&gt;"&amp;0)</f>
        <v>0</v>
      </c>
      <c r="AE125">
        <f ca="1">-SUMIF('[1]Fluxo de Movimentações'!$A$5:$F$10001,"="&amp;$C125,'[1]Fluxo de Movimentações'!$H$5:$H$10001)</f>
        <v>0</v>
      </c>
      <c r="AF125" s="26">
        <v>0</v>
      </c>
      <c r="AG125" s="26">
        <v>29.35</v>
      </c>
      <c r="AH125" s="26">
        <v>0</v>
      </c>
      <c r="AI125" s="26">
        <v>0</v>
      </c>
      <c r="AJ125" s="26">
        <v>0</v>
      </c>
      <c r="AK125" s="68">
        <v>3.6016094999999999</v>
      </c>
      <c r="AL125" s="15">
        <f>-SUMIFS([1]Master!$J$1:$J$200,[1]Master!$A$1:$A$200,"="&amp;$I$12,[1]Master!$G$1:$G$200,"&gt;"&amp;C125,[1]Master!$E$1:$E$200,"&lt;="&amp;C125)</f>
        <v>0</v>
      </c>
      <c r="AM125" s="26">
        <v>0</v>
      </c>
      <c r="AN125" s="26">
        <v>0</v>
      </c>
    </row>
    <row r="126" spans="3:40">
      <c r="C126" s="1">
        <v>45041</v>
      </c>
      <c r="D126" s="39">
        <v>7840979.7021000003</v>
      </c>
      <c r="E126" s="32">
        <v>3.5794166000000001</v>
      </c>
      <c r="F126" s="88">
        <f t="shared" ref="F126" si="523">D126/TRUNC(E126,6)</f>
        <v>2190575.1391009036</v>
      </c>
      <c r="G126" s="15">
        <f t="shared" ref="G126" si="524">H126*I126</f>
        <v>7817554.0987615129</v>
      </c>
      <c r="H126" s="32">
        <v>0.87976279999999996</v>
      </c>
      <c r="I126" s="15">
        <f>SUMIFS([1]Master!$K$2:$K$10000,[1]Master!$A$2:$A$10000,$I$12,[1]Master!$F$2:$F$10000,"&lt;="&amp;$C126)</f>
        <v>8885979.37848874</v>
      </c>
      <c r="J126" s="15">
        <f t="shared" ref="J126" si="525">K126*L126</f>
        <v>0</v>
      </c>
      <c r="K126" s="43">
        <v>0</v>
      </c>
      <c r="L126" s="40">
        <v>0</v>
      </c>
      <c r="M126" s="15">
        <f t="shared" ref="M126" si="526">N126*O126</f>
        <v>0</v>
      </c>
      <c r="N126" s="32">
        <v>0</v>
      </c>
      <c r="O126" s="40">
        <v>0</v>
      </c>
      <c r="P126" s="15">
        <f t="shared" si="510"/>
        <v>26722.650080771618</v>
      </c>
      <c r="Q126" s="32">
        <v>3.7736841000000001</v>
      </c>
      <c r="R126" s="40">
        <v>7081.31612838807</v>
      </c>
      <c r="S126" s="15">
        <f t="shared" ref="S126" si="527">(((1+1.35%)^(1/252))-1)*D125+SUM(S125)</f>
        <v>6323.3619366797739</v>
      </c>
      <c r="T126" s="15">
        <f>IF((NETWORKDAYS(DATE(YEAR(C126),MONTH(C126),1),C126,Feriados!$A$2:$A$842))&gt;=5,0,IF(NETWORKDAYS(DATE(YEAR(C126),MONTH(C126),1),C126,Feriados!$A$2:$A$842)=1,S125,T125))</f>
        <v>0</v>
      </c>
      <c r="U126" s="26">
        <v>0</v>
      </c>
      <c r="V126" s="26">
        <v>0</v>
      </c>
      <c r="W126" s="15">
        <f t="shared" ref="W126" si="528">SUM(G126+J126+M126+P126)</f>
        <v>7844276.7488422841</v>
      </c>
      <c r="X126" s="50">
        <f>'Fluxo de Caixa_'!AD132</f>
        <v>0</v>
      </c>
      <c r="AB126" s="26">
        <v>2996.9220999999998</v>
      </c>
      <c r="AC126" s="26">
        <v>0</v>
      </c>
      <c r="AD126">
        <f>SUMIFS([1]Master!$J$2:$J$100,[1]Master!$A$2:$A$100,"="&amp;$I$12,[1]Master!$E$2:$E$100,"="&amp;C126,[1]Master!$J$2:$J$100,"&gt;"&amp;0)</f>
        <v>0</v>
      </c>
      <c r="AE126">
        <f ca="1">-SUMIF('[1]Fluxo de Movimentações'!$A$5:$F$10001,"="&amp;$C126,'[1]Fluxo de Movimentações'!$H$5:$H$10001)</f>
        <v>0</v>
      </c>
      <c r="AF126" s="26">
        <v>0</v>
      </c>
      <c r="AG126" s="26">
        <v>29.35</v>
      </c>
      <c r="AH126" s="26">
        <v>0</v>
      </c>
      <c r="AI126" s="26">
        <v>0</v>
      </c>
      <c r="AJ126" s="26">
        <v>0</v>
      </c>
      <c r="AK126" s="68">
        <v>3.5794166000000001</v>
      </c>
      <c r="AL126" s="15">
        <f>-SUMIFS([1]Master!$J$1:$J$200,[1]Master!$A$1:$A$200,"="&amp;$I$12,[1]Master!$G$1:$G$200,"&gt;"&amp;C126,[1]Master!$E$1:$E$200,"&lt;="&amp;C126)</f>
        <v>0</v>
      </c>
      <c r="AM126" s="26">
        <v>0</v>
      </c>
      <c r="AN126" s="26">
        <v>0</v>
      </c>
    </row>
    <row r="127" spans="3:40">
      <c r="C127" s="1">
        <v>45042</v>
      </c>
      <c r="D127" s="39">
        <v>7866818.9868999999</v>
      </c>
      <c r="E127" s="32">
        <v>3.5912123</v>
      </c>
      <c r="F127" s="88">
        <f t="shared" ref="F127" si="529">D127/TRUNC(E127,6)</f>
        <v>2190574.9331701943</v>
      </c>
      <c r="G127" s="15">
        <f t="shared" ref="G127" si="530">H127*I127</f>
        <v>7843850.3775362745</v>
      </c>
      <c r="H127" s="32">
        <v>0.88272209999999995</v>
      </c>
      <c r="I127" s="15">
        <f>SUMIFS([1]Master!$K$2:$K$10000,[1]Master!$A$2:$A$10000,$I$12,[1]Master!$F$2:$F$10000,"&lt;="&amp;$C127)</f>
        <v>8885979.37848874</v>
      </c>
      <c r="J127" s="15">
        <f t="shared" ref="J127" si="531">K127*L127</f>
        <v>0</v>
      </c>
      <c r="K127" s="43">
        <v>0</v>
      </c>
      <c r="L127" s="40">
        <v>0</v>
      </c>
      <c r="M127" s="15">
        <f t="shared" ref="M127" si="532">N127*O127</f>
        <v>0</v>
      </c>
      <c r="N127" s="32">
        <v>0</v>
      </c>
      <c r="O127" s="40">
        <v>0</v>
      </c>
      <c r="P127" s="15">
        <f t="shared" si="510"/>
        <v>26735.338383010465</v>
      </c>
      <c r="Q127" s="32">
        <v>3.7754759</v>
      </c>
      <c r="R127" s="40">
        <v>7081.31612838807</v>
      </c>
      <c r="S127" s="15">
        <f t="shared" ref="S127" si="533">(((1+1.35%)^(1/252))-1)*D126+SUM(S126)</f>
        <v>6740.6154305961982</v>
      </c>
      <c r="T127" s="15">
        <f>IF((NETWORKDAYS(DATE(YEAR(C127),MONTH(C127),1),C127,Feriados!$A$2:$A$842))&gt;=5,0,IF(NETWORKDAYS(DATE(YEAR(C127),MONTH(C127),1),C127,Feriados!$A$2:$A$842)=1,S126,T126))</f>
        <v>0</v>
      </c>
      <c r="U127" s="26">
        <v>0</v>
      </c>
      <c r="V127" s="26">
        <v>0</v>
      </c>
      <c r="W127" s="15">
        <f t="shared" ref="W127" si="534">SUM(G127+J127+M127+P127)</f>
        <v>7870585.7159192851</v>
      </c>
      <c r="X127" s="50">
        <f>'Fluxo de Caixa_'!AD133</f>
        <v>0</v>
      </c>
      <c r="AB127" s="26">
        <v>2944.4868999999999</v>
      </c>
      <c r="AC127" s="26">
        <v>0</v>
      </c>
      <c r="AD127">
        <f>SUMIFS([1]Master!$J$2:$J$100,[1]Master!$A$2:$A$100,"="&amp;$I$12,[1]Master!$E$2:$E$100,"="&amp;C127,[1]Master!$J$2:$J$100,"&gt;"&amp;0)</f>
        <v>0</v>
      </c>
      <c r="AE127">
        <f ca="1">-SUMIF('[1]Fluxo de Movimentações'!$A$5:$F$10001,"="&amp;$C127,'[1]Fluxo de Movimentações'!$H$5:$H$10001)</f>
        <v>0</v>
      </c>
      <c r="AF127" s="26">
        <v>0</v>
      </c>
      <c r="AG127" s="26">
        <v>29.35</v>
      </c>
      <c r="AH127" s="26">
        <v>0</v>
      </c>
      <c r="AI127" s="26">
        <v>0</v>
      </c>
      <c r="AJ127" s="26">
        <v>0</v>
      </c>
      <c r="AK127" s="68">
        <v>3.5912123</v>
      </c>
      <c r="AL127" s="15">
        <f>-SUMIFS([1]Master!$J$1:$J$200,[1]Master!$A$1:$A$200,"="&amp;$I$12,[1]Master!$G$1:$G$200,"&gt;"&amp;C127,[1]Master!$E$1:$E$200,"&lt;="&amp;C127)</f>
        <v>0</v>
      </c>
      <c r="AM127" s="26">
        <v>0</v>
      </c>
      <c r="AN127" s="26">
        <v>0</v>
      </c>
    </row>
    <row r="128" spans="3:40">
      <c r="C128" s="1">
        <v>45043</v>
      </c>
      <c r="D128" s="39">
        <v>7907571.8317</v>
      </c>
      <c r="E128" s="32">
        <v>3.6098159999999999</v>
      </c>
      <c r="F128" s="88">
        <f t="shared" ref="F128" si="535">D128/TRUNC(E128,6)</f>
        <v>2190574.7638383787</v>
      </c>
      <c r="G128" s="15">
        <f t="shared" ref="G128" si="536">H128*I128</f>
        <v>7885060.8840998933</v>
      </c>
      <c r="H128" s="32">
        <v>0.88735980000000003</v>
      </c>
      <c r="I128" s="15">
        <f>SUMIFS([1]Master!$K$2:$K$10000,[1]Master!$A$2:$A$10000,$I$12,[1]Master!$F$2:$F$10000,"&lt;="&amp;$C128)</f>
        <v>8885979.37848874</v>
      </c>
      <c r="J128" s="15">
        <f t="shared" ref="J128" si="537">K128*L128</f>
        <v>0</v>
      </c>
      <c r="K128" s="43">
        <v>0</v>
      </c>
      <c r="L128" s="40">
        <v>0</v>
      </c>
      <c r="M128" s="15">
        <f t="shared" ref="M128" si="538">N128*O128</f>
        <v>0</v>
      </c>
      <c r="N128" s="32">
        <v>0</v>
      </c>
      <c r="O128" s="40">
        <v>0</v>
      </c>
      <c r="P128" s="15">
        <f t="shared" si="510"/>
        <v>26748.7376493886</v>
      </c>
      <c r="Q128" s="32">
        <v>3.7773680999999999</v>
      </c>
      <c r="R128" s="40">
        <v>7081.31612838807</v>
      </c>
      <c r="S128" s="15">
        <f t="shared" ref="S128" si="539">(((1+1.35%)^(1/252))-1)*D127+SUM(S127)</f>
        <v>7159.2439480776266</v>
      </c>
      <c r="T128" s="15">
        <f>IF((NETWORKDAYS(DATE(YEAR(C128),MONTH(C128),1),C128,Feriados!$A$2:$A$842))&gt;=5,0,IF(NETWORKDAYS(DATE(YEAR(C128),MONTH(C128),1),C128,Feriados!$A$2:$A$842)=1,S127,T127))</f>
        <v>0</v>
      </c>
      <c r="U128" s="26">
        <v>0</v>
      </c>
      <c r="V128" s="26">
        <v>0</v>
      </c>
      <c r="W128" s="15">
        <f t="shared" ref="W128" si="540">SUM(G128+J128+M128+P128)</f>
        <v>7911809.6217492819</v>
      </c>
      <c r="X128" s="50">
        <f>'Fluxo de Caixa_'!AD134</f>
        <v>0</v>
      </c>
      <c r="AB128" s="26">
        <v>2892.0517</v>
      </c>
      <c r="AC128" s="26">
        <v>0</v>
      </c>
      <c r="AD128">
        <f>SUMIFS([1]Master!$J$2:$J$100,[1]Master!$A$2:$A$100,"="&amp;$I$12,[1]Master!$E$2:$E$100,"="&amp;C128,[1]Master!$J$2:$J$100,"&gt;"&amp;0)</f>
        <v>0</v>
      </c>
      <c r="AE128">
        <f ca="1">-SUMIF('[1]Fluxo de Movimentações'!$A$5:$F$10001,"="&amp;$C128,'[1]Fluxo de Movimentações'!$H$5:$H$10001)</f>
        <v>0</v>
      </c>
      <c r="AF128" s="26">
        <v>0</v>
      </c>
      <c r="AG128" s="26">
        <v>29.35</v>
      </c>
      <c r="AH128" s="26">
        <v>0</v>
      </c>
      <c r="AI128" s="26">
        <v>0</v>
      </c>
      <c r="AJ128" s="26">
        <v>0</v>
      </c>
      <c r="AK128" s="68">
        <v>3.6098159999999999</v>
      </c>
      <c r="AL128" s="15">
        <f>-SUMIFS([1]Master!$J$1:$J$200,[1]Master!$A$1:$A$200,"="&amp;$I$12,[1]Master!$G$1:$G$200,"&gt;"&amp;C128,[1]Master!$E$1:$E$200,"&lt;="&amp;C128)</f>
        <v>0</v>
      </c>
      <c r="AM128" s="26">
        <v>0</v>
      </c>
      <c r="AN128" s="26">
        <v>0</v>
      </c>
    </row>
    <row r="129" spans="3:40">
      <c r="C129" s="1">
        <v>45044</v>
      </c>
      <c r="D129" s="39">
        <v>8031580.9764999999</v>
      </c>
      <c r="E129" s="32">
        <v>3.6664262999999999</v>
      </c>
      <c r="F129" s="88">
        <f t="shared" ref="F129" si="541">D129/TRUNC(E129,6)</f>
        <v>2190574.956783527</v>
      </c>
      <c r="G129" s="15">
        <f t="shared" ref="G129" si="542">H129*I129</f>
        <v>8009530.3516461365</v>
      </c>
      <c r="H129" s="32">
        <v>0.90136720000000004</v>
      </c>
      <c r="I129" s="15">
        <f>SUMIFS([1]Master!$K$2:$K$10000,[1]Master!$A$2:$A$10000,$I$12,[1]Master!$F$2:$F$10000,"&lt;="&amp;$C129)</f>
        <v>8885979.37848874</v>
      </c>
      <c r="J129" s="15">
        <f t="shared" ref="J129" si="543">K129*L129</f>
        <v>0</v>
      </c>
      <c r="K129" s="43">
        <v>0</v>
      </c>
      <c r="L129" s="40">
        <v>0</v>
      </c>
      <c r="M129" s="15">
        <f t="shared" ref="M129" si="544">N129*O129</f>
        <v>0</v>
      </c>
      <c r="N129" s="32">
        <v>0</v>
      </c>
      <c r="O129" s="40">
        <v>0</v>
      </c>
      <c r="P129" s="15">
        <f t="shared" si="510"/>
        <v>26761.633434190007</v>
      </c>
      <c r="Q129" s="32">
        <v>3.7791891999999998</v>
      </c>
      <c r="R129" s="40">
        <v>7081.31612838807</v>
      </c>
      <c r="S129" s="15">
        <f t="shared" ref="S129:S131" si="545">(((1+1.35%)^(1/252))-1)*D128+SUM(S128)</f>
        <v>7580.0411061531986</v>
      </c>
      <c r="T129" s="15">
        <f>IF((NETWORKDAYS(DATE(YEAR(C129),MONTH(C129),1),C129,Feriados!$A$2:$A$842))&gt;=5,0,IF(NETWORKDAYS(DATE(YEAR(C129),MONTH(C129),1),C129,Feriados!$A$2:$A$842)=1,S128,T128))</f>
        <v>0</v>
      </c>
      <c r="U129" s="26">
        <v>0</v>
      </c>
      <c r="V129" s="26">
        <v>0</v>
      </c>
      <c r="W129" s="15">
        <f t="shared" ref="W129" si="546">SUM(G129+J129+M129+P129)</f>
        <v>8036291.9850803269</v>
      </c>
      <c r="X129" s="50">
        <f>'Fluxo de Caixa_'!AD135</f>
        <v>0</v>
      </c>
      <c r="AB129" s="26">
        <v>2839.6165000000001</v>
      </c>
      <c r="AC129" s="26">
        <v>0</v>
      </c>
      <c r="AD129">
        <f>SUMIFS([1]Master!$J$2:$J$100,[1]Master!$A$2:$A$100,"="&amp;$I$12,[1]Master!$E$2:$E$100,"="&amp;C129,[1]Master!$J$2:$J$100,"&gt;"&amp;0)</f>
        <v>0</v>
      </c>
      <c r="AE129">
        <f ca="1">-SUMIF('[1]Fluxo de Movimentações'!$A$5:$F$10001,"="&amp;$C129,'[1]Fluxo de Movimentações'!$H$5:$H$10001)</f>
        <v>0</v>
      </c>
      <c r="AF129" s="26">
        <v>0</v>
      </c>
      <c r="AG129" s="26">
        <v>29.35</v>
      </c>
      <c r="AH129" s="26">
        <v>0</v>
      </c>
      <c r="AI129" s="26">
        <v>0</v>
      </c>
      <c r="AJ129" s="26">
        <v>0</v>
      </c>
      <c r="AK129" s="68">
        <v>3.6664262999999999</v>
      </c>
      <c r="AL129" s="15">
        <f>-SUMIFS([1]Master!$J$1:$J$200,[1]Master!$A$1:$A$200,"="&amp;$I$12,[1]Master!$G$1:$G$200,"&gt;"&amp;C129,[1]Master!$E$1:$E$200,"&lt;="&amp;C129)</f>
        <v>0</v>
      </c>
      <c r="AM129" s="26">
        <v>0</v>
      </c>
      <c r="AN129" s="26">
        <v>0</v>
      </c>
    </row>
    <row r="130" spans="3:40">
      <c r="C130" s="1">
        <v>45048</v>
      </c>
      <c r="D130" s="39">
        <v>7869830.0425000004</v>
      </c>
      <c r="E130" s="32">
        <v>3.5925867999999999</v>
      </c>
      <c r="F130" s="88">
        <f t="shared" ref="F130" si="547">D130/TRUNC(E130,6)</f>
        <v>2190575.2687618337</v>
      </c>
      <c r="G130" s="15">
        <f t="shared" ref="G130" si="548">H130*I130</f>
        <v>7848247.1601327509</v>
      </c>
      <c r="H130" s="32">
        <v>0.88321689999999997</v>
      </c>
      <c r="I130" s="15">
        <f>SUMIFS([1]Master!$K$2:$K$10000,[1]Master!$A$2:$A$10000,$I$12,[1]Master!$F$2:$F$10000,"&lt;="&amp;$C130)</f>
        <v>8885979.37848874</v>
      </c>
      <c r="J130" s="15">
        <f t="shared" ref="J130" si="549">K130*L130</f>
        <v>0</v>
      </c>
      <c r="K130" s="43">
        <v>0</v>
      </c>
      <c r="L130" s="40">
        <v>0</v>
      </c>
      <c r="M130" s="15">
        <f t="shared" ref="M130" si="550">N130*O130</f>
        <v>0</v>
      </c>
      <c r="N130" s="32">
        <v>0</v>
      </c>
      <c r="O130" s="40">
        <v>0</v>
      </c>
      <c r="P130" s="15">
        <f t="shared" si="510"/>
        <v>26773.702829399233</v>
      </c>
      <c r="Q130" s="32">
        <v>3.7808936000000002</v>
      </c>
      <c r="R130" s="40">
        <v>7081.31612838807</v>
      </c>
      <c r="S130" s="54">
        <f>(((1+1.35%)^(1/252))-1)*D129</f>
        <v>427.39623764359209</v>
      </c>
      <c r="T130" s="15">
        <f>IF((NETWORKDAYS(DATE(YEAR(C130),MONTH(C130),1),C130,Feriados!$A$2:$A$842))&gt;=5,0,IF(NETWORKDAYS(DATE(YEAR(C130),MONTH(C130),1),C130,Feriados!$A$2:$A$842)=1,S129,T129))</f>
        <v>7580.0411061531986</v>
      </c>
      <c r="U130" s="26">
        <v>0</v>
      </c>
      <c r="V130" s="26">
        <v>0</v>
      </c>
      <c r="W130" s="15">
        <f t="shared" ref="W130" si="551">SUM(G130+J130+M130+P130)</f>
        <v>7875020.86296215</v>
      </c>
      <c r="X130" s="50">
        <f>'Fluxo de Caixa_'!AD136</f>
        <v>0</v>
      </c>
      <c r="AB130" s="26">
        <v>2787.2024999999999</v>
      </c>
      <c r="AC130" s="26">
        <v>0</v>
      </c>
      <c r="AD130">
        <f>SUMIFS([1]Master!$J$2:$J$100,[1]Master!$A$2:$A$100,"="&amp;$I$12,[1]Master!$E$2:$E$100,"="&amp;C130,[1]Master!$J$2:$J$100,"&gt;"&amp;0)</f>
        <v>0</v>
      </c>
      <c r="AE130">
        <f ca="1">-SUMIF('[1]Fluxo de Movimentações'!$A$5:$F$10001,"="&amp;$C130,'[1]Fluxo de Movimentações'!$H$5:$H$10001)</f>
        <v>0</v>
      </c>
      <c r="AF130" s="26">
        <v>0</v>
      </c>
      <c r="AG130" s="26">
        <v>29.35</v>
      </c>
      <c r="AH130" s="26">
        <v>0</v>
      </c>
      <c r="AI130" s="26">
        <v>0</v>
      </c>
      <c r="AJ130" s="26">
        <v>0</v>
      </c>
      <c r="AK130" s="68">
        <v>3.5925867999999999</v>
      </c>
      <c r="AL130" s="15">
        <f>-SUMIFS([1]Master!$J$1:$J$200,[1]Master!$A$1:$A$200,"="&amp;$I$12,[1]Master!$G$1:$G$200,"&gt;"&amp;C130,[1]Master!$E$1:$E$200,"&lt;="&amp;C130)</f>
        <v>0</v>
      </c>
      <c r="AM130" s="26">
        <v>0</v>
      </c>
      <c r="AN130" s="26">
        <v>0</v>
      </c>
    </row>
    <row r="131" spans="3:40">
      <c r="C131" s="1">
        <v>45049</v>
      </c>
      <c r="D131" s="39">
        <v>7909255.0484999996</v>
      </c>
      <c r="E131" s="32">
        <v>3.6105844</v>
      </c>
      <c r="F131" s="88">
        <f t="shared" ref="F131" si="552">D131/TRUNC(E131,6)</f>
        <v>2190575.0007478013</v>
      </c>
      <c r="G131" s="15">
        <f t="shared" ref="G131" si="553">H131*I131</f>
        <v>7879130.1013772218</v>
      </c>
      <c r="H131" s="32">
        <v>0.88770519999999997</v>
      </c>
      <c r="I131" s="15">
        <f>SUMIFS([1]Master!$K$2:$K$10000,[1]Master!$A$2:$A$10000,$I$12,[1]Master!$F$2:$F$10000,"&lt;="&amp;$C131)</f>
        <v>8875840.8775539696</v>
      </c>
      <c r="J131" s="15">
        <f t="shared" ref="J131" si="554">K131*L131</f>
        <v>0</v>
      </c>
      <c r="K131" s="43">
        <v>0</v>
      </c>
      <c r="L131" s="40">
        <v>0</v>
      </c>
      <c r="M131" s="15">
        <f t="shared" ref="M131" si="555">N131*O131</f>
        <v>0</v>
      </c>
      <c r="N131" s="32">
        <v>0</v>
      </c>
      <c r="O131" s="40">
        <v>0</v>
      </c>
      <c r="P131" s="15">
        <f t="shared" si="510"/>
        <v>26786.954096270285</v>
      </c>
      <c r="Q131" s="32">
        <v>3.7827649000000001</v>
      </c>
      <c r="R131" s="40">
        <v>7081.31612838807</v>
      </c>
      <c r="S131" s="15">
        <f t="shared" si="545"/>
        <v>846.18498682019208</v>
      </c>
      <c r="T131" s="15">
        <f>IF((NETWORKDAYS(DATE(YEAR(C131),MONTH(C131),1),C131,Feriados!$A$2:$A$842))&gt;=5,0,IF(NETWORKDAYS(DATE(YEAR(C131),MONTH(C131),1),C131,Feriados!$A$2:$A$842)=1,S130,T130))</f>
        <v>7580.0411061531986</v>
      </c>
      <c r="U131" s="26">
        <v>0</v>
      </c>
      <c r="V131" s="26">
        <v>0</v>
      </c>
      <c r="W131" s="15">
        <f t="shared" ref="W131" si="556">SUM(G131+J131+M131+P131)</f>
        <v>7905917.0554734925</v>
      </c>
      <c r="X131" s="50">
        <f>'Fluxo de Caixa_'!AD137</f>
        <v>0</v>
      </c>
      <c r="AB131" s="26">
        <v>2734.7885000000001</v>
      </c>
      <c r="AC131" s="26">
        <v>0</v>
      </c>
      <c r="AD131">
        <f>SUMIFS([1]Master!$J$2:$J$100,[1]Master!$A$2:$A$100,"="&amp;$I$12,[1]Master!$E$2:$E$100,"="&amp;C131,[1]Master!$J$2:$J$100,"&gt;"&amp;0)</f>
        <v>0</v>
      </c>
      <c r="AE131">
        <f ca="1">-SUMIF('[1]Fluxo de Movimentações'!$A$5:$F$10001,"="&amp;$C131,'[1]Fluxo de Movimentações'!$H$5:$H$10001)</f>
        <v>0</v>
      </c>
      <c r="AF131" s="26">
        <v>0</v>
      </c>
      <c r="AG131" s="26">
        <v>29.35</v>
      </c>
      <c r="AH131" s="26">
        <v>0</v>
      </c>
      <c r="AI131" s="26">
        <v>0</v>
      </c>
      <c r="AJ131" s="26">
        <v>0</v>
      </c>
      <c r="AK131" s="68">
        <v>3.6105844</v>
      </c>
      <c r="AL131" s="15">
        <f>-SUMIFS([1]Master!$J$1:$J$200,[1]Master!$A$1:$A$200,"="&amp;$I$12,[1]Master!$G$1:$G$200,"&gt;"&amp;C131,[1]Master!$E$1:$E$200,"&lt;="&amp;C131)</f>
        <v>9000</v>
      </c>
      <c r="AM131" s="26">
        <v>0</v>
      </c>
      <c r="AN131" s="26">
        <v>0</v>
      </c>
    </row>
    <row r="132" spans="3:40">
      <c r="C132" s="1">
        <v>45050</v>
      </c>
      <c r="D132" s="39">
        <v>7987290.5044999998</v>
      </c>
      <c r="E132" s="32">
        <v>3.6462077000000002</v>
      </c>
      <c r="F132" s="88">
        <f t="shared" ref="F132" si="557">D132/TRUNC(E132,6)</f>
        <v>2190575.1660561236</v>
      </c>
      <c r="G132" s="15">
        <f t="shared" ref="G132" si="558">H132*I132</f>
        <v>7957625.3753460459</v>
      </c>
      <c r="H132" s="32">
        <v>0.89654889999999998</v>
      </c>
      <c r="I132" s="15">
        <f>SUMIFS([1]Master!$K$2:$K$10000,[1]Master!$A$2:$A$10000,$I$12,[1]Master!$F$2:$F$10000,"&lt;="&amp;$C132)</f>
        <v>8875840.8775539696</v>
      </c>
      <c r="J132" s="15">
        <f t="shared" ref="J132" si="559">K132*L132</f>
        <v>0</v>
      </c>
      <c r="K132" s="43">
        <v>0</v>
      </c>
      <c r="L132" s="40">
        <v>0</v>
      </c>
      <c r="M132" s="15">
        <f t="shared" ref="M132" si="560">N132*O132</f>
        <v>0</v>
      </c>
      <c r="N132" s="32">
        <v>0</v>
      </c>
      <c r="O132" s="40">
        <v>0</v>
      </c>
      <c r="P132" s="15">
        <f t="shared" si="510"/>
        <v>26800.436922178735</v>
      </c>
      <c r="Q132" s="32">
        <v>3.7846688999999998</v>
      </c>
      <c r="R132" s="40">
        <v>7081.31612838807</v>
      </c>
      <c r="S132" s="15">
        <f t="shared" ref="S132" si="561">(((1+1.35%)^(1/252))-1)*D131+SUM(S131)</f>
        <v>1267.0717163673789</v>
      </c>
      <c r="T132" s="15">
        <f>IF((NETWORKDAYS(DATE(YEAR(C132),MONTH(C132),1),C132,Feriados!$A$2:$A$842))&gt;=5,0,IF(NETWORKDAYS(DATE(YEAR(C132),MONTH(C132),1),C132,Feriados!$A$2:$A$842)=1,S131,T131))</f>
        <v>7580.0411061531986</v>
      </c>
      <c r="U132" s="26">
        <v>0</v>
      </c>
      <c r="V132" s="26">
        <v>0</v>
      </c>
      <c r="W132" s="15">
        <f t="shared" ref="W132" si="562">SUM(G132+J132+M132+P132)</f>
        <v>7984425.8122682245</v>
      </c>
      <c r="X132" s="50">
        <f>'Fluxo de Caixa_'!AD138</f>
        <v>0</v>
      </c>
      <c r="AB132" s="26">
        <v>2682.3744999999999</v>
      </c>
      <c r="AC132" s="26">
        <v>0</v>
      </c>
      <c r="AD132">
        <f>SUMIFS([1]Master!$J$2:$J$100,[1]Master!$A$2:$A$100,"="&amp;$I$12,[1]Master!$E$2:$E$100,"="&amp;C132,[1]Master!$J$2:$J$100,"&gt;"&amp;0)</f>
        <v>0</v>
      </c>
      <c r="AE132">
        <f ca="1">-SUMIF('[1]Fluxo de Movimentações'!$A$5:$F$10001,"="&amp;$C132,'[1]Fluxo de Movimentações'!$H$5:$H$10001)</f>
        <v>0</v>
      </c>
      <c r="AF132" s="26">
        <v>0</v>
      </c>
      <c r="AG132" s="26">
        <v>29.35</v>
      </c>
      <c r="AH132" s="26">
        <v>0</v>
      </c>
      <c r="AI132" s="26">
        <v>0</v>
      </c>
      <c r="AJ132" s="26">
        <v>0</v>
      </c>
      <c r="AK132" s="68">
        <v>3.6462077000000002</v>
      </c>
      <c r="AL132" s="15">
        <f>-SUMIFS([1]Master!$J$1:$J$200,[1]Master!$A$1:$A$200,"="&amp;$I$12,[1]Master!$G$1:$G$200,"&gt;"&amp;C132,[1]Master!$E$1:$E$200,"&lt;="&amp;C132)</f>
        <v>9000</v>
      </c>
      <c r="AM132" s="26">
        <v>0</v>
      </c>
      <c r="AN132" s="26">
        <v>0</v>
      </c>
    </row>
    <row r="133" spans="3:40">
      <c r="C133" s="1">
        <v>45051</v>
      </c>
      <c r="D133" s="39">
        <v>8132611.7405000003</v>
      </c>
      <c r="E133" s="32">
        <v>3.7125469999999998</v>
      </c>
      <c r="F133" s="88">
        <f t="shared" ref="F133" si="563">D133/TRUNC(E133,6)</f>
        <v>2190574.7564946655</v>
      </c>
      <c r="G133" s="15">
        <f t="shared" ref="G133" si="564">H133*I133</f>
        <v>8103410.1741757821</v>
      </c>
      <c r="H133" s="32">
        <v>0.91297379999999995</v>
      </c>
      <c r="I133" s="15">
        <f>SUMIFS([1]Master!$K$2:$K$10000,[1]Master!$A$2:$A$10000,$I$12,[1]Master!$F$2:$F$10000,"&lt;="&amp;$C133)</f>
        <v>8875840.8775539696</v>
      </c>
      <c r="J133" s="15">
        <f t="shared" ref="J133" si="565">K133*L133</f>
        <v>0</v>
      </c>
      <c r="K133" s="43">
        <v>0</v>
      </c>
      <c r="L133" s="40">
        <v>0</v>
      </c>
      <c r="M133" s="15">
        <f t="shared" ref="M133:M135" si="566">N133*O133</f>
        <v>0</v>
      </c>
      <c r="N133" s="32">
        <v>0</v>
      </c>
      <c r="O133" s="40">
        <v>0</v>
      </c>
      <c r="P133" s="15">
        <f t="shared" si="510"/>
        <v>35814.314885559659</v>
      </c>
      <c r="Q133" s="32">
        <v>3.7866287000000001</v>
      </c>
      <c r="R133" s="40">
        <v>9458.1005223880693</v>
      </c>
      <c r="S133" s="15">
        <f t="shared" ref="S133" si="567">(((1+1.35%)^(1/252))-1)*D132+SUM(S132)</f>
        <v>1692.1110604987664</v>
      </c>
      <c r="T133" s="15">
        <f>IF((NETWORKDAYS(DATE(YEAR(C133),MONTH(C133),1),C133,Feriados!$A$2:$A$842))&gt;=5,0,IF(NETWORKDAYS(DATE(YEAR(C133),MONTH(C133),1),C133,Feriados!$A$2:$A$842)=1,S132,T132))</f>
        <v>7580.0411061531986</v>
      </c>
      <c r="U133" s="26">
        <v>0</v>
      </c>
      <c r="V133" s="26">
        <v>0</v>
      </c>
      <c r="W133" s="15">
        <f t="shared" ref="W133" si="568">SUM(G133+J133+M133+P133)</f>
        <v>8139224.4890613416</v>
      </c>
      <c r="X133" s="50">
        <f>'Fluxo de Caixa_'!AD139</f>
        <v>-3.2505340641364455E-8</v>
      </c>
      <c r="AB133" s="26">
        <v>2629.9605000000001</v>
      </c>
      <c r="AC133" s="26">
        <v>0</v>
      </c>
      <c r="AD133">
        <f>SUMIFS([1]Master!$J$2:$J$100,[1]Master!$A$2:$A$100,"="&amp;$I$12,[1]Master!$E$2:$E$100,"="&amp;C133,[1]Master!$J$2:$J$100,"&gt;"&amp;0)</f>
        <v>0</v>
      </c>
      <c r="AE133">
        <f ca="1">-SUMIF('[1]Fluxo de Movimentações'!$A$5:$F$10001,"="&amp;$C133,'[1]Fluxo de Movimentações'!$H$5:$H$10001)</f>
        <v>0</v>
      </c>
      <c r="AF133" s="26">
        <v>0</v>
      </c>
      <c r="AG133" s="26">
        <v>29.35</v>
      </c>
      <c r="AH133" s="26">
        <v>0</v>
      </c>
      <c r="AI133" s="26">
        <v>0</v>
      </c>
      <c r="AJ133" s="26">
        <v>0</v>
      </c>
      <c r="AK133" s="68">
        <v>3.7125469999999998</v>
      </c>
      <c r="AL133" s="15">
        <f>-SUMIFS([1]Master!$J$1:$J$200,[1]Master!$A$1:$A$200,"="&amp;$I$12,[1]Master!$G$1:$G$200,"&gt;"&amp;C133,[1]Master!$E$1:$E$200,"&lt;="&amp;C133)</f>
        <v>0</v>
      </c>
      <c r="AM133" s="26">
        <v>0</v>
      </c>
      <c r="AN133" s="26">
        <v>0</v>
      </c>
    </row>
    <row r="134" spans="3:40">
      <c r="C134" s="1">
        <v>45054</v>
      </c>
      <c r="D134" s="39">
        <v>8200296.6564999996</v>
      </c>
      <c r="E134" s="32">
        <v>3.7434452999999999</v>
      </c>
      <c r="F134" s="88">
        <f t="shared" ref="F134" si="569">D134/TRUNC(E134,6)</f>
        <v>2190574.8999918522</v>
      </c>
      <c r="G134" s="15">
        <f t="shared" ref="G134" si="570">H134*I134</f>
        <v>8171560.6556018172</v>
      </c>
      <c r="H134" s="32">
        <v>0.92065200000000003</v>
      </c>
      <c r="I134" s="15">
        <f>SUMIFS([1]Master!$K$2:$K$10000,[1]Master!$A$2:$A$10000,$I$12,[1]Master!$F$2:$F$10000,"&lt;="&amp;$C134)</f>
        <v>8875840.8775539696</v>
      </c>
      <c r="J134" s="15">
        <f t="shared" ref="J134" si="571">K134*L134</f>
        <v>0</v>
      </c>
      <c r="K134" s="43">
        <v>0</v>
      </c>
      <c r="L134" s="40">
        <v>0</v>
      </c>
      <c r="M134" s="15">
        <f t="shared" si="566"/>
        <v>0</v>
      </c>
      <c r="N134" s="32">
        <v>0</v>
      </c>
      <c r="O134" s="40">
        <v>0</v>
      </c>
      <c r="P134" s="15">
        <f t="shared" si="510"/>
        <v>28253.950984489413</v>
      </c>
      <c r="Q134" s="32">
        <v>3.7887027</v>
      </c>
      <c r="R134" s="40">
        <v>7457.4209753880696</v>
      </c>
      <c r="S134" s="15">
        <f t="shared" ref="S134" si="572">(((1+1.35%)^(1/252))-1)*D133+SUM(S133)</f>
        <v>2124.8835956043649</v>
      </c>
      <c r="T134" s="15">
        <f>IF((NETWORKDAYS(DATE(YEAR(C134),MONTH(C134),1),C134,Feriados!$A$2:$A$842))&gt;=5,0,IF(NETWORKDAYS(DATE(YEAR(C134),MONTH(C134),1),C134,Feriados!$A$2:$A$842)=1,S133,T133))</f>
        <v>0</v>
      </c>
      <c r="U134" s="26">
        <v>0</v>
      </c>
      <c r="V134" s="26">
        <v>0</v>
      </c>
      <c r="W134" s="15">
        <f t="shared" ref="W134" si="573">SUM(G134+J134+M134+P134)</f>
        <v>8199814.6065863064</v>
      </c>
      <c r="X134" s="50">
        <f>'Fluxo de Caixa_'!AD140</f>
        <v>1.5536761566181667E-6</v>
      </c>
      <c r="AB134" s="26">
        <v>2577.5464999999999</v>
      </c>
      <c r="AC134" s="26">
        <v>0</v>
      </c>
      <c r="AD134">
        <f>SUMIFS([1]Master!$J$2:$J$100,[1]Master!$A$2:$A$100,"="&amp;$I$12,[1]Master!$E$2:$E$100,"="&amp;C134,[1]Master!$J$2:$J$100,"&gt;"&amp;0)</f>
        <v>0</v>
      </c>
      <c r="AE134">
        <f ca="1">-SUMIF('[1]Fluxo de Movimentações'!$A$5:$F$10001,"="&amp;$C134,'[1]Fluxo de Movimentações'!$H$5:$H$10001)</f>
        <v>0</v>
      </c>
      <c r="AF134" s="26">
        <v>0</v>
      </c>
      <c r="AG134" s="26">
        <v>29.35</v>
      </c>
      <c r="AH134" s="26">
        <v>0</v>
      </c>
      <c r="AI134" s="26">
        <v>0</v>
      </c>
      <c r="AJ134" s="26">
        <v>0</v>
      </c>
      <c r="AK134" s="68">
        <v>3.7434452999999999</v>
      </c>
      <c r="AL134" s="15">
        <f>-SUMIFS([1]Master!$J$1:$J$200,[1]Master!$A$1:$A$200,"="&amp;$I$12,[1]Master!$G$1:$G$200,"&gt;"&amp;C134,[1]Master!$E$1:$E$200,"&lt;="&amp;C134)</f>
        <v>0</v>
      </c>
      <c r="AM134" s="26">
        <v>0</v>
      </c>
      <c r="AN134" s="26">
        <v>0</v>
      </c>
    </row>
    <row r="135" spans="3:40">
      <c r="C135" s="1">
        <v>45055</v>
      </c>
      <c r="D135" s="39">
        <v>8294396.3025000002</v>
      </c>
      <c r="E135" s="32">
        <v>3.7864019</v>
      </c>
      <c r="F135" s="88">
        <f t="shared" ref="F135" si="574">D135/TRUNC(E135,6)</f>
        <v>2190575.2461242219</v>
      </c>
      <c r="G135" s="15">
        <f t="shared" ref="G135" si="575">H135*I135</f>
        <v>8266134.5153203299</v>
      </c>
      <c r="H135" s="32">
        <v>0.9313072</v>
      </c>
      <c r="I135" s="15">
        <f>SUMIFS([1]Master!$K$2:$K$10000,[1]Master!$A$2:$A$10000,$I$12,[1]Master!$F$2:$F$10000,"&lt;="&amp;$C135)</f>
        <v>8875840.8775539696</v>
      </c>
      <c r="J135" s="15">
        <f t="shared" ref="J135" si="576">K135*L135</f>
        <v>0</v>
      </c>
      <c r="K135" s="43">
        <v>0</v>
      </c>
      <c r="L135" s="40">
        <v>0</v>
      </c>
      <c r="M135" s="15">
        <f t="shared" si="566"/>
        <v>0</v>
      </c>
      <c r="N135" s="32">
        <v>0</v>
      </c>
      <c r="O135" s="40">
        <v>0</v>
      </c>
      <c r="P135" s="15">
        <f t="shared" ref="P135:P143" si="577">Q135*R135</f>
        <v>23525.105769711354</v>
      </c>
      <c r="Q135" s="32">
        <v>3.7906570999999998</v>
      </c>
      <c r="R135" s="40">
        <v>6206.0759253880697</v>
      </c>
      <c r="S135" s="15">
        <f t="shared" ref="S135" si="578">(((1+1.35%)^(1/252))-1)*D134+SUM(S134)</f>
        <v>2561.2579469063348</v>
      </c>
      <c r="T135" s="15">
        <f>IF((NETWORKDAYS(DATE(YEAR(C135),MONTH(C135),1),C135,Feriados!$A$2:$A$842))&gt;=5,0,IF(NETWORKDAYS(DATE(YEAR(C135),MONTH(C135),1),C135,Feriados!$A$2:$A$842)=1,S134,T134))</f>
        <v>0</v>
      </c>
      <c r="U135" s="26">
        <v>0</v>
      </c>
      <c r="V135" s="26">
        <v>0</v>
      </c>
      <c r="W135" s="15">
        <f t="shared" ref="W135" si="579">SUM(G135+J135+M135+P135)</f>
        <v>8289659.6210900415</v>
      </c>
      <c r="X135" s="50">
        <f>'Fluxo de Caixa_'!AD141</f>
        <v>-1.6676458471920341E-6</v>
      </c>
      <c r="AB135" s="26">
        <v>7268.5524999999998</v>
      </c>
      <c r="AC135" s="26">
        <v>0</v>
      </c>
      <c r="AD135">
        <f>SUMIFS([1]Master!$J$2:$J$100,[1]Master!$A$2:$A$100,"="&amp;$I$12,[1]Master!$E$2:$E$100,"="&amp;C135,[1]Master!$J$2:$J$100,"&gt;"&amp;0)</f>
        <v>0</v>
      </c>
      <c r="AE135">
        <f ca="1">-SUMIF('[1]Fluxo de Movimentações'!$A$5:$F$10001,"="&amp;$C135,'[1]Fluxo de Movimentações'!$H$5:$H$10001)</f>
        <v>0</v>
      </c>
      <c r="AF135" s="26">
        <v>0</v>
      </c>
      <c r="AG135" s="26">
        <v>29.35</v>
      </c>
      <c r="AH135" s="26">
        <v>0</v>
      </c>
      <c r="AI135" s="26">
        <v>0</v>
      </c>
      <c r="AJ135" s="26">
        <v>0</v>
      </c>
      <c r="AK135" s="68">
        <v>3.7864019</v>
      </c>
      <c r="AL135" s="15">
        <f>-SUMIFS([1]Master!$J$1:$J$200,[1]Master!$A$1:$A$200,"="&amp;$I$12,[1]Master!$G$1:$G$200,"&gt;"&amp;C135,[1]Master!$E$1:$E$200,"&lt;="&amp;C135)</f>
        <v>0</v>
      </c>
      <c r="AM135" s="26">
        <v>0</v>
      </c>
      <c r="AN135" s="26">
        <v>0</v>
      </c>
    </row>
    <row r="136" spans="3:40">
      <c r="C136" s="1">
        <v>45056</v>
      </c>
      <c r="D136" s="39">
        <v>8374049.9998000003</v>
      </c>
      <c r="E136" s="32">
        <v>3.8227639</v>
      </c>
      <c r="F136" s="88">
        <f t="shared" ref="F136" si="580">D136/TRUNC(E136,6)</f>
        <v>2190575.2461766531</v>
      </c>
      <c r="G136" s="15">
        <f t="shared" ref="G136" si="581">H136*I136</f>
        <v>8346287.7963650823</v>
      </c>
      <c r="H136" s="68">
        <v>0.94033770000000005</v>
      </c>
      <c r="I136" s="15">
        <f>SUMIFS([1]Master!$K$2:$K$10000,[1]Master!$A$2:$A$10000,$I$12,[1]Master!$F$2:$F$10000,"&lt;="&amp;$C136)</f>
        <v>8875840.8775539696</v>
      </c>
      <c r="J136" s="15">
        <f t="shared" ref="J136" si="582">K136*L136</f>
        <v>0</v>
      </c>
      <c r="K136" s="43">
        <v>0</v>
      </c>
      <c r="L136" s="40">
        <v>0</v>
      </c>
      <c r="M136" s="15">
        <f t="shared" ref="M136" si="583">N136*O136</f>
        <v>0</v>
      </c>
      <c r="N136" s="32">
        <v>0</v>
      </c>
      <c r="O136" s="40">
        <v>0</v>
      </c>
      <c r="P136" s="15">
        <f t="shared" si="577"/>
        <v>23538.142252800226</v>
      </c>
      <c r="Q136" s="32">
        <v>3.7927577000000001</v>
      </c>
      <c r="R136" s="40">
        <v>6206.0759253880697</v>
      </c>
      <c r="S136" s="15">
        <f t="shared" ref="S136" si="584">(((1+1.35%)^(1/252))-1)*D135+SUM(S135)</f>
        <v>3002.6397599747575</v>
      </c>
      <c r="T136" s="15">
        <f>IF((NETWORKDAYS(DATE(YEAR(C136),MONTH(C136),1),C136,Feriados!$A$2:$A$842))&gt;=5,0,IF(NETWORKDAYS(DATE(YEAR(C136),MONTH(C136),1),C136,Feriados!$A$2:$A$842)=1,S135,T135))</f>
        <v>0</v>
      </c>
      <c r="U136" s="26">
        <v>0</v>
      </c>
      <c r="V136" s="26">
        <v>0</v>
      </c>
      <c r="W136" s="15">
        <f t="shared" ref="W136" si="585">SUM(G136+J136+M136+P136)</f>
        <v>8369825.9386178823</v>
      </c>
      <c r="X136" s="50">
        <f>'Fluxo de Caixa_'!AD142</f>
        <v>0</v>
      </c>
      <c r="AB136" s="26">
        <v>7197.3098</v>
      </c>
      <c r="AC136" s="26">
        <v>0</v>
      </c>
      <c r="AD136">
        <f>SUMIFS([1]Master!$J$2:$J$100,[1]Master!$A$2:$A$100,"="&amp;$I$12,[1]Master!$E$2:$E$100,"="&amp;C136,[1]Master!$J$2:$J$100,"&gt;"&amp;0)</f>
        <v>0</v>
      </c>
      <c r="AE136">
        <f ca="1">-SUMIF('[1]Fluxo de Movimentações'!$A$5:$F$10001,"="&amp;$C136,'[1]Fluxo de Movimentações'!$H$5:$H$10001)</f>
        <v>0</v>
      </c>
      <c r="AF136" s="26">
        <v>0</v>
      </c>
      <c r="AG136" s="26">
        <v>29.35</v>
      </c>
      <c r="AH136" s="26">
        <v>0</v>
      </c>
      <c r="AI136" s="26">
        <v>0</v>
      </c>
      <c r="AJ136" s="26">
        <v>0</v>
      </c>
      <c r="AK136" s="68">
        <v>3.8227639</v>
      </c>
      <c r="AL136" s="15">
        <f>-SUMIFS([1]Master!$J$1:$J$200,[1]Master!$A$1:$A$200,"="&amp;$I$12,[1]Master!$G$1:$G$200,"&gt;"&amp;C136,[1]Master!$E$1:$E$200,"&lt;="&amp;C136)</f>
        <v>0</v>
      </c>
      <c r="AM136" s="26">
        <v>0</v>
      </c>
      <c r="AN136" s="26">
        <v>0</v>
      </c>
    </row>
    <row r="137" spans="3:40">
      <c r="C137" s="1">
        <v>45057</v>
      </c>
      <c r="D137" s="39">
        <v>8490260.7674000002</v>
      </c>
      <c r="E137" s="32">
        <v>3.8758142000000002</v>
      </c>
      <c r="F137" s="88">
        <f t="shared" ref="F137" si="586">D137/TRUNC(E137,6)</f>
        <v>2190574.8746972894</v>
      </c>
      <c r="G137" s="15">
        <f t="shared" ref="G137" si="587">H137*I137</f>
        <v>8462974.9260459319</v>
      </c>
      <c r="H137" s="32">
        <v>0.95348429999999995</v>
      </c>
      <c r="I137" s="15">
        <f>SUMIFS([1]Master!$K$2:$K$10000,[1]Master!$A$2:$A$10000,$I$12,[1]Master!$F$2:$F$10000,"&lt;="&amp;$C137)</f>
        <v>8875840.8775539696</v>
      </c>
      <c r="J137" s="15">
        <f t="shared" ref="J137" si="588">K137*L137</f>
        <v>0</v>
      </c>
      <c r="K137" s="43">
        <v>0</v>
      </c>
      <c r="L137" s="40">
        <v>0</v>
      </c>
      <c r="M137" s="15">
        <f t="shared" ref="M137" si="589">N137*O137</f>
        <v>0</v>
      </c>
      <c r="N137" s="32">
        <v>0</v>
      </c>
      <c r="O137" s="40">
        <v>0</v>
      </c>
      <c r="P137" s="15">
        <f t="shared" si="577"/>
        <v>23550.404838221199</v>
      </c>
      <c r="Q137" s="32">
        <v>3.7947335999999998</v>
      </c>
      <c r="R137" s="40">
        <v>6206.0759253880697</v>
      </c>
      <c r="S137" s="15">
        <f t="shared" ref="S137" si="590">(((1+1.35%)^(1/252))-1)*D136+SUM(S136)</f>
        <v>3448.2603014629062</v>
      </c>
      <c r="T137" s="15">
        <f>IF((NETWORKDAYS(DATE(YEAR(C137),MONTH(C137),1),C137,Feriados!$A$2:$A$842))&gt;=5,0,IF(NETWORKDAYS(DATE(YEAR(C137),MONTH(C137),1),C137,Feriados!$A$2:$A$842)=1,S136,T136))</f>
        <v>0</v>
      </c>
      <c r="U137" s="26">
        <v>0</v>
      </c>
      <c r="V137" s="26">
        <v>0</v>
      </c>
      <c r="W137" s="15">
        <f t="shared" ref="W137" si="591">SUM(G137+J137+M137+P137)</f>
        <v>8486525.330884153</v>
      </c>
      <c r="X137" s="50">
        <f>'Fluxo de Caixa_'!AD143</f>
        <v>0</v>
      </c>
      <c r="AB137" s="26">
        <v>7154.3073999999997</v>
      </c>
      <c r="AC137" s="26">
        <v>0</v>
      </c>
      <c r="AD137">
        <f>SUMIFS([1]Master!$J$2:$J$100,[1]Master!$A$2:$A$100,"="&amp;$I$12,[1]Master!$E$2:$E$100,"="&amp;C137,[1]Master!$J$2:$J$100,"&gt;"&amp;0)</f>
        <v>0</v>
      </c>
      <c r="AE137">
        <f ca="1">-SUMIF('[1]Fluxo de Movimentações'!$A$5:$F$10001,"="&amp;$C137,'[1]Fluxo de Movimentações'!$H$5:$H$10001)</f>
        <v>0</v>
      </c>
      <c r="AF137" s="26">
        <v>0</v>
      </c>
      <c r="AG137" s="26">
        <v>29.35</v>
      </c>
      <c r="AH137" s="26">
        <v>0</v>
      </c>
      <c r="AI137" s="26">
        <v>0</v>
      </c>
      <c r="AJ137" s="26">
        <v>0</v>
      </c>
      <c r="AK137" s="68">
        <v>3.8758142000000002</v>
      </c>
      <c r="AL137" s="15">
        <f>-SUMIFS([1]Master!$J$1:$J$200,[1]Master!$A$1:$A$200,"="&amp;$I$12,[1]Master!$G$1:$G$200,"&gt;"&amp;C137,[1]Master!$E$1:$E$200,"&lt;="&amp;C137)</f>
        <v>0</v>
      </c>
      <c r="AM137" s="26">
        <v>0</v>
      </c>
      <c r="AN137" s="26">
        <v>0</v>
      </c>
    </row>
    <row r="138" spans="3:40">
      <c r="C138" s="1">
        <v>45058</v>
      </c>
      <c r="D138" s="39">
        <v>8394413.6549999993</v>
      </c>
      <c r="E138" s="32">
        <v>3.8320599</v>
      </c>
      <c r="F138" s="88">
        <f t="shared" ref="F138" si="592">D138/TRUNC(E138,6)</f>
        <v>2190575.2638464072</v>
      </c>
      <c r="G138" s="15">
        <f t="shared" ref="G138" si="593">H138*I138</f>
        <v>8367609.3413211415</v>
      </c>
      <c r="H138" s="32">
        <v>0.94273989999999996</v>
      </c>
      <c r="I138" s="15">
        <f>SUMIFS([1]Master!$K$2:$K$10000,[1]Master!$A$2:$A$10000,$I$12,[1]Master!$F$2:$F$10000,"&lt;="&amp;$C138)</f>
        <v>8875840.8775539696</v>
      </c>
      <c r="J138" s="15">
        <f t="shared" ref="J138" si="594">K138*L138</f>
        <v>0</v>
      </c>
      <c r="K138" s="43">
        <v>0</v>
      </c>
      <c r="L138" s="40">
        <v>0</v>
      </c>
      <c r="M138" s="15">
        <f t="shared" ref="M138" si="595">N138*O138</f>
        <v>0</v>
      </c>
      <c r="N138" s="32">
        <v>0</v>
      </c>
      <c r="O138" s="40">
        <v>0</v>
      </c>
      <c r="P138" s="15">
        <f t="shared" si="577"/>
        <v>23563.674049157275</v>
      </c>
      <c r="Q138" s="32">
        <v>3.7968717000000001</v>
      </c>
      <c r="R138" s="40">
        <v>6206.0759253880697</v>
      </c>
      <c r="S138" s="15">
        <f t="shared" ref="S138" si="596">(((1+1.35%)^(1/252))-1)*D137+SUM(S137)</f>
        <v>3900.0649360942652</v>
      </c>
      <c r="T138" s="15">
        <f>IF((NETWORKDAYS(DATE(YEAR(C138),MONTH(C138),1),C138,Feriados!$A$2:$A$842))&gt;=5,0,IF(NETWORKDAYS(DATE(YEAR(C138),MONTH(C138),1),C138,Feriados!$A$2:$A$842)=1,S137,T137))</f>
        <v>0</v>
      </c>
      <c r="U138" s="26">
        <v>0</v>
      </c>
      <c r="V138" s="26">
        <v>0</v>
      </c>
      <c r="W138" s="15">
        <f t="shared" ref="W138" si="597">SUM(G138+J138+M138+P138)</f>
        <v>8391173.0153702982</v>
      </c>
      <c r="X138" s="50">
        <f>'Fluxo de Caixa_'!AD144</f>
        <v>0</v>
      </c>
      <c r="AB138" s="26">
        <v>7111.3050000000003</v>
      </c>
      <c r="AC138" s="26">
        <v>0</v>
      </c>
      <c r="AD138">
        <f>SUMIFS([1]Master!$J$2:$J$100,[1]Master!$A$2:$A$100,"="&amp;$I$12,[1]Master!$E$2:$E$100,"="&amp;C138,[1]Master!$J$2:$J$100,"&gt;"&amp;0)</f>
        <v>0</v>
      </c>
      <c r="AE138">
        <f ca="1">-SUMIF('[1]Fluxo de Movimentações'!$A$5:$F$10001,"="&amp;$C138,'[1]Fluxo de Movimentações'!$H$5:$H$10001)</f>
        <v>0</v>
      </c>
      <c r="AF138" s="26">
        <v>0</v>
      </c>
      <c r="AG138" s="26">
        <v>29.35</v>
      </c>
      <c r="AH138" s="26">
        <v>0</v>
      </c>
      <c r="AI138" s="26">
        <v>0</v>
      </c>
      <c r="AJ138" s="26">
        <v>0</v>
      </c>
      <c r="AK138" s="68">
        <v>3.8320599</v>
      </c>
      <c r="AL138" s="15">
        <f>-SUMIFS([1]Master!$J$1:$J$200,[1]Master!$A$1:$A$200,"="&amp;$I$12,[1]Master!$G$1:$G$200,"&gt;"&amp;C138,[1]Master!$E$1:$E$200,"&lt;="&amp;C138)</f>
        <v>0</v>
      </c>
      <c r="AM138" s="26">
        <v>0</v>
      </c>
      <c r="AN138" s="26">
        <v>0</v>
      </c>
    </row>
    <row r="139" spans="3:40">
      <c r="C139" s="1">
        <v>45061</v>
      </c>
      <c r="D139" s="39">
        <v>8446623.7034000009</v>
      </c>
      <c r="E139" s="32">
        <v>3.8558938</v>
      </c>
      <c r="F139" s="88">
        <f t="shared" ref="F139" si="598">D139/TRUNC(E139,6)</f>
        <v>2190575.2320927996</v>
      </c>
      <c r="G139" s="15">
        <f t="shared" ref="G139" si="599">H139*I139</f>
        <v>8420295.4451862145</v>
      </c>
      <c r="H139" s="32">
        <v>0.94867579999999996</v>
      </c>
      <c r="I139" s="15">
        <f>SUMIFS([1]Master!$K$2:$K$10000,[1]Master!$A$2:$A$10000,$I$12,[1]Master!$F$2:$F$10000,"&lt;="&amp;$C139)</f>
        <v>8875840.8775539696</v>
      </c>
      <c r="J139" s="15">
        <f t="shared" ref="J139" si="600">K139*L139</f>
        <v>0</v>
      </c>
      <c r="K139" s="43">
        <v>0</v>
      </c>
      <c r="L139" s="40">
        <v>0</v>
      </c>
      <c r="M139" s="15">
        <f t="shared" ref="M139:M140" si="601">N139*O139</f>
        <v>0</v>
      </c>
      <c r="N139" s="32">
        <v>0</v>
      </c>
      <c r="O139" s="40">
        <v>0</v>
      </c>
      <c r="P139" s="15">
        <f t="shared" si="577"/>
        <v>23577.324313155164</v>
      </c>
      <c r="Q139" s="32">
        <v>3.7990712000000002</v>
      </c>
      <c r="R139" s="40">
        <v>6206.0759253880697</v>
      </c>
      <c r="S139" s="15">
        <f t="shared" ref="S139" si="602">(((1+1.35%)^(1/252))-1)*D138+SUM(S138)</f>
        <v>4346.7691184798432</v>
      </c>
      <c r="T139" s="15">
        <f>IF((NETWORKDAYS(DATE(YEAR(C139),MONTH(C139),1),C139,Feriados!$A$2:$A$842))&gt;=5,0,IF(NETWORKDAYS(DATE(YEAR(C139),MONTH(C139),1),C139,Feriados!$A$2:$A$842)=1,S138,T138))</f>
        <v>0</v>
      </c>
      <c r="U139" s="26">
        <v>0</v>
      </c>
      <c r="V139" s="26">
        <v>0</v>
      </c>
      <c r="W139" s="15">
        <f t="shared" ref="W139" si="603">SUM(G139+J139+M139+P139)</f>
        <v>8443872.769499369</v>
      </c>
      <c r="X139" s="50">
        <f>'Fluxo de Caixa_'!AD145</f>
        <v>0</v>
      </c>
      <c r="AB139" s="26">
        <v>7068.3033999999998</v>
      </c>
      <c r="AC139" s="26">
        <v>0</v>
      </c>
      <c r="AD139">
        <f>SUMIFS([1]Master!$J$2:$J$100,[1]Master!$A$2:$A$100,"="&amp;$I$12,[1]Master!$E$2:$E$100,"="&amp;C139,[1]Master!$J$2:$J$100,"&gt;"&amp;0)</f>
        <v>0</v>
      </c>
      <c r="AE139">
        <f ca="1">-SUMIF('[1]Fluxo de Movimentações'!$A$5:$F$10001,"="&amp;$C139,'[1]Fluxo de Movimentações'!$H$5:$H$10001)</f>
        <v>0</v>
      </c>
      <c r="AF139" s="26">
        <v>0</v>
      </c>
      <c r="AG139" s="26">
        <v>29.35</v>
      </c>
      <c r="AH139" s="26">
        <v>0</v>
      </c>
      <c r="AI139" s="26">
        <v>0</v>
      </c>
      <c r="AJ139" s="26">
        <v>0</v>
      </c>
      <c r="AK139" s="68">
        <v>3.8558938</v>
      </c>
      <c r="AL139" s="15">
        <f>-SUMIFS([1]Master!$J$1:$J$200,[1]Master!$A$1:$A$200,"="&amp;$I$12,[1]Master!$G$1:$G$200,"&gt;"&amp;C139,[1]Master!$E$1:$E$200,"&lt;="&amp;C139)</f>
        <v>0</v>
      </c>
      <c r="AM139" s="26">
        <v>0</v>
      </c>
      <c r="AN139" s="26">
        <v>0</v>
      </c>
    </row>
    <row r="140" spans="3:40">
      <c r="C140" s="1">
        <v>45062</v>
      </c>
      <c r="D140" s="39">
        <v>8315947.6458000001</v>
      </c>
      <c r="E140" s="32">
        <v>3.7962400999999999</v>
      </c>
      <c r="F140" s="88">
        <f t="shared" ref="F140" si="604">D140/TRUNC(E140,6)</f>
        <v>2190574.7913198322</v>
      </c>
      <c r="G140" s="15">
        <f t="shared" ref="G140" si="605">H140*I140</f>
        <v>8290093.0726011116</v>
      </c>
      <c r="H140" s="32">
        <v>0.93400649999999996</v>
      </c>
      <c r="I140" s="15">
        <f>SUMIFS([1]Master!$K$2:$K$10000,[1]Master!$A$2:$A$10000,$I$12,[1]Master!$F$2:$F$10000,"&lt;="&amp;$C140)</f>
        <v>8875840.8775539696</v>
      </c>
      <c r="J140" s="15">
        <f t="shared" ref="J140" si="606">K140*L140</f>
        <v>0</v>
      </c>
      <c r="K140" s="43">
        <v>0</v>
      </c>
      <c r="L140" s="40">
        <v>0</v>
      </c>
      <c r="M140" s="15">
        <f t="shared" si="601"/>
        <v>0</v>
      </c>
      <c r="N140" s="32">
        <v>0</v>
      </c>
      <c r="O140" s="40">
        <v>0</v>
      </c>
      <c r="P140" s="15">
        <f t="shared" si="577"/>
        <v>23589.216395843392</v>
      </c>
      <c r="Q140" s="32">
        <v>3.8009873999999999</v>
      </c>
      <c r="R140" s="40">
        <v>6206.0759253880697</v>
      </c>
      <c r="S140" s="15">
        <f t="shared" ref="S140" si="607">(((1+1.35%)^(1/252))-1)*D139+SUM(S139)</f>
        <v>4796.2516303523107</v>
      </c>
      <c r="T140" s="15">
        <f>IF((NETWORKDAYS(DATE(YEAR(C140),MONTH(C140),1),C140,Feriados!$A$2:$A$842))&gt;=5,0,IF(NETWORKDAYS(DATE(YEAR(C140),MONTH(C140),1),C140,Feriados!$A$2:$A$842)=1,S139,T139))</f>
        <v>0</v>
      </c>
      <c r="U140" s="26">
        <v>0</v>
      </c>
      <c r="V140" s="26">
        <v>0</v>
      </c>
      <c r="W140" s="15">
        <f t="shared" ref="W140" si="608">SUM(G140+J140+M140+P140)</f>
        <v>8313682.2889969554</v>
      </c>
      <c r="X140" s="50">
        <f>'Fluxo de Caixa_'!AD146</f>
        <v>0</v>
      </c>
      <c r="AB140" s="26">
        <v>7032.2057999999997</v>
      </c>
      <c r="AC140" s="26">
        <v>0</v>
      </c>
      <c r="AD140">
        <f>SUMIFS([1]Master!$J$2:$J$100,[1]Master!$A$2:$A$100,"="&amp;$I$12,[1]Master!$E$2:$E$100,"="&amp;C140,[1]Master!$J$2:$J$100,"&gt;"&amp;0)</f>
        <v>0</v>
      </c>
      <c r="AE140">
        <f ca="1">-SUMIF('[1]Fluxo de Movimentações'!$A$5:$F$10001,"="&amp;$C140,'[1]Fluxo de Movimentações'!$H$5:$H$10001)</f>
        <v>0</v>
      </c>
      <c r="AF140" s="26">
        <v>0</v>
      </c>
      <c r="AG140" s="26">
        <v>29.35</v>
      </c>
      <c r="AH140" s="26">
        <v>0</v>
      </c>
      <c r="AI140" s="26">
        <v>0</v>
      </c>
      <c r="AJ140" s="26">
        <v>0</v>
      </c>
      <c r="AK140" s="68">
        <v>3.7962400999999999</v>
      </c>
      <c r="AL140" s="15">
        <f>-SUMIFS([1]Master!$J$1:$J$200,[1]Master!$A$1:$A$200,"="&amp;$I$12,[1]Master!$G$1:$G$200,"&gt;"&amp;C140,[1]Master!$E$1:$E$200,"&lt;="&amp;C140)</f>
        <v>0</v>
      </c>
      <c r="AM140" s="26">
        <v>0</v>
      </c>
      <c r="AN140" s="26">
        <v>0</v>
      </c>
    </row>
    <row r="141" spans="3:40">
      <c r="C141" s="1">
        <v>45063</v>
      </c>
      <c r="D141" s="39">
        <v>8405391.4282000009</v>
      </c>
      <c r="E141" s="32">
        <v>3.8370712999999999</v>
      </c>
      <c r="F141" s="88">
        <f t="shared" ref="F141" si="609">D141/TRUNC(E141,6)</f>
        <v>2190574.9015850895</v>
      </c>
      <c r="G141" s="15">
        <f t="shared" ref="G141" si="610">H141*I141</f>
        <v>8380004.4531066455</v>
      </c>
      <c r="H141" s="32">
        <v>0.94413639999999999</v>
      </c>
      <c r="I141" s="15">
        <f>SUMIFS([1]Master!$K$2:$K$10000,[1]Master!$A$2:$A$10000,$I$12,[1]Master!$F$2:$F$10000,"&lt;="&amp;$C141)</f>
        <v>8875840.8775539696</v>
      </c>
      <c r="J141" s="15">
        <f t="shared" ref="J141" si="611">K141*L141</f>
        <v>0</v>
      </c>
      <c r="K141" s="43">
        <v>0</v>
      </c>
      <c r="L141" s="40">
        <v>0</v>
      </c>
      <c r="M141" s="15">
        <f t="shared" ref="M141" si="612">N141*O141</f>
        <v>0</v>
      </c>
      <c r="N141" s="32">
        <v>0</v>
      </c>
      <c r="O141" s="40">
        <v>0</v>
      </c>
      <c r="P141" s="15">
        <f t="shared" si="577"/>
        <v>23600.235904256511</v>
      </c>
      <c r="Q141" s="32">
        <v>3.8027630000000001</v>
      </c>
      <c r="R141" s="40">
        <v>6206.0759253880697</v>
      </c>
      <c r="S141" s="15">
        <f t="shared" ref="S141" si="613">(((1+1.35%)^(1/252))-1)*D140+SUM(S140)</f>
        <v>5238.7802864980222</v>
      </c>
      <c r="T141" s="15">
        <f>IF((NETWORKDAYS(DATE(YEAR(C141),MONTH(C141),1),C141,Feriados!$A$2:$A$842))&gt;=5,0,IF(NETWORKDAYS(DATE(YEAR(C141),MONTH(C141),1),C141,Feriados!$A$2:$A$842)=1,S140,T140))</f>
        <v>0</v>
      </c>
      <c r="U141" s="26">
        <v>0</v>
      </c>
      <c r="V141" s="26">
        <v>0</v>
      </c>
      <c r="W141" s="15">
        <f t="shared" ref="W141" si="614">SUM(G141+J141+M141+P141)</f>
        <v>8403604.6890109014</v>
      </c>
      <c r="X141" s="50">
        <f>'Fluxo de Caixa_'!AD147</f>
        <v>0</v>
      </c>
      <c r="AB141" s="26">
        <v>6996.1081999999997</v>
      </c>
      <c r="AC141" s="26">
        <v>0</v>
      </c>
      <c r="AD141">
        <f>SUMIFS([1]Master!$J$2:$J$100,[1]Master!$A$2:$A$100,"="&amp;$I$12,[1]Master!$E$2:$E$100,"="&amp;C141,[1]Master!$J$2:$J$100,"&gt;"&amp;0)</f>
        <v>0</v>
      </c>
      <c r="AE141">
        <f ca="1">-SUMIF('[1]Fluxo de Movimentações'!$A$5:$F$10001,"="&amp;$C141,'[1]Fluxo de Movimentações'!$H$5:$H$10001)</f>
        <v>0</v>
      </c>
      <c r="AF141" s="26">
        <v>0</v>
      </c>
      <c r="AG141" s="26">
        <v>29.35</v>
      </c>
      <c r="AH141" s="26">
        <v>0</v>
      </c>
      <c r="AI141" s="26">
        <v>0</v>
      </c>
      <c r="AJ141" s="26">
        <v>0</v>
      </c>
      <c r="AK141" s="68">
        <v>3.8370712999999999</v>
      </c>
      <c r="AL141" s="15">
        <f>-SUMIFS([1]Master!$J$1:$J$200,[1]Master!$A$1:$A$200,"="&amp;$I$12,[1]Master!$G$1:$G$200,"&gt;"&amp;C141,[1]Master!$E$1:$E$200,"&lt;="&amp;C141)</f>
        <v>0</v>
      </c>
      <c r="AM141" s="26">
        <v>0</v>
      </c>
      <c r="AN141" s="26">
        <v>0</v>
      </c>
    </row>
    <row r="142" spans="3:40">
      <c r="C142" s="1">
        <v>45064</v>
      </c>
      <c r="D142" s="39">
        <v>8477281.7405999992</v>
      </c>
      <c r="E142" s="32">
        <v>3.8698893000000001</v>
      </c>
      <c r="F142" s="88">
        <f t="shared" ref="F142" si="615">D142/TRUNC(E142,6)</f>
        <v>2190574.9081175192</v>
      </c>
      <c r="G142" s="15">
        <f t="shared" ref="G142" si="616">H142*I142</f>
        <v>8452366.5210290793</v>
      </c>
      <c r="H142" s="32">
        <v>0.9522891</v>
      </c>
      <c r="I142" s="15">
        <f>SUMIFS([1]Master!$K$2:$K$10000,[1]Master!$A$2:$A$10000,$I$12,[1]Master!$F$2:$F$10000,"&lt;="&amp;$C142)</f>
        <v>8875840.8775539696</v>
      </c>
      <c r="J142" s="15">
        <f t="shared" ref="J142" si="617">K142*L142</f>
        <v>0</v>
      </c>
      <c r="K142" s="43">
        <v>0</v>
      </c>
      <c r="L142" s="40">
        <v>0</v>
      </c>
      <c r="M142" s="15">
        <f t="shared" ref="M142" si="618">N142*O142</f>
        <v>0</v>
      </c>
      <c r="N142" s="32">
        <v>0</v>
      </c>
      <c r="O142" s="40">
        <v>0</v>
      </c>
      <c r="P142" s="15">
        <f t="shared" si="577"/>
        <v>23611.85616081921</v>
      </c>
      <c r="Q142" s="32">
        <v>3.8046354</v>
      </c>
      <c r="R142" s="40">
        <v>6206.0759253880697</v>
      </c>
      <c r="S142" s="15">
        <f t="shared" ref="S142" si="619">(((1+1.35%)^(1/252))-1)*D141+SUM(S141)</f>
        <v>5686.0686451469182</v>
      </c>
      <c r="T142" s="15">
        <f>IF((NETWORKDAYS(DATE(YEAR(C142),MONTH(C142),1),C142,Feriados!$A$2:$A$842))&gt;=5,0,IF(NETWORKDAYS(DATE(YEAR(C142),MONTH(C142),1),C142,Feriados!$A$2:$A$842)=1,S141,T141))</f>
        <v>0</v>
      </c>
      <c r="U142" s="26">
        <v>0</v>
      </c>
      <c r="V142" s="26">
        <v>0</v>
      </c>
      <c r="W142" s="15">
        <f t="shared" ref="W142" si="620">SUM(G142+J142+M142+P142)</f>
        <v>8475978.3771898989</v>
      </c>
      <c r="X142" s="50">
        <f>'Fluxo de Caixa_'!AD148</f>
        <v>0</v>
      </c>
      <c r="AB142" s="26">
        <v>6960.0105999999996</v>
      </c>
      <c r="AC142" s="26">
        <v>0</v>
      </c>
      <c r="AD142">
        <f>SUMIFS([1]Master!$J$2:$J$100,[1]Master!$A$2:$A$100,"="&amp;$I$12,[1]Master!$E$2:$E$100,"="&amp;C142,[1]Master!$J$2:$J$100,"&gt;"&amp;0)</f>
        <v>0</v>
      </c>
      <c r="AE142">
        <f ca="1">-SUMIF('[1]Fluxo de Movimentações'!$A$5:$F$10001,"="&amp;$C142,'[1]Fluxo de Movimentações'!$H$5:$H$10001)</f>
        <v>0</v>
      </c>
      <c r="AF142" s="26">
        <v>0</v>
      </c>
      <c r="AG142" s="26">
        <v>29.35</v>
      </c>
      <c r="AH142" s="26">
        <v>0</v>
      </c>
      <c r="AI142" s="26">
        <v>0</v>
      </c>
      <c r="AJ142" s="26">
        <v>0</v>
      </c>
      <c r="AK142" s="68">
        <v>3.8698893000000001</v>
      </c>
      <c r="AL142" s="15">
        <f>-SUMIFS([1]Master!$J$1:$J$200,[1]Master!$A$1:$A$200,"="&amp;$I$12,[1]Master!$G$1:$G$200,"&gt;"&amp;C142,[1]Master!$E$1:$E$200,"&lt;="&amp;C142)</f>
        <v>0</v>
      </c>
      <c r="AM142" s="26">
        <v>0</v>
      </c>
      <c r="AN142" s="26">
        <v>0</v>
      </c>
    </row>
    <row r="143" spans="3:40">
      <c r="C143" s="1">
        <v>45065</v>
      </c>
      <c r="D143" s="39">
        <v>8538890.0130000003</v>
      </c>
      <c r="E143" s="32">
        <v>3.8980134999999998</v>
      </c>
      <c r="F143" s="88">
        <f t="shared" ref="F143" si="621">D143/TRUNC(E143,6)</f>
        <v>2190575.0475947619</v>
      </c>
      <c r="G143" s="15">
        <f t="shared" ref="G143" si="622">H143*I143</f>
        <v>8514449.4776312187</v>
      </c>
      <c r="H143" s="32">
        <v>0.95928369999999996</v>
      </c>
      <c r="I143" s="15">
        <f>SUMIFS([1]Master!$K$2:$K$10000,[1]Master!$A$2:$A$10000,$I$12,[1]Master!$F$2:$F$10000,"&lt;="&amp;$C143)</f>
        <v>8875840.8775539696</v>
      </c>
      <c r="J143" s="15">
        <f t="shared" ref="J143" si="623">K143*L143</f>
        <v>0</v>
      </c>
      <c r="K143" s="43">
        <v>0</v>
      </c>
      <c r="L143" s="40">
        <v>0</v>
      </c>
      <c r="M143" s="15">
        <f t="shared" ref="M143" si="624">N143*O143</f>
        <v>0</v>
      </c>
      <c r="N143" s="32">
        <v>0</v>
      </c>
      <c r="O143" s="40">
        <v>0</v>
      </c>
      <c r="P143" s="15">
        <f t="shared" si="577"/>
        <v>23624.378780821455</v>
      </c>
      <c r="Q143" s="32">
        <v>3.8066532</v>
      </c>
      <c r="R143" s="40">
        <v>6206.0759253880697</v>
      </c>
      <c r="S143" s="15">
        <f t="shared" ref="S143" si="625">(((1+1.35%)^(1/252))-1)*D142+SUM(S142)</f>
        <v>6137.182607887049</v>
      </c>
      <c r="T143" s="15">
        <f>IF((NETWORKDAYS(DATE(YEAR(C143),MONTH(C143),1),C143,Feriados!$A$2:$A$842))&gt;=5,0,IF(NETWORKDAYS(DATE(YEAR(C143),MONTH(C143),1),C143,Feriados!$A$2:$A$842)=1,S142,T142))</f>
        <v>0</v>
      </c>
      <c r="U143" s="26">
        <v>0</v>
      </c>
      <c r="V143" s="26">
        <v>0</v>
      </c>
      <c r="W143" s="15">
        <f t="shared" ref="W143" si="626">SUM(G143+J143+M143+P143)</f>
        <v>8538073.8564120401</v>
      </c>
      <c r="X143" s="50">
        <f>'Fluxo de Caixa_'!AD149</f>
        <v>0</v>
      </c>
      <c r="AB143" s="26">
        <v>6923.9129999999996</v>
      </c>
      <c r="AC143" s="26">
        <v>0</v>
      </c>
      <c r="AD143">
        <f>SUMIFS([1]Master!$J$2:$J$100,[1]Master!$A$2:$A$100,"="&amp;$I$12,[1]Master!$E$2:$E$100,"="&amp;C143,[1]Master!$J$2:$J$100,"&gt;"&amp;0)</f>
        <v>0</v>
      </c>
      <c r="AE143">
        <f ca="1">-SUMIF('[1]Fluxo de Movimentações'!$A$5:$F$10001,"="&amp;$C143,'[1]Fluxo de Movimentações'!$H$5:$H$10001)</f>
        <v>0</v>
      </c>
      <c r="AF143" s="26">
        <v>0</v>
      </c>
      <c r="AG143" s="26">
        <v>29.35</v>
      </c>
      <c r="AH143" s="26">
        <v>0</v>
      </c>
      <c r="AI143" s="26">
        <v>0</v>
      </c>
      <c r="AJ143" s="26">
        <v>0</v>
      </c>
      <c r="AK143" s="68">
        <v>3.8980134999999998</v>
      </c>
      <c r="AL143" s="15">
        <f>-SUMIFS([1]Master!$J$1:$J$200,[1]Master!$A$1:$A$200,"="&amp;$I$12,[1]Master!$G$1:$G$200,"&gt;"&amp;C143,[1]Master!$E$1:$E$200,"&lt;="&amp;C143)</f>
        <v>0</v>
      </c>
      <c r="AM143" s="26">
        <v>0</v>
      </c>
      <c r="AN143" s="26">
        <v>0</v>
      </c>
    </row>
    <row r="144" spans="3:40">
      <c r="C144" s="1">
        <v>45068</v>
      </c>
      <c r="D144" s="39">
        <v>8537946.2753999997</v>
      </c>
      <c r="E144" s="32">
        <v>3.8975827000000001</v>
      </c>
      <c r="F144" s="88">
        <f t="shared" ref="F144" si="627">D144/TRUNC(E144,6)</f>
        <v>2190575.1502854847</v>
      </c>
      <c r="G144" s="15">
        <f t="shared" ref="G144" si="628">H144*I144</f>
        <v>8513986.1587374099</v>
      </c>
      <c r="H144" s="32">
        <v>0.95923150000000001</v>
      </c>
      <c r="I144" s="15">
        <f>SUMIFS([1]Master!$K$2:$K$10000,[1]Master!$A$2:$A$10000,$I$12,[1]Master!$F$2:$F$10000,"&lt;="&amp;$C144)</f>
        <v>8875840.8775539696</v>
      </c>
      <c r="J144" s="15">
        <f t="shared" ref="J144" si="629">K144*L144</f>
        <v>0</v>
      </c>
      <c r="K144" s="43">
        <v>0</v>
      </c>
      <c r="L144" s="40">
        <v>0</v>
      </c>
      <c r="M144" s="15">
        <f t="shared" ref="M144:M145" si="630">N144*O144</f>
        <v>0</v>
      </c>
      <c r="N144" s="32">
        <v>0</v>
      </c>
      <c r="O144" s="40">
        <v>0</v>
      </c>
      <c r="P144" s="15">
        <f>R144*Q144</f>
        <v>23634.446277187621</v>
      </c>
      <c r="Q144" s="32">
        <v>3.8082753999999999</v>
      </c>
      <c r="R144" s="40">
        <v>6206.0759253880697</v>
      </c>
      <c r="S144" s="15">
        <f t="shared" ref="S144" si="631">(((1+1.35%)^(1/252))-1)*D143+SUM(S143)</f>
        <v>6591.5750215210355</v>
      </c>
      <c r="T144" s="15">
        <f>IF((NETWORKDAYS(DATE(YEAR(C144),MONTH(C144),1),C144,Feriados!$A$2:$A$842))&gt;=5,0,IF(NETWORKDAYS(DATE(YEAR(C144),MONTH(C144),1),C144,Feriados!$A$2:$A$842)=1,S143,T143))</f>
        <v>0</v>
      </c>
      <c r="U144" s="26">
        <v>0</v>
      </c>
      <c r="V144" s="26">
        <v>0</v>
      </c>
      <c r="W144" s="15">
        <f t="shared" ref="W144" si="632">SUM(G144+J144+M144+P144)</f>
        <v>8537620.605014598</v>
      </c>
      <c r="X144" s="50">
        <f>'Fluxo de Caixa_'!AD150</f>
        <v>0</v>
      </c>
      <c r="AB144" s="26">
        <v>6887.8154000000004</v>
      </c>
      <c r="AC144" s="26">
        <v>0</v>
      </c>
      <c r="AD144">
        <f>SUMIFS([1]Master!$J$2:$J$100,[1]Master!$A$2:$A$100,"="&amp;$I$12,[1]Master!$E$2:$E$100,"="&amp;C144,[1]Master!$J$2:$J$100,"&gt;"&amp;0)</f>
        <v>0</v>
      </c>
      <c r="AE144">
        <f ca="1">-SUMIF('[1]Fluxo de Movimentações'!$A$5:$F$10001,"="&amp;$C144,'[1]Fluxo de Movimentações'!$H$5:$H$10001)</f>
        <v>0</v>
      </c>
      <c r="AF144" s="26">
        <v>0</v>
      </c>
      <c r="AG144" s="26">
        <v>29.35</v>
      </c>
      <c r="AH144" s="26">
        <v>0</v>
      </c>
      <c r="AI144" s="26">
        <v>0</v>
      </c>
      <c r="AJ144" s="26">
        <v>0</v>
      </c>
      <c r="AK144" s="68">
        <v>3.8975827000000001</v>
      </c>
      <c r="AL144" s="15">
        <f>-SUMIFS([1]Master!$J$1:$J$200,[1]Master!$A$1:$A$200,"="&amp;$I$12,[1]Master!$G$1:$G$200,"&gt;"&amp;C144,[1]Master!$E$1:$E$200,"&lt;="&amp;C144)</f>
        <v>0</v>
      </c>
      <c r="AM144" s="26">
        <v>0</v>
      </c>
      <c r="AN144" s="26">
        <v>0</v>
      </c>
    </row>
    <row r="145" spans="3:40">
      <c r="C145" s="1">
        <v>45069</v>
      </c>
      <c r="D145" s="39">
        <v>8543204.7378000002</v>
      </c>
      <c r="E145" s="32">
        <v>3.8999831999999999</v>
      </c>
      <c r="F145" s="88">
        <f t="shared" ref="F145" si="633">D145/TRUNC(E145,6)</f>
        <v>2190574.866044288</v>
      </c>
      <c r="G145" s="15">
        <f t="shared" ref="G145" si="634">H145*I145</f>
        <v>8519723.5022806618</v>
      </c>
      <c r="H145" s="32">
        <v>0.95987789999999995</v>
      </c>
      <c r="I145" s="15">
        <f>SUMIFS([1]Master!$K$2:$K$10000,[1]Master!$A$2:$A$10000,$I$12,[1]Master!$F$2:$F$10000,"&lt;="&amp;$C145)</f>
        <v>8875840.8775539696</v>
      </c>
      <c r="J145" s="15">
        <f t="shared" ref="J145" si="635">K145*L145</f>
        <v>0</v>
      </c>
      <c r="K145" s="43">
        <v>0</v>
      </c>
      <c r="L145" s="40">
        <v>0</v>
      </c>
      <c r="M145" s="15">
        <f t="shared" si="630"/>
        <v>0</v>
      </c>
      <c r="N145" s="32">
        <v>0</v>
      </c>
      <c r="O145" s="40">
        <v>0</v>
      </c>
      <c r="P145" s="15">
        <f>R145*Q145</f>
        <v>23646.008817244212</v>
      </c>
      <c r="Q145" s="32">
        <v>3.8101384999999999</v>
      </c>
      <c r="R145" s="40">
        <v>6206.0759253880697</v>
      </c>
      <c r="S145" s="15">
        <f t="shared" ref="S145" si="636">(((1+1.35%)^(1/252))-1)*D144+SUM(S144)</f>
        <v>7045.9172146690744</v>
      </c>
      <c r="T145" s="15">
        <f>IF((NETWORKDAYS(DATE(YEAR(C145),MONTH(C145),1),C145,Feriados!$A$2:$A$842))&gt;=5,0,IF(NETWORKDAYS(DATE(YEAR(C145),MONTH(C145),1),C145,Feriados!$A$2:$A$842)=1,S144,T144))</f>
        <v>0</v>
      </c>
      <c r="U145" s="26">
        <v>0</v>
      </c>
      <c r="V145" s="26">
        <v>0</v>
      </c>
      <c r="W145" s="15">
        <f t="shared" ref="W145" si="637">SUM(G145+J145+M145+P145)</f>
        <v>8543369.5110979062</v>
      </c>
      <c r="X145" s="50">
        <f>'Fluxo de Caixa_'!AD151</f>
        <v>0</v>
      </c>
      <c r="AB145" s="26">
        <v>6851.7178000000004</v>
      </c>
      <c r="AC145" s="26">
        <v>0</v>
      </c>
      <c r="AD145">
        <f>SUMIFS([1]Master!$J$2:$J$100,[1]Master!$A$2:$A$100,"="&amp;$I$12,[1]Master!$E$2:$E$100,"="&amp;C145,[1]Master!$J$2:$J$100,"&gt;"&amp;0)</f>
        <v>0</v>
      </c>
      <c r="AE145">
        <f ca="1">-SUMIF('[1]Fluxo de Movimentações'!$A$5:$F$10001,"="&amp;$C145,'[1]Fluxo de Movimentações'!$H$5:$H$10001)</f>
        <v>0</v>
      </c>
      <c r="AF145" s="26">
        <v>0</v>
      </c>
      <c r="AG145" s="26">
        <v>29.35</v>
      </c>
      <c r="AH145" s="26">
        <v>0</v>
      </c>
      <c r="AI145" s="26">
        <v>0</v>
      </c>
      <c r="AJ145" s="26">
        <v>0</v>
      </c>
      <c r="AK145" s="68">
        <v>3.8999831999999999</v>
      </c>
      <c r="AL145" s="15">
        <f>-SUMIFS([1]Master!$J$1:$J$200,[1]Master!$A$1:$A$200,"="&amp;$I$12,[1]Master!$G$1:$G$200,"&gt;"&amp;C145,[1]Master!$E$1:$E$200,"&lt;="&amp;C145)</f>
        <v>0</v>
      </c>
      <c r="AM145" s="26">
        <v>0</v>
      </c>
      <c r="AN145" s="26">
        <v>0</v>
      </c>
    </row>
    <row r="146" spans="3:40">
      <c r="C146" s="1">
        <v>45070</v>
      </c>
      <c r="D146" s="39">
        <v>8551510.7002000008</v>
      </c>
      <c r="E146" s="32">
        <v>3.9037749000000002</v>
      </c>
      <c r="F146" s="88">
        <f t="shared" ref="F146" si="638">D146/TRUNC(E146,6)</f>
        <v>2190575.2485159235</v>
      </c>
      <c r="G146" s="15">
        <f t="shared" ref="G146" si="639">H146*I146</f>
        <v>8528507.9219971765</v>
      </c>
      <c r="H146" s="32">
        <v>0.96086760000000004</v>
      </c>
      <c r="I146" s="15">
        <f>SUMIFS([1]Master!$K$2:$K$10000,[1]Master!$A$2:$A$10000,$I$12,[1]Master!$F$2:$F$10000,"&lt;="&amp;$C146)</f>
        <v>8875840.8775539696</v>
      </c>
      <c r="J146" s="15">
        <f t="shared" ref="J146" si="640">K146*L146</f>
        <v>0</v>
      </c>
      <c r="K146" s="43">
        <v>0</v>
      </c>
      <c r="L146" s="40">
        <v>0</v>
      </c>
      <c r="M146" s="15">
        <f t="shared" ref="M146" si="641">N146*O146</f>
        <v>0</v>
      </c>
      <c r="N146" s="32">
        <v>0</v>
      </c>
      <c r="O146" s="40">
        <v>0</v>
      </c>
      <c r="P146" s="15">
        <f t="shared" ref="P146:P151" si="642">Q146*R146</f>
        <v>23658.267679019631</v>
      </c>
      <c r="Q146" s="32">
        <v>3.8121138000000001</v>
      </c>
      <c r="R146" s="40">
        <v>6206.0759253880697</v>
      </c>
      <c r="S146" s="15">
        <f t="shared" ref="S146" si="643">(((1+1.35%)^(1/252))-1)*D145+SUM(S145)</f>
        <v>7500.5392340495982</v>
      </c>
      <c r="T146" s="15">
        <f>IF((NETWORKDAYS(DATE(YEAR(C146),MONTH(C146),1),C146,Feriados!$A$2:$A$842))&gt;=5,0,IF(NETWORKDAYS(DATE(YEAR(C146),MONTH(C146),1),C146,Feriados!$A$2:$A$842)=1,S145,T145))</f>
        <v>0</v>
      </c>
      <c r="U146" s="26">
        <v>0</v>
      </c>
      <c r="V146" s="26">
        <v>0</v>
      </c>
      <c r="W146" s="15">
        <f t="shared" ref="W146" si="644">SUM(G146+J146+M146+P146)</f>
        <v>8552166.1896761954</v>
      </c>
      <c r="X146" s="50">
        <f>'Fluxo de Caixa_'!AD152</f>
        <v>0</v>
      </c>
      <c r="AB146" s="26">
        <v>6815.6202000000003</v>
      </c>
      <c r="AC146" s="26">
        <v>0</v>
      </c>
      <c r="AD146">
        <f>SUMIFS([1]Master!$J$2:$J$100,[1]Master!$A$2:$A$100,"="&amp;$I$12,[1]Master!$E$2:$E$100,"="&amp;C146,[1]Master!$J$2:$J$100,"&gt;"&amp;0)</f>
        <v>0</v>
      </c>
      <c r="AE146">
        <f ca="1">-SUMIF('[1]Fluxo de Movimentações'!$A$5:$F$10001,"="&amp;$C146,'[1]Fluxo de Movimentações'!$H$5:$H$10001)</f>
        <v>0</v>
      </c>
      <c r="AF146" s="26">
        <v>0</v>
      </c>
      <c r="AG146" s="26">
        <v>29.35</v>
      </c>
      <c r="AH146" s="26">
        <v>0</v>
      </c>
      <c r="AI146" s="26">
        <v>0</v>
      </c>
      <c r="AJ146" s="26">
        <v>0</v>
      </c>
      <c r="AK146" s="68">
        <v>3.9037749000000002</v>
      </c>
      <c r="AL146" s="15">
        <f>-SUMIFS([1]Master!$J$1:$J$200,[1]Master!$A$1:$A$200,"="&amp;$I$12,[1]Master!$G$1:$G$200,"&gt;"&amp;C146,[1]Master!$E$1:$E$200,"&lt;="&amp;C146)</f>
        <v>0</v>
      </c>
      <c r="AM146" s="26">
        <v>0</v>
      </c>
      <c r="AN146" s="26">
        <v>0</v>
      </c>
    </row>
    <row r="147" spans="3:40">
      <c r="C147" s="1">
        <v>45071</v>
      </c>
      <c r="D147" s="39">
        <v>8713182.3026000001</v>
      </c>
      <c r="E147" s="32">
        <v>3.9775782</v>
      </c>
      <c r="F147" s="88">
        <f t="shared" ref="F147" si="645">D147/TRUNC(E147,6)</f>
        <v>2190574.8429320557</v>
      </c>
      <c r="G147" s="15">
        <f t="shared" ref="G147" si="646">H147*I147</f>
        <v>8690658.8838210348</v>
      </c>
      <c r="H147" s="32">
        <v>0.97913640000000002</v>
      </c>
      <c r="I147" s="15">
        <f>SUMIFS([1]Master!$K$2:$K$10000,[1]Master!$A$2:$A$10000,$I$12,[1]Master!$F$2:$F$10000,"&lt;="&amp;$C147)</f>
        <v>8875840.8775539696</v>
      </c>
      <c r="J147" s="15">
        <f t="shared" ref="J147" si="647">K147*L147</f>
        <v>0</v>
      </c>
      <c r="K147" s="43">
        <v>0</v>
      </c>
      <c r="L147" s="40">
        <v>0</v>
      </c>
      <c r="M147" s="15">
        <f t="shared" ref="M147" si="648">N147*O147</f>
        <v>0</v>
      </c>
      <c r="N147" s="32">
        <v>0</v>
      </c>
      <c r="O147" s="40">
        <v>0</v>
      </c>
      <c r="P147" s="15">
        <f t="shared" si="642"/>
        <v>23670.070394214534</v>
      </c>
      <c r="Q147" s="32">
        <v>3.8140155999999998</v>
      </c>
      <c r="R147" s="40">
        <v>6206.0759253880697</v>
      </c>
      <c r="S147" s="15">
        <f t="shared" ref="S147" si="649">(((1+1.35%)^(1/252))-1)*D146+SUM(S146)</f>
        <v>7955.6032507268137</v>
      </c>
      <c r="T147" s="15">
        <f>IF((NETWORKDAYS(DATE(YEAR(C147),MONTH(C147),1),C147,Feriados!$A$2:$A$842))&gt;=5,0,IF(NETWORKDAYS(DATE(YEAR(C147),MONTH(C147),1),C147,Feriados!$A$2:$A$842)=1,S146,T146))</f>
        <v>0</v>
      </c>
      <c r="U147" s="26">
        <v>0</v>
      </c>
      <c r="V147" s="26">
        <v>0</v>
      </c>
      <c r="W147" s="15">
        <f t="shared" ref="W147" si="650">SUM(G147+J147+M147+P147)</f>
        <v>8714328.954215249</v>
      </c>
      <c r="X147" s="50">
        <f>'Fluxo de Caixa_'!AD153</f>
        <v>0</v>
      </c>
      <c r="AB147" s="26">
        <v>6779.5226000000002</v>
      </c>
      <c r="AC147" s="26">
        <v>0</v>
      </c>
      <c r="AD147">
        <f>SUMIFS([1]Master!$J$2:$J$100,[1]Master!$A$2:$A$100,"="&amp;$I$12,[1]Master!$E$2:$E$100,"="&amp;C147,[1]Master!$J$2:$J$100,"&gt;"&amp;0)</f>
        <v>0</v>
      </c>
      <c r="AE147">
        <f ca="1">-SUMIF('[1]Fluxo de Movimentações'!$A$5:$F$10001,"="&amp;$C147,'[1]Fluxo de Movimentações'!$H$5:$H$10001)</f>
        <v>0</v>
      </c>
      <c r="AF147" s="26">
        <v>0</v>
      </c>
      <c r="AG147" s="26">
        <v>29.35</v>
      </c>
      <c r="AH147" s="26">
        <v>0</v>
      </c>
      <c r="AI147" s="26">
        <v>0</v>
      </c>
      <c r="AJ147" s="26">
        <v>0</v>
      </c>
      <c r="AK147" s="68">
        <v>3.9775782</v>
      </c>
      <c r="AL147" s="15">
        <f>-SUMIFS([1]Master!$J$1:$J$200,[1]Master!$A$1:$A$200,"="&amp;$I$12,[1]Master!$G$1:$G$200,"&gt;"&amp;C147,[1]Master!$E$1:$E$200,"&lt;="&amp;C147)</f>
        <v>0</v>
      </c>
      <c r="AM147" s="26">
        <v>0</v>
      </c>
      <c r="AN147" s="26">
        <v>0</v>
      </c>
    </row>
    <row r="148" spans="3:40">
      <c r="C148" s="1">
        <v>45072</v>
      </c>
      <c r="D148" s="39">
        <v>8719670.3149999995</v>
      </c>
      <c r="E148" s="32">
        <v>3.98054</v>
      </c>
      <c r="F148" s="88">
        <f t="shared" ref="F148" si="651">D148/TRUNC(E148,6)</f>
        <v>2190574.7247860841</v>
      </c>
      <c r="G148" s="15">
        <f t="shared" ref="G148" si="652">H148*I148</f>
        <v>8697633.5195826162</v>
      </c>
      <c r="H148" s="32">
        <v>0.97992219999999997</v>
      </c>
      <c r="I148" s="15">
        <f>SUMIFS([1]Master!$K$2:$K$10000,[1]Master!$A$2:$A$10000,$I$12,[1]Master!$F$2:$F$10000,"&lt;="&amp;$C148)</f>
        <v>8875840.8775539696</v>
      </c>
      <c r="J148" s="15">
        <f t="shared" ref="J148" si="653">K148*L148</f>
        <v>0</v>
      </c>
      <c r="K148" s="43">
        <v>0</v>
      </c>
      <c r="L148" s="40">
        <v>0</v>
      </c>
      <c r="M148" s="15">
        <f t="shared" ref="M148" si="654">N148*O148</f>
        <v>0</v>
      </c>
      <c r="N148" s="32">
        <v>0</v>
      </c>
      <c r="O148" s="40">
        <v>0</v>
      </c>
      <c r="P148" s="15">
        <f t="shared" si="642"/>
        <v>23683.196865404323</v>
      </c>
      <c r="Q148" s="32">
        <v>3.8161307</v>
      </c>
      <c r="R148" s="40">
        <v>6206.0759253880697</v>
      </c>
      <c r="S148" s="15">
        <f t="shared" ref="S148" si="655">(((1+1.35%)^(1/252))-1)*D147+SUM(S147)</f>
        <v>8419.270534282834</v>
      </c>
      <c r="T148" s="15">
        <f>IF((NETWORKDAYS(DATE(YEAR(C148),MONTH(C148),1),C148,Feriados!$A$2:$A$842))&gt;=5,0,IF(NETWORKDAYS(DATE(YEAR(C148),MONTH(C148),1),C148,Feriados!$A$2:$A$842)=1,S147,T147))</f>
        <v>0</v>
      </c>
      <c r="U148" s="26">
        <v>0</v>
      </c>
      <c r="V148" s="26">
        <v>0</v>
      </c>
      <c r="W148" s="15">
        <f t="shared" ref="W148:W153" si="656">SUM(G148+J148+M148+P148)</f>
        <v>8721316.7164480202</v>
      </c>
      <c r="X148" s="50">
        <f>'Fluxo de Caixa_'!AD154</f>
        <v>0</v>
      </c>
      <c r="AB148" s="26">
        <v>6743.4250000000002</v>
      </c>
      <c r="AC148" s="26">
        <v>0</v>
      </c>
      <c r="AD148">
        <f>SUMIFS([1]Master!$J$2:$J$100,[1]Master!$A$2:$A$100,"="&amp;$I$12,[1]Master!$E$2:$E$100,"="&amp;C148,[1]Master!$J$2:$J$100,"&gt;"&amp;0)</f>
        <v>0</v>
      </c>
      <c r="AE148">
        <f ca="1">-SUMIF('[1]Fluxo de Movimentações'!$A$5:$F$10001,"="&amp;$C148,'[1]Fluxo de Movimentações'!$H$5:$H$10001)</f>
        <v>0</v>
      </c>
      <c r="AF148" s="26">
        <v>0</v>
      </c>
      <c r="AG148" s="26">
        <v>29.35</v>
      </c>
      <c r="AH148" s="26">
        <v>0</v>
      </c>
      <c r="AI148" s="26">
        <v>0</v>
      </c>
      <c r="AJ148" s="26">
        <v>0</v>
      </c>
      <c r="AK148" s="68">
        <v>3.98054</v>
      </c>
      <c r="AL148" s="15">
        <f>-SUMIFS([1]Master!$J$1:$J$200,[1]Master!$A$1:$A$200,"="&amp;$I$12,[1]Master!$G$1:$G$200,"&gt;"&amp;C148,[1]Master!$E$1:$E$200,"&lt;="&amp;C148)</f>
        <v>0</v>
      </c>
      <c r="AM148" s="26">
        <v>0</v>
      </c>
      <c r="AN148" s="26">
        <v>0</v>
      </c>
    </row>
    <row r="149" spans="3:40">
      <c r="C149" s="1">
        <v>45075</v>
      </c>
      <c r="D149" s="39">
        <v>8655461.0673999991</v>
      </c>
      <c r="E149" s="32">
        <v>3.9512284000000002</v>
      </c>
      <c r="F149" s="88">
        <f t="shared" ref="F149" si="657">D149/TRUNC(E149,6)</f>
        <v>2190574.9471809776</v>
      </c>
      <c r="G149" s="15">
        <f t="shared" ref="G149" si="658">H149*I149</f>
        <v>8633912.0827544816</v>
      </c>
      <c r="H149" s="32">
        <v>0.97274300000000002</v>
      </c>
      <c r="I149" s="15">
        <f>SUMIFS([1]Master!$K$2:$K$10000,[1]Master!$A$2:$A$10000,$I$12,[1]Master!$F$2:$F$10000,"&lt;="&amp;$C149)</f>
        <v>8875840.8775539696</v>
      </c>
      <c r="J149" s="15">
        <f t="shared" ref="J149" si="659">K149*L149</f>
        <v>0</v>
      </c>
      <c r="K149" s="43">
        <v>0</v>
      </c>
      <c r="L149" s="40">
        <v>0</v>
      </c>
      <c r="M149" s="15">
        <f t="shared" ref="M149:M150" si="660">N149*O149</f>
        <v>0</v>
      </c>
      <c r="N149" s="32">
        <v>0</v>
      </c>
      <c r="O149" s="40">
        <v>0</v>
      </c>
      <c r="P149" s="15">
        <f t="shared" si="642"/>
        <v>23724.848547144782</v>
      </c>
      <c r="Q149" s="32">
        <v>3.8181129</v>
      </c>
      <c r="R149" s="40">
        <v>6213.7629683880696</v>
      </c>
      <c r="S149" s="15">
        <f t="shared" ref="S149" si="661">(((1+1.35%)^(1/252))-1)*D148+SUM(S148)</f>
        <v>8883.2830739095662</v>
      </c>
      <c r="T149" s="15">
        <f>IF((NETWORKDAYS(DATE(YEAR(C149),MONTH(C149),1),C149,Feriados!$A$2:$A$842))&gt;=5,0,IF(NETWORKDAYS(DATE(YEAR(C149),MONTH(C149),1),C149,Feriados!$A$2:$A$842)=1,S148,T148))</f>
        <v>0</v>
      </c>
      <c r="U149" s="26">
        <v>0</v>
      </c>
      <c r="V149" s="26">
        <v>0</v>
      </c>
      <c r="W149" s="15">
        <f t="shared" si="656"/>
        <v>8657636.9313016254</v>
      </c>
      <c r="X149" s="50">
        <f>'Fluxo de Caixa_'!AD155</f>
        <v>1.9588456687813505E-6</v>
      </c>
      <c r="AB149" s="26">
        <v>6707.3274000000001</v>
      </c>
      <c r="AC149" s="26">
        <v>0</v>
      </c>
      <c r="AD149">
        <f>SUMIFS([1]Master!$J$2:$J$100,[1]Master!$A$2:$A$100,"="&amp;$I$12,[1]Master!$E$2:$E$100,"="&amp;C149,[1]Master!$J$2:$J$100,"&gt;"&amp;0)</f>
        <v>0</v>
      </c>
      <c r="AE149">
        <f ca="1">-SUMIF('[1]Fluxo de Movimentações'!$A$5:$F$10001,"="&amp;$C149,'[1]Fluxo de Movimentações'!$H$5:$H$10001)</f>
        <v>0</v>
      </c>
      <c r="AF149" s="26">
        <v>0</v>
      </c>
      <c r="AG149" s="26">
        <v>0</v>
      </c>
      <c r="AH149" s="26">
        <v>0</v>
      </c>
      <c r="AI149" s="26">
        <v>0</v>
      </c>
      <c r="AJ149" s="26">
        <v>0</v>
      </c>
      <c r="AK149" s="68">
        <v>3.9512284000000002</v>
      </c>
      <c r="AL149" s="15">
        <f>-SUMIFS([1]Master!$J$1:$J$200,[1]Master!$A$1:$A$200,"="&amp;$I$12,[1]Master!$G$1:$G$200,"&gt;"&amp;C149,[1]Master!$E$1:$E$200,"&lt;="&amp;C149)</f>
        <v>0</v>
      </c>
      <c r="AM149" s="26">
        <v>0</v>
      </c>
      <c r="AN149" s="26">
        <v>0</v>
      </c>
    </row>
    <row r="150" spans="3:40">
      <c r="C150" s="1">
        <v>45076</v>
      </c>
      <c r="D150" s="39">
        <v>8561918.4198000003</v>
      </c>
      <c r="E150" s="32">
        <v>3.9085260000000002</v>
      </c>
      <c r="F150" s="88">
        <f t="shared" ref="F150" si="662">D150/TRUNC(E150,6)</f>
        <v>2190574.7639391422</v>
      </c>
      <c r="G150" s="15">
        <f t="shared" ref="G150" si="663">H150*I150</f>
        <v>8540854.2166578546</v>
      </c>
      <c r="H150" s="32">
        <v>0.96225859999999996</v>
      </c>
      <c r="I150" s="15">
        <f>SUMIFS([1]Master!$K$2:$K$10000,[1]Master!$A$2:$A$10000,$I$12,[1]Master!$F$2:$F$10000,"&lt;="&amp;$C150)</f>
        <v>8875840.8775539696</v>
      </c>
      <c r="J150" s="15">
        <f t="shared" ref="J150" si="664">K150*L150</f>
        <v>0</v>
      </c>
      <c r="K150" s="43">
        <v>0</v>
      </c>
      <c r="L150" s="40">
        <v>0</v>
      </c>
      <c r="M150" s="15">
        <f t="shared" si="660"/>
        <v>0</v>
      </c>
      <c r="N150" s="32">
        <v>0</v>
      </c>
      <c r="O150" s="40">
        <v>0</v>
      </c>
      <c r="P150" s="15">
        <f t="shared" si="642"/>
        <v>23736.752252863324</v>
      </c>
      <c r="Q150" s="32">
        <v>3.8200286000000001</v>
      </c>
      <c r="R150" s="40">
        <v>6213.7629683880696</v>
      </c>
      <c r="S150" s="15">
        <f t="shared" ref="S150" si="665">(((1+1.35%)^(1/252))-1)*D149+SUM(S149)</f>
        <v>9343.8787531539583</v>
      </c>
      <c r="T150" s="15">
        <f>IF((NETWORKDAYS(DATE(YEAR(C150),MONTH(C150),1),C150,Feriados!$A$2:$A$842))&gt;=5,0,IF(NETWORKDAYS(DATE(YEAR(C150),MONTH(C150),1),C150,Feriados!$A$2:$A$842)=1,S149,T149))</f>
        <v>0</v>
      </c>
      <c r="U150" s="26">
        <v>0</v>
      </c>
      <c r="V150" s="26">
        <v>0</v>
      </c>
      <c r="W150" s="15">
        <f t="shared" si="656"/>
        <v>8564590.9689107183</v>
      </c>
      <c r="X150" s="50">
        <f>'Fluxo de Caixa_'!AD156</f>
        <v>0</v>
      </c>
      <c r="AB150" s="26">
        <v>6671.2298000000001</v>
      </c>
      <c r="AC150" s="26">
        <v>0</v>
      </c>
      <c r="AD150">
        <f>SUMIFS([1]Master!$J$2:$J$100,[1]Master!$A$2:$A$100,"="&amp;$I$12,[1]Master!$E$2:$E$100,"="&amp;C150,[1]Master!$J$2:$J$100,"&gt;"&amp;0)</f>
        <v>0</v>
      </c>
      <c r="AE150">
        <f ca="1">-SUMIF('[1]Fluxo de Movimentações'!$A$5:$F$10001,"="&amp;$C150,'[1]Fluxo de Movimentações'!$H$5:$H$10001)</f>
        <v>0</v>
      </c>
      <c r="AF150" s="26">
        <v>0</v>
      </c>
      <c r="AG150" s="26">
        <v>0</v>
      </c>
      <c r="AH150" s="26">
        <v>0</v>
      </c>
      <c r="AI150" s="26">
        <v>0</v>
      </c>
      <c r="AJ150" s="26">
        <v>0</v>
      </c>
      <c r="AK150" s="68">
        <v>3.9085260000000002</v>
      </c>
      <c r="AL150" s="15">
        <f>-SUMIFS([1]Master!$J$1:$J$200,[1]Master!$A$1:$A$200,"="&amp;$I$12,[1]Master!$G$1:$G$200,"&gt;"&amp;C150,[1]Master!$E$1:$E$200,"&lt;="&amp;C150)</f>
        <v>0</v>
      </c>
      <c r="AM150" s="26">
        <v>0</v>
      </c>
      <c r="AN150" s="26">
        <v>0</v>
      </c>
    </row>
    <row r="151" spans="3:40">
      <c r="C151" s="1">
        <v>45077</v>
      </c>
      <c r="D151" s="39">
        <v>8554113.5421999991</v>
      </c>
      <c r="E151" s="32">
        <v>3.9049630999999998</v>
      </c>
      <c r="F151" s="88">
        <f t="shared" ref="F151" si="666">D151/TRUNC(E151,6)</f>
        <v>2190574.7998636602</v>
      </c>
      <c r="G151" s="15">
        <f t="shared" ref="G151" si="667">H151*I151</f>
        <v>8533528.9851816092</v>
      </c>
      <c r="H151" s="32">
        <v>0.96143330000000005</v>
      </c>
      <c r="I151" s="15">
        <f>SUMIFS([1]Master!$K$2:$K$10000,[1]Master!$A$2:$A$10000,$I$12,[1]Master!$F$2:$F$10000,"&lt;="&amp;$C151)</f>
        <v>8875840.8775539696</v>
      </c>
      <c r="J151" s="15">
        <f t="shared" ref="J151" si="668">K151*L151</f>
        <v>0</v>
      </c>
      <c r="K151" s="43">
        <v>0</v>
      </c>
      <c r="L151" s="40">
        <v>0</v>
      </c>
      <c r="M151" s="15">
        <f t="shared" ref="M151" si="669">N151*O151</f>
        <v>0</v>
      </c>
      <c r="N151" s="32">
        <v>0</v>
      </c>
      <c r="O151" s="40">
        <v>0</v>
      </c>
      <c r="P151" s="15">
        <f t="shared" si="642"/>
        <v>23748.819380547931</v>
      </c>
      <c r="Q151" s="32">
        <v>3.8219706000000002</v>
      </c>
      <c r="R151" s="40">
        <v>6213.7629683880696</v>
      </c>
      <c r="S151" s="15">
        <f t="shared" ref="S151" si="670">(((1+1.35%)^(1/252))-1)*D150+SUM(S150)</f>
        <v>9799.4966110004898</v>
      </c>
      <c r="T151" s="15">
        <f>IF((NETWORKDAYS(DATE(YEAR(C151),MONTH(C151),1),C151,Feriados!$A$2:$A$842))&gt;=5,0,IF(NETWORKDAYS(DATE(YEAR(C151),MONTH(C151),1),C151,Feriados!$A$2:$A$842)=1,S150,T150))</f>
        <v>0</v>
      </c>
      <c r="U151" s="26">
        <v>0</v>
      </c>
      <c r="V151" s="26">
        <v>0</v>
      </c>
      <c r="W151" s="15">
        <f t="shared" si="656"/>
        <v>8557277.804562157</v>
      </c>
      <c r="X151" s="50">
        <f>'Fluxo de Caixa_'!AD157</f>
        <v>0</v>
      </c>
      <c r="AB151" s="26">
        <v>6635.1322</v>
      </c>
      <c r="AC151" s="26">
        <v>0</v>
      </c>
      <c r="AD151">
        <f>SUMIFS([1]Master!$J$2:$J$100,[1]Master!$A$2:$A$100,"="&amp;$I$12,[1]Master!$E$2:$E$100,"="&amp;C151,[1]Master!$J$2:$J$100,"&gt;"&amp;0)</f>
        <v>50000</v>
      </c>
      <c r="AE151">
        <v>-50000</v>
      </c>
      <c r="AF151" s="26">
        <v>0</v>
      </c>
      <c r="AG151" s="26">
        <v>0</v>
      </c>
      <c r="AH151" s="26">
        <v>0</v>
      </c>
      <c r="AI151" s="26">
        <v>0</v>
      </c>
      <c r="AJ151" s="26">
        <v>0</v>
      </c>
      <c r="AK151" s="68">
        <v>3.9049630999999998</v>
      </c>
      <c r="AL151" s="15">
        <f>-SUMIFS([1]Master!$J$1:$J$200,[1]Master!$A$1:$A$200,"="&amp;$I$12,[1]Master!$G$1:$G$200,"&gt;"&amp;C151,[1]Master!$E$1:$E$200,"&lt;="&amp;C151)</f>
        <v>0</v>
      </c>
      <c r="AM151" s="26">
        <v>50000</v>
      </c>
      <c r="AN151" s="26">
        <v>0</v>
      </c>
    </row>
    <row r="152" spans="3:40">
      <c r="C152" s="1">
        <v>45078</v>
      </c>
      <c r="D152" s="39">
        <v>8784202.2221000008</v>
      </c>
      <c r="E152" s="32">
        <v>3.9871737999999999</v>
      </c>
      <c r="F152" s="88">
        <f t="shared" ref="F152:F153" si="671">D152/TRUNC(E152,6)</f>
        <v>2203115.3958205478</v>
      </c>
      <c r="G152" s="15">
        <f t="shared" ref="G152:G153" si="672">H152*I152</f>
        <v>8764096.4292423036</v>
      </c>
      <c r="H152" s="32">
        <v>0.98177700000000001</v>
      </c>
      <c r="I152" s="15">
        <f>SUMIFS([1]Master!$K$2:$K$10000,[1]Master!$A$2:$A$10000,$I$12,[1]Master!$F$2:$F$10000,"&lt;="&amp;$C152)</f>
        <v>8926768.9396291655</v>
      </c>
      <c r="J152" s="15">
        <f t="shared" ref="J152" si="673">K152*L152</f>
        <v>0</v>
      </c>
      <c r="K152" s="43">
        <v>0</v>
      </c>
      <c r="L152" s="40">
        <v>0</v>
      </c>
      <c r="M152" s="15">
        <f t="shared" ref="M152:M154" si="674">N152*O152</f>
        <v>0</v>
      </c>
      <c r="N152" s="32">
        <v>0</v>
      </c>
      <c r="O152" s="40">
        <v>0</v>
      </c>
      <c r="P152" s="15">
        <f t="shared" ref="P152:P157" si="675">R152*Q152</f>
        <v>23761.361239723326</v>
      </c>
      <c r="Q152" s="32">
        <v>3.8239890000000001</v>
      </c>
      <c r="R152" s="40">
        <v>6213.7629683880696</v>
      </c>
      <c r="S152" s="15">
        <f>(((1+1.35%)^(1/252))-1)*D151</f>
        <v>455.20252550645256</v>
      </c>
      <c r="T152" s="15">
        <f>IF((NETWORKDAYS(DATE(YEAR(C152),MONTH(C152),1),C152,Feriados!$A$2:$A$842))&gt;=5,0,IF(NETWORKDAYS(DATE(YEAR(C152),MONTH(C152),1),C152,Feriados!$A$2:$A$842)=1,S151,T151))</f>
        <v>9799.4966110004898</v>
      </c>
      <c r="U152" s="26">
        <v>0</v>
      </c>
      <c r="V152" s="26">
        <v>0</v>
      </c>
      <c r="W152" s="15">
        <f t="shared" si="656"/>
        <v>8787857.7904820275</v>
      </c>
      <c r="X152" s="50">
        <f>'Fluxo de Caixa_'!AD158</f>
        <v>0</v>
      </c>
      <c r="AB152" s="26">
        <v>6599.0221000000001</v>
      </c>
      <c r="AC152" s="26">
        <v>0</v>
      </c>
      <c r="AD152">
        <f>SUMIFS([1]Master!$J$2:$J$100,[1]Master!$A$2:$A$100,"="&amp;$I$12,[1]Master!$E$2:$E$100,"="&amp;C152,[1]Master!$J$2:$J$100,"&gt;"&amp;0)</f>
        <v>0</v>
      </c>
      <c r="AE152">
        <f ca="1">-SUMIF('[1]Fluxo de Movimentações'!$A$5:$F$10001,"="&amp;$C152,'[1]Fluxo de Movimentações'!$H$5:$H$10001)</f>
        <v>-50000</v>
      </c>
      <c r="AF152" s="26">
        <v>0</v>
      </c>
      <c r="AG152" s="26">
        <v>0</v>
      </c>
      <c r="AH152" s="26">
        <v>0</v>
      </c>
      <c r="AI152" s="26">
        <v>0</v>
      </c>
      <c r="AJ152" s="26">
        <v>0</v>
      </c>
      <c r="AK152" s="68">
        <v>3.9871737999999999</v>
      </c>
      <c r="AL152" s="15">
        <f>-SUMIFS([1]Master!$J$1:$J$200,[1]Master!$A$1:$A$200,"="&amp;$I$12,[1]Master!$G$1:$G$200,"&gt;"&amp;C152,[1]Master!$E$1:$E$200,"&lt;="&amp;C152)</f>
        <v>0</v>
      </c>
      <c r="AM152" s="26">
        <v>0</v>
      </c>
      <c r="AN152" s="26">
        <v>0</v>
      </c>
    </row>
    <row r="153" spans="3:40">
      <c r="C153" s="1">
        <v>45079</v>
      </c>
      <c r="D153" s="39">
        <v>8876977.3585000001</v>
      </c>
      <c r="E153" s="32">
        <v>4.0292846999999998</v>
      </c>
      <c r="F153" s="88">
        <f t="shared" si="671"/>
        <v>2203115.3322773976</v>
      </c>
      <c r="G153" s="15">
        <f t="shared" si="672"/>
        <v>8847416.8717371859</v>
      </c>
      <c r="H153" s="32">
        <v>0.99223099999999997</v>
      </c>
      <c r="I153" s="15">
        <f>SUMIFS([1]Master!$K$2:$K$10000,[1]Master!$A$2:$A$10000,$I$12,[1]Master!$F$2:$F$10000,"&lt;="&amp;$C153)</f>
        <v>8916690.6413296759</v>
      </c>
      <c r="J153" s="15">
        <f t="shared" ref="J153" si="676">K153*L153</f>
        <v>0</v>
      </c>
      <c r="K153" s="43">
        <v>0</v>
      </c>
      <c r="L153" s="40">
        <v>0</v>
      </c>
      <c r="M153" s="15">
        <f t="shared" si="674"/>
        <v>0</v>
      </c>
      <c r="N153" s="32">
        <v>0</v>
      </c>
      <c r="O153" s="40">
        <v>0</v>
      </c>
      <c r="P153" s="15">
        <f t="shared" si="675"/>
        <v>23773.709229494107</v>
      </c>
      <c r="Q153" s="32">
        <v>3.8259761999999999</v>
      </c>
      <c r="R153" s="40">
        <v>6213.7629683880696</v>
      </c>
      <c r="S153" s="15">
        <f t="shared" ref="S153:S158" si="677">(((1+1.35%)^(1/252))-1)*D152 +SUM(S152)</f>
        <v>922.64909566630229</v>
      </c>
      <c r="T153" s="15">
        <f>IF((NETWORKDAYS(DATE(YEAR(C153),MONTH(C153),1),C153,Feriados!$A$2:$A$842))&gt;=5,0,IF(NETWORKDAYS(DATE(YEAR(C153),MONTH(C153),1),C153,Feriados!$A$2:$A$842)=1,S152,T152))</f>
        <v>9799.4966110004898</v>
      </c>
      <c r="U153" s="26">
        <v>0</v>
      </c>
      <c r="V153" s="26">
        <v>0</v>
      </c>
      <c r="W153" s="15">
        <f t="shared" si="656"/>
        <v>8871190.5809666794</v>
      </c>
      <c r="X153" s="50">
        <f>'Fluxo de Caixa_'!AD159</f>
        <v>0</v>
      </c>
      <c r="AB153" s="26">
        <v>6569.9485000000004</v>
      </c>
      <c r="AC153" s="26">
        <v>0</v>
      </c>
      <c r="AD153">
        <f>SUMIFS([1]Master!$J$2:$J$100,[1]Master!$A$2:$A$100,"="&amp;$I$12,[1]Master!$E$2:$E$100,"="&amp;C153,[1]Master!$J$2:$J$100,"&gt;"&amp;0)</f>
        <v>0</v>
      </c>
      <c r="AE153">
        <f ca="1">-SUMIF('[1]Fluxo de Movimentações'!$A$5:$F$10001,"="&amp;$C153,'[1]Fluxo de Movimentações'!$H$5:$H$10001)</f>
        <v>0</v>
      </c>
      <c r="AF153" s="26">
        <v>0</v>
      </c>
      <c r="AG153" s="26">
        <v>0</v>
      </c>
      <c r="AH153" s="26">
        <v>0</v>
      </c>
      <c r="AI153" s="26">
        <v>0</v>
      </c>
      <c r="AJ153" s="26">
        <v>-61.142046435992199</v>
      </c>
      <c r="AK153" s="68">
        <v>4.0293124000000002</v>
      </c>
      <c r="AL153" s="15">
        <f>-SUMIFS([1]Master!$J$1:$J$200,[1]Master!$A$1:$A$200,"="&amp;$I$12,[1]Master!$G$1:$G$200,"&gt;"&amp;C153,[1]Master!$E$1:$E$200,"&lt;="&amp;C153)</f>
        <v>10000</v>
      </c>
      <c r="AM153" s="26">
        <v>0</v>
      </c>
      <c r="AN153" s="26">
        <v>0</v>
      </c>
    </row>
    <row r="154" spans="3:40">
      <c r="C154" s="1">
        <v>45082</v>
      </c>
      <c r="D154" s="39">
        <v>8864311.7049000002</v>
      </c>
      <c r="E154" s="32">
        <v>4.0235357</v>
      </c>
      <c r="F154" s="88">
        <f t="shared" ref="F154" si="678">D154/TRUNC(E154,6)</f>
        <v>2203115.3463061713</v>
      </c>
      <c r="G154" s="15">
        <f t="shared" ref="G154" si="679">H154*I154</f>
        <v>8835229.5389686152</v>
      </c>
      <c r="H154" s="32">
        <v>0.99086419999999997</v>
      </c>
      <c r="I154" s="15">
        <f>SUMIFS([1]Master!$K$2:$K$10000,[1]Master!$A$2:$A$10000,$I$12,[1]Master!$F$2:$F$10000,"&lt;="&amp;$C154)</f>
        <v>8916690.6413296759</v>
      </c>
      <c r="J154" s="15">
        <f t="shared" ref="J154" si="680">K154*L154</f>
        <v>0</v>
      </c>
      <c r="K154" s="43">
        <v>0</v>
      </c>
      <c r="L154" s="40">
        <v>0</v>
      </c>
      <c r="M154" s="15">
        <f t="shared" si="674"/>
        <v>0</v>
      </c>
      <c r="N154" s="32">
        <v>0</v>
      </c>
      <c r="O154" s="40">
        <v>0</v>
      </c>
      <c r="P154" s="15">
        <f t="shared" si="675"/>
        <v>23785.935429510708</v>
      </c>
      <c r="Q154" s="32">
        <v>3.8279437999999999</v>
      </c>
      <c r="R154" s="40">
        <v>6213.7629683880696</v>
      </c>
      <c r="S154" s="15">
        <f t="shared" si="677"/>
        <v>1395.032644530625</v>
      </c>
      <c r="T154" s="15">
        <f>IF((NETWORKDAYS(DATE(YEAR(C154),MONTH(C154),1),C154,Feriados!$A$2:$A$842))&gt;=5,0,IF(NETWORKDAYS(DATE(YEAR(C154),MONTH(C154),1),C154,Feriados!$A$2:$A$842)=1,S153,T153))</f>
        <v>9799.4966110004898</v>
      </c>
      <c r="U154" s="26">
        <v>0</v>
      </c>
      <c r="V154" s="26">
        <v>0</v>
      </c>
      <c r="W154" s="15">
        <f t="shared" ref="W154" si="681">SUM(G154+J154+M154+P154)</f>
        <v>8859015.4743981268</v>
      </c>
      <c r="X154" s="50">
        <f>'Fluxo de Caixa_'!AD160</f>
        <v>0</v>
      </c>
      <c r="AB154" s="26">
        <v>6540.8748999999998</v>
      </c>
      <c r="AC154" s="26">
        <v>0</v>
      </c>
      <c r="AD154">
        <f>SUMIFS([1]Master!$J$2:$J$100,[1]Master!$A$2:$A$100,"="&amp;$I$12,[1]Master!$E$2:$E$100,"="&amp;C154,[1]Master!$J$2:$J$100,"&gt;"&amp;0)</f>
        <v>0</v>
      </c>
      <c r="AE154">
        <f ca="1">-SUMIF('[1]Fluxo de Movimentações'!$A$5:$F$10001,"="&amp;$C154,'[1]Fluxo de Movimentações'!$H$5:$H$10001)</f>
        <v>0</v>
      </c>
      <c r="AF154" s="26">
        <v>0</v>
      </c>
      <c r="AG154" s="26">
        <v>0</v>
      </c>
      <c r="AH154" s="26">
        <v>0</v>
      </c>
      <c r="AI154" s="26">
        <v>0</v>
      </c>
      <c r="AJ154" s="26">
        <v>-50.226394196766698</v>
      </c>
      <c r="AK154" s="68">
        <v>4.0235585</v>
      </c>
      <c r="AL154" s="15">
        <f>-SUMIFS([1]Master!$J$1:$J$200,[1]Master!$A$1:$A$200,"="&amp;$I$12,[1]Master!$G$1:$G$200,"&gt;"&amp;C154,[1]Master!$E$1:$E$200,"&lt;="&amp;C154)</f>
        <v>10000</v>
      </c>
      <c r="AM154" s="26">
        <v>0</v>
      </c>
      <c r="AN154" s="26">
        <v>0</v>
      </c>
    </row>
    <row r="155" spans="3:40">
      <c r="C155" s="1">
        <v>45083</v>
      </c>
      <c r="D155" s="39">
        <v>9155399.1113000009</v>
      </c>
      <c r="E155" s="32">
        <v>4.1556610999999997</v>
      </c>
      <c r="F155" s="88">
        <f t="shared" ref="F155" si="682">D155/TRUNC(E155,6)</f>
        <v>2203115.0065657427</v>
      </c>
      <c r="G155" s="15">
        <f t="shared" ref="G155" si="683">H155*I155</f>
        <v>9127002.3818032704</v>
      </c>
      <c r="H155" s="32">
        <v>1.0235863000000001</v>
      </c>
      <c r="I155" s="15">
        <f>SUMIFS([1]Master!$K$2:$K$10000,[1]Master!$A$2:$A$10000,$I$12,[1]Master!$F$2:$F$10000,"&lt;="&amp;$C155)</f>
        <v>8916690.6413296759</v>
      </c>
      <c r="J155" s="15">
        <f t="shared" ref="J155" si="684">K155*L155</f>
        <v>0</v>
      </c>
      <c r="K155" s="43">
        <v>0</v>
      </c>
      <c r="L155" s="40">
        <v>0</v>
      </c>
      <c r="M155" s="15">
        <f t="shared" ref="M155" si="685">N155*O155</f>
        <v>0</v>
      </c>
      <c r="N155" s="32">
        <v>0</v>
      </c>
      <c r="O155" s="40">
        <v>0</v>
      </c>
      <c r="P155" s="15">
        <f t="shared" si="675"/>
        <v>33797.963411989673</v>
      </c>
      <c r="Q155" s="32">
        <v>3.8298795000000001</v>
      </c>
      <c r="R155" s="40">
        <v>8824.8111753880694</v>
      </c>
      <c r="S155" s="15">
        <f t="shared" si="677"/>
        <v>1866.7421974890638</v>
      </c>
      <c r="T155" s="15">
        <f>IF((NETWORKDAYS(DATE(YEAR(C155),MONTH(C155),1),C155,Feriados!$A$2:$A$842))&gt;=5,0,IF(NETWORKDAYS(DATE(YEAR(C155),MONTH(C155),1),C155,Feriados!$A$2:$A$842)=1,S154,T154))</f>
        <v>9799.4966110004898</v>
      </c>
      <c r="U155" s="26">
        <v>0</v>
      </c>
      <c r="V155" s="26">
        <v>0</v>
      </c>
      <c r="W155" s="15">
        <f t="shared" ref="W155" si="686">SUM(G155+J155+M155+P155)</f>
        <v>9160800.345215261</v>
      </c>
      <c r="X155" s="50">
        <f>'Fluxo de Caixa_'!AD161</f>
        <v>-1.5010555216576904E-6</v>
      </c>
      <c r="AB155" s="26">
        <v>6511.8013000000001</v>
      </c>
      <c r="AC155" s="26">
        <v>0</v>
      </c>
      <c r="AD155">
        <f>SUMIFS([1]Master!$J$2:$J$100,[1]Master!$A$2:$A$100,"="&amp;$I$12,[1]Master!$E$2:$E$100,"="&amp;C155,[1]Master!$J$2:$J$100,"&gt;"&amp;0)</f>
        <v>0</v>
      </c>
      <c r="AE155">
        <f ca="1">-SUMIF('[1]Fluxo de Movimentações'!$A$5:$F$10001,"="&amp;$C155,'[1]Fluxo de Movimentações'!$H$5:$H$10001)</f>
        <v>0</v>
      </c>
      <c r="AF155" s="26">
        <v>0</v>
      </c>
      <c r="AG155" s="26">
        <v>0</v>
      </c>
      <c r="AH155" s="26">
        <v>0</v>
      </c>
      <c r="AI155" s="26">
        <v>0</v>
      </c>
      <c r="AJ155" s="26">
        <v>-247.997083336191</v>
      </c>
      <c r="AK155" s="68">
        <v>4.1557731999999996</v>
      </c>
      <c r="AL155" s="15">
        <f>-SUMIFS([1]Master!$J$1:$J$200,[1]Master!$A$1:$A$200,"="&amp;$I$12,[1]Master!$G$1:$G$200,"&gt;"&amp;C155,[1]Master!$E$1:$E$200,"&lt;="&amp;C155)</f>
        <v>0</v>
      </c>
      <c r="AM155" s="26">
        <v>0</v>
      </c>
      <c r="AN155" s="26">
        <v>0</v>
      </c>
    </row>
    <row r="156" spans="3:40">
      <c r="C156" s="1">
        <v>45084</v>
      </c>
      <c r="D156" s="39">
        <v>9230940.3776999991</v>
      </c>
      <c r="E156" s="32">
        <v>4.1899495</v>
      </c>
      <c r="F156" s="88">
        <f t="shared" ref="F156:F161" si="687">D156/TRUNC(E156,6)</f>
        <v>2203115.211593267</v>
      </c>
      <c r="G156" s="15">
        <f t="shared" ref="G156" si="688">H156*I156</f>
        <v>9203093.8530601226</v>
      </c>
      <c r="H156" s="32">
        <v>1.0321199000000001</v>
      </c>
      <c r="I156" s="15">
        <f>SUMIFS([1]Master!$K$2:$K$10000,[1]Master!$A$2:$A$10000,$I$12,[1]Master!$F$2:$F$10000,"&lt;="&amp;$C156)</f>
        <v>8916690.6413296759</v>
      </c>
      <c r="J156" s="15">
        <f t="shared" ref="J156" si="689">K156*L156</f>
        <v>0</v>
      </c>
      <c r="K156" s="43">
        <v>0</v>
      </c>
      <c r="L156" s="40">
        <v>0</v>
      </c>
      <c r="M156" s="15">
        <f t="shared" ref="M156" si="690">N156*O156</f>
        <v>0</v>
      </c>
      <c r="N156" s="32">
        <v>0</v>
      </c>
      <c r="O156" s="40">
        <v>0</v>
      </c>
      <c r="P156" s="15">
        <f t="shared" si="675"/>
        <v>23870.427037727182</v>
      </c>
      <c r="Q156" s="32">
        <v>3.8317893000000001</v>
      </c>
      <c r="R156" s="40">
        <v>6229.5771423880697</v>
      </c>
      <c r="S156" s="15">
        <f t="shared" si="677"/>
        <v>2353.9418093393706</v>
      </c>
      <c r="T156" s="15">
        <f>IF((NETWORKDAYS(DATE(YEAR(C156),MONTH(C156),1),C156,Feriados!$A$2:$A$842))&gt;=5,0,IF(NETWORKDAYS(DATE(YEAR(C156),MONTH(C156),1),C156,Feriados!$A$2:$A$842)=1,S155,T155))</f>
        <v>0</v>
      </c>
      <c r="U156" s="26">
        <v>0</v>
      </c>
      <c r="V156" s="26">
        <v>0</v>
      </c>
      <c r="W156" s="15">
        <f t="shared" ref="W156" si="691">SUM(G156+J156+M156+P156)</f>
        <v>9226964.2800978497</v>
      </c>
      <c r="X156" s="50">
        <f>'Fluxo de Caixa_'!AD162</f>
        <v>-1.3547542039304972E-6</v>
      </c>
      <c r="AB156" s="26">
        <v>6627.7277000000004</v>
      </c>
      <c r="AC156" s="26">
        <v>0</v>
      </c>
      <c r="AD156">
        <f>SUMIFS([1]Master!$J$2:$J$100,[1]Master!$A$2:$A$100,"="&amp;$I$12,[1]Master!$E$2:$E$100,"="&amp;C156,[1]Master!$J$2:$J$100,"&gt;"&amp;0)</f>
        <v>0</v>
      </c>
      <c r="AE156">
        <f ca="1">-SUMIF('[1]Fluxo de Movimentações'!$A$5:$F$10001,"="&amp;$C156,'[1]Fluxo de Movimentações'!$H$5:$H$10001)</f>
        <v>0</v>
      </c>
      <c r="AF156" s="26">
        <v>0</v>
      </c>
      <c r="AG156" s="26">
        <v>0</v>
      </c>
      <c r="AH156" s="26">
        <v>0</v>
      </c>
      <c r="AI156" s="26">
        <v>0</v>
      </c>
      <c r="AJ156" s="26">
        <v>-297.71697054895299</v>
      </c>
      <c r="AK156" s="68">
        <v>4.1900845999999996</v>
      </c>
      <c r="AL156" s="15">
        <f>-SUMIFS([1]Master!$J$1:$J$200,[1]Master!$A$1:$A$200,"="&amp;$I$12,[1]Master!$G$1:$G$200,"&gt;"&amp;C156,[1]Master!$E$1:$E$200,"&lt;="&amp;C156)</f>
        <v>0</v>
      </c>
      <c r="AM156" s="26">
        <v>0</v>
      </c>
      <c r="AN156" s="26">
        <v>0</v>
      </c>
    </row>
    <row r="157" spans="3:40">
      <c r="C157" s="1">
        <v>45086</v>
      </c>
      <c r="D157" s="39">
        <v>9352505.852</v>
      </c>
      <c r="E157" s="32">
        <v>4.2451283999999996</v>
      </c>
      <c r="F157" s="88">
        <f t="shared" si="687"/>
        <v>2203115.1597784567</v>
      </c>
      <c r="G157" s="15">
        <f t="shared" ref="G157" si="692">H157*I157</f>
        <v>9328653.3406569399</v>
      </c>
      <c r="H157" s="32">
        <v>1.0462012999999999</v>
      </c>
      <c r="I157" s="15">
        <f>SUMIFS([1]Master!$K$2:$K$10000,[1]Master!$A$2:$A$10000,$I$12,[1]Master!$F$2:$F$10000,"&lt;="&amp;$C157)</f>
        <v>8916690.6413296759</v>
      </c>
      <c r="J157" s="15">
        <f t="shared" ref="J157" si="693">K157*L157</f>
        <v>0</v>
      </c>
      <c r="K157" s="43">
        <v>0</v>
      </c>
      <c r="L157" s="40">
        <v>0</v>
      </c>
      <c r="M157" s="15">
        <f t="shared" ref="M157" si="694">N157*O157</f>
        <v>0</v>
      </c>
      <c r="N157" s="32">
        <v>0</v>
      </c>
      <c r="O157" s="40">
        <v>0</v>
      </c>
      <c r="P157" s="15">
        <f t="shared" si="675"/>
        <v>23882.347333589143</v>
      </c>
      <c r="Q157" s="32">
        <v>3.8337028000000002</v>
      </c>
      <c r="R157" s="40">
        <v>6229.5771423880697</v>
      </c>
      <c r="S157" s="15">
        <f t="shared" si="677"/>
        <v>2845.1613088233398</v>
      </c>
      <c r="T157" s="15">
        <f>IF((NETWORKDAYS(DATE(YEAR(C157),MONTH(C157),1),C157,Feriados!$A$2:$A$842))&gt;=5,0,IF(NETWORKDAYS(DATE(YEAR(C157),MONTH(C157),1),C157,Feriados!$A$2:$A$842)=1,S156,T156))</f>
        <v>0</v>
      </c>
      <c r="U157" s="26">
        <v>0</v>
      </c>
      <c r="V157" s="26">
        <v>0</v>
      </c>
      <c r="W157" s="15">
        <f t="shared" ref="W157" si="695">SUM(G157+J157+M157+P157)</f>
        <v>9352535.6879905295</v>
      </c>
      <c r="X157" s="50">
        <f>'Fluxo de Caixa_'!AD163</f>
        <v>0</v>
      </c>
      <c r="AB157" s="26">
        <v>6595.2820000000002</v>
      </c>
      <c r="AC157" s="26">
        <v>0</v>
      </c>
      <c r="AD157">
        <f>SUMIFS([1]Master!$J$2:$J$100,[1]Master!$A$2:$A$100,"="&amp;$I$12,[1]Master!$E$2:$E$100,"="&amp;C157,[1]Master!$J$2:$J$100,"&gt;"&amp;0)</f>
        <v>0</v>
      </c>
      <c r="AE157">
        <f ca="1">-SUMIF('[1]Fluxo de Movimentações'!$A$5:$F$10001,"="&amp;$C157,'[1]Fluxo de Movimentações'!$H$5:$H$10001)</f>
        <v>0</v>
      </c>
      <c r="AF157" s="26">
        <v>0</v>
      </c>
      <c r="AG157" s="26">
        <v>0</v>
      </c>
      <c r="AH157" s="26">
        <v>0</v>
      </c>
      <c r="AI157" s="26">
        <v>0</v>
      </c>
      <c r="AJ157" s="26">
        <v>-3779.9319567570801</v>
      </c>
      <c r="AK157" s="68">
        <v>4.2468440999999997</v>
      </c>
      <c r="AL157" s="15">
        <f>-SUMIFS([1]Master!$J$1:$J$200,[1]Master!$A$1:$A$200,"="&amp;$I$12,[1]Master!$G$1:$G$200,"&gt;"&amp;C157,[1]Master!$E$1:$E$200,"&lt;="&amp;C157)</f>
        <v>0</v>
      </c>
      <c r="AM157" s="26">
        <v>0</v>
      </c>
      <c r="AN157" s="26">
        <v>0</v>
      </c>
    </row>
    <row r="158" spans="3:40">
      <c r="C158" s="1">
        <v>45089</v>
      </c>
      <c r="D158" s="39">
        <v>9399851.7463000007</v>
      </c>
      <c r="E158" s="32">
        <v>4.2666187999999998</v>
      </c>
      <c r="F158" s="88">
        <f t="shared" si="687"/>
        <v>2203115.3823238923</v>
      </c>
      <c r="G158" s="15">
        <f t="shared" ref="G158" si="696">H158*I158</f>
        <v>9382568.1106197406</v>
      </c>
      <c r="H158" s="32">
        <v>1.0522478</v>
      </c>
      <c r="I158" s="15">
        <f>SUMIFS([1]Master!$K$2:$K$10000,[1]Master!$A$2:$A$10000,$I$12,[1]Master!$F$2:$F$10000,"&lt;="&amp;$C158)</f>
        <v>8916690.6413296759</v>
      </c>
      <c r="J158" s="15">
        <f t="shared" ref="J158" si="697">K158*L158</f>
        <v>0</v>
      </c>
      <c r="K158" s="43">
        <v>0</v>
      </c>
      <c r="L158" s="40">
        <v>0</v>
      </c>
      <c r="M158" s="15">
        <f t="shared" ref="M158" si="698">N158*O158</f>
        <v>0</v>
      </c>
      <c r="N158" s="32">
        <v>0</v>
      </c>
      <c r="O158" s="40">
        <v>0</v>
      </c>
      <c r="P158" s="15">
        <f t="shared" ref="P158:P162" si="699">R158*Q158</f>
        <v>23894.952882936763</v>
      </c>
      <c r="Q158" s="32">
        <v>3.8357263000000001</v>
      </c>
      <c r="R158" s="40">
        <v>6229.5771423880697</v>
      </c>
      <c r="S158" s="15">
        <f t="shared" si="677"/>
        <v>3342.8498492713734</v>
      </c>
      <c r="T158" s="15">
        <f>IF((NETWORKDAYS(DATE(YEAR(C158),MONTH(C158),1),C158,Feriados!$A$2:$A$842))&gt;=5,0,IF(NETWORKDAYS(DATE(YEAR(C158),MONTH(C158),1),C158,Feriados!$A$2:$A$842)=1,S157,T157))</f>
        <v>0</v>
      </c>
      <c r="U158" s="26">
        <v>0</v>
      </c>
      <c r="V158" s="26">
        <v>0</v>
      </c>
      <c r="W158" s="15">
        <f t="shared" ref="W158" si="700">SUM(G158+J158+M158+P158)</f>
        <v>9406463.0635026768</v>
      </c>
      <c r="X158" s="50">
        <f>'Fluxo de Caixa_'!AD164</f>
        <v>0</v>
      </c>
      <c r="AB158" s="26">
        <v>6562.8362999999999</v>
      </c>
      <c r="AC158" s="26">
        <v>0</v>
      </c>
      <c r="AD158">
        <f>SUMIFS([1]Master!$J$2:$J$100,[1]Master!$A$2:$A$100,"="&amp;$I$12,[1]Master!$E$2:$E$100,"="&amp;C158,[1]Master!$J$2:$J$100,"&gt;"&amp;0)</f>
        <v>0</v>
      </c>
      <c r="AE158">
        <f ca="1">-SUMIF('[1]Fluxo de Movimentações'!$A$5:$F$10001,"="&amp;$C158,'[1]Fluxo de Movimentações'!$H$5:$H$10001)</f>
        <v>0</v>
      </c>
      <c r="AF158" s="26">
        <v>0</v>
      </c>
      <c r="AG158" s="26">
        <v>0</v>
      </c>
      <c r="AH158" s="26">
        <v>0</v>
      </c>
      <c r="AI158" s="26">
        <v>0</v>
      </c>
      <c r="AJ158" s="26">
        <v>-9831.35</v>
      </c>
      <c r="AK158" s="68">
        <v>4.2710812999999996</v>
      </c>
      <c r="AL158" s="15">
        <f>-SUMIFS([1]Master!$J$1:$J$200,[1]Master!$A$1:$A$200,"="&amp;$I$12,[1]Master!$G$1:$G$200,"&gt;"&amp;C158,[1]Master!$E$1:$E$200,"&lt;="&amp;C158)</f>
        <v>0</v>
      </c>
      <c r="AM158" s="26">
        <v>0</v>
      </c>
      <c r="AN158" s="26">
        <v>0</v>
      </c>
    </row>
    <row r="159" spans="3:40">
      <c r="C159" s="1">
        <v>45090</v>
      </c>
      <c r="D159" s="39">
        <v>9289475.3005999997</v>
      </c>
      <c r="E159" s="32">
        <v>4.2165185999999997</v>
      </c>
      <c r="F159" s="88">
        <f t="shared" si="687"/>
        <v>2203115.295748767</v>
      </c>
      <c r="G159" s="15">
        <f t="shared" ref="G159" si="701">H159*I159</f>
        <v>9263212.8563711587</v>
      </c>
      <c r="H159" s="32">
        <v>1.0388622000000001</v>
      </c>
      <c r="I159" s="15">
        <f>SUMIFS([1]Master!$K$2:$K$10000,[1]Master!$A$2:$A$10000,$I$12,[1]Master!$F$2:$F$10000,"&lt;="&amp;$C159)</f>
        <v>8916690.6413296759</v>
      </c>
      <c r="J159" s="15">
        <f t="shared" ref="J159" si="702">K159*L159</f>
        <v>0</v>
      </c>
      <c r="K159" s="43">
        <v>0</v>
      </c>
      <c r="L159" s="40">
        <v>0</v>
      </c>
      <c r="M159" s="15">
        <f t="shared" ref="M159" si="703">N159*O159</f>
        <v>0</v>
      </c>
      <c r="N159" s="32">
        <v>0</v>
      </c>
      <c r="O159" s="40">
        <v>0</v>
      </c>
      <c r="P159" s="15">
        <f t="shared" si="699"/>
        <v>23907.024557523284</v>
      </c>
      <c r="Q159" s="32">
        <v>3.8376641</v>
      </c>
      <c r="R159" s="40">
        <v>6229.5771423880697</v>
      </c>
      <c r="S159" s="15">
        <f t="shared" ref="S159" si="704">(((1+1.35%)^(1/252))-1)*D158 +SUM(S158)</f>
        <v>3843.0578758767278</v>
      </c>
      <c r="T159" s="15">
        <f>IF((NETWORKDAYS(DATE(YEAR(C159),MONTH(C159),1),C159,Feriados!$A$2:$A$842))&gt;=5,0,IF(NETWORKDAYS(DATE(YEAR(C159),MONTH(C159),1),C159,Feriados!$A$2:$A$842)=1,S158,T158))</f>
        <v>0</v>
      </c>
      <c r="U159" s="26">
        <v>0</v>
      </c>
      <c r="V159" s="26">
        <v>0</v>
      </c>
      <c r="W159" s="15">
        <f t="shared" ref="W159" si="705">SUM(G159+J159+M159+P159)</f>
        <v>9287119.8809286822</v>
      </c>
      <c r="X159" s="50">
        <f>'Fluxo de Caixa_'!AD165</f>
        <v>0</v>
      </c>
      <c r="AB159" s="26">
        <v>6530.3905999999997</v>
      </c>
      <c r="AC159" s="26">
        <v>0</v>
      </c>
      <c r="AD159">
        <f>SUMIFS([1]Master!$J$2:$J$100,[1]Master!$A$2:$A$100,"="&amp;$I$12,[1]Master!$E$2:$E$100,"="&amp;C159,[1]Master!$J$2:$J$100,"&gt;"&amp;0)</f>
        <v>0</v>
      </c>
      <c r="AE159">
        <f ca="1">-SUMIF('[1]Fluxo de Movimentações'!$A$5:$F$10001,"="&amp;$C159,'[1]Fluxo de Movimentações'!$H$5:$H$10001)</f>
        <v>0</v>
      </c>
      <c r="AF159" s="26">
        <v>0</v>
      </c>
      <c r="AG159" s="26">
        <v>0</v>
      </c>
      <c r="AH159" s="26">
        <v>0</v>
      </c>
      <c r="AI159" s="26">
        <v>0</v>
      </c>
      <c r="AJ159" s="26">
        <v>-331.97105288489303</v>
      </c>
      <c r="AK159" s="68">
        <v>4.2166693000000004</v>
      </c>
      <c r="AL159" s="15">
        <f>-SUMIFS([1]Master!$J$1:$J$200,[1]Master!$A$1:$A$200,"="&amp;$I$12,[1]Master!$G$1:$G$200,"&gt;"&amp;C159,[1]Master!$E$1:$E$200,"&lt;="&amp;C159)</f>
        <v>0</v>
      </c>
      <c r="AM159" s="26">
        <v>0</v>
      </c>
      <c r="AN159" s="26">
        <v>0</v>
      </c>
    </row>
    <row r="160" spans="3:40">
      <c r="C160" s="1">
        <v>45091</v>
      </c>
      <c r="D160" s="39">
        <v>9419029.1849000007</v>
      </c>
      <c r="E160" s="32">
        <v>4.2753234999999998</v>
      </c>
      <c r="F160" s="88">
        <f t="shared" si="687"/>
        <v>2203115.2230837299</v>
      </c>
      <c r="G160" s="15">
        <f t="shared" ref="G160" si="706">H160*I160</f>
        <v>9404581.6364750545</v>
      </c>
      <c r="H160" s="32">
        <v>1.0547165999999999</v>
      </c>
      <c r="I160" s="15">
        <f>SUMIFS([1]Master!$K$2:$K$10000,[1]Master!$A$2:$A$10000,$I$12,[1]Master!$F$2:$F$10000,"&lt;="&amp;$C160)</f>
        <v>8916690.6413296759</v>
      </c>
      <c r="J160" s="15">
        <f t="shared" ref="J160" si="707">K160*L160</f>
        <v>0</v>
      </c>
      <c r="K160" s="43">
        <v>0</v>
      </c>
      <c r="L160" s="40">
        <v>0</v>
      </c>
      <c r="M160" s="15">
        <f t="shared" ref="M160:M161" si="708">N160*O160</f>
        <v>0</v>
      </c>
      <c r="N160" s="32">
        <v>0</v>
      </c>
      <c r="O160" s="40">
        <v>0</v>
      </c>
      <c r="P160" s="15">
        <f t="shared" si="699"/>
        <v>23919.204626752078</v>
      </c>
      <c r="Q160" s="32">
        <v>3.8396192999999998</v>
      </c>
      <c r="R160" s="40">
        <v>6229.5771423880697</v>
      </c>
      <c r="S160" s="15">
        <f t="shared" ref="S160" si="709">(((1+1.35%)^(1/252))-1)*D159 +SUM(S159)</f>
        <v>4337.3922796231855</v>
      </c>
      <c r="T160" s="15">
        <f>IF((NETWORKDAYS(DATE(YEAR(C160),MONTH(C160),1),C160,Feriados!$A$2:$A$842))&gt;=5,0,IF(NETWORKDAYS(DATE(YEAR(C160),MONTH(C160),1),C160,Feriados!$A$2:$A$842)=1,S159,T159))</f>
        <v>0</v>
      </c>
      <c r="U160" s="26">
        <v>0</v>
      </c>
      <c r="V160" s="26">
        <v>0</v>
      </c>
      <c r="W160" s="15">
        <f t="shared" ref="W160" si="710">SUM(G160+J160+M160+P160)</f>
        <v>9428500.8411018066</v>
      </c>
      <c r="X160" s="50">
        <f>'Fluxo de Caixa_'!AD166</f>
        <v>0</v>
      </c>
      <c r="AB160" s="26">
        <v>6497.9449000000004</v>
      </c>
      <c r="AC160" s="26">
        <v>0</v>
      </c>
      <c r="AD160">
        <f>SUMIFS([1]Master!$J$2:$J$100,[1]Master!$A$2:$A$100,"="&amp;$I$12,[1]Master!$E$2:$E$100,"="&amp;C160,[1]Master!$J$2:$J$100,"&gt;"&amp;0)</f>
        <v>0</v>
      </c>
      <c r="AE160">
        <f ca="1">-SUMIF('[1]Fluxo de Movimentações'!$A$5:$F$10001,"="&amp;$C160,'[1]Fluxo de Movimentações'!$H$5:$H$10001)</f>
        <v>0</v>
      </c>
      <c r="AF160" s="26">
        <v>0</v>
      </c>
      <c r="AG160" s="26">
        <v>0</v>
      </c>
      <c r="AH160" s="26">
        <v>0</v>
      </c>
      <c r="AI160" s="26">
        <v>0</v>
      </c>
      <c r="AJ160" s="26">
        <v>-11632.2059367281</v>
      </c>
      <c r="AK160" s="68">
        <v>4.2806034000000004</v>
      </c>
      <c r="AL160" s="15">
        <f>-SUMIFS([1]Master!$J$1:$J$200,[1]Master!$A$1:$A$200,"="&amp;$I$12,[1]Master!$G$1:$G$200,"&gt;"&amp;C160,[1]Master!$E$1:$E$200,"&lt;="&amp;C160)</f>
        <v>0</v>
      </c>
      <c r="AM160" s="26">
        <v>0</v>
      </c>
      <c r="AN160" s="26">
        <v>0</v>
      </c>
    </row>
    <row r="161" spans="3:40">
      <c r="C161" s="1">
        <v>45092</v>
      </c>
      <c r="D161" s="39">
        <v>9471846.0991999991</v>
      </c>
      <c r="E161" s="32">
        <v>4.2992973000000001</v>
      </c>
      <c r="F161" s="88">
        <f t="shared" si="687"/>
        <v>2203115.0904903752</v>
      </c>
      <c r="G161" s="15">
        <f t="shared" ref="G161" si="711">H161*I161</f>
        <v>9464717.5814983118</v>
      </c>
      <c r="H161" s="32">
        <v>1.0614608000000001</v>
      </c>
      <c r="I161" s="15">
        <f>SUMIFS([1]Master!$K$2:$K$10000,[1]Master!$A$2:$A$10000,$I$12,[1]Master!$F$2:$F$10000,"&lt;="&amp;$C161)</f>
        <v>8916690.6413296759</v>
      </c>
      <c r="J161" s="15">
        <f t="shared" ref="J161" si="712">K161*L161</f>
        <v>0</v>
      </c>
      <c r="K161" s="43">
        <v>0</v>
      </c>
      <c r="L161" s="40">
        <v>0</v>
      </c>
      <c r="M161" s="15">
        <f t="shared" si="708"/>
        <v>0</v>
      </c>
      <c r="N161" s="32">
        <v>0</v>
      </c>
      <c r="O161" s="40">
        <v>0</v>
      </c>
      <c r="P161" s="15">
        <f t="shared" si="699"/>
        <v>23930.978527551193</v>
      </c>
      <c r="Q161" s="32">
        <v>3.8415092999999998</v>
      </c>
      <c r="R161" s="40">
        <v>6229.5771423880697</v>
      </c>
      <c r="S161" s="15">
        <f t="shared" ref="S161" si="713">(((1+1.35%)^(1/252))-1)*D160 +SUM(S160)</f>
        <v>4838.6208232511863</v>
      </c>
      <c r="T161" s="15">
        <f>IF((NETWORKDAYS(DATE(YEAR(C161),MONTH(C161),1),C161,Feriados!$A$2:$A$842))&gt;=5,0,IF(NETWORKDAYS(DATE(YEAR(C161),MONTH(C161),1),C161,Feriados!$A$2:$A$842)=1,S160,T160))</f>
        <v>0</v>
      </c>
      <c r="U161" s="26">
        <v>0</v>
      </c>
      <c r="V161" s="26">
        <v>0</v>
      </c>
      <c r="W161" s="15">
        <f t="shared" ref="W161" si="714">SUM(G161+J161+M161+P161)</f>
        <v>9488648.5600258633</v>
      </c>
      <c r="X161" s="50">
        <f>'Fluxo de Caixa_'!AD167</f>
        <v>0</v>
      </c>
      <c r="AB161" s="26">
        <v>6465.4992000000002</v>
      </c>
      <c r="AC161" s="26">
        <v>0</v>
      </c>
      <c r="AD161">
        <f>SUMIFS([1]Master!$J$2:$J$100,[1]Master!$A$2:$A$100,"="&amp;$I$12,[1]Master!$E$2:$E$100,"="&amp;C161,[1]Master!$J$2:$J$100,"&gt;"&amp;0)</f>
        <v>0</v>
      </c>
      <c r="AE161">
        <f ca="1">-SUMIF('[1]Fluxo de Movimentações'!$A$5:$F$10001,"="&amp;$C161,'[1]Fluxo de Movimentações'!$H$5:$H$10001)</f>
        <v>0</v>
      </c>
      <c r="AF161" s="26">
        <v>0</v>
      </c>
      <c r="AG161" s="26">
        <v>0</v>
      </c>
      <c r="AH161" s="26">
        <v>0</v>
      </c>
      <c r="AI161" s="26">
        <v>0</v>
      </c>
      <c r="AJ161" s="26">
        <v>-18429.388910687601</v>
      </c>
      <c r="AK161" s="68">
        <v>4.3076623999999999</v>
      </c>
      <c r="AL161" s="15">
        <f>-SUMIFS([1]Master!$J$1:$J$200,[1]Master!$A$1:$A$200,"="&amp;$I$12,[1]Master!$G$1:$G$200,"&gt;"&amp;C161,[1]Master!$E$1:$E$200,"&lt;="&amp;C161)</f>
        <v>0</v>
      </c>
      <c r="AM161" s="26">
        <v>0</v>
      </c>
      <c r="AN161" s="26">
        <v>0</v>
      </c>
    </row>
    <row r="162" spans="3:40">
      <c r="C162" s="1">
        <v>45093</v>
      </c>
      <c r="D162" s="39">
        <v>9435036.7734999992</v>
      </c>
      <c r="E162" s="32">
        <v>4.2825894</v>
      </c>
      <c r="F162" s="88">
        <f t="shared" ref="F162" si="715">D162/TRUNC(E162,6)</f>
        <v>2203115.1654991875</v>
      </c>
      <c r="G162" s="15">
        <f t="shared" ref="G162" si="716">H162*I162</f>
        <v>9423130.1363471504</v>
      </c>
      <c r="H162" s="32">
        <v>1.0567968000000001</v>
      </c>
      <c r="I162" s="15">
        <f>SUMIFS([1]Master!$K$2:$K$10000,[1]Master!$A$2:$A$10000,$I$12,[1]Master!$F$2:$F$10000,"&lt;="&amp;$C162)</f>
        <v>8916690.6413296759</v>
      </c>
      <c r="J162" s="15">
        <f t="shared" ref="J162" si="717">K162*L162</f>
        <v>0</v>
      </c>
      <c r="K162" s="43">
        <v>0</v>
      </c>
      <c r="L162" s="40">
        <v>0</v>
      </c>
      <c r="M162" s="15">
        <f t="shared" ref="M162" si="718">N162*O162</f>
        <v>0</v>
      </c>
      <c r="N162" s="32">
        <v>0</v>
      </c>
      <c r="O162" s="40">
        <v>0</v>
      </c>
      <c r="P162" s="15">
        <f t="shared" si="699"/>
        <v>23943.379746768547</v>
      </c>
      <c r="Q162" s="32">
        <v>3.8435000000000001</v>
      </c>
      <c r="R162" s="40">
        <v>6229.5771423880697</v>
      </c>
      <c r="S162" s="15">
        <f t="shared" ref="S162" si="719">(((1+1.35%)^(1/252))-1)*D161 +SUM(S161)</f>
        <v>5342.6599904067107</v>
      </c>
      <c r="T162" s="15">
        <f>IF((NETWORKDAYS(DATE(YEAR(C162),MONTH(C162),1),C162,Feriados!$A$2:$A$842))&gt;=5,0,IF(NETWORKDAYS(DATE(YEAR(C162),MONTH(C162),1),C162,Feriados!$A$2:$A$842)=1,S161,T161))</f>
        <v>0</v>
      </c>
      <c r="U162" s="26">
        <v>0</v>
      </c>
      <c r="V162" s="26">
        <v>0</v>
      </c>
      <c r="W162" s="15">
        <f t="shared" ref="W162" si="720">SUM(G162+J162+M162+P162)</f>
        <v>9447073.5160939191</v>
      </c>
      <c r="X162" s="50">
        <f>'Fluxo de Caixa_'!AD168</f>
        <v>0</v>
      </c>
      <c r="AB162" s="26">
        <v>6433.0535</v>
      </c>
      <c r="AC162" s="26">
        <v>0</v>
      </c>
      <c r="AD162">
        <f>SUMIFS([1]Master!$J$2:$J$100,[1]Master!$A$2:$A$100,"="&amp;$I$12,[1]Master!$E$2:$E$100,"="&amp;C162,[1]Master!$J$2:$J$100,"&gt;"&amp;0)</f>
        <v>0</v>
      </c>
      <c r="AE162">
        <f ca="1">-SUMIF('[1]Fluxo de Movimentações'!$A$5:$F$10001,"="&amp;$C162,'[1]Fluxo de Movimentações'!$H$5:$H$10001)</f>
        <v>0</v>
      </c>
      <c r="AF162" s="26">
        <v>0</v>
      </c>
      <c r="AG162" s="26">
        <v>0</v>
      </c>
      <c r="AH162" s="26">
        <v>0</v>
      </c>
      <c r="AI162" s="26">
        <v>0</v>
      </c>
      <c r="AJ162" s="26">
        <v>-13127.148113929001</v>
      </c>
      <c r="AK162" s="68">
        <v>4.2885479000000002</v>
      </c>
      <c r="AL162" s="15">
        <f>-SUMIFS([1]Master!$J$1:$J$200,[1]Master!$A$1:$A$200,"="&amp;$I$12,[1]Master!$G$1:$G$200,"&gt;"&amp;C162,[1]Master!$E$1:$E$200,"&lt;="&amp;C162)</f>
        <v>0</v>
      </c>
      <c r="AM162" s="26">
        <v>0</v>
      </c>
      <c r="AN162" s="26">
        <v>0</v>
      </c>
    </row>
    <row r="163" spans="3:40">
      <c r="C163" s="1">
        <v>45096</v>
      </c>
      <c r="D163" s="39">
        <v>9498742.6777999997</v>
      </c>
      <c r="E163" s="32">
        <v>4.3115056999999997</v>
      </c>
      <c r="F163" s="88">
        <f t="shared" ref="F163" si="721">D163/TRUNC(E163,6)</f>
        <v>2203115.310732563</v>
      </c>
      <c r="G163" s="15">
        <f t="shared" ref="G163" si="722">H163*I163</f>
        <v>9495761.9316351656</v>
      </c>
      <c r="H163" s="32">
        <v>1.0649424000000001</v>
      </c>
      <c r="I163" s="15">
        <f>SUMIFS([1]Master!$K$2:$K$10000,[1]Master!$A$2:$A$10000,$I$12,[1]Master!$F$2:$F$10000,"&lt;="&amp;$C163)</f>
        <v>8916690.6413296759</v>
      </c>
      <c r="J163" s="15">
        <f t="shared" ref="J163" si="723">K163*L163</f>
        <v>0</v>
      </c>
      <c r="K163" s="43">
        <v>0</v>
      </c>
      <c r="L163" s="40">
        <v>0</v>
      </c>
      <c r="M163" s="15">
        <f t="shared" ref="M163" si="724">N163*O163</f>
        <v>0</v>
      </c>
      <c r="N163" s="32">
        <v>0</v>
      </c>
      <c r="O163" s="40">
        <v>0</v>
      </c>
      <c r="P163" s="15">
        <f>R163*Q163</f>
        <v>23956.227626667005</v>
      </c>
      <c r="Q163" s="32">
        <v>3.8455623999999999</v>
      </c>
      <c r="R163" s="40">
        <v>6229.5771423880697</v>
      </c>
      <c r="S163" s="15">
        <f t="shared" ref="S163" si="725">(((1+1.35%)^(1/252))-1)*D162 +SUM(S162)</f>
        <v>5844.7403692040762</v>
      </c>
      <c r="T163" s="15">
        <f>IF((NETWORKDAYS(DATE(YEAR(C163),MONTH(C163),1),C163,Feriados!$A$2:$A$842))&gt;=5,0,IF(NETWORKDAYS(DATE(YEAR(C163),MONTH(C163),1),C163,Feriados!$A$2:$A$842)=1,S162,T162))</f>
        <v>0</v>
      </c>
      <c r="U163" s="26">
        <v>0</v>
      </c>
      <c r="V163" s="26">
        <v>0</v>
      </c>
      <c r="W163" s="15">
        <f t="shared" ref="W163:W168" si="726">SUM(G163+J163+M163+P163)</f>
        <v>9519718.159261832</v>
      </c>
      <c r="X163" s="50">
        <f>'Fluxo de Caixa_'!AD169</f>
        <v>0</v>
      </c>
      <c r="AB163" s="26">
        <v>6400.6077999999998</v>
      </c>
      <c r="AC163" s="26">
        <v>0</v>
      </c>
      <c r="AD163">
        <f>SUMIFS([1]Master!$J$2:$J$100,[1]Master!$A$2:$A$100,"="&amp;$I$12,[1]Master!$E$2:$E$100,"="&amp;C163,[1]Master!$J$2:$J$100,"&gt;"&amp;0)</f>
        <v>0</v>
      </c>
      <c r="AE163">
        <f ca="1">-SUMIF('[1]Fluxo de Movimentações'!$A$5:$F$10001,"="&amp;$C163,'[1]Fluxo de Movimentações'!$H$5:$H$10001)</f>
        <v>0</v>
      </c>
      <c r="AF163" s="26">
        <v>0</v>
      </c>
      <c r="AG163" s="26">
        <v>0</v>
      </c>
      <c r="AH163" s="26">
        <v>0</v>
      </c>
      <c r="AI163" s="26">
        <v>0</v>
      </c>
      <c r="AJ163" s="26">
        <v>-21531.4268483136</v>
      </c>
      <c r="AK163" s="68">
        <v>4.3212789000000003</v>
      </c>
      <c r="AL163" s="15">
        <f>-SUMIFS([1]Master!$J$1:$J$200,[1]Master!$A$1:$A$200,"="&amp;$I$12,[1]Master!$G$1:$G$200,"&gt;"&amp;C163,[1]Master!$E$1:$E$200,"&lt;="&amp;C163)</f>
        <v>0</v>
      </c>
      <c r="AM163" s="26">
        <v>0</v>
      </c>
      <c r="AN163" s="26">
        <v>0</v>
      </c>
    </row>
    <row r="164" spans="3:40">
      <c r="C164" s="1">
        <v>45097</v>
      </c>
      <c r="D164" s="39">
        <v>9544085.9620999992</v>
      </c>
      <c r="E164" s="32">
        <v>4.3320870999999999</v>
      </c>
      <c r="F164" s="88">
        <f t="shared" ref="F164" si="727">D164/TRUNC(E164,6)</f>
        <v>2203115.0256446837</v>
      </c>
      <c r="G164" s="15">
        <f t="shared" ref="G164" si="728">H164*I164</f>
        <v>9547530.4541605953</v>
      </c>
      <c r="H164" s="32">
        <v>1.0707481999999999</v>
      </c>
      <c r="I164" s="15">
        <f>SUMIFS([1]Master!$K$2:$K$10000,[1]Master!$A$2:$A$10000,$I$12,[1]Master!$F$2:$F$10000,"&lt;="&amp;$C164)</f>
        <v>8916690.6413296759</v>
      </c>
      <c r="J164" s="15">
        <f t="shared" ref="J164" si="729">K164*L164</f>
        <v>0</v>
      </c>
      <c r="K164" s="43">
        <v>0</v>
      </c>
      <c r="L164" s="40">
        <v>0</v>
      </c>
      <c r="M164" s="15">
        <f t="shared" ref="M164" si="730">N164*O164</f>
        <v>0</v>
      </c>
      <c r="N164" s="32">
        <v>0</v>
      </c>
      <c r="O164" s="40">
        <v>0</v>
      </c>
      <c r="P164" s="15">
        <f>R164*Q164</f>
        <v>23969.079244311753</v>
      </c>
      <c r="Q164" s="32">
        <v>3.8476254000000001</v>
      </c>
      <c r="R164" s="40">
        <v>6229.5771423880697</v>
      </c>
      <c r="S164" s="15">
        <f t="shared" ref="S164" si="731">(((1+1.35%)^(1/252))-1)*D163 +SUM(S163)</f>
        <v>6350.2108232423152</v>
      </c>
      <c r="T164" s="15">
        <f>IF((NETWORKDAYS(DATE(YEAR(C164),MONTH(C164),1),C164,Feriados!$A$2:$A$842))&gt;=5,0,IF(NETWORKDAYS(DATE(YEAR(C164),MONTH(C164),1),C164,Feriados!$A$2:$A$842)=1,S163,T163))</f>
        <v>0</v>
      </c>
      <c r="U164" s="26">
        <v>0</v>
      </c>
      <c r="V164" s="26">
        <v>0</v>
      </c>
      <c r="W164" s="15">
        <f t="shared" si="726"/>
        <v>9571499.5334049072</v>
      </c>
      <c r="X164" s="50">
        <f>'Fluxo de Caixa_'!AD170</f>
        <v>0</v>
      </c>
      <c r="AB164" s="26">
        <v>6368.1620999999996</v>
      </c>
      <c r="AC164" s="26">
        <v>0</v>
      </c>
      <c r="AD164">
        <f>SUMIFS([1]Master!$J$2:$J$100,[1]Master!$A$2:$A$100,"="&amp;$I$12,[1]Master!$E$2:$E$100,"="&amp;C164,[1]Master!$J$2:$J$100,"&gt;"&amp;0)</f>
        <v>0</v>
      </c>
      <c r="AE164">
        <f ca="1">-SUMIF('[1]Fluxo de Movimentações'!$A$5:$F$10001,"="&amp;$C164,'[1]Fluxo de Movimentações'!$H$5:$H$10001)</f>
        <v>0</v>
      </c>
      <c r="AF164" s="26">
        <v>0</v>
      </c>
      <c r="AG164" s="26">
        <v>0</v>
      </c>
      <c r="AH164" s="26">
        <v>0</v>
      </c>
      <c r="AI164" s="26">
        <v>0</v>
      </c>
      <c r="AJ164" s="26">
        <v>-27431.562189354299</v>
      </c>
      <c r="AK164" s="68">
        <v>4.3445384000000002</v>
      </c>
      <c r="AL164" s="15">
        <f>-SUMIFS([1]Master!$J$1:$J$200,[1]Master!$A$1:$A$200,"="&amp;$I$12,[1]Master!$G$1:$G$200,"&gt;"&amp;C164,[1]Master!$E$1:$E$200,"&lt;="&amp;C164)</f>
        <v>0</v>
      </c>
      <c r="AM164" s="26">
        <v>0</v>
      </c>
      <c r="AN164" s="26">
        <v>0</v>
      </c>
    </row>
    <row r="165" spans="3:40">
      <c r="C165" s="1">
        <v>45098</v>
      </c>
      <c r="D165" s="39">
        <v>9603670.4563999996</v>
      </c>
      <c r="E165" s="32">
        <v>4.3591327</v>
      </c>
      <c r="F165" s="88">
        <f t="shared" ref="F165" si="732">D165/TRUNC(E165,6)</f>
        <v>2203115.3120391858</v>
      </c>
      <c r="G165" s="15">
        <f t="shared" ref="G165" si="733">H165*I165</f>
        <v>9615486.3368762974</v>
      </c>
      <c r="H165" s="32">
        <v>1.0783693999999999</v>
      </c>
      <c r="I165" s="15">
        <f>SUMIFS([1]Master!$K$2:$K$10000,[1]Master!$A$2:$A$10000,$I$12,[1]Master!$F$2:$F$10000,"&lt;="&amp;$C165)</f>
        <v>8916690.6413296759</v>
      </c>
      <c r="J165" s="15">
        <f t="shared" ref="J165" si="734">K165*L165</f>
        <v>0</v>
      </c>
      <c r="K165" s="43">
        <v>0</v>
      </c>
      <c r="L165" s="40">
        <v>0</v>
      </c>
      <c r="M165" s="15">
        <f t="shared" ref="M165" si="735">N165*O165</f>
        <v>0</v>
      </c>
      <c r="N165" s="32">
        <v>0</v>
      </c>
      <c r="O165" s="40">
        <v>0</v>
      </c>
      <c r="P165" s="15">
        <f>R165*Q165</f>
        <v>23981.741482811369</v>
      </c>
      <c r="Q165" s="32">
        <v>3.8496579999999998</v>
      </c>
      <c r="R165" s="40">
        <v>6229.5771423880697</v>
      </c>
      <c r="S165" s="15">
        <f t="shared" ref="S165" si="736">(((1+1.35%)^(1/252))-1)*D164 +SUM(S164)</f>
        <v>6858.0941956298711</v>
      </c>
      <c r="T165" s="15">
        <f>IF((NETWORKDAYS(DATE(YEAR(C165),MONTH(C165),1),C165,Feriados!$A$2:$A$842))&gt;=5,0,IF(NETWORKDAYS(DATE(YEAR(C165),MONTH(C165),1),C165,Feriados!$A$2:$A$842)=1,S164,T164))</f>
        <v>0</v>
      </c>
      <c r="U165" s="26">
        <v>0</v>
      </c>
      <c r="V165" s="26">
        <v>0</v>
      </c>
      <c r="W165" s="15">
        <f t="shared" si="726"/>
        <v>9639468.0783591084</v>
      </c>
      <c r="X165" s="50">
        <f>'Fluxo de Caixa_'!AD171</f>
        <v>0</v>
      </c>
      <c r="AB165" s="26">
        <v>6335.7164000000002</v>
      </c>
      <c r="AC165" s="26">
        <v>0</v>
      </c>
      <c r="AD165">
        <f>SUMIFS([1]Master!$J$2:$J$100,[1]Master!$A$2:$A$100,"="&amp;$I$12,[1]Master!$E$2:$E$100,"="&amp;C165,[1]Master!$J$2:$J$100,"&gt;"&amp;0)</f>
        <v>0</v>
      </c>
      <c r="AE165">
        <f ca="1">-SUMIF('[1]Fluxo de Movimentações'!$A$5:$F$10001,"="&amp;$C165,'[1]Fluxo de Movimentações'!$H$5:$H$10001)</f>
        <v>0</v>
      </c>
      <c r="AF165" s="26">
        <v>0</v>
      </c>
      <c r="AG165" s="26">
        <v>0</v>
      </c>
      <c r="AH165" s="26">
        <v>0</v>
      </c>
      <c r="AI165" s="26">
        <v>0</v>
      </c>
      <c r="AJ165" s="26">
        <v>-35275.276192648496</v>
      </c>
      <c r="AK165" s="68">
        <v>4.3751442999999997</v>
      </c>
      <c r="AL165" s="15">
        <f>-SUMIFS([1]Master!$J$1:$J$200,[1]Master!$A$1:$A$200,"="&amp;$I$12,[1]Master!$G$1:$G$200,"&gt;"&amp;C165,[1]Master!$E$1:$E$200,"&lt;="&amp;C165)</f>
        <v>0</v>
      </c>
      <c r="AM165" s="26">
        <v>0</v>
      </c>
      <c r="AN165" s="26">
        <v>0</v>
      </c>
    </row>
    <row r="166" spans="3:40">
      <c r="C166" s="1">
        <v>45099</v>
      </c>
      <c r="D166" s="39">
        <v>9503388.9006999992</v>
      </c>
      <c r="E166" s="32">
        <v>4.3136146000000002</v>
      </c>
      <c r="F166" s="88">
        <f t="shared" ref="F166" si="737">D166/TRUNC(E166,6)</f>
        <v>2203115.2765871026</v>
      </c>
      <c r="G166" s="15">
        <f t="shared" ref="G166" si="738">H166*I166</f>
        <v>9501780.6978180613</v>
      </c>
      <c r="H166" s="32">
        <v>1.0656174</v>
      </c>
      <c r="I166" s="15">
        <f>SUMIFS([1]Master!$K$2:$K$10000,[1]Master!$A$2:$A$10000,$I$12,[1]Master!$F$2:$F$10000,"&lt;="&amp;$C166)</f>
        <v>8916690.6413296759</v>
      </c>
      <c r="J166" s="15">
        <f t="shared" ref="J166" si="739">K166*L166</f>
        <v>0</v>
      </c>
      <c r="K166" s="43">
        <v>0</v>
      </c>
      <c r="L166" s="40">
        <v>0</v>
      </c>
      <c r="M166" s="15">
        <f t="shared" ref="M166" si="740">N166*O166</f>
        <v>0</v>
      </c>
      <c r="N166" s="32">
        <v>0</v>
      </c>
      <c r="O166" s="40">
        <v>0</v>
      </c>
      <c r="P166" s="15">
        <f t="shared" ref="P166:P175" si="741">Q166*R166</f>
        <v>23993.253118412787</v>
      </c>
      <c r="Q166" s="32">
        <v>3.8515058999999998</v>
      </c>
      <c r="R166" s="40">
        <v>6229.5771423880697</v>
      </c>
      <c r="S166" s="15">
        <f t="shared" ref="S166" si="742">(((1+1.35%)^(1/252))-1)*D165 +SUM(S165)</f>
        <v>7369.1483246542875</v>
      </c>
      <c r="T166" s="15">
        <f>IF((NETWORKDAYS(DATE(YEAR(C166),MONTH(C166),1),C166,Feriados!$A$2:$A$842))&gt;=5,0,IF(NETWORKDAYS(DATE(YEAR(C166),MONTH(C166),1),C166,Feriados!$A$2:$A$842)=1,S165,T165))</f>
        <v>0</v>
      </c>
      <c r="U166" s="26">
        <v>0</v>
      </c>
      <c r="V166" s="26">
        <v>0</v>
      </c>
      <c r="W166" s="15">
        <f t="shared" si="726"/>
        <v>9525773.9509364739</v>
      </c>
      <c r="X166" s="50">
        <f>'Fluxo de Caixa_'!AD172</f>
        <v>0</v>
      </c>
      <c r="AB166" s="26">
        <v>6303.27</v>
      </c>
      <c r="AC166" s="26">
        <v>0</v>
      </c>
      <c r="AD166">
        <f>SUMIFS([1]Master!$J$2:$J$100,[1]Master!$A$2:$A$100,"="&amp;$I$12,[1]Master!$E$2:$E$100,"="&amp;C166,[1]Master!$J$2:$J$100,"&gt;"&amp;0)</f>
        <v>0</v>
      </c>
      <c r="AE166">
        <f ca="1">-SUMIF('[1]Fluxo de Movimentações'!$A$5:$F$10001,"="&amp;$C166,'[1]Fluxo de Movimentações'!$H$5:$H$10001)</f>
        <v>0</v>
      </c>
      <c r="AF166" s="26">
        <v>0</v>
      </c>
      <c r="AG166" s="26">
        <v>0</v>
      </c>
      <c r="AH166" s="26">
        <v>0</v>
      </c>
      <c r="AI166" s="26">
        <v>0</v>
      </c>
      <c r="AJ166" s="26">
        <v>-21319.214221543702</v>
      </c>
      <c r="AK166" s="68">
        <v>4.3232914999999998</v>
      </c>
      <c r="AL166" s="15">
        <f>-SUMIFS([1]Master!$J$1:$J$200,[1]Master!$A$1:$A$200,"="&amp;$I$12,[1]Master!$G$1:$G$200,"&gt;"&amp;C166,[1]Master!$E$1:$E$200,"&lt;="&amp;C166)</f>
        <v>0</v>
      </c>
      <c r="AM166" s="26">
        <v>0</v>
      </c>
      <c r="AN166" s="26">
        <v>0</v>
      </c>
    </row>
    <row r="167" spans="3:40">
      <c r="C167" s="1">
        <v>45100</v>
      </c>
      <c r="D167" s="39">
        <v>9632497.7050000001</v>
      </c>
      <c r="E167" s="32">
        <v>4.3722174999999996</v>
      </c>
      <c r="F167" s="88">
        <f t="shared" ref="F167" si="743">D167/TRUNC(E167,6)</f>
        <v>2203115.1941909562</v>
      </c>
      <c r="G167" s="15">
        <f t="shared" ref="G167" si="744">H167*I167</f>
        <v>9648741.1346231382</v>
      </c>
      <c r="H167" s="32">
        <v>1.0820989000000001</v>
      </c>
      <c r="I167" s="15">
        <f>SUMIFS([1]Master!$K$2:$K$10000,[1]Master!$A$2:$A$10000,$I$12,[1]Master!$F$2:$F$10000,"&lt;="&amp;$C167)</f>
        <v>8916690.6413296759</v>
      </c>
      <c r="J167" s="15">
        <f t="shared" ref="J167" si="745">K167*L167</f>
        <v>0</v>
      </c>
      <c r="K167" s="43">
        <v>0</v>
      </c>
      <c r="L167" s="40">
        <v>0</v>
      </c>
      <c r="M167" s="15">
        <f t="shared" ref="M167" si="746">N167*O167</f>
        <v>0</v>
      </c>
      <c r="N167" s="32">
        <v>0</v>
      </c>
      <c r="O167" s="40">
        <v>0</v>
      </c>
      <c r="P167" s="15">
        <f t="shared" si="741"/>
        <v>24005.571484254149</v>
      </c>
      <c r="Q167" s="32">
        <v>3.8534833000000002</v>
      </c>
      <c r="R167" s="40">
        <v>6229.5771423880697</v>
      </c>
      <c r="S167" s="15">
        <f t="shared" ref="S167" si="747">(((1+1.35%)^(1/252))-1)*D166 +SUM(S166)</f>
        <v>7874.8660249311597</v>
      </c>
      <c r="T167" s="15">
        <f>IF((NETWORKDAYS(DATE(YEAR(C167),MONTH(C167),1),C167,Feriados!$A$2:$A$842))&gt;=5,0,IF(NETWORKDAYS(DATE(YEAR(C167),MONTH(C167),1),C167,Feriados!$A$2:$A$842)=1,S166,T166))</f>
        <v>0</v>
      </c>
      <c r="U167" s="26">
        <v>0</v>
      </c>
      <c r="V167" s="26">
        <v>0</v>
      </c>
      <c r="W167" s="15">
        <f t="shared" si="726"/>
        <v>9672746.7061073929</v>
      </c>
      <c r="X167" s="50">
        <f>'Fluxo de Caixa_'!AD173</f>
        <v>0</v>
      </c>
      <c r="AB167" s="26">
        <v>6270.8249999999998</v>
      </c>
      <c r="AC167" s="26">
        <v>0</v>
      </c>
      <c r="AD167">
        <f>SUMIFS([1]Master!$J$2:$J$100,[1]Master!$A$2:$A$100,"="&amp;$I$12,[1]Master!$E$2:$E$100,"="&amp;C167,[1]Master!$J$2:$J$100,"&gt;"&amp;0)</f>
        <v>0</v>
      </c>
      <c r="AE167">
        <f ca="1">-SUMIF('[1]Fluxo de Movimentações'!$A$5:$F$10001,"="&amp;$C167,'[1]Fluxo de Movimentações'!$H$5:$H$10001)</f>
        <v>0</v>
      </c>
      <c r="AF167" s="26">
        <v>0</v>
      </c>
      <c r="AG167" s="26">
        <v>0</v>
      </c>
      <c r="AH167" s="26">
        <v>0</v>
      </c>
      <c r="AI167" s="26">
        <v>0</v>
      </c>
      <c r="AJ167" s="26">
        <v>-38645.015638381301</v>
      </c>
      <c r="AK167" s="68">
        <v>4.3897586000000004</v>
      </c>
      <c r="AL167" s="15">
        <f>-SUMIFS([1]Master!$J$1:$J$200,[1]Master!$A$1:$A$200,"="&amp;$I$12,[1]Master!$G$1:$G$200,"&gt;"&amp;C167,[1]Master!$E$1:$E$200,"&lt;="&amp;C167)</f>
        <v>0</v>
      </c>
      <c r="AM167" s="26">
        <v>0</v>
      </c>
      <c r="AN167" s="26">
        <v>0</v>
      </c>
    </row>
    <row r="168" spans="3:40">
      <c r="C168" s="1">
        <v>45103</v>
      </c>
      <c r="D168" s="39">
        <v>9560560.7492999993</v>
      </c>
      <c r="E168" s="32">
        <v>4.3395650999999997</v>
      </c>
      <c r="F168" s="88">
        <f t="shared" ref="F168" si="748">D168/TRUNC(E168,6)</f>
        <v>2203115.0009966432</v>
      </c>
      <c r="G168" s="15">
        <f t="shared" ref="G168" si="749">H168*I168</f>
        <v>9567247.9321757685</v>
      </c>
      <c r="H168" s="32">
        <v>1.0729595000000001</v>
      </c>
      <c r="I168" s="15">
        <f>SUMIFS([1]Master!$K$2:$K$10000,[1]Master!$A$2:$A$10000,$I$12,[1]Master!$F$2:$F$10000,"&lt;="&amp;$C168)</f>
        <v>8916690.6413296759</v>
      </c>
      <c r="J168" s="15">
        <f t="shared" ref="J168" si="750">K168*L168</f>
        <v>0</v>
      </c>
      <c r="K168" s="43">
        <v>0</v>
      </c>
      <c r="L168" s="40">
        <v>0</v>
      </c>
      <c r="M168" s="15">
        <f t="shared" ref="M168" si="751">N168*O168</f>
        <v>0</v>
      </c>
      <c r="N168" s="32">
        <v>0</v>
      </c>
      <c r="O168" s="40">
        <v>0</v>
      </c>
      <c r="P168" s="15">
        <f t="shared" si="741"/>
        <v>24017.47869800411</v>
      </c>
      <c r="Q168" s="32">
        <v>3.8553947000000002</v>
      </c>
      <c r="R168" s="40">
        <v>6229.5771423880697</v>
      </c>
      <c r="S168" s="15">
        <f t="shared" ref="S168" si="752">(((1+1.35%)^(1/252))-1)*D167 +SUM(S167)</f>
        <v>8387.4541803981047</v>
      </c>
      <c r="T168" s="15">
        <f>IF((NETWORKDAYS(DATE(YEAR(C168),MONTH(C168),1),C168,Feriados!$A$2:$A$842))&gt;=5,0,IF(NETWORKDAYS(DATE(YEAR(C168),MONTH(C168),1),C168,Feriados!$A$2:$A$842)=1,S167,T167))</f>
        <v>0</v>
      </c>
      <c r="U168" s="26">
        <v>0</v>
      </c>
      <c r="V168" s="26">
        <v>0</v>
      </c>
      <c r="W168" s="15">
        <f t="shared" si="726"/>
        <v>9591265.4108737726</v>
      </c>
      <c r="X168" s="50">
        <f>'Fluxo de Caixa_'!AD174</f>
        <v>0</v>
      </c>
      <c r="AB168" s="26">
        <v>6238.3792999999996</v>
      </c>
      <c r="AC168" s="26">
        <v>0</v>
      </c>
      <c r="AD168">
        <f>SUMIFS([1]Master!$J$2:$J$100,[1]Master!$A$2:$A$100,"="&amp;$I$12,[1]Master!$E$2:$E$100,"="&amp;C168,[1]Master!$J$2:$J$100,"&gt;"&amp;0)</f>
        <v>0</v>
      </c>
      <c r="AE168">
        <f ca="1">-SUMIF('[1]Fluxo de Movimentações'!$A$5:$F$10001,"="&amp;$C168,'[1]Fluxo de Movimentações'!$H$5:$H$10001)</f>
        <v>0</v>
      </c>
      <c r="AF168" s="26">
        <v>0</v>
      </c>
      <c r="AG168" s="26">
        <v>0</v>
      </c>
      <c r="AH168" s="26">
        <v>0</v>
      </c>
      <c r="AI168" s="26">
        <v>0</v>
      </c>
      <c r="AJ168" s="26">
        <v>-28555.666211630101</v>
      </c>
      <c r="AK168" s="68">
        <v>4.3525266</v>
      </c>
      <c r="AL168" s="15">
        <f>-SUMIFS([1]Master!$J$1:$J$200,[1]Master!$A$1:$A$200,"="&amp;$I$12,[1]Master!$G$1:$G$200,"&gt;"&amp;C168,[1]Master!$E$1:$E$200,"&lt;="&amp;C168)</f>
        <v>0</v>
      </c>
      <c r="AM168" s="26">
        <v>0</v>
      </c>
      <c r="AN168" s="26">
        <v>0</v>
      </c>
    </row>
    <row r="169" spans="3:40">
      <c r="C169" s="1">
        <v>45104</v>
      </c>
      <c r="D169" s="39">
        <v>9364152.9736000001</v>
      </c>
      <c r="E169" s="32">
        <v>4.2504150000000003</v>
      </c>
      <c r="F169" s="88">
        <f t="shared" ref="F169" si="753">D169/TRUNC(E169,6)</f>
        <v>2203114.983736882</v>
      </c>
      <c r="G169" s="15">
        <f t="shared" ref="G169" si="754">H169*I169</f>
        <v>9344305.6994087324</v>
      </c>
      <c r="H169" s="32">
        <v>1.0479567000000001</v>
      </c>
      <c r="I169" s="15">
        <f>SUMIFS([1]Master!$K$2:$K$10000,[1]Master!$A$2:$A$10000,$I$12,[1]Master!$F$2:$F$10000,"&lt;="&amp;$C169)</f>
        <v>8916690.6413296759</v>
      </c>
      <c r="J169" s="15">
        <f t="shared" ref="J169" si="755">K169*L169</f>
        <v>0</v>
      </c>
      <c r="K169" s="43">
        <v>0</v>
      </c>
      <c r="L169" s="40">
        <v>0</v>
      </c>
      <c r="M169" s="15">
        <f t="shared" ref="M169" si="756">N169*O169</f>
        <v>0</v>
      </c>
      <c r="N169" s="32">
        <v>0</v>
      </c>
      <c r="O169" s="40">
        <v>0</v>
      </c>
      <c r="P169" s="15">
        <f t="shared" si="741"/>
        <v>24029.45194527178</v>
      </c>
      <c r="Q169" s="32">
        <v>3.8573167000000002</v>
      </c>
      <c r="R169" s="40">
        <v>6229.5771423880697</v>
      </c>
      <c r="S169" s="15">
        <f t="shared" ref="S169" si="757">(((1+1.35%)^(1/252))-1)*D168 +SUM(S168)</f>
        <v>8896.2142496758333</v>
      </c>
      <c r="T169" s="15">
        <f>IF((NETWORKDAYS(DATE(YEAR(C169),MONTH(C169),1),C169,Feriados!$A$2:$A$842))&gt;=5,0,IF(NETWORKDAYS(DATE(YEAR(C169),MONTH(C169),1),C169,Feriados!$A$2:$A$842)=1,S168,T168))</f>
        <v>0</v>
      </c>
      <c r="U169" s="26">
        <v>0</v>
      </c>
      <c r="V169" s="26">
        <v>0</v>
      </c>
      <c r="W169" s="15">
        <f t="shared" ref="W169:W170" si="758">SUM(G169+J169+M169+P169)</f>
        <v>9368335.1513540037</v>
      </c>
      <c r="X169" s="50">
        <f>'Fluxo de Caixa_'!AD175</f>
        <v>0</v>
      </c>
      <c r="AB169" s="26">
        <v>6205.9336000000003</v>
      </c>
      <c r="AC169" s="26">
        <v>0</v>
      </c>
      <c r="AD169">
        <f>SUMIFS([1]Master!$J$2:$J$100,[1]Master!$A$2:$A$100,"="&amp;$I$12,[1]Master!$E$2:$E$100,"="&amp;C169,[1]Master!$J$2:$J$100,"&gt;"&amp;0)</f>
        <v>0</v>
      </c>
      <c r="AE169">
        <f ca="1">-SUMIF('[1]Fluxo de Movimentações'!$A$5:$F$10001,"="&amp;$C169,'[1]Fluxo de Movimentações'!$H$5:$H$10001)</f>
        <v>0</v>
      </c>
      <c r="AF169" s="26">
        <v>0</v>
      </c>
      <c r="AG169" s="26">
        <v>0</v>
      </c>
      <c r="AH169" s="26">
        <v>0</v>
      </c>
      <c r="AI169" s="26">
        <v>0</v>
      </c>
      <c r="AJ169" s="26">
        <v>-1491.9700101303499</v>
      </c>
      <c r="AK169" s="68">
        <v>4.2510922999999998</v>
      </c>
      <c r="AL169" s="15">
        <f>-SUMIFS([1]Master!$J$1:$J$200,[1]Master!$A$1:$A$200,"="&amp;$I$12,[1]Master!$G$1:$G$200,"&gt;"&amp;C169,[1]Master!$E$1:$E$200,"&lt;="&amp;C169)</f>
        <v>0</v>
      </c>
      <c r="AM169" s="26">
        <v>0</v>
      </c>
      <c r="AN169" s="26">
        <v>0</v>
      </c>
    </row>
    <row r="170" spans="3:40">
      <c r="C170" s="1">
        <v>45105</v>
      </c>
      <c r="D170" s="39">
        <v>9330351.4779000003</v>
      </c>
      <c r="E170" s="32">
        <v>4.2350724</v>
      </c>
      <c r="F170" s="88">
        <f t="shared" ref="F170" si="759">D170/TRUNC(E170,6)</f>
        <v>2203115.1956566502</v>
      </c>
      <c r="G170" s="15">
        <f t="shared" ref="G170" si="760">H170*I170</f>
        <v>9309877.4651734922</v>
      </c>
      <c r="H170" s="32">
        <v>1.0440955999999999</v>
      </c>
      <c r="I170" s="15">
        <f>SUMIFS([1]Master!$K$2:$K$10000,[1]Master!$A$2:$A$10000,$I$12,[1]Master!$F$2:$F$10000,"&lt;="&amp;$C170)</f>
        <v>8916690.6413296759</v>
      </c>
      <c r="J170" s="15">
        <f t="shared" ref="J170" si="761">K170*L170</f>
        <v>0</v>
      </c>
      <c r="K170" s="43">
        <v>0</v>
      </c>
      <c r="L170" s="40">
        <v>0</v>
      </c>
      <c r="M170" s="15">
        <f t="shared" ref="M170" si="762">N170*O170</f>
        <v>0</v>
      </c>
      <c r="N170" s="32">
        <v>0</v>
      </c>
      <c r="O170" s="40">
        <v>0</v>
      </c>
      <c r="P170" s="15">
        <f t="shared" si="741"/>
        <v>24041.742900973713</v>
      </c>
      <c r="Q170" s="32">
        <v>3.8592897000000002</v>
      </c>
      <c r="R170" s="40">
        <v>6229.5771423880697</v>
      </c>
      <c r="S170" s="15">
        <f t="shared" ref="S170" si="763">(((1+1.35%)^(1/252))-1)*D169 +SUM(S169)</f>
        <v>9394.522585400262</v>
      </c>
      <c r="T170" s="15">
        <f>IF((NETWORKDAYS(DATE(YEAR(C170),MONTH(C170),1),C170,Feriados!$A$2:$A$842))&gt;=5,0,IF(NETWORKDAYS(DATE(YEAR(C170),MONTH(C170),1),C170,Feriados!$A$2:$A$842)=1,S169,T169))</f>
        <v>0</v>
      </c>
      <c r="U170" s="26">
        <v>0</v>
      </c>
      <c r="V170" s="26">
        <v>0</v>
      </c>
      <c r="W170" s="15">
        <f t="shared" si="758"/>
        <v>9333919.2080744654</v>
      </c>
      <c r="X170" s="50">
        <f>'Fluxo de Caixa_'!AD176</f>
        <v>0</v>
      </c>
      <c r="AB170" s="26">
        <v>6173.4879000000001</v>
      </c>
      <c r="AC170" s="26">
        <v>0</v>
      </c>
      <c r="AD170">
        <f>SUMIFS([1]Master!$J$2:$J$100,[1]Master!$A$2:$A$100,"="&amp;$I$12,[1]Master!$E$2:$E$100,"="&amp;C170,[1]Master!$J$2:$J$100,"&gt;"&amp;0)</f>
        <v>0</v>
      </c>
      <c r="AE170">
        <f ca="1">-SUMIF('[1]Fluxo de Movimentações'!$A$5:$F$10001,"="&amp;$C170,'[1]Fluxo de Movimentações'!$H$5:$H$10001)</f>
        <v>0</v>
      </c>
      <c r="AF170" s="26">
        <v>0</v>
      </c>
      <c r="AG170" s="26">
        <v>0</v>
      </c>
      <c r="AH170" s="26">
        <v>0</v>
      </c>
      <c r="AI170" s="26">
        <v>0</v>
      </c>
      <c r="AJ170" s="26">
        <v>-346.80524055566298</v>
      </c>
      <c r="AK170" s="68">
        <v>4.2352299000000002</v>
      </c>
      <c r="AL170" s="15">
        <f>-SUMIFS([1]Master!$J$1:$J$200,[1]Master!$A$1:$A$200,"="&amp;$I$12,[1]Master!$G$1:$G$200,"&gt;"&amp;C170,[1]Master!$E$1:$E$200,"&lt;="&amp;C170)</f>
        <v>0</v>
      </c>
      <c r="AM170" s="26">
        <v>0</v>
      </c>
      <c r="AN170" s="26">
        <v>0</v>
      </c>
    </row>
    <row r="171" spans="3:40">
      <c r="C171" s="1">
        <v>45106</v>
      </c>
      <c r="D171" s="39">
        <v>9495370.0722000003</v>
      </c>
      <c r="E171" s="32">
        <v>4.3099748</v>
      </c>
      <c r="F171" s="88">
        <f t="shared" ref="F171" si="764">D171/TRUNC(E171,6)</f>
        <v>2203115.3951740772</v>
      </c>
      <c r="G171" s="15">
        <f t="shared" ref="G171" si="765">H171*I171</f>
        <v>9494526.9699813407</v>
      </c>
      <c r="H171" s="32">
        <v>1.0648039</v>
      </c>
      <c r="I171" s="15">
        <f>SUMIFS([1]Master!$K$2:$K$10000,[1]Master!$A$2:$A$10000,$I$12,[1]Master!$F$2:$F$10000,"&lt;="&amp;$C171)</f>
        <v>8916690.6413296759</v>
      </c>
      <c r="J171" s="15">
        <f t="shared" ref="J171" si="766">K171*L171</f>
        <v>0</v>
      </c>
      <c r="K171" s="43">
        <v>0</v>
      </c>
      <c r="L171" s="40">
        <v>0</v>
      </c>
      <c r="M171" s="15">
        <f t="shared" ref="M171" si="767">N171*O171</f>
        <v>0</v>
      </c>
      <c r="N171" s="32">
        <v>0</v>
      </c>
      <c r="O171" s="40">
        <v>0</v>
      </c>
      <c r="P171" s="15">
        <f t="shared" si="741"/>
        <v>24053.81893626423</v>
      </c>
      <c r="Q171" s="32">
        <v>3.8612282000000002</v>
      </c>
      <c r="R171" s="40">
        <v>6229.5771423880697</v>
      </c>
      <c r="S171" s="15">
        <f t="shared" ref="S171" si="768">(((1+1.35%)^(1/252))-1)*D170 +SUM(S170)</f>
        <v>9891.0321928131452</v>
      </c>
      <c r="T171" s="15">
        <f>IF((NETWORKDAYS(DATE(YEAR(C171),MONTH(C171),1),C171,Feriados!$A$2:$A$842))&gt;=5,0,IF(NETWORKDAYS(DATE(YEAR(C171),MONTH(C171),1),C171,Feriados!$A$2:$A$842)=1,S170,T170))</f>
        <v>0</v>
      </c>
      <c r="U171" s="26">
        <v>0</v>
      </c>
      <c r="V171" s="26">
        <v>0</v>
      </c>
      <c r="W171" s="15">
        <f t="shared" ref="W171" si="769">SUM(G171+J171+M171+P171)</f>
        <v>9518580.7889176048</v>
      </c>
      <c r="X171" s="50">
        <f>'Fluxo de Caixa_'!AD177</f>
        <v>0</v>
      </c>
      <c r="AB171" s="26">
        <v>6141.0421999999999</v>
      </c>
      <c r="AC171" s="26">
        <v>0</v>
      </c>
      <c r="AD171">
        <f>SUMIFS([1]Master!$J$2:$J$100,[1]Master!$A$2:$A$100,"="&amp;$I$12,[1]Master!$E$2:$E$100,"="&amp;C171,[1]Master!$J$2:$J$100,"&gt;"&amp;0)</f>
        <v>0</v>
      </c>
      <c r="AE171">
        <f ca="1">-SUMIF('[1]Fluxo de Movimentações'!$A$5:$F$10001,"="&amp;$C171,'[1]Fluxo de Movimentações'!$H$5:$H$10001)</f>
        <v>0</v>
      </c>
      <c r="AF171" s="26">
        <v>0</v>
      </c>
      <c r="AG171" s="26">
        <v>0</v>
      </c>
      <c r="AH171" s="26">
        <v>0</v>
      </c>
      <c r="AI171" s="26">
        <v>0</v>
      </c>
      <c r="AJ171" s="26">
        <v>-19460.8005896373</v>
      </c>
      <c r="AK171" s="68">
        <v>4.3188082000000003</v>
      </c>
      <c r="AL171" s="15">
        <f>-SUMIFS([1]Master!$J$1:$J$200,[1]Master!$A$1:$A$200,"="&amp;$I$12,[1]Master!$G$1:$G$200,"&gt;"&amp;C171,[1]Master!$E$1:$E$200,"&lt;="&amp;C171)</f>
        <v>0</v>
      </c>
      <c r="AM171" s="26">
        <v>0</v>
      </c>
      <c r="AN171" s="26">
        <v>0</v>
      </c>
    </row>
    <row r="172" spans="3:40">
      <c r="C172" s="1">
        <v>45107</v>
      </c>
      <c r="D172" s="39">
        <v>9545203.6164999995</v>
      </c>
      <c r="E172" s="32">
        <v>4.3325943999999996</v>
      </c>
      <c r="F172" s="88">
        <f t="shared" ref="F172" si="770">D172/TRUNC(E172,6)</f>
        <v>2203115.1814594213</v>
      </c>
      <c r="G172" s="15">
        <f t="shared" ref="G172" si="771">H172*I172</f>
        <v>9551470.7397549991</v>
      </c>
      <c r="H172" s="32">
        <v>1.0711900999999999</v>
      </c>
      <c r="I172" s="15">
        <f>SUMIFS([1]Master!$K$2:$K$10000,[1]Master!$A$2:$A$10000,$I$12,[1]Master!$F$2:$F$10000,"&lt;="&amp;$C172)</f>
        <v>8916690.6413296759</v>
      </c>
      <c r="J172" s="15">
        <f t="shared" ref="J172" si="772">K172*L172</f>
        <v>0</v>
      </c>
      <c r="K172" s="43">
        <v>0</v>
      </c>
      <c r="L172" s="40">
        <v>0</v>
      </c>
      <c r="M172" s="15">
        <f t="shared" ref="M172" si="773">N172*O172</f>
        <v>0</v>
      </c>
      <c r="N172" s="32">
        <v>0</v>
      </c>
      <c r="O172" s="40">
        <v>0</v>
      </c>
      <c r="P172" s="15">
        <f t="shared" si="741"/>
        <v>24065.806511559327</v>
      </c>
      <c r="Q172" s="32">
        <v>3.8631525</v>
      </c>
      <c r="R172" s="40">
        <v>6229.5771423880697</v>
      </c>
      <c r="S172" s="15">
        <f t="shared" ref="S172" si="774">(((1+1.35%)^(1/252))-1)*D171 +SUM(S171)</f>
        <v>10396.323175468513</v>
      </c>
      <c r="T172" s="15">
        <f>IF((NETWORKDAYS(DATE(YEAR(C172),MONTH(C172),1),C172,Feriados!$A$2:$A$842))&gt;=5,0,IF(NETWORKDAYS(DATE(YEAR(C172),MONTH(C172),1),C172,Feriados!$A$2:$A$842)=1,S171,T171))</f>
        <v>0</v>
      </c>
      <c r="U172" s="26">
        <v>0</v>
      </c>
      <c r="V172" s="26">
        <v>0</v>
      </c>
      <c r="W172" s="15">
        <f t="shared" ref="W172" si="775">SUM(G172+J172+M172+P172)</f>
        <v>9575536.5462665576</v>
      </c>
      <c r="X172" s="50">
        <f>'Fluxo de Caixa_'!AD178</f>
        <v>0</v>
      </c>
      <c r="AB172" s="26">
        <v>6108.5964999999997</v>
      </c>
      <c r="AC172" s="26">
        <v>0</v>
      </c>
      <c r="AD172">
        <f>SUMIFS([1]Master!$J$2:$J$100,[1]Master!$A$2:$A$100,"="&amp;$I$12,[1]Master!$E$2:$E$100,"="&amp;C172,[1]Master!$J$2:$J$100,"&gt;"&amp;0)</f>
        <v>0</v>
      </c>
      <c r="AE172">
        <f ca="1">-SUMIF('[1]Fluxo de Movimentações'!$A$5:$F$10001,"="&amp;$C172,'[1]Fluxo de Movimentações'!$H$5:$H$10001)</f>
        <v>0</v>
      </c>
      <c r="AF172" s="26">
        <v>0</v>
      </c>
      <c r="AG172" s="26">
        <v>0</v>
      </c>
      <c r="AH172" s="26">
        <v>0</v>
      </c>
      <c r="AI172" s="26">
        <v>0</v>
      </c>
      <c r="AJ172" s="26">
        <v>-26045.274827118599</v>
      </c>
      <c r="AK172" s="68">
        <v>4.3444165000000003</v>
      </c>
      <c r="AL172" s="15">
        <f>-SUMIFS([1]Master!$J$1:$J$200,[1]Master!$A$1:$A$200,"="&amp;$I$12,[1]Master!$G$1:$G$200,"&gt;"&amp;C172,[1]Master!$E$1:$E$200,"&lt;="&amp;C172)</f>
        <v>0</v>
      </c>
      <c r="AM172" s="26">
        <v>0</v>
      </c>
      <c r="AN172" s="26">
        <v>0</v>
      </c>
    </row>
    <row r="173" spans="3:40">
      <c r="C173" s="1">
        <v>45110</v>
      </c>
      <c r="D173" s="39">
        <v>9577883.2907999996</v>
      </c>
      <c r="E173" s="32">
        <v>4.3474278000000002</v>
      </c>
      <c r="F173" s="88">
        <f t="shared" ref="F173" si="776">D173/TRUNC(E173,6)</f>
        <v>2203115.3808448077</v>
      </c>
      <c r="G173" s="15">
        <f t="shared" ref="G173" si="777">H173*I173</f>
        <v>9588924.4071248397</v>
      </c>
      <c r="H173" s="32">
        <v>1.0753904999999999</v>
      </c>
      <c r="I173" s="15">
        <f>SUMIFS([1]Master!$K$2:$K$10000,[1]Master!$A$2:$A$10000,$I$12,[1]Master!$F$2:$F$10000,"&lt;="&amp;$C173)</f>
        <v>8916690.6413296759</v>
      </c>
      <c r="J173" s="15">
        <f t="shared" ref="J173" si="778">K173*L173</f>
        <v>0</v>
      </c>
      <c r="K173" s="43">
        <v>0</v>
      </c>
      <c r="L173" s="40">
        <v>0</v>
      </c>
      <c r="M173" s="15">
        <f t="shared" ref="M173" si="779">N173*O173</f>
        <v>0</v>
      </c>
      <c r="N173" s="32">
        <v>0</v>
      </c>
      <c r="O173" s="40">
        <v>0</v>
      </c>
      <c r="P173" s="15">
        <f t="shared" si="741"/>
        <v>24078.409569076095</v>
      </c>
      <c r="Q173" s="32">
        <v>3.8651756000000002</v>
      </c>
      <c r="R173" s="40">
        <v>6229.5771423880697</v>
      </c>
      <c r="S173" s="54">
        <f>(((1+1.35%)^(1/252))-1)*D172</f>
        <v>507.94284776194945</v>
      </c>
      <c r="T173" s="15">
        <f>IF((NETWORKDAYS(DATE(YEAR(C173),MONTH(C173),1),C173,Feriados!$A$2:$A$842))&gt;=5,0,IF(NETWORKDAYS(DATE(YEAR(C173),MONTH(C173),1),C173,Feriados!$A$2:$A$842)=1,S172,T172))</f>
        <v>10396.323175468513</v>
      </c>
      <c r="U173" s="26">
        <v>0</v>
      </c>
      <c r="V173" s="26">
        <v>0</v>
      </c>
      <c r="W173" s="15">
        <f t="shared" ref="W173" si="780">SUM(G173+J173+M173+P173)</f>
        <v>9613002.8166939151</v>
      </c>
      <c r="X173" s="50">
        <f>'Fluxo de Caixa_'!AD179</f>
        <v>0</v>
      </c>
      <c r="AB173" s="26">
        <v>6076.1508000000003</v>
      </c>
      <c r="AC173" s="26">
        <v>0</v>
      </c>
      <c r="AD173">
        <f>SUMIFS([1]Master!$J$2:$J$100,[1]Master!$A$2:$A$100,"="&amp;$I$12,[1]Master!$E$2:$E$100,"="&amp;C173,[1]Master!$J$2:$J$100,"&gt;"&amp;0)</f>
        <v>0</v>
      </c>
      <c r="AE173">
        <f ca="1">-SUMIF('[1]Fluxo de Movimentações'!$A$5:$F$10001,"="&amp;$C173,'[1]Fluxo de Movimentações'!$H$5:$H$10001)</f>
        <v>0</v>
      </c>
      <c r="AF173" s="26">
        <v>0</v>
      </c>
      <c r="AG173" s="26">
        <v>0</v>
      </c>
      <c r="AH173" s="26">
        <v>0</v>
      </c>
      <c r="AI173" s="26">
        <v>0</v>
      </c>
      <c r="AJ173" s="26">
        <v>-30291.499150833901</v>
      </c>
      <c r="AK173" s="68">
        <v>4.3611772000000002</v>
      </c>
      <c r="AL173" s="15">
        <f>-SUMIFS([1]Master!$J$1:$J$200,[1]Master!$A$1:$A$200,"="&amp;$I$12,[1]Master!$G$1:$G$200,"&gt;"&amp;C173,[1]Master!$E$1:$E$200,"&lt;="&amp;C173)</f>
        <v>0</v>
      </c>
      <c r="AM173" s="26">
        <v>0</v>
      </c>
      <c r="AN173" s="26">
        <v>0</v>
      </c>
    </row>
    <row r="174" spans="3:40">
      <c r="C174" s="1">
        <v>45111</v>
      </c>
      <c r="D174" s="39">
        <v>9544411.6550999992</v>
      </c>
      <c r="E174" s="32">
        <v>4.3322349999999998</v>
      </c>
      <c r="F174" s="88">
        <f t="shared" ref="F174" si="781">D174/TRUNC(E174,6)</f>
        <v>2203114.9406945836</v>
      </c>
      <c r="G174" s="15">
        <f t="shared" ref="G174" si="782">H174*I174</f>
        <v>9539705.9140429515</v>
      </c>
      <c r="H174" s="32">
        <v>1.0711603999999999</v>
      </c>
      <c r="I174" s="15">
        <f>SUMIFS([1]Master!$K$2:$K$10000,[1]Master!$A$2:$A$10000,$I$12,[1]Master!$F$2:$F$10000,"&lt;="&amp;$C174)</f>
        <v>8905954.6208419874</v>
      </c>
      <c r="J174" s="15">
        <f t="shared" ref="J174" si="783">K174*L174</f>
        <v>0</v>
      </c>
      <c r="K174" s="43">
        <v>0</v>
      </c>
      <c r="L174" s="40">
        <v>0</v>
      </c>
      <c r="M174" s="15">
        <f t="shared" ref="M174" si="784">N174*O174</f>
        <v>0</v>
      </c>
      <c r="N174" s="32">
        <v>0</v>
      </c>
      <c r="O174" s="40">
        <v>0</v>
      </c>
      <c r="P174" s="15">
        <f t="shared" si="741"/>
        <v>24090.382193386049</v>
      </c>
      <c r="Q174" s="32">
        <v>3.8670974999999999</v>
      </c>
      <c r="R174" s="40">
        <v>6229.5771423880697</v>
      </c>
      <c r="S174" s="15">
        <f t="shared" ref="S174" si="785">(((1+1.35%)^(1/252))-1)*D173 +SUM(S173)</f>
        <v>1017.6247267164008</v>
      </c>
      <c r="T174" s="15">
        <f>IF((NETWORKDAYS(DATE(YEAR(C174),MONTH(C174),1),C174,Feriados!$A$2:$A$842))&gt;=5,0,IF(NETWORKDAYS(DATE(YEAR(C174),MONTH(C174),1),C174,Feriados!$A$2:$A$842)=1,S173,T173))</f>
        <v>10396.323175468513</v>
      </c>
      <c r="U174" s="26">
        <v>0</v>
      </c>
      <c r="V174" s="26">
        <v>0</v>
      </c>
      <c r="W174" s="15">
        <f t="shared" ref="W174" si="786">SUM(G174+J174+M174+P174)</f>
        <v>9563796.2962363381</v>
      </c>
      <c r="X174" s="50">
        <f>'Fluxo de Caixa_'!AD180</f>
        <v>0</v>
      </c>
      <c r="AB174" s="26">
        <v>6043.7051000000001</v>
      </c>
      <c r="AC174" s="26">
        <v>0</v>
      </c>
      <c r="AD174">
        <f>SUMIFS([1]Master!$J$2:$J$100,[1]Master!$A$2:$A$100,"="&amp;$I$12,[1]Master!$E$2:$E$100,"="&amp;C174,[1]Master!$J$2:$J$100,"&gt;"&amp;0)</f>
        <v>0</v>
      </c>
      <c r="AE174">
        <f ca="1">-SUMIF('[1]Fluxo de Movimentações'!$A$5:$F$10001,"="&amp;$C174,'[1]Fluxo de Movimentações'!$H$5:$H$10001)</f>
        <v>0</v>
      </c>
      <c r="AF174" s="26">
        <v>0</v>
      </c>
      <c r="AG174" s="26">
        <v>0</v>
      </c>
      <c r="AH174" s="26">
        <v>0</v>
      </c>
      <c r="AI174" s="26">
        <v>0</v>
      </c>
      <c r="AJ174" s="26">
        <v>-25514.532962963902</v>
      </c>
      <c r="AK174" s="68">
        <v>4.3438160999999997</v>
      </c>
      <c r="AL174" s="15">
        <f>-SUMIFS([1]Master!$J$1:$J$200,[1]Master!$A$1:$A$200,"="&amp;$I$12,[1]Master!$G$1:$G$200,"&gt;"&amp;C174,[1]Master!$E$1:$E$200,"&lt;="&amp;C174)</f>
        <v>11500</v>
      </c>
      <c r="AM174" s="26">
        <v>0</v>
      </c>
      <c r="AN174" s="26">
        <v>0</v>
      </c>
    </row>
    <row r="175" spans="3:40">
      <c r="C175" s="1">
        <v>45112</v>
      </c>
      <c r="D175" s="39">
        <v>9613715.1194000002</v>
      </c>
      <c r="E175" s="32">
        <v>4.3636920000000003</v>
      </c>
      <c r="F175" s="88">
        <f t="shared" ref="F175" si="787">D175/TRUNC(E175,6)</f>
        <v>2203114.9584801127</v>
      </c>
      <c r="G175" s="15">
        <f t="shared" ref="G175" si="788">H175*I175</f>
        <v>9618774.7603577115</v>
      </c>
      <c r="H175" s="32">
        <v>1.0800386</v>
      </c>
      <c r="I175" s="15">
        <f>SUMIFS([1]Master!$K$2:$K$10000,[1]Master!$A$2:$A$10000,$I$12,[1]Master!$F$2:$F$10000,"&lt;="&amp;$C175)</f>
        <v>8905954.6208419874</v>
      </c>
      <c r="J175" s="15">
        <f t="shared" ref="J175" si="789">K175*L175</f>
        <v>0</v>
      </c>
      <c r="K175" s="43">
        <v>0</v>
      </c>
      <c r="L175" s="40">
        <v>0</v>
      </c>
      <c r="M175" s="15">
        <f t="shared" ref="M175" si="790">N175*O175</f>
        <v>0</v>
      </c>
      <c r="N175" s="32">
        <v>0</v>
      </c>
      <c r="O175" s="40">
        <v>0</v>
      </c>
      <c r="P175" s="15">
        <f t="shared" si="741"/>
        <v>24101.48267689607</v>
      </c>
      <c r="Q175" s="32">
        <v>3.8688794</v>
      </c>
      <c r="R175" s="40">
        <v>6229.5771423880697</v>
      </c>
      <c r="S175" s="15">
        <f t="shared" ref="S175" si="791">(((1+1.35%)^(1/252))-1)*D174 +SUM(S174)</f>
        <v>1525.5254306807954</v>
      </c>
      <c r="T175" s="15">
        <f>IF((NETWORKDAYS(DATE(YEAR(C175),MONTH(C175),1),C175,Feriados!$A$2:$A$842))&gt;=5,0,IF(NETWORKDAYS(DATE(YEAR(C175),MONTH(C175),1),C175,Feriados!$A$2:$A$842)=1,S174,T174))</f>
        <v>10396.323175468513</v>
      </c>
      <c r="U175" s="26">
        <v>0</v>
      </c>
      <c r="V175" s="26">
        <v>0</v>
      </c>
      <c r="W175" s="15">
        <f t="shared" ref="W175:W176" si="792">SUM(G175+J175+M175+P175)</f>
        <v>9642876.2430346068</v>
      </c>
      <c r="X175" s="50">
        <f>'Fluxo de Caixa_'!AD181</f>
        <v>0</v>
      </c>
      <c r="AB175" s="26">
        <v>6011.2593999999999</v>
      </c>
      <c r="AC175" s="26">
        <v>0</v>
      </c>
      <c r="AD175">
        <f>SUMIFS([1]Master!$J$2:$J$100,[1]Master!$A$2:$A$100,"="&amp;$I$12,[1]Master!$E$2:$E$100,"="&amp;C175,[1]Master!$J$2:$J$100,"&gt;"&amp;0)</f>
        <v>0</v>
      </c>
      <c r="AE175">
        <f ca="1">-SUMIF('[1]Fluxo de Movimentações'!$A$5:$F$10001,"="&amp;$C175,'[1]Fluxo de Movimentações'!$H$5:$H$10001)</f>
        <v>0</v>
      </c>
      <c r="AF175" s="26">
        <v>0</v>
      </c>
      <c r="AG175" s="26">
        <v>0</v>
      </c>
      <c r="AH175" s="26">
        <v>0</v>
      </c>
      <c r="AI175" s="26">
        <v>0</v>
      </c>
      <c r="AJ175" s="26">
        <v>-34750.603544207203</v>
      </c>
      <c r="AK175" s="68">
        <v>4.3794654</v>
      </c>
      <c r="AL175" s="15">
        <f>-SUMIFS([1]Master!$J$1:$J$200,[1]Master!$A$1:$A$200,"="&amp;$I$12,[1]Master!$G$1:$G$200,"&gt;"&amp;C175,[1]Master!$E$1:$E$200,"&lt;="&amp;C175)</f>
        <v>11500</v>
      </c>
      <c r="AM175" s="26">
        <v>0</v>
      </c>
      <c r="AN175" s="26">
        <v>0</v>
      </c>
    </row>
    <row r="176" spans="3:40">
      <c r="C176" s="1">
        <v>45113</v>
      </c>
      <c r="D176" s="39">
        <v>9491353.2636999991</v>
      </c>
      <c r="E176" s="32">
        <v>4.3081516000000004</v>
      </c>
      <c r="F176" s="88">
        <f t="shared" ref="F176" si="793">D176/TRUNC(E176,6)</f>
        <v>2203115.2723523388</v>
      </c>
      <c r="G176" s="15">
        <f t="shared" ref="G176" si="794">H176*I176</f>
        <v>9480043.1428470071</v>
      </c>
      <c r="H176" s="32">
        <v>1.0644612</v>
      </c>
      <c r="I176" s="15">
        <f>SUMIFS([1]Master!$K$2:$K$10000,[1]Master!$A$2:$A$10000,$I$12,[1]Master!$F$2:$F$10000,"&lt;="&amp;$C176)</f>
        <v>8905954.6208419874</v>
      </c>
      <c r="J176" s="15">
        <f t="shared" ref="J176" si="795">K176*L176</f>
        <v>0</v>
      </c>
      <c r="K176" s="43">
        <v>0</v>
      </c>
      <c r="L176" s="40">
        <v>0</v>
      </c>
      <c r="M176" s="15">
        <f t="shared" ref="M176" si="796">N176*O176</f>
        <v>0</v>
      </c>
      <c r="N176" s="32">
        <v>0</v>
      </c>
      <c r="O176" s="40">
        <v>0</v>
      </c>
      <c r="P176" s="15">
        <f t="shared" ref="P176:P193" si="797">Q176*R176</f>
        <v>35613.459662063105</v>
      </c>
      <c r="Q176" s="32">
        <v>3.8708019999999999</v>
      </c>
      <c r="R176" s="40">
        <v>9200.5376823880706</v>
      </c>
      <c r="S176" s="15">
        <f t="shared" ref="S176" si="798">(((1+1.35%)^(1/252))-1)*D175 +SUM(S175)</f>
        <v>2037.1140810139254</v>
      </c>
      <c r="T176" s="15">
        <f>IF((NETWORKDAYS(DATE(YEAR(C176),MONTH(C176),1),C176,Feriados!$A$2:$A$842))&gt;=5,0,IF(NETWORKDAYS(DATE(YEAR(C176),MONTH(C176),1),C176,Feriados!$A$2:$A$842)=1,S175,T175))</f>
        <v>10396.323175468513</v>
      </c>
      <c r="U176" s="26">
        <v>0</v>
      </c>
      <c r="V176" s="26">
        <v>0</v>
      </c>
      <c r="W176" s="15">
        <f t="shared" si="792"/>
        <v>9515656.6025090702</v>
      </c>
      <c r="X176" s="50">
        <f>'Fluxo de Caixa_'!AD182</f>
        <v>-1.5308251022361219E-7</v>
      </c>
      <c r="AB176" s="26">
        <v>5978.8136999999997</v>
      </c>
      <c r="AC176" s="26">
        <v>0</v>
      </c>
      <c r="AD176">
        <f>SUMIFS([1]Master!$J$2:$J$100,[1]Master!$A$2:$A$100,"="&amp;$I$12,[1]Master!$E$2:$E$100,"="&amp;C176,[1]Master!$J$2:$J$100,"&gt;"&amp;0)</f>
        <v>0</v>
      </c>
      <c r="AE176">
        <f ca="1">-SUMIF('[1]Fluxo de Movimentações'!$A$5:$F$10001,"="&amp;$C176,'[1]Fluxo de Movimentações'!$H$5:$H$10001)</f>
        <v>0</v>
      </c>
      <c r="AF176" s="26">
        <v>0</v>
      </c>
      <c r="AG176" s="26">
        <v>0</v>
      </c>
      <c r="AH176" s="26">
        <v>0</v>
      </c>
      <c r="AI176" s="26">
        <v>0</v>
      </c>
      <c r="AJ176" s="26">
        <v>-17848.8105620438</v>
      </c>
      <c r="AK176" s="68">
        <v>4.3162532000000002</v>
      </c>
      <c r="AL176" s="15">
        <f>-SUMIFS([1]Master!$J$1:$J$200,[1]Master!$A$1:$A$200,"="&amp;$I$12,[1]Master!$G$1:$G$200,"&gt;"&amp;C176,[1]Master!$E$1:$E$200,"&lt;="&amp;C176)</f>
        <v>0</v>
      </c>
      <c r="AM176" s="26">
        <v>0</v>
      </c>
      <c r="AN176" s="26">
        <v>0</v>
      </c>
    </row>
    <row r="177" spans="3:40">
      <c r="C177" s="1">
        <v>45114</v>
      </c>
      <c r="D177" s="39">
        <v>9608511.0979999993</v>
      </c>
      <c r="E177" s="32">
        <v>4.3613299000000003</v>
      </c>
      <c r="F177" s="88">
        <f t="shared" ref="F177" si="799">D177/TRUNC(E177,6)</f>
        <v>2203115.4031259739</v>
      </c>
      <c r="G177" s="15">
        <f t="shared" ref="G177" si="800">H177*I177</f>
        <v>9613483.7327174675</v>
      </c>
      <c r="H177" s="32">
        <v>1.0794444999999999</v>
      </c>
      <c r="I177" s="15">
        <f>SUMIFS([1]Master!$K$2:$K$10000,[1]Master!$A$2:$A$10000,$I$12,[1]Master!$F$2:$F$10000,"&lt;="&amp;$C177)</f>
        <v>8905954.6208419874</v>
      </c>
      <c r="J177" s="15">
        <f t="shared" ref="J177" si="801">K177*L177</f>
        <v>0</v>
      </c>
      <c r="K177" s="43">
        <v>0</v>
      </c>
      <c r="L177" s="40">
        <v>0</v>
      </c>
      <c r="M177" s="15">
        <f t="shared" ref="M177" si="802">N177*O177</f>
        <v>0</v>
      </c>
      <c r="N177" s="32">
        <v>0</v>
      </c>
      <c r="O177" s="40">
        <v>0</v>
      </c>
      <c r="P177" s="15">
        <f t="shared" si="797"/>
        <v>25234.766446251197</v>
      </c>
      <c r="Q177" s="32">
        <v>3.8727048000000002</v>
      </c>
      <c r="R177" s="40">
        <v>6516.0573163880699</v>
      </c>
      <c r="S177" s="15">
        <f t="shared" ref="S177" si="803">(((1+1.35%)^(1/252))-1)*D176 +SUM(S176)</f>
        <v>2542.1913113775267</v>
      </c>
      <c r="T177" s="15">
        <f>IF((NETWORKDAYS(DATE(YEAR(C177),MONTH(C177),1),C177,Feriados!$A$2:$A$842))&gt;=5,0,IF(NETWORKDAYS(DATE(YEAR(C177),MONTH(C177),1),C177,Feriados!$A$2:$A$842)=1,S176,T176))</f>
        <v>0</v>
      </c>
      <c r="U177" s="26">
        <v>0</v>
      </c>
      <c r="V177" s="26">
        <v>0</v>
      </c>
      <c r="W177" s="15">
        <f t="shared" ref="W177" si="804">SUM(G177+J177+M177+P177)</f>
        <v>9638718.4991637189</v>
      </c>
      <c r="X177" s="50">
        <f>'Fluxo de Caixa_'!AD183</f>
        <v>-1.0860403563128784E-6</v>
      </c>
      <c r="AB177" s="26">
        <v>5946.3680000000004</v>
      </c>
      <c r="AC177" s="26">
        <v>0</v>
      </c>
      <c r="AD177">
        <f>SUMIFS([1]Master!$J$2:$J$100,[1]Master!$A$2:$A$100,"="&amp;$I$12,[1]Master!$E$2:$E$100,"="&amp;C177,[1]Master!$J$2:$J$100,"&gt;"&amp;0)</f>
        <v>0</v>
      </c>
      <c r="AE177">
        <f ca="1">-SUMIF('[1]Fluxo de Movimentações'!$A$5:$F$10001,"="&amp;$C177,'[1]Fluxo de Movimentações'!$H$5:$H$10001)</f>
        <v>0</v>
      </c>
      <c r="AF177" s="26">
        <v>0</v>
      </c>
      <c r="AG177" s="26">
        <v>0</v>
      </c>
      <c r="AH177" s="26">
        <v>0</v>
      </c>
      <c r="AI177" s="26">
        <v>0</v>
      </c>
      <c r="AJ177" s="26">
        <v>-33611.540294818398</v>
      </c>
      <c r="AK177" s="68">
        <v>4.3765862999999996</v>
      </c>
      <c r="AL177" s="15">
        <f>-SUMIFS([1]Master!$J$1:$J$200,[1]Master!$A$1:$A$200,"="&amp;$I$12,[1]Master!$G$1:$G$200,"&gt;"&amp;C177,[1]Master!$E$1:$E$200,"&lt;="&amp;C177)</f>
        <v>0</v>
      </c>
      <c r="AM177" s="26">
        <v>0</v>
      </c>
      <c r="AN177" s="26">
        <v>0</v>
      </c>
    </row>
    <row r="178" spans="3:40">
      <c r="C178" s="1">
        <v>45117</v>
      </c>
      <c r="D178" s="39">
        <v>9558503.1523000002</v>
      </c>
      <c r="E178" s="32">
        <v>4.3386310999999997</v>
      </c>
      <c r="F178" s="88">
        <f t="shared" ref="F178" si="805">D178/TRUNC(E178,6)</f>
        <v>2203115.0269059525</v>
      </c>
      <c r="G178" s="15">
        <f t="shared" ref="G178" si="806">H178*I178</f>
        <v>9556971.888266379</v>
      </c>
      <c r="H178" s="32">
        <v>1.0730991000000001</v>
      </c>
      <c r="I178" s="15">
        <f>SUMIFS([1]Master!$K$2:$K$10000,[1]Master!$A$2:$A$10000,$I$12,[1]Master!$F$2:$F$10000,"&lt;="&amp;$C178)</f>
        <v>8905954.6208419874</v>
      </c>
      <c r="J178" s="15">
        <f t="shared" ref="J178" si="807">K178*L178</f>
        <v>0</v>
      </c>
      <c r="K178" s="43">
        <v>0</v>
      </c>
      <c r="L178" s="40">
        <v>0</v>
      </c>
      <c r="M178" s="15">
        <f t="shared" ref="M178" si="808">N178*O178</f>
        <v>0</v>
      </c>
      <c r="N178" s="32">
        <v>0</v>
      </c>
      <c r="O178" s="40">
        <v>0</v>
      </c>
      <c r="P178" s="15">
        <f t="shared" si="797"/>
        <v>25247.399126570479</v>
      </c>
      <c r="Q178" s="32">
        <v>3.8746434999999999</v>
      </c>
      <c r="R178" s="40">
        <v>6516.0573163880699</v>
      </c>
      <c r="S178" s="15">
        <f t="shared" ref="S178" si="809">(((1+1.35%)^(1/252))-1)*D177 +SUM(S177)</f>
        <v>3053.5030325265416</v>
      </c>
      <c r="T178" s="15">
        <f>IF((NETWORKDAYS(DATE(YEAR(C178),MONTH(C178),1),C178,Feriados!$A$2:$A$842))&gt;=5,0,IF(NETWORKDAYS(DATE(YEAR(C178),MONTH(C178),1),C178,Feriados!$A$2:$A$842)=1,S177,T177))</f>
        <v>0</v>
      </c>
      <c r="U178" s="26">
        <v>0</v>
      </c>
      <c r="V178" s="26">
        <v>0</v>
      </c>
      <c r="W178" s="15">
        <f t="shared" ref="W178" si="810">SUM(G178+J178+M178+P178)</f>
        <v>9582219.2873929497</v>
      </c>
      <c r="X178" s="50">
        <f>'Fluxo de Caixa_'!AD184</f>
        <v>0</v>
      </c>
      <c r="AB178" s="26">
        <v>5913.9223000000002</v>
      </c>
      <c r="AC178" s="26">
        <v>0</v>
      </c>
      <c r="AD178">
        <f>SUMIFS([1]Master!$J$2:$J$100,[1]Master!$A$2:$A$100,"="&amp;$I$12,[1]Master!$E$2:$E$100,"="&amp;C178,[1]Master!$J$2:$J$100,"&gt;"&amp;0)</f>
        <v>0</v>
      </c>
      <c r="AE178">
        <f ca="1">-SUMIF('[1]Fluxo de Movimentações'!$A$5:$F$10001,"="&amp;$C178,'[1]Fluxo de Movimentações'!$H$5:$H$10001)</f>
        <v>0</v>
      </c>
      <c r="AF178" s="26">
        <v>0</v>
      </c>
      <c r="AG178" s="26">
        <v>0</v>
      </c>
      <c r="AH178" s="26">
        <v>0</v>
      </c>
      <c r="AI178" s="26">
        <v>0</v>
      </c>
      <c r="AJ178" s="26">
        <v>-26576.58</v>
      </c>
      <c r="AK178" s="68">
        <v>4.3506942999999998</v>
      </c>
      <c r="AL178" s="15">
        <f>-SUMIFS([1]Master!$J$1:$J$200,[1]Master!$A$1:$A$200,"="&amp;$I$12,[1]Master!$G$1:$G$200,"&gt;"&amp;C178,[1]Master!$E$1:$E$200,"&lt;="&amp;C178)</f>
        <v>0</v>
      </c>
      <c r="AM178" s="26">
        <v>0</v>
      </c>
      <c r="AN178" s="26">
        <v>0</v>
      </c>
    </row>
    <row r="179" spans="3:40">
      <c r="C179" s="1">
        <v>45118</v>
      </c>
      <c r="D179" s="39">
        <v>9494467.0365999993</v>
      </c>
      <c r="E179" s="32">
        <v>4.3095650000000001</v>
      </c>
      <c r="F179" s="88">
        <f t="shared" ref="F179" si="811">D179/TRUNC(E179,6)</f>
        <v>2203114.940046153</v>
      </c>
      <c r="G179" s="15">
        <f t="shared" ref="G179" si="812">H179*I179</f>
        <v>9484411.5135885291</v>
      </c>
      <c r="H179" s="32">
        <v>1.0649516999999999</v>
      </c>
      <c r="I179" s="15">
        <f>SUMIFS([1]Master!$K$2:$K$10000,[1]Master!$A$2:$A$10000,$I$12,[1]Master!$F$2:$F$10000,"&lt;="&amp;$C179)</f>
        <v>8905954.6208419874</v>
      </c>
      <c r="J179" s="15">
        <f t="shared" ref="J179" si="813">K179*L179</f>
        <v>0</v>
      </c>
      <c r="K179" s="43">
        <v>0</v>
      </c>
      <c r="L179" s="40">
        <v>0</v>
      </c>
      <c r="M179" s="15">
        <f t="shared" ref="M179" si="814">N179*O179</f>
        <v>0</v>
      </c>
      <c r="N179" s="32">
        <v>0</v>
      </c>
      <c r="O179" s="40">
        <v>0</v>
      </c>
      <c r="P179" s="15">
        <f t="shared" si="797"/>
        <v>25260.498356593613</v>
      </c>
      <c r="Q179" s="32">
        <v>3.8766538000000001</v>
      </c>
      <c r="R179" s="40">
        <v>6516.0573163880699</v>
      </c>
      <c r="S179" s="15">
        <f t="shared" ref="S179" si="815">(((1+1.35%)^(1/252))-1)*D178 +SUM(S178)</f>
        <v>3562.153607892802</v>
      </c>
      <c r="T179" s="15">
        <f>IF((NETWORKDAYS(DATE(YEAR(C179),MONTH(C179),1),C179,Feriados!$A$2:$A$842))&gt;=5,0,IF(NETWORKDAYS(DATE(YEAR(C179),MONTH(C179),1),C179,Feriados!$A$2:$A$842)=1,S178,T178))</f>
        <v>0</v>
      </c>
      <c r="U179" s="26">
        <v>0</v>
      </c>
      <c r="V179" s="26">
        <v>0</v>
      </c>
      <c r="W179" s="15">
        <f t="shared" ref="W179" si="816">SUM(G179+J179+M179+P179)</f>
        <v>9509672.0119451229</v>
      </c>
      <c r="X179" s="50">
        <f>'Fluxo de Caixa_'!AD185</f>
        <v>0</v>
      </c>
      <c r="AB179" s="26">
        <v>5881.4766</v>
      </c>
      <c r="AC179" s="26">
        <v>0</v>
      </c>
      <c r="AD179">
        <f>SUMIFS([1]Master!$J$2:$J$100,[1]Master!$A$2:$A$100,"="&amp;$I$12,[1]Master!$E$2:$E$100,"="&amp;C179,[1]Master!$J$2:$J$100,"&gt;"&amp;0)</f>
        <v>0</v>
      </c>
      <c r="AE179">
        <f ca="1">-SUMIF('[1]Fluxo de Movimentações'!$A$5:$F$10001,"="&amp;$C179,'[1]Fluxo de Movimentações'!$H$5:$H$10001)</f>
        <v>0</v>
      </c>
      <c r="AF179" s="26">
        <v>0</v>
      </c>
      <c r="AG179" s="26">
        <v>0</v>
      </c>
      <c r="AH179" s="26">
        <v>0</v>
      </c>
      <c r="AI179" s="26">
        <v>0</v>
      </c>
      <c r="AJ179" s="26">
        <v>-17524.260750148602</v>
      </c>
      <c r="AK179" s="68">
        <v>4.3175192999999998</v>
      </c>
      <c r="AL179" s="15">
        <f>-SUMIFS([1]Master!$J$1:$J$200,[1]Master!$A$1:$A$200,"="&amp;$I$12,[1]Master!$G$1:$G$200,"&gt;"&amp;C179,[1]Master!$E$1:$E$200,"&lt;="&amp;C179)</f>
        <v>0</v>
      </c>
      <c r="AM179" s="26">
        <v>0</v>
      </c>
      <c r="AN179" s="26">
        <v>0</v>
      </c>
    </row>
    <row r="180" spans="3:40">
      <c r="C180" s="1">
        <v>45119</v>
      </c>
      <c r="D180" s="39">
        <v>9418307.2908999994</v>
      </c>
      <c r="E180" s="32">
        <v>4.2749958000000001</v>
      </c>
      <c r="F180" s="88">
        <f t="shared" ref="F180" si="817">D180/TRUNC(E180,6)</f>
        <v>2203115.3933279454</v>
      </c>
      <c r="G180" s="15">
        <f t="shared" ref="G180" si="818">H180*I180</f>
        <v>9398170.7020176072</v>
      </c>
      <c r="H180" s="32">
        <v>1.0552682</v>
      </c>
      <c r="I180" s="15">
        <f>SUMIFS([1]Master!$K$2:$K$10000,[1]Master!$A$2:$A$10000,$I$12,[1]Master!$F$2:$F$10000,"&lt;="&amp;$C180)</f>
        <v>8905954.6208419874</v>
      </c>
      <c r="J180" s="15">
        <f t="shared" ref="J180" si="819">K180*L180</f>
        <v>0</v>
      </c>
      <c r="K180" s="43">
        <v>0</v>
      </c>
      <c r="L180" s="40">
        <v>0</v>
      </c>
      <c r="M180" s="15">
        <f t="shared" ref="M180" si="820">N180*O180</f>
        <v>0</v>
      </c>
      <c r="N180" s="32">
        <v>0</v>
      </c>
      <c r="O180" s="40">
        <v>0</v>
      </c>
      <c r="P180" s="15">
        <f t="shared" si="797"/>
        <v>25272.953800153889</v>
      </c>
      <c r="Q180" s="32">
        <v>3.8785653</v>
      </c>
      <c r="R180" s="40">
        <v>6516.0573163880699</v>
      </c>
      <c r="S180" s="15">
        <f t="shared" ref="S180" si="821">(((1+1.35%)^(1/252))-1)*D179 +SUM(S179)</f>
        <v>4067.3965359971385</v>
      </c>
      <c r="T180" s="15">
        <f>IF((NETWORKDAYS(DATE(YEAR(C180),MONTH(C180),1),C180,Feriados!$A$2:$A$842))&gt;=5,0,IF(NETWORKDAYS(DATE(YEAR(C180),MONTH(C180),1),C180,Feriados!$A$2:$A$842)=1,S179,T179))</f>
        <v>0</v>
      </c>
      <c r="U180" s="26">
        <v>0</v>
      </c>
      <c r="V180" s="26">
        <v>0</v>
      </c>
      <c r="W180" s="15">
        <f t="shared" ref="W180" si="822">SUM(G180+J180+M180+P180)</f>
        <v>9423443.6558177602</v>
      </c>
      <c r="X180" s="50">
        <f>'Fluxo de Caixa_'!AD186</f>
        <v>0</v>
      </c>
      <c r="AB180" s="26">
        <v>5849.0308999999997</v>
      </c>
      <c r="AC180" s="26">
        <v>0</v>
      </c>
      <c r="AD180">
        <f>SUMIFS([1]Master!$J$2:$J$100,[1]Master!$A$2:$A$100,"="&amp;$I$12,[1]Master!$E$2:$E$100,"="&amp;C180,[1]Master!$J$2:$J$100,"&gt;"&amp;0)</f>
        <v>50000</v>
      </c>
      <c r="AE180">
        <f ca="1">-SUMIF('[1]Fluxo de Movimentações'!$A$5:$F$10001,"="&amp;$C180,'[1]Fluxo de Movimentações'!$H$5:$H$10001)</f>
        <v>0</v>
      </c>
      <c r="AF180" s="26">
        <v>0</v>
      </c>
      <c r="AG180" s="26">
        <v>0</v>
      </c>
      <c r="AH180" s="26">
        <v>0</v>
      </c>
      <c r="AI180" s="26">
        <v>0</v>
      </c>
      <c r="AJ180" s="26">
        <v>-6918.00865918208</v>
      </c>
      <c r="AK180" s="68">
        <v>4.2781359999999999</v>
      </c>
      <c r="AL180" s="15">
        <f>-SUMIFS([1]Master!$J$1:$J$200,[1]Master!$A$1:$A$200,"="&amp;$I$12,[1]Master!$G$1:$G$200,"&gt;"&amp;C180,[1]Master!$E$1:$E$200,"&lt;="&amp;C180)</f>
        <v>0</v>
      </c>
      <c r="AM180" s="26">
        <v>50000</v>
      </c>
      <c r="AN180" s="26">
        <v>0</v>
      </c>
    </row>
    <row r="181" spans="3:40">
      <c r="C181" s="1">
        <v>45120</v>
      </c>
      <c r="D181" s="39">
        <v>9468071.1052000001</v>
      </c>
      <c r="E181" s="32">
        <v>4.2748885999999997</v>
      </c>
      <c r="F181" s="88">
        <f t="shared" ref="F181" si="823">D181/TRUNC(E181,6)</f>
        <v>2214811.500371472</v>
      </c>
      <c r="G181" s="15">
        <f t="shared" ref="G181" si="824">H181*I181</f>
        <v>9448201.8728587795</v>
      </c>
      <c r="H181" s="32">
        <v>1.0552717</v>
      </c>
      <c r="I181" s="15">
        <f>SUMIFS([1]Master!$K$2:$K$10000,[1]Master!$A$2:$A$10000,$I$12,[1]Master!$F$2:$F$10000,"&lt;="&amp;$C181)</f>
        <v>8953335.7834373638</v>
      </c>
      <c r="J181" s="15">
        <f t="shared" ref="J181" si="825">K181*L181</f>
        <v>0</v>
      </c>
      <c r="K181" s="43">
        <v>0</v>
      </c>
      <c r="L181" s="40">
        <v>0</v>
      </c>
      <c r="M181" s="15">
        <f t="shared" ref="M181" si="826">N181*O181</f>
        <v>0</v>
      </c>
      <c r="N181" s="32">
        <v>0</v>
      </c>
      <c r="O181" s="40">
        <v>0</v>
      </c>
      <c r="P181" s="15">
        <f t="shared" si="797"/>
        <v>25285.41575977148</v>
      </c>
      <c r="Q181" s="32">
        <v>3.8804778</v>
      </c>
      <c r="R181" s="40">
        <v>6516.0573163880699</v>
      </c>
      <c r="S181" s="15">
        <f t="shared" ref="S181" si="827">(((1+1.35%)^(1/252))-1)*D180 +SUM(S180)</f>
        <v>4568.5866644263779</v>
      </c>
      <c r="T181" s="15">
        <f>IF((NETWORKDAYS(DATE(YEAR(C181),MONTH(C181),1),C181,Feriados!$A$2:$A$842))&gt;=5,0,IF(NETWORKDAYS(DATE(YEAR(C181),MONTH(C181),1),C181,Feriados!$A$2:$A$842)=1,S180,T180))</f>
        <v>0</v>
      </c>
      <c r="U181" s="26">
        <v>0</v>
      </c>
      <c r="V181" s="26">
        <v>0</v>
      </c>
      <c r="W181" s="15">
        <f t="shared" ref="W181" si="828">SUM(G181+J181+M181+P181)</f>
        <v>9473487.2886185516</v>
      </c>
      <c r="X181" s="50">
        <f>'Fluxo de Caixa_'!AD187</f>
        <v>0</v>
      </c>
      <c r="AB181" s="26">
        <v>5816.5852000000004</v>
      </c>
      <c r="AC181" s="26">
        <v>0</v>
      </c>
      <c r="AD181">
        <f>SUMIFS([1]Master!$J$2:$J$100,[1]Master!$A$2:$A$100,"="&amp;$I$12,[1]Master!$E$2:$E$100,"="&amp;C181,[1]Master!$J$2:$J$100,"&gt;"&amp;0)</f>
        <v>0</v>
      </c>
      <c r="AE181">
        <f ca="1">-SUMIF('[1]Fluxo de Movimentações'!$A$5:$F$10001,"="&amp;$C181,'[1]Fluxo de Movimentações'!$H$5:$H$10001)</f>
        <v>-50000</v>
      </c>
      <c r="AF181" s="26">
        <v>0</v>
      </c>
      <c r="AG181" s="26">
        <v>0</v>
      </c>
      <c r="AH181" s="26">
        <v>0</v>
      </c>
      <c r="AI181" s="26">
        <v>0</v>
      </c>
      <c r="AJ181" s="26">
        <v>-6664.1479103009597</v>
      </c>
      <c r="AK181" s="68">
        <v>4.2779135000000004</v>
      </c>
      <c r="AL181" s="15">
        <f>-SUMIFS([1]Master!$J$1:$J$200,[1]Master!$A$1:$A$200,"="&amp;$I$12,[1]Master!$G$1:$G$200,"&gt;"&amp;C181,[1]Master!$E$1:$E$200,"&lt;="&amp;C181)</f>
        <v>0</v>
      </c>
      <c r="AM181" s="26">
        <v>0</v>
      </c>
      <c r="AN181" s="26">
        <v>0</v>
      </c>
    </row>
    <row r="182" spans="3:40">
      <c r="C182" s="1">
        <v>45121</v>
      </c>
      <c r="D182" s="39">
        <v>9313407.4195000008</v>
      </c>
      <c r="E182" s="32">
        <v>4.2050571000000003</v>
      </c>
      <c r="F182" s="88">
        <f t="shared" ref="F182" si="829">D182/TRUNC(E182,6)</f>
        <v>2214811.2188491146</v>
      </c>
      <c r="G182" s="15">
        <f t="shared" ref="G182" si="830">H182*I182</f>
        <v>9287687.364266891</v>
      </c>
      <c r="H182" s="32">
        <v>1.0373437999999999</v>
      </c>
      <c r="I182" s="15">
        <f>SUMIFS([1]Master!$K$2:$K$10000,[1]Master!$A$2:$A$10000,$I$12,[1]Master!$F$2:$F$10000,"&lt;="&amp;$C182)</f>
        <v>8953335.7834373638</v>
      </c>
      <c r="J182" s="15">
        <f t="shared" ref="J182" si="831">K182*L182</f>
        <v>0</v>
      </c>
      <c r="K182" s="43">
        <v>0</v>
      </c>
      <c r="L182" s="40">
        <v>0</v>
      </c>
      <c r="M182" s="15">
        <f t="shared" ref="M182" si="832">N182*O182</f>
        <v>0</v>
      </c>
      <c r="N182" s="32">
        <v>0</v>
      </c>
      <c r="O182" s="40">
        <v>0</v>
      </c>
      <c r="P182" s="15">
        <f t="shared" si="797"/>
        <v>25297.169423958785</v>
      </c>
      <c r="Q182" s="32">
        <v>3.8822816000000002</v>
      </c>
      <c r="R182" s="40">
        <v>6516.0573163880699</v>
      </c>
      <c r="S182" s="15">
        <f t="shared" ref="S182" si="833">(((1+1.35%)^(1/252))-1)*D181 +SUM(S181)</f>
        <v>5072.4249473179634</v>
      </c>
      <c r="T182" s="15">
        <f>IF((NETWORKDAYS(DATE(YEAR(C182),MONTH(C182),1),C182,Feriados!$A$2:$A$842))&gt;=5,0,IF(NETWORKDAYS(DATE(YEAR(C182),MONTH(C182),1),C182,Feriados!$A$2:$A$842)=1,S181,T181))</f>
        <v>0</v>
      </c>
      <c r="U182" s="26">
        <v>0</v>
      </c>
      <c r="V182" s="26">
        <v>0</v>
      </c>
      <c r="W182" s="15">
        <f t="shared" ref="W182" si="834">SUM(G182+J182+M182+P182)</f>
        <v>9312984.5336908493</v>
      </c>
      <c r="X182" s="50">
        <f>'Fluxo de Caixa_'!AD188</f>
        <v>0</v>
      </c>
      <c r="AB182" s="26">
        <v>5784.1395000000002</v>
      </c>
      <c r="AC182" s="26">
        <v>0</v>
      </c>
      <c r="AD182">
        <f>SUMIFS([1]Master!$J$2:$J$100,[1]Master!$A$2:$A$100,"="&amp;$I$12,[1]Master!$E$2:$E$100,"="&amp;C182,[1]Master!$J$2:$J$100,"&gt;"&amp;0)</f>
        <v>0</v>
      </c>
      <c r="AE182">
        <f ca="1">-SUMIF('[1]Fluxo de Movimentações'!$A$5:$F$10001,"="&amp;$C182,'[1]Fluxo de Movimentações'!$H$5:$H$10001)</f>
        <v>0</v>
      </c>
      <c r="AF182" s="26">
        <v>0</v>
      </c>
      <c r="AG182" s="26">
        <v>0</v>
      </c>
      <c r="AH182" s="26">
        <v>0</v>
      </c>
      <c r="AI182" s="26">
        <v>0</v>
      </c>
      <c r="AJ182" s="26">
        <v>-288.85772499640802</v>
      </c>
      <c r="AK182" s="68">
        <v>4.2051875000000001</v>
      </c>
      <c r="AL182" s="15">
        <f>-SUMIFS([1]Master!$J$1:$J$200,[1]Master!$A$1:$A$200,"="&amp;$I$12,[1]Master!$G$1:$G$200,"&gt;"&amp;C182,[1]Master!$E$1:$E$200,"&lt;="&amp;C182)</f>
        <v>0</v>
      </c>
      <c r="AM182" s="26">
        <v>0</v>
      </c>
      <c r="AN182" s="26">
        <v>0</v>
      </c>
    </row>
    <row r="183" spans="3:40">
      <c r="C183" s="1">
        <v>45124</v>
      </c>
      <c r="D183" s="39">
        <v>9378191.0037999991</v>
      </c>
      <c r="E183" s="32">
        <v>4.2343071999999999</v>
      </c>
      <c r="F183" s="88">
        <f t="shared" ref="F183" si="835">D183/TRUNC(E183,6)</f>
        <v>2214811.3029593742</v>
      </c>
      <c r="G183" s="15">
        <f t="shared" ref="G183" si="836">H183*I183</f>
        <v>9353029.7041479964</v>
      </c>
      <c r="H183" s="32">
        <v>1.0446419</v>
      </c>
      <c r="I183" s="15">
        <f>SUMIFS([1]Master!$K$2:$K$10000,[1]Master!$A$2:$A$10000,$I$12,[1]Master!$F$2:$F$10000,"&lt;="&amp;$C183)</f>
        <v>8953335.7834373638</v>
      </c>
      <c r="J183" s="15">
        <f t="shared" ref="J183" si="837">K183*L183</f>
        <v>0</v>
      </c>
      <c r="K183" s="43">
        <v>0</v>
      </c>
      <c r="L183" s="40">
        <v>0</v>
      </c>
      <c r="M183" s="15">
        <f t="shared" ref="M183" si="838">N183*O183</f>
        <v>0</v>
      </c>
      <c r="N183" s="32">
        <v>0</v>
      </c>
      <c r="O183" s="40">
        <v>0</v>
      </c>
      <c r="P183" s="15">
        <f t="shared" si="797"/>
        <v>25309.441766308468</v>
      </c>
      <c r="Q183" s="32">
        <v>3.8841649999999999</v>
      </c>
      <c r="R183" s="40">
        <v>6516.0573163880699</v>
      </c>
      <c r="S183" s="15">
        <f t="shared" ref="S183" si="839">(((1+1.35%)^(1/252))-1)*D182 +SUM(S182)</f>
        <v>5568.0328858275798</v>
      </c>
      <c r="T183" s="15">
        <f>IF((NETWORKDAYS(DATE(YEAR(C183),MONTH(C183),1),C183,Feriados!$A$2:$A$842))&gt;=5,0,IF(NETWORKDAYS(DATE(YEAR(C183),MONTH(C183),1),C183,Feriados!$A$2:$A$842)=1,S182,T182))</f>
        <v>0</v>
      </c>
      <c r="U183" s="26">
        <v>0</v>
      </c>
      <c r="V183" s="26">
        <v>0</v>
      </c>
      <c r="W183" s="15">
        <f t="shared" ref="W183" si="840">SUM(G183+J183+M183+P183)</f>
        <v>9378339.145914305</v>
      </c>
      <c r="X183" s="50">
        <f>'Fluxo de Caixa_'!AD189</f>
        <v>0</v>
      </c>
      <c r="AB183" s="26">
        <v>5751.6938</v>
      </c>
      <c r="AC183" s="26">
        <v>0</v>
      </c>
      <c r="AD183">
        <f>SUMIFS([1]Master!$J$2:$J$100,[1]Master!$A$2:$A$100,"="&amp;$I$12,[1]Master!$E$2:$E$100,"="&amp;C183,[1]Master!$J$2:$J$100,"&gt;"&amp;0)</f>
        <v>0</v>
      </c>
      <c r="AE183">
        <f ca="1">-SUMIF('[1]Fluxo de Movimentações'!$A$5:$F$10001,"="&amp;$C183,'[1]Fluxo de Movimentações'!$H$5:$H$10001)</f>
        <v>0</v>
      </c>
      <c r="AF183" s="26">
        <v>0</v>
      </c>
      <c r="AG183" s="26">
        <v>0</v>
      </c>
      <c r="AH183" s="26">
        <v>0</v>
      </c>
      <c r="AI183" s="26">
        <v>0</v>
      </c>
      <c r="AJ183" s="26">
        <v>-331.85121152605899</v>
      </c>
      <c r="AK183" s="68">
        <v>4.2344571000000002</v>
      </c>
      <c r="AL183" s="15">
        <f>-SUMIFS([1]Master!$J$1:$J$200,[1]Master!$A$1:$A$200,"="&amp;$I$12,[1]Master!$G$1:$G$200,"&gt;"&amp;C183,[1]Master!$E$1:$E$200,"&lt;="&amp;C183)</f>
        <v>0</v>
      </c>
      <c r="AM183" s="26">
        <v>0</v>
      </c>
      <c r="AN183" s="26">
        <v>0</v>
      </c>
    </row>
    <row r="184" spans="3:40">
      <c r="C184" s="1">
        <v>45125</v>
      </c>
      <c r="D184" s="39">
        <v>9357273.6480999999</v>
      </c>
      <c r="E184" s="32">
        <v>4.2248628999999998</v>
      </c>
      <c r="F184" s="88">
        <f t="shared" ref="F184" si="841">D184/TRUNC(E184,6)</f>
        <v>2214811.666771601</v>
      </c>
      <c r="G184" s="15">
        <f t="shared" ref="G184" si="842">H184*I184</f>
        <v>9332616.0985617582</v>
      </c>
      <c r="H184" s="32">
        <v>1.0423619</v>
      </c>
      <c r="I184" s="15">
        <f>SUMIFS([1]Master!$K$2:$K$10000,[1]Master!$A$2:$A$10000,$I$12,[1]Master!$F$2:$F$10000,"&lt;="&amp;$C184)</f>
        <v>8953335.7834373638</v>
      </c>
      <c r="J184" s="15">
        <f t="shared" ref="J184" si="843">K184*L184</f>
        <v>0</v>
      </c>
      <c r="K184" s="43">
        <v>0</v>
      </c>
      <c r="L184" s="40">
        <v>0</v>
      </c>
      <c r="M184" s="15">
        <f t="shared" ref="M184" si="844">N184*O184</f>
        <v>0</v>
      </c>
      <c r="N184" s="32">
        <v>0</v>
      </c>
      <c r="O184" s="40">
        <v>0</v>
      </c>
      <c r="P184" s="15">
        <f t="shared" si="797"/>
        <v>25321.419582867453</v>
      </c>
      <c r="Q184" s="32">
        <v>3.8860032000000002</v>
      </c>
      <c r="R184" s="40">
        <v>6516.0573163880699</v>
      </c>
      <c r="S184" s="15">
        <f t="shared" ref="S184" si="845">(((1+1.35%)^(1/252))-1)*D183 +SUM(S183)</f>
        <v>6067.0882477363875</v>
      </c>
      <c r="T184" s="15">
        <f>IF((NETWORKDAYS(DATE(YEAR(C184),MONTH(C184),1),C184,Feriados!$A$2:$A$842))&gt;=5,0,IF(NETWORKDAYS(DATE(YEAR(C184),MONTH(C184),1),C184,Feriados!$A$2:$A$842)=1,S183,T183))</f>
        <v>0</v>
      </c>
      <c r="U184" s="26">
        <v>0</v>
      </c>
      <c r="V184" s="26">
        <v>0</v>
      </c>
      <c r="W184" s="15">
        <f t="shared" ref="W184" si="846">SUM(G184+J184+M184+P184)</f>
        <v>9357937.5181446262</v>
      </c>
      <c r="X184" s="50">
        <f>'Fluxo de Caixa_'!AD190</f>
        <v>0</v>
      </c>
      <c r="AB184" s="26">
        <v>5719.2480999999998</v>
      </c>
      <c r="AC184" s="26">
        <v>0</v>
      </c>
      <c r="AD184">
        <f>SUMIFS([1]Master!$J$2:$J$100,[1]Master!$A$2:$A$100,"="&amp;$I$12,[1]Master!$E$2:$E$100,"="&amp;C184,[1]Master!$J$2:$J$100,"&gt;"&amp;0)</f>
        <v>0</v>
      </c>
      <c r="AE184">
        <f ca="1">-SUMIF('[1]Fluxo de Movimentações'!$A$5:$F$10001,"="&amp;$C184,'[1]Fluxo de Movimentações'!$H$5:$H$10001)</f>
        <v>0</v>
      </c>
      <c r="AF184" s="26">
        <v>0</v>
      </c>
      <c r="AG184" s="26">
        <v>0</v>
      </c>
      <c r="AH184" s="26">
        <v>0</v>
      </c>
      <c r="AI184" s="26">
        <v>0</v>
      </c>
      <c r="AJ184" s="26">
        <v>-316.07702996771502</v>
      </c>
      <c r="AK184" s="68">
        <v>4.2250056999999996</v>
      </c>
      <c r="AL184" s="15">
        <f>-SUMIFS([1]Master!$J$1:$J$200,[1]Master!$A$1:$A$200,"="&amp;$I$12,[1]Master!$G$1:$G$200,"&gt;"&amp;C184,[1]Master!$E$1:$E$200,"&lt;="&amp;C184)</f>
        <v>0</v>
      </c>
      <c r="AM184" s="26">
        <v>0</v>
      </c>
      <c r="AN184" s="26">
        <v>0</v>
      </c>
    </row>
    <row r="185" spans="3:40">
      <c r="C185" s="1">
        <v>45126</v>
      </c>
      <c r="D185" s="39">
        <v>9298457.7423999999</v>
      </c>
      <c r="E185" s="32">
        <v>4.1983072000000003</v>
      </c>
      <c r="F185" s="88">
        <f t="shared" ref="F185" si="847">D185/TRUNC(E185,6)</f>
        <v>2214811.2899795086</v>
      </c>
      <c r="G185" s="15">
        <f t="shared" ref="G185" si="848">H185*I185</f>
        <v>9274276.1625968814</v>
      </c>
      <c r="H185" s="32">
        <v>1.0358459</v>
      </c>
      <c r="I185" s="15">
        <f>SUMIFS([1]Master!$K$2:$K$10000,[1]Master!$A$2:$A$10000,$I$12,[1]Master!$F$2:$F$10000,"&lt;="&amp;$C185)</f>
        <v>8953335.7834373638</v>
      </c>
      <c r="J185" s="15">
        <f t="shared" ref="J185" si="849">K185*L185</f>
        <v>0</v>
      </c>
      <c r="K185" s="43">
        <v>0</v>
      </c>
      <c r="L185" s="40">
        <v>0</v>
      </c>
      <c r="M185" s="15">
        <f t="shared" ref="M185:M186" si="850">N185*O185</f>
        <v>0</v>
      </c>
      <c r="N185" s="32">
        <v>0</v>
      </c>
      <c r="O185" s="40">
        <v>0</v>
      </c>
      <c r="P185" s="15">
        <f t="shared" si="797"/>
        <v>25334.288796067318</v>
      </c>
      <c r="Q185" s="32">
        <v>3.8879782000000001</v>
      </c>
      <c r="R185" s="40">
        <v>6516.0573163880699</v>
      </c>
      <c r="S185" s="15">
        <f t="shared" ref="S185" si="851">(((1+1.35%)^(1/252))-1)*D184 +SUM(S184)</f>
        <v>6565.0305038751367</v>
      </c>
      <c r="T185" s="15">
        <f>IF((NETWORKDAYS(DATE(YEAR(C185),MONTH(C185),1),C185,Feriados!$A$2:$A$842))&gt;=5,0,IF(NETWORKDAYS(DATE(YEAR(C185),MONTH(C185),1),C185,Feriados!$A$2:$A$842)=1,S184,T184))</f>
        <v>0</v>
      </c>
      <c r="U185" s="26">
        <v>0</v>
      </c>
      <c r="V185" s="26">
        <v>0</v>
      </c>
      <c r="W185" s="15">
        <f t="shared" ref="W185" si="852">SUM(G185+J185+M185+P185)</f>
        <v>9299610.4513929486</v>
      </c>
      <c r="X185" s="50">
        <f>'Fluxo de Caixa_'!AD191</f>
        <v>0</v>
      </c>
      <c r="AB185" s="26">
        <v>5686.8023999999996</v>
      </c>
      <c r="AC185" s="26">
        <v>0</v>
      </c>
      <c r="AD185">
        <f>SUMIFS([1]Master!$J$2:$J$100,[1]Master!$A$2:$A$100,"="&amp;$I$12,[1]Master!$E$2:$E$100,"="&amp;C185,[1]Master!$J$2:$J$100,"&gt;"&amp;0)</f>
        <v>0</v>
      </c>
      <c r="AE185">
        <f ca="1">-SUMIF('[1]Fluxo de Movimentações'!$A$5:$F$10001,"="&amp;$C185,'[1]Fluxo de Movimentações'!$H$5:$H$10001)</f>
        <v>0</v>
      </c>
      <c r="AF185" s="26">
        <v>0</v>
      </c>
      <c r="AG185" s="26">
        <v>0</v>
      </c>
      <c r="AH185" s="26">
        <v>0</v>
      </c>
      <c r="AI185" s="26">
        <v>0</v>
      </c>
      <c r="AJ185" s="26">
        <v>-274.53285546900503</v>
      </c>
      <c r="AK185" s="68">
        <v>4.1984311999999999</v>
      </c>
      <c r="AL185" s="15">
        <f>-SUMIFS([1]Master!$J$1:$J$200,[1]Master!$A$1:$A$200,"="&amp;$I$12,[1]Master!$G$1:$G$200,"&gt;"&amp;C185,[1]Master!$E$1:$E$200,"&lt;="&amp;C185)</f>
        <v>0</v>
      </c>
      <c r="AM185" s="26">
        <v>0</v>
      </c>
      <c r="AN185" s="26">
        <v>0</v>
      </c>
    </row>
    <row r="186" spans="3:40">
      <c r="C186" s="1">
        <v>45127</v>
      </c>
      <c r="D186" s="39">
        <v>9302319.5066999998</v>
      </c>
      <c r="E186" s="32">
        <v>4.2000507999999996</v>
      </c>
      <c r="F186" s="88">
        <f t="shared" ref="F186" si="853">D186/TRUNC(E186,6)</f>
        <v>2214811.6109808218</v>
      </c>
      <c r="G186" s="15">
        <f t="shared" ref="G186" si="854">H186*I186</f>
        <v>9278653.4484614022</v>
      </c>
      <c r="H186" s="32">
        <v>1.0363347999999999</v>
      </c>
      <c r="I186" s="15">
        <f>SUMIFS([1]Master!$K$2:$K$10000,[1]Master!$A$2:$A$10000,$I$12,[1]Master!$F$2:$F$10000,"&lt;="&amp;$C186)</f>
        <v>8953335.7834373638</v>
      </c>
      <c r="J186" s="15">
        <f t="shared" ref="J186" si="855">K186*L186</f>
        <v>0</v>
      </c>
      <c r="K186" s="43">
        <v>0</v>
      </c>
      <c r="L186" s="40">
        <v>0</v>
      </c>
      <c r="M186" s="15">
        <f t="shared" si="850"/>
        <v>0</v>
      </c>
      <c r="N186" s="32">
        <v>0</v>
      </c>
      <c r="O186" s="40">
        <v>0</v>
      </c>
      <c r="P186" s="15">
        <f t="shared" si="797"/>
        <v>25347.092848694021</v>
      </c>
      <c r="Q186" s="32">
        <v>3.8899431999999998</v>
      </c>
      <c r="R186" s="40">
        <v>6516.0573163880699</v>
      </c>
      <c r="S186" s="15">
        <f t="shared" ref="S186" si="856">(((1+1.35%)^(1/252))-1)*D185 +SUM(S185)</f>
        <v>7059.8429034036708</v>
      </c>
      <c r="T186" s="15">
        <f>IF((NETWORKDAYS(DATE(YEAR(C186),MONTH(C186),1),C186,Feriados!$A$2:$A$842))&gt;=5,0,IF(NETWORKDAYS(DATE(YEAR(C186),MONTH(C186),1),C186,Feriados!$A$2:$A$842)=1,S185,T185))</f>
        <v>0</v>
      </c>
      <c r="U186" s="26">
        <v>0</v>
      </c>
      <c r="V186" s="26">
        <v>0</v>
      </c>
      <c r="W186" s="15">
        <f t="shared" ref="W186" si="857">SUM(G186+J186+M186+P186)</f>
        <v>9304000.5413100962</v>
      </c>
      <c r="X186" s="50">
        <f>'Fluxo de Caixa_'!AD192</f>
        <v>0</v>
      </c>
      <c r="AB186" s="26">
        <v>5654.3567000000003</v>
      </c>
      <c r="AC186" s="26">
        <v>0</v>
      </c>
      <c r="AD186">
        <f>SUMIFS([1]Master!$J$2:$J$100,[1]Master!$A$2:$A$100,"="&amp;$I$12,[1]Master!$E$2:$E$100,"="&amp;C186,[1]Master!$J$2:$J$100,"&gt;"&amp;0)</f>
        <v>0</v>
      </c>
      <c r="AE186">
        <f ca="1">-SUMIF('[1]Fluxo de Movimentações'!$A$5:$F$10001,"="&amp;$C186,'[1]Fluxo de Movimentações'!$H$5:$H$10001)</f>
        <v>0</v>
      </c>
      <c r="AF186" s="26">
        <v>0</v>
      </c>
      <c r="AG186" s="26">
        <v>0</v>
      </c>
      <c r="AH186" s="26">
        <v>0</v>
      </c>
      <c r="AI186" s="26">
        <v>0</v>
      </c>
      <c r="AJ186" s="26">
        <v>-275.60269032015401</v>
      </c>
      <c r="AK186" s="68">
        <v>4.2001752999999997</v>
      </c>
      <c r="AL186" s="15">
        <f>-SUMIFS([1]Master!$J$1:$J$200,[1]Master!$A$1:$A$200,"="&amp;$I$12,[1]Master!$G$1:$G$200,"&gt;"&amp;C186,[1]Master!$E$1:$E$200,"&lt;="&amp;C186)</f>
        <v>0</v>
      </c>
      <c r="AM186" s="26">
        <v>0</v>
      </c>
      <c r="AN186" s="26">
        <v>0</v>
      </c>
    </row>
    <row r="187" spans="3:40">
      <c r="C187" s="1">
        <v>45128</v>
      </c>
      <c r="D187" s="39">
        <v>9440087.0710000005</v>
      </c>
      <c r="E187" s="32">
        <v>4.2622536999999996</v>
      </c>
      <c r="F187" s="88">
        <f t="shared" ref="F187" si="858">D187/TRUNC(E187,6)</f>
        <v>2214811.5259699505</v>
      </c>
      <c r="G187" s="15">
        <f t="shared" ref="G187" si="859">H187*I187</f>
        <v>9417768.5891972966</v>
      </c>
      <c r="H187" s="32">
        <v>1.0518726</v>
      </c>
      <c r="I187" s="15">
        <f>SUMIFS([1]Master!$K$2:$K$10000,[1]Master!$A$2:$A$10000,$I$12,[1]Master!$F$2:$F$10000,"&lt;="&amp;$C187)</f>
        <v>8953335.7834373638</v>
      </c>
      <c r="J187" s="15">
        <f t="shared" ref="J187" si="860">K187*L187</f>
        <v>0</v>
      </c>
      <c r="K187" s="43">
        <v>0</v>
      </c>
      <c r="L187" s="40">
        <v>0</v>
      </c>
      <c r="M187" s="15">
        <f t="shared" ref="M187" si="861">N187*O187</f>
        <v>0</v>
      </c>
      <c r="N187" s="32">
        <v>0</v>
      </c>
      <c r="O187" s="40">
        <v>0</v>
      </c>
      <c r="P187" s="15">
        <f t="shared" si="797"/>
        <v>25359.769186597325</v>
      </c>
      <c r="Q187" s="32">
        <v>3.8918886000000001</v>
      </c>
      <c r="R187" s="40">
        <v>6516.0573163880699</v>
      </c>
      <c r="S187" s="15">
        <f t="shared" ref="S187" si="862">(((1+1.35%)^(1/252))-1)*D186 +SUM(S186)</f>
        <v>7554.8608046307263</v>
      </c>
      <c r="T187" s="15">
        <f>IF((NETWORKDAYS(DATE(YEAR(C187),MONTH(C187),1),C187,Feriados!$A$2:$A$842))&gt;=5,0,IF(NETWORKDAYS(DATE(YEAR(C187),MONTH(C187),1),C187,Feriados!$A$2:$A$842)=1,S186,T186))</f>
        <v>0</v>
      </c>
      <c r="U187" s="26">
        <v>0</v>
      </c>
      <c r="V187" s="26">
        <v>0</v>
      </c>
      <c r="W187" s="15">
        <f t="shared" ref="W187" si="863">SUM(G187+J187+M187+P187)</f>
        <v>9443128.358383894</v>
      </c>
      <c r="X187" s="50">
        <f>'Fluxo de Caixa_'!AD193</f>
        <v>0</v>
      </c>
      <c r="AB187" s="26">
        <v>5621.9110000000001</v>
      </c>
      <c r="AC187" s="26">
        <v>0</v>
      </c>
      <c r="AD187">
        <f>SUMIFS([1]Master!$J$2:$J$100,[1]Master!$A$2:$A$100,"="&amp;$I$12,[1]Master!$E$2:$E$100,"="&amp;C187,[1]Master!$J$2:$J$100,"&gt;"&amp;0)</f>
        <v>0</v>
      </c>
      <c r="AE187">
        <f ca="1">-SUMIF('[1]Fluxo de Movimentações'!$A$5:$F$10001,"="&amp;$C187,'[1]Fluxo de Movimentações'!$H$5:$H$10001)</f>
        <v>0</v>
      </c>
      <c r="AF187" s="26">
        <v>0</v>
      </c>
      <c r="AG187" s="26">
        <v>0</v>
      </c>
      <c r="AH187" s="26">
        <v>0</v>
      </c>
      <c r="AI187" s="26">
        <v>0</v>
      </c>
      <c r="AJ187" s="26">
        <v>-1108.3316494973301</v>
      </c>
      <c r="AK187" s="68">
        <v>4.2627541000000004</v>
      </c>
      <c r="AL187" s="15">
        <f>-SUMIFS([1]Master!$J$1:$J$200,[1]Master!$A$1:$A$200,"="&amp;$I$12,[1]Master!$G$1:$G$200,"&gt;"&amp;C187,[1]Master!$E$1:$E$200,"&lt;="&amp;C187)</f>
        <v>0</v>
      </c>
      <c r="AM187" s="26">
        <v>0</v>
      </c>
      <c r="AN187" s="26">
        <v>0</v>
      </c>
    </row>
    <row r="188" spans="3:40">
      <c r="C188" s="1">
        <v>45131</v>
      </c>
      <c r="D188" s="39">
        <v>9516485.8652999997</v>
      </c>
      <c r="E188" s="32">
        <v>4.2967481999999997</v>
      </c>
      <c r="F188" s="88">
        <f t="shared" ref="F188" si="864">D188/TRUNC(E188,6)</f>
        <v>2214811.2631459883</v>
      </c>
      <c r="G188" s="15">
        <f t="shared" ref="G188" si="865">H188*I188</f>
        <v>9504750.2463333905</v>
      </c>
      <c r="H188" s="32">
        <v>1.0615876</v>
      </c>
      <c r="I188" s="15">
        <f>SUMIFS([1]Master!$K$2:$K$10000,[1]Master!$A$2:$A$10000,$I$12,[1]Master!$F$2:$F$10000,"&lt;="&amp;$C188)</f>
        <v>8953335.7834373638</v>
      </c>
      <c r="J188" s="15">
        <f t="shared" ref="J188" si="866">K188*L188</f>
        <v>0</v>
      </c>
      <c r="K188" s="43">
        <v>0</v>
      </c>
      <c r="L188" s="40">
        <v>0</v>
      </c>
      <c r="M188" s="15">
        <f t="shared" ref="M188" si="867">N188*O188</f>
        <v>0</v>
      </c>
      <c r="N188" s="32">
        <v>0</v>
      </c>
      <c r="O188" s="40">
        <v>0</v>
      </c>
      <c r="P188" s="15">
        <f t="shared" si="797"/>
        <v>25372.467679095498</v>
      </c>
      <c r="Q188" s="32">
        <v>3.8938373999999998</v>
      </c>
      <c r="R188" s="40">
        <v>6516.0573163880699</v>
      </c>
      <c r="S188" s="15">
        <f t="shared" ref="S188" si="868">(((1+1.35%)^(1/252))-1)*D187 +SUM(S187)</f>
        <v>8057.2099322780132</v>
      </c>
      <c r="T188" s="15">
        <f>IF((NETWORKDAYS(DATE(YEAR(C188),MONTH(C188),1),C188,Feriados!$A$2:$A$842))&gt;=5,0,IF(NETWORKDAYS(DATE(YEAR(C188),MONTH(C188),1),C188,Feriados!$A$2:$A$842)=1,S187,T187))</f>
        <v>0</v>
      </c>
      <c r="U188" s="26">
        <v>0</v>
      </c>
      <c r="V188" s="26">
        <v>0</v>
      </c>
      <c r="W188" s="15">
        <f t="shared" ref="W188" si="869">SUM(G188+J188+M188+P188)</f>
        <v>9530122.7140124869</v>
      </c>
      <c r="X188" s="50">
        <f>'Fluxo de Caixa_'!AD194</f>
        <v>0</v>
      </c>
      <c r="AB188" s="26">
        <v>5589.4652999999998</v>
      </c>
      <c r="AC188" s="26">
        <v>0</v>
      </c>
      <c r="AD188">
        <f>SUMIFS([1]Master!$J$2:$J$100,[1]Master!$A$2:$A$100,"="&amp;$I$12,[1]Master!$E$2:$E$100,"="&amp;C188,[1]Master!$J$2:$J$100,"&gt;"&amp;0)</f>
        <v>0</v>
      </c>
      <c r="AE188">
        <f ca="1">-SUMIF('[1]Fluxo de Movimentações'!$A$5:$F$10001,"="&amp;$C188,'[1]Fluxo de Movimentações'!$H$5:$H$10001)</f>
        <v>0</v>
      </c>
      <c r="AF188" s="26">
        <v>0</v>
      </c>
      <c r="AG188" s="26">
        <v>0</v>
      </c>
      <c r="AH188" s="26">
        <v>0</v>
      </c>
      <c r="AI188" s="26">
        <v>0</v>
      </c>
      <c r="AJ188" s="26">
        <v>-11169.131108752899</v>
      </c>
      <c r="AK188" s="68">
        <v>4.3017911</v>
      </c>
      <c r="AL188" s="15">
        <f>-SUMIFS([1]Master!$J$1:$J$200,[1]Master!$A$1:$A$200,"="&amp;$I$12,[1]Master!$G$1:$G$200,"&gt;"&amp;C188,[1]Master!$E$1:$E$200,"&lt;="&amp;C188)</f>
        <v>0</v>
      </c>
      <c r="AM188" s="26">
        <v>0</v>
      </c>
      <c r="AN188" s="26">
        <v>0</v>
      </c>
    </row>
    <row r="189" spans="3:40">
      <c r="C189" s="1">
        <v>45132</v>
      </c>
      <c r="D189" s="39">
        <v>9556561.1596000008</v>
      </c>
      <c r="E189" s="32">
        <v>4.3148423999999999</v>
      </c>
      <c r="F189" s="88">
        <f t="shared" ref="F189" si="870">D189/TRUNC(E189,6)</f>
        <v>2214811.3788639312</v>
      </c>
      <c r="G189" s="15">
        <f t="shared" ref="G189" si="871">H189*I189</f>
        <v>9550488.3621830791</v>
      </c>
      <c r="H189" s="32">
        <v>1.0666960999999999</v>
      </c>
      <c r="I189" s="15">
        <f>SUMIFS([1]Master!$K$2:$K$10000,[1]Master!$A$2:$A$10000,$I$12,[1]Master!$F$2:$F$10000,"&lt;="&amp;$C189)</f>
        <v>8953335.7834373638</v>
      </c>
      <c r="J189" s="15">
        <f t="shared" ref="J189" si="872">K189*L189</f>
        <v>0</v>
      </c>
      <c r="K189" s="43">
        <v>0</v>
      </c>
      <c r="L189" s="40">
        <v>0</v>
      </c>
      <c r="M189" s="15">
        <f t="shared" ref="M189" si="873">N189*O189</f>
        <v>0</v>
      </c>
      <c r="N189" s="32">
        <v>0</v>
      </c>
      <c r="O189" s="40">
        <v>0</v>
      </c>
      <c r="P189" s="15">
        <f t="shared" si="797"/>
        <v>25384.862523322736</v>
      </c>
      <c r="Q189" s="32">
        <v>3.8957396000000002</v>
      </c>
      <c r="R189" s="40">
        <v>6516.0573163880699</v>
      </c>
      <c r="S189" s="15">
        <f t="shared" ref="S189" si="874">(((1+1.35%)^(1/252))-1)*D188 +SUM(S188)</f>
        <v>8563.6245804423525</v>
      </c>
      <c r="T189" s="15">
        <f>IF((NETWORKDAYS(DATE(YEAR(C189),MONTH(C189),1),C189,Feriados!$A$2:$A$842))&gt;=5,0,IF(NETWORKDAYS(DATE(YEAR(C189),MONTH(C189),1),C189,Feriados!$A$2:$A$842)=1,S188,T188))</f>
        <v>0</v>
      </c>
      <c r="U189" s="26">
        <v>0</v>
      </c>
      <c r="V189" s="26">
        <v>0</v>
      </c>
      <c r="W189" s="15">
        <f t="shared" ref="W189" si="875">SUM(G189+J189+M189+P189)</f>
        <v>9575873.224706402</v>
      </c>
      <c r="X189" s="50">
        <f>'Fluxo de Caixa_'!AD195</f>
        <v>0</v>
      </c>
      <c r="AB189" s="26">
        <v>5557.0195999999896</v>
      </c>
      <c r="AC189" s="26">
        <v>0</v>
      </c>
      <c r="AD189">
        <f>SUMIFS([1]Master!$J$2:$J$100,[1]Master!$A$2:$A$100,"="&amp;$I$12,[1]Master!$E$2:$E$100,"="&amp;C189,[1]Master!$J$2:$J$100,"&gt;"&amp;0)</f>
        <v>0</v>
      </c>
      <c r="AE189">
        <f ca="1">-SUMIF('[1]Fluxo de Movimentações'!$A$5:$F$10001,"="&amp;$C189,'[1]Fluxo de Movimentações'!$H$5:$H$10001)</f>
        <v>0</v>
      </c>
      <c r="AF189" s="26">
        <v>0</v>
      </c>
      <c r="AG189" s="26">
        <v>0</v>
      </c>
      <c r="AH189" s="26">
        <v>0</v>
      </c>
      <c r="AI189" s="26">
        <v>0</v>
      </c>
      <c r="AJ189" s="26">
        <v>-16305.494410040599</v>
      </c>
      <c r="AK189" s="68">
        <v>4.3222044000000004</v>
      </c>
      <c r="AL189" s="15">
        <f>-SUMIFS([1]Master!$J$1:$J$200,[1]Master!$A$1:$A$200,"="&amp;$I$12,[1]Master!$G$1:$G$200,"&gt;"&amp;C189,[1]Master!$E$1:$E$200,"&lt;="&amp;C189)</f>
        <v>0</v>
      </c>
      <c r="AM189" s="26">
        <v>0</v>
      </c>
      <c r="AN189" s="26">
        <v>0</v>
      </c>
    </row>
    <row r="190" spans="3:40">
      <c r="C190" s="1">
        <v>45133</v>
      </c>
      <c r="D190" s="39">
        <v>9587961.9239000008</v>
      </c>
      <c r="E190" s="32">
        <v>4.3290199999999999</v>
      </c>
      <c r="F190" s="88">
        <f t="shared" ref="F190" si="876">D190/TRUNC(E190,6)</f>
        <v>2214811.186804404</v>
      </c>
      <c r="G190" s="15">
        <f t="shared" ref="G190" si="877">H190*I190</f>
        <v>9586457.4933594633</v>
      </c>
      <c r="H190" s="32">
        <v>1.0707135000000001</v>
      </c>
      <c r="I190" s="15">
        <f>SUMIFS([1]Master!$K$2:$K$10000,[1]Master!$A$2:$A$10000,$I$12,[1]Master!$F$2:$F$10000,"&lt;="&amp;$C190)</f>
        <v>8953335.7834373638</v>
      </c>
      <c r="J190" s="15">
        <f t="shared" ref="J190" si="878">K190*L190</f>
        <v>0</v>
      </c>
      <c r="K190" s="43">
        <v>0</v>
      </c>
      <c r="L190" s="40">
        <v>0</v>
      </c>
      <c r="M190" s="15">
        <f t="shared" ref="M190" si="879">N190*O190</f>
        <v>0</v>
      </c>
      <c r="N190" s="32">
        <v>0</v>
      </c>
      <c r="O190" s="40">
        <v>0</v>
      </c>
      <c r="P190" s="15">
        <f t="shared" si="797"/>
        <v>25397.423527011535</v>
      </c>
      <c r="Q190" s="32">
        <v>3.8976673000000002</v>
      </c>
      <c r="R190" s="40">
        <v>6516.0573163880699</v>
      </c>
      <c r="S190" s="15">
        <f t="shared" ref="S190" si="880">(((1+1.35%)^(1/252))-1)*D189 +SUM(S189)</f>
        <v>9072.171813717443</v>
      </c>
      <c r="T190" s="15">
        <f>IF((NETWORKDAYS(DATE(YEAR(C190),MONTH(C190),1),C190,Feriados!$A$2:$A$842))&gt;=5,0,IF(NETWORKDAYS(DATE(YEAR(C190),MONTH(C190),1),C190,Feriados!$A$2:$A$842)=1,S189,T189))</f>
        <v>0</v>
      </c>
      <c r="U190" s="26">
        <v>0</v>
      </c>
      <c r="V190" s="26">
        <v>0</v>
      </c>
      <c r="W190" s="15">
        <f t="shared" ref="W190" si="881">SUM(G190+J190+M190+P190)</f>
        <v>9611854.9168864749</v>
      </c>
      <c r="X190" s="50">
        <f>'Fluxo de Caixa_'!AD196</f>
        <v>0</v>
      </c>
      <c r="AB190" s="26">
        <v>5524.5739000000003</v>
      </c>
      <c r="AC190" s="26">
        <v>0</v>
      </c>
      <c r="AD190">
        <f>SUMIFS([1]Master!$J$2:$J$100,[1]Master!$A$2:$A$100,"="&amp;$I$12,[1]Master!$E$2:$E$100,"="&amp;C190,[1]Master!$J$2:$J$100,"&gt;"&amp;0)</f>
        <v>0</v>
      </c>
      <c r="AE190">
        <f ca="1">-SUMIF('[1]Fluxo de Movimentações'!$A$5:$F$10001,"="&amp;$C190,'[1]Fluxo de Movimentações'!$H$5:$H$10001)</f>
        <v>0</v>
      </c>
      <c r="AF190" s="26">
        <v>0</v>
      </c>
      <c r="AG190" s="26">
        <v>0</v>
      </c>
      <c r="AH190" s="26">
        <v>0</v>
      </c>
      <c r="AI190" s="26">
        <v>0</v>
      </c>
      <c r="AJ190" s="26">
        <v>-20345.459084896698</v>
      </c>
      <c r="AK190" s="68">
        <v>4.3382060999999998</v>
      </c>
      <c r="AL190" s="15">
        <f>-SUMIFS([1]Master!$J$1:$J$200,[1]Master!$A$1:$A$200,"="&amp;$I$12,[1]Master!$G$1:$G$200,"&gt;"&amp;C190,[1]Master!$E$1:$E$200,"&lt;="&amp;C190)</f>
        <v>0</v>
      </c>
      <c r="AM190" s="26">
        <v>0</v>
      </c>
      <c r="AN190" s="26">
        <v>0</v>
      </c>
    </row>
    <row r="191" spans="3:40">
      <c r="C191" s="1">
        <v>45134</v>
      </c>
      <c r="D191" s="39">
        <v>9547384.7782000005</v>
      </c>
      <c r="E191" s="32">
        <v>4.3106992000000002</v>
      </c>
      <c r="F191" s="88">
        <f t="shared" ref="F191" si="882">D191/TRUNC(E191,6)</f>
        <v>2214811.2819289868</v>
      </c>
      <c r="G191" s="15">
        <f t="shared" ref="G191" si="883">H191*I191</f>
        <v>9540560.0081328265</v>
      </c>
      <c r="H191" s="32">
        <v>1.0655872</v>
      </c>
      <c r="I191" s="15">
        <f>SUMIFS([1]Master!$K$2:$K$10000,[1]Master!$A$2:$A$10000,$I$12,[1]Master!$F$2:$F$10000,"&lt;="&amp;$C191)</f>
        <v>8953335.7834373638</v>
      </c>
      <c r="J191" s="15">
        <f t="shared" ref="J191" si="884">K191*L191</f>
        <v>0</v>
      </c>
      <c r="K191" s="43">
        <v>0</v>
      </c>
      <c r="L191" s="40">
        <v>0</v>
      </c>
      <c r="M191" s="15">
        <f t="shared" ref="M191" si="885">N191*O191</f>
        <v>0</v>
      </c>
      <c r="N191" s="32">
        <v>0</v>
      </c>
      <c r="O191" s="40">
        <v>0</v>
      </c>
      <c r="P191" s="15">
        <f t="shared" si="797"/>
        <v>25410.810115162323</v>
      </c>
      <c r="Q191" s="32">
        <v>3.8997217000000002</v>
      </c>
      <c r="R191" s="40">
        <v>6516.0573163880699</v>
      </c>
      <c r="S191" s="15">
        <f t="shared" ref="S191" si="886">(((1+1.35%)^(1/252))-1)*D190 +SUM(S190)</f>
        <v>9582.3900216811053</v>
      </c>
      <c r="T191" s="15">
        <f>IF((NETWORKDAYS(DATE(YEAR(C191),MONTH(C191),1),C191,Feriados!$A$2:$A$842))&gt;=5,0,IF(NETWORKDAYS(DATE(YEAR(C191),MONTH(C191),1),C191,Feriados!$A$2:$A$842)=1,S190,T190))</f>
        <v>0</v>
      </c>
      <c r="U191" s="26">
        <v>0</v>
      </c>
      <c r="V191" s="26">
        <v>0</v>
      </c>
      <c r="W191" s="15">
        <f t="shared" ref="W191" si="887">SUM(G191+J191+M191+P191)</f>
        <v>9565970.8182479888</v>
      </c>
      <c r="X191" s="50">
        <f>'Fluxo de Caixa_'!AD197</f>
        <v>0</v>
      </c>
      <c r="AB191" s="26">
        <v>5492.1282000000001</v>
      </c>
      <c r="AC191" s="26">
        <v>0</v>
      </c>
      <c r="AD191">
        <f>SUMIFS([1]Master!$J$2:$J$100,[1]Master!$A$2:$A$100,"="&amp;$I$12,[1]Master!$E$2:$E$100,"="&amp;C191,[1]Master!$J$2:$J$100,"&gt;"&amp;0)</f>
        <v>0</v>
      </c>
      <c r="AE191">
        <f ca="1">-SUMIF('[1]Fluxo de Movimentações'!$A$5:$F$10001,"="&amp;$C191,'[1]Fluxo de Movimentações'!$H$5:$H$10001)</f>
        <v>0</v>
      </c>
      <c r="AF191" s="26">
        <v>0</v>
      </c>
      <c r="AG191" s="26">
        <v>0</v>
      </c>
      <c r="AH191" s="26">
        <v>0</v>
      </c>
      <c r="AI191" s="26">
        <v>0</v>
      </c>
      <c r="AJ191" s="26">
        <v>-14495.875185568801</v>
      </c>
      <c r="AK191" s="68">
        <v>4.3172442000000002</v>
      </c>
      <c r="AL191" s="15">
        <f>-SUMIFS([1]Master!$J$1:$J$200,[1]Master!$A$1:$A$200,"="&amp;$I$12,[1]Master!$G$1:$G$200,"&gt;"&amp;C191,[1]Master!$E$1:$E$200,"&lt;="&amp;C191)</f>
        <v>0</v>
      </c>
      <c r="AM191" s="26">
        <v>0</v>
      </c>
      <c r="AN191" s="26">
        <v>0</v>
      </c>
    </row>
    <row r="192" spans="3:40">
      <c r="C192" s="1">
        <v>45135</v>
      </c>
      <c r="D192" s="39">
        <v>9578562.2225000001</v>
      </c>
      <c r="E192" s="32">
        <v>4.324776</v>
      </c>
      <c r="F192" s="88">
        <f>SUMIF([1]HSF!$H$2:$H$30,"="&amp;"APLICAÇÃO",[1]HSF!$K$2:$K$30)</f>
        <v>2283952.1146078166</v>
      </c>
      <c r="G192" s="15">
        <f t="shared" ref="G192" si="888">H192*I192</f>
        <v>9576200.5518859569</v>
      </c>
      <c r="H192" s="32">
        <v>1.0695679</v>
      </c>
      <c r="I192" s="15">
        <f>SUMIFS([1]Master!$K$2:$K$10000,[1]Master!$A$2:$A$10000,$I$12,[1]Master!$F$2:$F$10000,"&lt;="&amp;$C192)</f>
        <v>8953335.7834373638</v>
      </c>
      <c r="J192" s="15">
        <f t="shared" ref="J192" si="889">K192*L192</f>
        <v>0</v>
      </c>
      <c r="K192" s="43">
        <v>0</v>
      </c>
      <c r="L192" s="40">
        <v>0</v>
      </c>
      <c r="M192" s="15">
        <f t="shared" ref="M192" si="890">N192*O192</f>
        <v>0</v>
      </c>
      <c r="N192" s="32">
        <v>0</v>
      </c>
      <c r="O192" s="40">
        <v>0</v>
      </c>
      <c r="P192" s="15">
        <f t="shared" si="797"/>
        <v>25424.272941183714</v>
      </c>
      <c r="Q192" s="32">
        <v>3.9017878000000001</v>
      </c>
      <c r="R192" s="40">
        <v>6516.0573163880699</v>
      </c>
      <c r="S192" s="15">
        <f t="shared" ref="S192" si="891">(((1+1.35%)^(1/252))-1)*D191 +SUM(S191)</f>
        <v>10090.4489387832</v>
      </c>
      <c r="T192" s="15">
        <f>IF((NETWORKDAYS(DATE(YEAR(C192),MONTH(C192),1),C192,Feriados!$A$2:$A$842))&gt;=5,0,IF(NETWORKDAYS(DATE(YEAR(C192),MONTH(C192),1),C192,Feriados!$A$2:$A$842)=1,S191,T191))</f>
        <v>0</v>
      </c>
      <c r="U192" s="26">
        <v>0</v>
      </c>
      <c r="V192" s="26">
        <v>0</v>
      </c>
      <c r="W192" s="15">
        <f t="shared" ref="W192" si="892">SUM(G192+J192+M192+P192)</f>
        <v>9601624.8248271402</v>
      </c>
      <c r="X192" s="50">
        <f>'Fluxo de Caixa_'!AD198</f>
        <v>0</v>
      </c>
      <c r="AB192" s="26">
        <v>5459.6824999999999</v>
      </c>
      <c r="AC192" s="26">
        <v>0</v>
      </c>
      <c r="AD192">
        <f>SUMIFS([1]Master!$J$2:$J$100,[1]Master!$A$2:$A$100,"="&amp;$I$12,[1]Master!$E$2:$E$100,"="&amp;C192,[1]Master!$J$2:$J$100,"&gt;"&amp;0)</f>
        <v>0</v>
      </c>
      <c r="AE192">
        <f ca="1">-SUMIF('[1]Fluxo de Movimentações'!$A$5:$F$10001,"="&amp;$C192,'[1]Fluxo de Movimentações'!$H$5:$H$10001)</f>
        <v>0</v>
      </c>
      <c r="AF192" s="26">
        <v>0</v>
      </c>
      <c r="AG192" s="26">
        <v>0</v>
      </c>
      <c r="AH192" s="26">
        <v>0</v>
      </c>
      <c r="AI192" s="26">
        <v>0</v>
      </c>
      <c r="AJ192" s="26">
        <v>-18431.886194197999</v>
      </c>
      <c r="AK192" s="68">
        <v>4.3330981</v>
      </c>
      <c r="AL192" s="15">
        <f>-SUMIFS([1]Master!$J$1:$J$200,[1]Master!$A$1:$A$200,"="&amp;$I$12,[1]Master!$G$1:$G$200,"&gt;"&amp;C192,[1]Master!$E$1:$E$200,"&lt;="&amp;C192)</f>
        <v>0</v>
      </c>
      <c r="AM192" s="26">
        <v>0</v>
      </c>
      <c r="AN192" s="26">
        <v>0</v>
      </c>
    </row>
    <row r="193" spans="3:40">
      <c r="C193" s="1">
        <v>45138</v>
      </c>
      <c r="D193" s="39">
        <v>9645564.7968000006</v>
      </c>
      <c r="E193" s="32">
        <v>4.3550281000000002</v>
      </c>
      <c r="F193" s="88">
        <f>SUMIF([1]HSF!$H$2:$H$30,"="&amp;"APLICAÇÃO",[1]HSF!$K$2:$K$30)</f>
        <v>2283952.1146078166</v>
      </c>
      <c r="G193" s="15">
        <f t="shared" ref="G193" si="893">H193*I193</f>
        <v>9652555.4947806876</v>
      </c>
      <c r="H193" s="32">
        <v>1.0780959999999999</v>
      </c>
      <c r="I193" s="15">
        <f>SUMIFS([1]Master!$K$2:$K$10000,[1]Master!$A$2:$A$10000,$I$12,[1]Master!$F$2:$F$10000,"&lt;="&amp;$C193)</f>
        <v>8953335.7834373638</v>
      </c>
      <c r="J193" s="15">
        <f t="shared" ref="J193" si="894">K193*L193</f>
        <v>0</v>
      </c>
      <c r="K193" s="43">
        <v>0</v>
      </c>
      <c r="L193" s="40">
        <v>0</v>
      </c>
      <c r="M193" s="15">
        <f t="shared" ref="M193" si="895">N193*O193</f>
        <v>0</v>
      </c>
      <c r="N193" s="32">
        <v>0</v>
      </c>
      <c r="O193" s="40">
        <v>0</v>
      </c>
      <c r="P193" s="15">
        <f t="shared" si="797"/>
        <v>25437.022258928955</v>
      </c>
      <c r="Q193" s="32">
        <v>3.9037443999999999</v>
      </c>
      <c r="R193" s="40">
        <v>6516.0573163880699</v>
      </c>
      <c r="S193" s="15">
        <f t="shared" ref="S193" si="896">(((1+1.35%)^(1/252))-1)*D192 +SUM(S192)</f>
        <v>10600.166946720854</v>
      </c>
      <c r="T193" s="15">
        <f>IF((NETWORKDAYS(DATE(YEAR(C193),MONTH(C193),1),C193,Feriados!$A$2:$A$842))&gt;=5,0,IF(NETWORKDAYS(DATE(YEAR(C193),MONTH(C193),1),C193,Feriados!$A$2:$A$842)=1,S192,T192))</f>
        <v>0</v>
      </c>
      <c r="U193" s="26">
        <v>0</v>
      </c>
      <c r="V193" s="26">
        <v>0</v>
      </c>
      <c r="W193" s="15">
        <f t="shared" ref="W193" si="897">SUM(G193+J193+M193+P193)</f>
        <v>9677992.5170396157</v>
      </c>
      <c r="X193" s="50">
        <f>'Fluxo de Caixa_'!AD199</f>
        <v>0</v>
      </c>
      <c r="AB193" s="26">
        <v>5427.2367999999997</v>
      </c>
      <c r="AC193" s="26">
        <v>0</v>
      </c>
      <c r="AD193">
        <f>SUMIFS([1]Master!$J$2:$J$100,[1]Master!$A$2:$A$100,"="&amp;$I$12,[1]Master!$E$2:$E$100,"="&amp;C193,[1]Master!$J$2:$J$100,"&gt;"&amp;0)</f>
        <v>0</v>
      </c>
      <c r="AE193">
        <f ca="1">-SUMIF('[1]Fluxo de Movimentações'!$A$5:$F$10001,"="&amp;$C193,'[1]Fluxo de Movimentações'!$H$5:$H$10001)</f>
        <v>0</v>
      </c>
      <c r="AF193" s="26">
        <v>0</v>
      </c>
      <c r="AG193" s="26">
        <v>0</v>
      </c>
      <c r="AH193" s="26">
        <v>0</v>
      </c>
      <c r="AI193" s="26">
        <v>0</v>
      </c>
      <c r="AJ193" s="26">
        <v>-27254.883636988801</v>
      </c>
      <c r="AK193" s="68">
        <v>4.3673337999999999</v>
      </c>
      <c r="AL193" s="15">
        <f>-SUMIFS([1]Master!$J$1:$J$200,[1]Master!$A$1:$A$200,"="&amp;$I$12,[1]Master!$G$1:$G$200,"&gt;"&amp;C193,[1]Master!$E$1:$E$200,"&lt;="&amp;C193)</f>
        <v>0</v>
      </c>
      <c r="AM193" s="26">
        <v>0</v>
      </c>
      <c r="AN193" s="26">
        <v>0</v>
      </c>
    </row>
    <row r="194" spans="3:40">
      <c r="C194" s="1">
        <v>45139</v>
      </c>
      <c r="D194" s="39">
        <v>9644793.9098000005</v>
      </c>
      <c r="E194" s="32">
        <v>4.3546800000000001</v>
      </c>
      <c r="F194" s="88">
        <f>SUMIF([1]HSF!$H$2:$H$30,"="&amp;"APLICAÇÃO",[1]HSF!$K$2:$K$30)</f>
        <v>2283952.1146078166</v>
      </c>
      <c r="G194" s="15">
        <f t="shared" ref="G194" si="898">H194*I194</f>
        <v>9651899.2152677625</v>
      </c>
      <c r="H194" s="32">
        <v>1.0780227</v>
      </c>
      <c r="I194" s="15">
        <f>SUMIFS([1]Master!$K$2:$K$10000,[1]Master!$A$2:$A$10000,$I$12,[1]Master!$F$2:$F$10000,"&lt;="&amp;$C194)</f>
        <v>8953335.7834373638</v>
      </c>
      <c r="J194" s="15">
        <f t="shared" ref="J194" si="899">K194*L194</f>
        <v>0</v>
      </c>
      <c r="K194" s="43">
        <v>0</v>
      </c>
      <c r="L194" s="40">
        <v>0</v>
      </c>
      <c r="M194" s="15">
        <f t="shared" ref="M194" si="900">N194*O194</f>
        <v>0</v>
      </c>
      <c r="N194" s="32">
        <v>0</v>
      </c>
      <c r="O194" s="40">
        <v>0</v>
      </c>
      <c r="P194" s="15">
        <f>Q194*R194</f>
        <v>25449.680351871772</v>
      </c>
      <c r="Q194" s="32">
        <v>3.9056869999999999</v>
      </c>
      <c r="R194" s="40">
        <v>6516.0573163880699</v>
      </c>
      <c r="S194" s="15">
        <f>(((1+1.35%)^(1/252))-1)*D193</f>
        <v>513.28351368951667</v>
      </c>
      <c r="T194" s="15">
        <f>IF((NETWORKDAYS(DATE(YEAR(C194),MONTH(C194),1),C194,Feriados!$A$2:$A$842))&gt;=5,0,IF(NETWORKDAYS(DATE(YEAR(C194),MONTH(C194),1),C194,Feriados!$A$2:$A$842)=1,S193,T193))</f>
        <v>10600.166946720854</v>
      </c>
      <c r="U194" s="26">
        <v>0</v>
      </c>
      <c r="V194" s="26">
        <v>0</v>
      </c>
      <c r="W194" s="15">
        <f t="shared" ref="W194" si="901">SUM(G194+J194+M194+P194)</f>
        <v>9677348.8956196345</v>
      </c>
      <c r="X194" s="50">
        <f>'Fluxo de Caixa_'!AD200</f>
        <v>0</v>
      </c>
      <c r="AB194" s="26">
        <v>5394.7997999999998</v>
      </c>
      <c r="AC194" s="26">
        <v>0</v>
      </c>
      <c r="AD194">
        <f>SUMIFS([1]Master!$J$2:$J$100,[1]Master!$A$2:$A$100,"="&amp;$I$12,[1]Master!$E$2:$E$100,"="&amp;C194,[1]Master!$J$2:$J$100,"&gt;"&amp;0)</f>
        <v>0</v>
      </c>
      <c r="AE194">
        <f ca="1">-SUMIF('[1]Fluxo de Movimentações'!$A$5:$F$10001,"="&amp;$C194,'[1]Fluxo de Movimentações'!$H$5:$H$10001)</f>
        <v>0</v>
      </c>
      <c r="AF194" s="26">
        <v>0</v>
      </c>
      <c r="AG194" s="26">
        <v>0</v>
      </c>
      <c r="AH194" s="26">
        <v>0</v>
      </c>
      <c r="AI194" s="26">
        <v>0</v>
      </c>
      <c r="AJ194" s="26">
        <v>-26836.419625573999</v>
      </c>
      <c r="AK194" s="68">
        <v>4.3667968000000004</v>
      </c>
      <c r="AL194" s="15">
        <f>-SUMIFS([1]Master!$J$1:$J$200,[1]Master!$A$1:$A$200,"="&amp;$I$12,[1]Master!$G$1:$G$200,"&gt;"&amp;C194,[1]Master!$E$1:$E$200,"&lt;="&amp;C194)</f>
        <v>0</v>
      </c>
      <c r="AM194" s="26">
        <v>0</v>
      </c>
      <c r="AN194" s="26">
        <v>0</v>
      </c>
    </row>
    <row r="195" spans="3:40">
      <c r="C195" s="1">
        <f>WORKDAY(C194,1,Feriados!A2:A842)</f>
        <v>45140</v>
      </c>
      <c r="D195" s="39">
        <v>9672416.9827999994</v>
      </c>
      <c r="E195" s="32">
        <v>4.3671519999999999</v>
      </c>
      <c r="F195" s="88">
        <f>SUMIF([1]HSF!$H$2:$H$30,"="&amp;"APLICAÇÃO",[1]HSF!$K$2:$K$30)</f>
        <v>2283952.1146078166</v>
      </c>
      <c r="G195" s="15">
        <f t="shared" ref="G195" si="902">H195*I195</f>
        <v>9671509.862584766</v>
      </c>
      <c r="H195" s="32">
        <v>1.0815532999999999</v>
      </c>
      <c r="I195" s="15">
        <f>SUMIFS([1]Master!$K$2:$K$10000,[1]Master!$A$2:$A$10000,$I$12,[1]Master!$F$2:$F$10000,"&lt;="&amp;$C195)</f>
        <v>8942240.6298281979</v>
      </c>
      <c r="J195" s="15">
        <f t="shared" ref="J195" si="903">K195*L195</f>
        <v>0</v>
      </c>
      <c r="K195" s="43">
        <v>0</v>
      </c>
      <c r="L195" s="40">
        <v>0</v>
      </c>
      <c r="M195" s="15">
        <f t="shared" ref="M195" si="904">N195*O195</f>
        <v>0</v>
      </c>
      <c r="N195" s="32">
        <v>0</v>
      </c>
      <c r="O195" s="40">
        <v>0</v>
      </c>
      <c r="P195" s="15">
        <f>Q195*R195</f>
        <v>25462.565855214929</v>
      </c>
      <c r="Q195" s="32">
        <v>3.9076645000000001</v>
      </c>
      <c r="R195" s="40">
        <v>6516.0573163880699</v>
      </c>
      <c r="S195" s="15">
        <f t="shared" ref="S195:S200" si="905">(((1+1.35%)^(1/252))-1)*D194+SUM(S194)</f>
        <v>1026.526005044276</v>
      </c>
      <c r="T195" s="15">
        <f>IF((NETWORKDAYS(DATE(YEAR(C195),MONTH(C195),1),C195,Feriados!$A$2:$A$842))&gt;=5,0,IF(NETWORKDAYS(DATE(YEAR(C195),MONTH(C195),1),C195,Feriados!$A$2:$A$842)=1,S194,T194))</f>
        <v>10600.166946720854</v>
      </c>
      <c r="U195" s="26">
        <v>0</v>
      </c>
      <c r="V195" s="26">
        <v>0</v>
      </c>
      <c r="W195" s="15">
        <f t="shared" ref="W195" si="906">SUM(G195+J195+M195+P195)</f>
        <v>9696972.4284399804</v>
      </c>
      <c r="X195" s="50">
        <f>'Fluxo de Caixa_'!AD201</f>
        <v>0</v>
      </c>
      <c r="AB195" s="26">
        <v>5362.3627999999999</v>
      </c>
      <c r="AC195" s="26">
        <v>0</v>
      </c>
      <c r="AD195">
        <f>SUMIFS([1]Master!$J$2:$J$100,[1]Master!$A$2:$A$100,"="&amp;$I$12,[1]Master!$E$2:$E$100,"="&amp;C195,[1]Master!$J$2:$J$100,"&gt;"&amp;0)</f>
        <v>0</v>
      </c>
      <c r="AE195">
        <f ca="1">-SUMIF('[1]Fluxo de Movimentações'!$A$5:$F$10001,"="&amp;$C195,'[1]Fluxo de Movimentações'!$H$5:$H$10001)</f>
        <v>0</v>
      </c>
      <c r="AF195" s="26">
        <v>0</v>
      </c>
      <c r="AG195" s="26">
        <v>0</v>
      </c>
      <c r="AH195" s="26">
        <v>0</v>
      </c>
      <c r="AI195" s="26">
        <v>0</v>
      </c>
      <c r="AJ195" s="26">
        <v>-30291.184928294799</v>
      </c>
      <c r="AK195" s="68">
        <v>4.3808286000000001</v>
      </c>
      <c r="AL195" s="15">
        <f>-SUMIFS([1]Master!$J$1:$J$200,[1]Master!$A$1:$A$200,"="&amp;$I$12,[1]Master!$G$1:$G$200,"&gt;"&amp;C195,[1]Master!$E$1:$E$200,"&lt;="&amp;C195)</f>
        <v>12000</v>
      </c>
      <c r="AM195" s="26">
        <v>0</v>
      </c>
      <c r="AN195" s="26">
        <v>0</v>
      </c>
    </row>
    <row r="196" spans="3:40">
      <c r="C196" s="1">
        <f>WORKDAY(C195,1,Feriados!A3:A843)</f>
        <v>45141</v>
      </c>
      <c r="D196" s="39">
        <v>9639402.1158000007</v>
      </c>
      <c r="E196" s="32">
        <v>4.3522455999999998</v>
      </c>
      <c r="F196" s="88">
        <f>SUMIF([1]HSF!$H$2:$H$30,"="&amp;"APLICAÇÃO",[1]HSF!$K$2:$K$30)</f>
        <v>2283952.1146078166</v>
      </c>
      <c r="G196" s="15">
        <f t="shared" ref="G196" si="907">H196*I196</f>
        <v>9634214.4595899414</v>
      </c>
      <c r="H196" s="32">
        <v>1.0773826</v>
      </c>
      <c r="I196" s="15">
        <f>SUMIFS([1]Master!$K$2:$K$10000,[1]Master!$A$2:$A$10000,$I$12,[1]Master!$F$2:$F$10000,"&lt;="&amp;$C196)</f>
        <v>8942240.6298281979</v>
      </c>
      <c r="J196" s="15">
        <f t="shared" ref="J196" si="908">K196*L196</f>
        <v>0</v>
      </c>
      <c r="K196" s="43">
        <v>0</v>
      </c>
      <c r="L196" s="40">
        <v>0</v>
      </c>
      <c r="M196" s="15">
        <f t="shared" ref="M196" si="909">N196*O196</f>
        <v>0</v>
      </c>
      <c r="N196" s="32">
        <v>0</v>
      </c>
      <c r="O196" s="40">
        <v>0</v>
      </c>
      <c r="P196" s="15">
        <f t="shared" ref="P196:P208" si="910">R196*Q196</f>
        <v>25475.531506063078</v>
      </c>
      <c r="Q196" s="32">
        <v>3.9096543000000001</v>
      </c>
      <c r="R196" s="40">
        <v>6516.0573163880699</v>
      </c>
      <c r="S196" s="15">
        <f t="shared" si="905"/>
        <v>1541.2384432883086</v>
      </c>
      <c r="T196" s="15">
        <f>IF((NETWORKDAYS(DATE(YEAR(C196),MONTH(C196),1),C196,Feriados!$A$2:$A$842))&gt;=5,0,IF(NETWORKDAYS(DATE(YEAR(C196),MONTH(C196),1),C196,Feriados!$A$2:$A$842)=1,S195,T195))</f>
        <v>10600.166946720854</v>
      </c>
      <c r="U196" s="26">
        <v>0</v>
      </c>
      <c r="V196" s="26">
        <v>0</v>
      </c>
      <c r="W196" s="15">
        <f t="shared" ref="W196" si="911">SUM(G196+J196+M196+P196)</f>
        <v>9659689.9910960048</v>
      </c>
      <c r="X196" s="50">
        <f>'Fluxo de Caixa_'!AD202</f>
        <v>0</v>
      </c>
      <c r="AB196" s="26">
        <v>5329.9258</v>
      </c>
      <c r="AC196" s="26">
        <v>0</v>
      </c>
      <c r="AD196">
        <f>SUMIFS([1]Master!$J$2:$J$100,[1]Master!$A$2:$A$100,"="&amp;$I$12,[1]Master!$E$2:$E$100,"="&amp;C196,[1]Master!$J$2:$J$100,"&gt;"&amp;0)</f>
        <v>0</v>
      </c>
      <c r="AE196">
        <f ca="1">-SUMIF('[1]Fluxo de Movimentações'!$A$5:$F$10001,"="&amp;$C196,'[1]Fluxo de Movimentações'!$H$5:$H$10001)</f>
        <v>0</v>
      </c>
      <c r="AF196" s="26">
        <v>0</v>
      </c>
      <c r="AG196" s="26">
        <v>0</v>
      </c>
      <c r="AH196" s="26">
        <v>0</v>
      </c>
      <c r="AI196" s="26">
        <v>0</v>
      </c>
      <c r="AJ196" s="26">
        <v>-25476.463279798099</v>
      </c>
      <c r="AK196" s="68">
        <v>4.3637484000000004</v>
      </c>
      <c r="AL196" s="15">
        <f>-SUMIFS([1]Master!$J$1:$J$200,[1]Master!$A$1:$A$200,"="&amp;$I$12,[1]Master!$G$1:$G$200,"&gt;"&amp;C196,[1]Master!$E$1:$E$200,"&lt;="&amp;C196)</f>
        <v>12000</v>
      </c>
      <c r="AM196" s="26">
        <v>0</v>
      </c>
      <c r="AN196" s="26">
        <v>0</v>
      </c>
    </row>
    <row r="197" spans="3:40">
      <c r="C197" s="1">
        <f>WORKDAY(C196,1,Feriados!A4:A844)</f>
        <v>45142</v>
      </c>
      <c r="D197" s="39">
        <v>9685918.6887999997</v>
      </c>
      <c r="E197" s="32">
        <v>4.3732480999999996</v>
      </c>
      <c r="F197" s="88">
        <f>SUMIF([1]HSF!$H$2:$H$30,"="&amp;"APLICAÇÃO",[1]HSF!$K$2:$K$30)</f>
        <v>2283952.1146078166</v>
      </c>
      <c r="G197" s="15">
        <f t="shared" ref="G197" si="912">H197*I197</f>
        <v>9687294.7057445385</v>
      </c>
      <c r="H197" s="32">
        <v>1.0833185000000001</v>
      </c>
      <c r="I197" s="15">
        <f>SUMIFS([1]Master!$K$2:$K$10000,[1]Master!$A$2:$A$10000,$I$12,[1]Master!$F$2:$F$10000,"&lt;="&amp;$C197)</f>
        <v>8942240.6298281979</v>
      </c>
      <c r="J197" s="15">
        <f t="shared" ref="J197" si="913">K197*L197</f>
        <v>0</v>
      </c>
      <c r="K197" s="43">
        <v>0</v>
      </c>
      <c r="L197" s="40">
        <v>0</v>
      </c>
      <c r="M197" s="15">
        <f t="shared" ref="M197" si="914">N197*O197</f>
        <v>0</v>
      </c>
      <c r="N197" s="32">
        <v>0</v>
      </c>
      <c r="O197" s="40">
        <v>0</v>
      </c>
      <c r="P197" s="15">
        <f t="shared" si="910"/>
        <v>37488.364882568843</v>
      </c>
      <c r="Q197" s="32">
        <v>3.9116238000000001</v>
      </c>
      <c r="R197" s="40">
        <v>9583.8369943880698</v>
      </c>
      <c r="S197" s="15">
        <f t="shared" si="905"/>
        <v>2054.1940132416039</v>
      </c>
      <c r="T197" s="15">
        <f>IF((NETWORKDAYS(DATE(YEAR(C197),MONTH(C197),1),C197,Feriados!$A$2:$A$842))&gt;=5,0,IF(NETWORKDAYS(DATE(YEAR(C197),MONTH(C197),1),C197,Feriados!$A$2:$A$842)=1,S196,T196))</f>
        <v>10600.166946720854</v>
      </c>
      <c r="U197" s="26">
        <v>0</v>
      </c>
      <c r="V197" s="26">
        <v>0</v>
      </c>
      <c r="W197" s="15">
        <f t="shared" ref="W197" si="915">SUM(G197+J197+M197+P197)</f>
        <v>9724783.0706271082</v>
      </c>
      <c r="X197" s="50">
        <f>'Fluxo de Caixa_'!AD203</f>
        <v>-1.6211361071327701E-6</v>
      </c>
      <c r="AB197" s="26">
        <v>5297.4888000000001</v>
      </c>
      <c r="AC197" s="26">
        <v>0</v>
      </c>
      <c r="AD197">
        <f>SUMIFS([1]Master!$J$2:$J$100,[1]Master!$A$2:$A$100,"="&amp;$I$12,[1]Master!$E$2:$E$100,"="&amp;C197,[1]Master!$J$2:$J$100,"&gt;"&amp;0)</f>
        <v>0</v>
      </c>
      <c r="AE197">
        <f ca="1">-SUMIF('[1]Fluxo de Movimentações'!$A$5:$F$10001,"="&amp;$C197,'[1]Fluxo de Movimentações'!$H$5:$H$10001)</f>
        <v>0</v>
      </c>
      <c r="AF197" s="26">
        <v>0</v>
      </c>
      <c r="AG197" s="26">
        <v>0</v>
      </c>
      <c r="AH197" s="26">
        <v>0</v>
      </c>
      <c r="AI197" s="26">
        <v>0</v>
      </c>
      <c r="AJ197" s="26">
        <v>-31507.606671563601</v>
      </c>
      <c r="AK197" s="68">
        <v>4.3874738999999998</v>
      </c>
      <c r="AL197" s="15">
        <f>-SUMIFS([1]Master!$J$1:$J$200,[1]Master!$A$1:$A$200,"="&amp;$I$12,[1]Master!$G$1:$G$200,"&gt;"&amp;C197,[1]Master!$E$1:$E$200,"&lt;="&amp;C197)</f>
        <v>0</v>
      </c>
      <c r="AM197" s="26">
        <v>0</v>
      </c>
      <c r="AN197" s="26">
        <v>0</v>
      </c>
    </row>
    <row r="198" spans="3:40">
      <c r="C198" s="1">
        <f>WORKDAY(C197,1,Feriados!A5:A845)</f>
        <v>45145</v>
      </c>
      <c r="D198" s="39">
        <v>9669572.3717999998</v>
      </c>
      <c r="E198" s="32">
        <v>4.3658675999999996</v>
      </c>
      <c r="F198" s="88">
        <f>SUMIF([1]HSF!$H$2:$H$30,"="&amp;"APLICAÇÃO",[1]HSF!$K$2:$K$30)</f>
        <v>2283952.1146078166</v>
      </c>
      <c r="G198" s="15">
        <f t="shared" ref="G198" si="916">H198*I198</f>
        <v>9668935.3915074375</v>
      </c>
      <c r="H198" s="32">
        <v>1.0812653999999999</v>
      </c>
      <c r="I198" s="15">
        <f>SUMIFS([1]Master!$K$2:$K$10000,[1]Master!$A$2:$A$10000,$I$12,[1]Master!$F$2:$F$10000,"&lt;="&amp;$C198)</f>
        <v>8942240.6298281979</v>
      </c>
      <c r="J198" s="15">
        <f t="shared" ref="J198" si="917">K198*L198</f>
        <v>0</v>
      </c>
      <c r="K198" s="43">
        <v>0</v>
      </c>
      <c r="L198" s="40">
        <v>0</v>
      </c>
      <c r="M198" s="15">
        <f t="shared" ref="M198" si="918">N198*O198</f>
        <v>0</v>
      </c>
      <c r="N198" s="32">
        <v>0</v>
      </c>
      <c r="O198" s="40">
        <v>0</v>
      </c>
      <c r="P198" s="15">
        <f t="shared" si="910"/>
        <v>26907.473515140286</v>
      </c>
      <c r="Q198" s="32">
        <v>3.9136239000000002</v>
      </c>
      <c r="R198" s="40">
        <v>6875.3345243880703</v>
      </c>
      <c r="S198" s="15">
        <f t="shared" si="905"/>
        <v>2569.6249374677932</v>
      </c>
      <c r="T198" s="15">
        <f>IF((NETWORKDAYS(DATE(YEAR(C198),MONTH(C198),1),C198,Feriados!$A$2:$A$842))&gt;=5,0,IF(NETWORKDAYS(DATE(YEAR(C198),MONTH(C198),1),C198,Feriados!$A$2:$A$842)=1,S197,T197))</f>
        <v>0</v>
      </c>
      <c r="U198" s="26">
        <v>0</v>
      </c>
      <c r="V198" s="26">
        <v>0</v>
      </c>
      <c r="W198" s="15">
        <f t="shared" ref="W198" si="919">SUM(G198+J198+M198+P198)</f>
        <v>9695842.8650225773</v>
      </c>
      <c r="X198" s="50">
        <f>'Fluxo de Caixa_'!AD204</f>
        <v>5.9999801031153766E-2</v>
      </c>
      <c r="AB198" s="26">
        <v>5265.0518000000002</v>
      </c>
      <c r="AC198" s="26">
        <v>0</v>
      </c>
      <c r="AD198">
        <f>SUMIFS([1]Master!$J$2:$J$100,[1]Master!$A$2:$A$100,"="&amp;$I$12,[1]Master!$E$2:$E$100,"="&amp;C198,[1]Master!$J$2:$J$100,"&gt;"&amp;0)</f>
        <v>0</v>
      </c>
      <c r="AE198">
        <f ca="1">-SUMIF('[1]Fluxo de Movimentações'!$A$5:$F$10001,"="&amp;$C198,'[1]Fluxo de Movimentações'!$H$5:$H$10001)</f>
        <v>0</v>
      </c>
      <c r="AF198" s="26">
        <v>0</v>
      </c>
      <c r="AG198" s="26">
        <v>0</v>
      </c>
      <c r="AH198" s="26">
        <v>0</v>
      </c>
      <c r="AI198" s="26">
        <v>0</v>
      </c>
      <c r="AJ198" s="26">
        <v>-28965.869472541999</v>
      </c>
      <c r="AK198" s="68">
        <v>4.3789458999999997</v>
      </c>
      <c r="AL198" s="15">
        <f>-SUMIFS([1]Master!$J$1:$J$200,[1]Master!$A$1:$A$200,"="&amp;$I$12,[1]Master!$G$1:$G$200,"&gt;"&amp;C198,[1]Master!$E$1:$E$200,"&lt;="&amp;C198)</f>
        <v>0</v>
      </c>
      <c r="AM198" s="26">
        <v>0</v>
      </c>
      <c r="AN198" s="26">
        <v>0</v>
      </c>
    </row>
    <row r="199" spans="3:40">
      <c r="C199" s="1">
        <f>WORKDAY(C198,1,Feriados!A6:A846)</f>
        <v>45146</v>
      </c>
      <c r="D199" s="39">
        <v>9635956.2851</v>
      </c>
      <c r="E199" s="32">
        <v>4.3506897999999996</v>
      </c>
      <c r="F199" s="88">
        <f>SUMIF([1]HSF!$H$2:$H$30,"="&amp;"APLICAÇÃO",[1]HSF!$K$2:$K$30)</f>
        <v>2283952.1146078166</v>
      </c>
      <c r="G199" s="15">
        <f t="shared" ref="G199" si="920">H199*I199</f>
        <v>9630958.5897766221</v>
      </c>
      <c r="H199" s="32">
        <v>1.0770185000000001</v>
      </c>
      <c r="I199" s="15">
        <f>SUMIFS([1]Master!$K$2:$K$10000,[1]Master!$A$2:$A$10000,$I$12,[1]Master!$F$2:$F$10000,"&lt;="&amp;$C199)</f>
        <v>8942240.6298281979</v>
      </c>
      <c r="J199" s="15">
        <f t="shared" ref="J199" si="921">K199*L199</f>
        <v>0</v>
      </c>
      <c r="K199" s="43">
        <v>0</v>
      </c>
      <c r="L199" s="40">
        <v>0</v>
      </c>
      <c r="M199" s="15">
        <f t="shared" ref="M199" si="922">N199*O199</f>
        <v>0</v>
      </c>
      <c r="N199" s="32">
        <v>0</v>
      </c>
      <c r="O199" s="40">
        <v>0</v>
      </c>
      <c r="P199" s="15">
        <f t="shared" si="910"/>
        <v>26921.350002810857</v>
      </c>
      <c r="Q199" s="32">
        <v>3.9156422000000002</v>
      </c>
      <c r="R199" s="40">
        <v>6875.3345243880703</v>
      </c>
      <c r="S199" s="15">
        <f t="shared" si="905"/>
        <v>3084.1860012760185</v>
      </c>
      <c r="T199" s="15">
        <f>IF((NETWORKDAYS(DATE(YEAR(C199),MONTH(C199),1),C199,Feriados!$A$2:$A$842))&gt;=5,0,IF(NETWORKDAYS(DATE(YEAR(C199),MONTH(C199),1),C199,Feriados!$A$2:$A$842)=1,S198,T198))</f>
        <v>0</v>
      </c>
      <c r="U199" s="26">
        <v>0</v>
      </c>
      <c r="V199" s="26">
        <v>0</v>
      </c>
      <c r="W199" s="15">
        <f t="shared" ref="W199" si="923">SUM(G199+J199+M199+P199)</f>
        <v>9657879.9397794325</v>
      </c>
      <c r="X199" s="50">
        <f>'Fluxo de Caixa_'!AD205</f>
        <v>0</v>
      </c>
      <c r="AB199" s="26">
        <v>5232.6151</v>
      </c>
      <c r="AC199" s="26">
        <v>0</v>
      </c>
      <c r="AD199">
        <v>0</v>
      </c>
      <c r="AE199">
        <f ca="1">-SUMIF('[1]Fluxo de Movimentações'!$A$5:$F$10001,"="&amp;$C199,'[1]Fluxo de Movimentações'!$H$5:$H$10001)</f>
        <v>0</v>
      </c>
      <c r="AF199" s="26">
        <v>0</v>
      </c>
      <c r="AG199" s="26">
        <v>0</v>
      </c>
      <c r="AH199" s="26">
        <v>0</v>
      </c>
      <c r="AI199" s="26">
        <v>0</v>
      </c>
      <c r="AJ199" s="26">
        <v>-24072.0430956122</v>
      </c>
      <c r="AK199" s="68">
        <v>4.3615583999999998</v>
      </c>
      <c r="AL199" s="15">
        <f>-SUMIFS([1]Master!$J$1:$J$200,[1]Master!$A$1:$A$200,"="&amp;$I$12,[1]Master!$G$1:$G$200,"&gt;"&amp;C199,[1]Master!$E$1:$E$200,"&lt;="&amp;C199)</f>
        <v>0</v>
      </c>
      <c r="AM199" s="26">
        <v>0</v>
      </c>
      <c r="AN199" s="26">
        <v>0</v>
      </c>
    </row>
    <row r="200" spans="3:40">
      <c r="C200" s="1">
        <f>WORKDAY(C199,1,Feriados!A7:A847)</f>
        <v>45147</v>
      </c>
      <c r="D200" s="39">
        <v>9560225.6402000003</v>
      </c>
      <c r="E200" s="32">
        <v>4.3164968999999997</v>
      </c>
      <c r="F200" s="88">
        <f>SUMIF([1]HSF!$H$2:$H$30,"="&amp;"APLICAÇÃO",[1]HSF!$K$2:$K$30)</f>
        <v>2283952.1146078166</v>
      </c>
      <c r="G200" s="15">
        <f t="shared" ref="G200" si="924">H200*I200</f>
        <v>9545119.3392987121</v>
      </c>
      <c r="H200" s="32">
        <v>1.0674192</v>
      </c>
      <c r="I200" s="15">
        <f>SUMIFS([1]Master!$K$2:$K$10000,[1]Master!$A$2:$A$10000,$I$12,[1]Master!$F$2:$F$10000,"&lt;="&amp;$C200)</f>
        <v>8942240.6298281979</v>
      </c>
      <c r="J200" s="15">
        <f t="shared" ref="J200" si="925">K200*L200</f>
        <v>0</v>
      </c>
      <c r="K200" s="43">
        <v>0</v>
      </c>
      <c r="L200" s="40">
        <v>0</v>
      </c>
      <c r="M200" s="15">
        <f t="shared" ref="M200:M201" si="926">N200*O200</f>
        <v>0</v>
      </c>
      <c r="N200" s="32">
        <v>0</v>
      </c>
      <c r="O200" s="40">
        <v>0</v>
      </c>
      <c r="P200" s="15">
        <f t="shared" si="910"/>
        <v>26934.970728037122</v>
      </c>
      <c r="Q200" s="32">
        <v>3.9176232999999998</v>
      </c>
      <c r="R200" s="40">
        <v>6875.3345243880703</v>
      </c>
      <c r="S200" s="15">
        <f t="shared" si="905"/>
        <v>3596.9582032123508</v>
      </c>
      <c r="T200" s="15">
        <f>IF((NETWORKDAYS(DATE(YEAR(C200),MONTH(C200),1),C200,Feriados!$A$2:$A$842))&gt;=5,0,IF(NETWORKDAYS(DATE(YEAR(C200),MONTH(C200),1),C200,Feriados!$A$2:$A$842)=1,S199,T199))</f>
        <v>0</v>
      </c>
      <c r="U200" s="26">
        <v>0</v>
      </c>
      <c r="V200" s="26">
        <v>0</v>
      </c>
      <c r="W200" s="15">
        <f t="shared" ref="W200" si="927">SUM(G200+J200+M200+P200)</f>
        <v>9572054.31002675</v>
      </c>
      <c r="X200" s="50">
        <f>'Fluxo de Caixa_'!AD206</f>
        <v>0</v>
      </c>
      <c r="AB200" s="26">
        <v>5203.5501999999997</v>
      </c>
      <c r="AC200" s="26">
        <v>0</v>
      </c>
      <c r="AD200">
        <v>0</v>
      </c>
      <c r="AE200">
        <f ca="1">-SUMIF('[1]Fluxo de Movimentações'!$A$5:$F$10001,"="&amp;$C200,'[1]Fluxo de Movimentações'!$H$5:$H$10001)</f>
        <v>0</v>
      </c>
      <c r="AF200" s="26">
        <v>0</v>
      </c>
      <c r="AG200" s="26">
        <v>0</v>
      </c>
      <c r="AH200" s="26">
        <v>0</v>
      </c>
      <c r="AI200" s="26">
        <v>0</v>
      </c>
      <c r="AJ200" s="26">
        <v>-13435.235309109399</v>
      </c>
      <c r="AK200" s="68">
        <v>4.3225629999999997</v>
      </c>
      <c r="AL200" s="15">
        <f>-SUMIFS([1]Master!$J$1:$J$200,[1]Master!$A$1:$A$200,"="&amp;$I$12,[1]Master!$G$1:$G$200,"&gt;"&amp;C200,[1]Master!$E$1:$E$200,"&lt;="&amp;C200)</f>
        <v>0</v>
      </c>
      <c r="AM200" s="26">
        <v>0</v>
      </c>
      <c r="AN200" s="26">
        <v>0</v>
      </c>
    </row>
    <row r="201" spans="3:40">
      <c r="C201" s="1">
        <f>WORKDAY(C200,1,Feriados!A8:A848)</f>
        <v>45148</v>
      </c>
      <c r="D201" s="39">
        <v>9533567.5352999996</v>
      </c>
      <c r="E201" s="32">
        <v>4.3044605999999996</v>
      </c>
      <c r="F201" s="88">
        <f>SUMIF([1]HSF!$H$2:$H$30,"="&amp;"APLICAÇÃO",[1]HSF!$K$2:$K$30)</f>
        <v>2283952.1146078166</v>
      </c>
      <c r="G201" s="15">
        <f t="shared" ref="G201" si="928">H201*I201</f>
        <v>9515041.2187162228</v>
      </c>
      <c r="H201" s="32">
        <v>1.0640556000000001</v>
      </c>
      <c r="I201" s="15">
        <f>SUMIFS([1]Master!$K$2:$K$10000,[1]Master!$A$2:$A$10000,$I$12,[1]Master!$F$2:$F$10000,"&lt;="&amp;$C201)</f>
        <v>8942240.6298281979</v>
      </c>
      <c r="J201" s="15">
        <f t="shared" ref="J201" si="929">K201*L201</f>
        <v>0</v>
      </c>
      <c r="K201" s="43">
        <v>0</v>
      </c>
      <c r="L201" s="40">
        <v>0</v>
      </c>
      <c r="M201" s="15">
        <f t="shared" si="926"/>
        <v>0</v>
      </c>
      <c r="N201" s="32">
        <v>0</v>
      </c>
      <c r="O201" s="40">
        <v>0</v>
      </c>
      <c r="P201" s="15">
        <f t="shared" si="910"/>
        <v>26948.39481869599</v>
      </c>
      <c r="Q201" s="32">
        <v>3.9195758000000001</v>
      </c>
      <c r="R201" s="40">
        <v>6875.3345243880703</v>
      </c>
      <c r="S201" s="15">
        <f t="shared" ref="S201" si="930">(((1+1.35%)^(1/252))-1)*D200+SUM(S200)</f>
        <v>4105.7004398405716</v>
      </c>
      <c r="T201" s="15">
        <f>IF((NETWORKDAYS(DATE(YEAR(C201),MONTH(C201),1),C201,Feriados!$A$2:$A$842))&gt;=5,0,IF(NETWORKDAYS(DATE(YEAR(C201),MONTH(C201),1),C201,Feriados!$A$2:$A$842)=1,S200,T200))</f>
        <v>0</v>
      </c>
      <c r="U201" s="26">
        <v>0</v>
      </c>
      <c r="V201" s="26">
        <v>0</v>
      </c>
      <c r="W201" s="15">
        <f t="shared" ref="W201" si="931">SUM(G201+J201+M201+P201)</f>
        <v>9541989.6135349181</v>
      </c>
      <c r="X201" s="50">
        <f>'Fluxo de Caixa_'!AD207</f>
        <v>0</v>
      </c>
      <c r="AB201" s="26">
        <v>5174.4853000000003</v>
      </c>
      <c r="AC201" s="26">
        <v>0</v>
      </c>
      <c r="AD201">
        <v>0</v>
      </c>
      <c r="AE201">
        <f ca="1">-SUMIF('[1]Fluxo de Movimentações'!$A$5:$F$10001,"="&amp;$C201,'[1]Fluxo de Movimentações'!$H$5:$H$10001)</f>
        <v>0</v>
      </c>
      <c r="AF201" s="26">
        <v>0</v>
      </c>
      <c r="AG201" s="26">
        <v>0</v>
      </c>
      <c r="AH201" s="26">
        <v>0</v>
      </c>
      <c r="AI201" s="26">
        <v>0</v>
      </c>
      <c r="AJ201" s="26">
        <v>-9490.8766487759694</v>
      </c>
      <c r="AK201" s="68">
        <v>4.3087457999999996</v>
      </c>
      <c r="AL201" s="15">
        <f>-SUMIFS([1]Master!$J$1:$J$200,[1]Master!$A$1:$A$200,"="&amp;$I$12,[1]Master!$G$1:$G$200,"&gt;"&amp;C201,[1]Master!$E$1:$E$200,"&lt;="&amp;C201)</f>
        <v>0</v>
      </c>
      <c r="AM201" s="26">
        <v>0</v>
      </c>
      <c r="AN201" s="26">
        <v>0</v>
      </c>
    </row>
    <row r="202" spans="3:40">
      <c r="C202" s="1">
        <f>WORKDAY(C201,1,Feriados!A9:A849)</f>
        <v>45149</v>
      </c>
      <c r="D202" s="39">
        <v>9462350.2704000007</v>
      </c>
      <c r="E202" s="32">
        <v>4.2723056000000001</v>
      </c>
      <c r="F202" s="88">
        <f>SUMIF([1]HSF!$H$2:$H$30,"="&amp;"APLICAÇÃO",[1]HSF!$K$2:$K$30)</f>
        <v>2283952.1146078166</v>
      </c>
      <c r="G202" s="15">
        <f t="shared" ref="G202" si="932">H202*I202</f>
        <v>9435215.6250618715</v>
      </c>
      <c r="H202" s="32">
        <v>1.0551288000000001</v>
      </c>
      <c r="I202" s="15">
        <f>SUMIFS([1]Master!$K$2:$K$10000,[1]Master!$A$2:$A$10000,$I$12,[1]Master!$F$2:$F$10000,"&lt;="&amp;$C202)</f>
        <v>8942240.6298281979</v>
      </c>
      <c r="J202" s="15">
        <f t="shared" ref="J202" si="933">K202*L202</f>
        <v>0</v>
      </c>
      <c r="K202" s="43">
        <v>0</v>
      </c>
      <c r="L202" s="40">
        <v>0</v>
      </c>
      <c r="M202" s="15">
        <f t="shared" ref="M202" si="934">N202*O202</f>
        <v>0</v>
      </c>
      <c r="N202" s="32">
        <v>0</v>
      </c>
      <c r="O202" s="40">
        <v>0</v>
      </c>
      <c r="P202" s="15">
        <f t="shared" si="910"/>
        <v>26816.030995275447</v>
      </c>
      <c r="Q202" s="32">
        <v>3.9214137</v>
      </c>
      <c r="R202" s="40">
        <v>6838.3580633880701</v>
      </c>
      <c r="S202" s="15">
        <f t="shared" ref="S202" si="935">(((1+1.35%)^(1/252))-1)*D201+SUM(S201)</f>
        <v>4613.0240798350405</v>
      </c>
      <c r="T202" s="15">
        <f>IF((NETWORKDAYS(DATE(YEAR(C202),MONTH(C202),1),C202,Feriados!$A$2:$A$842))&gt;=5,0,IF(NETWORKDAYS(DATE(YEAR(C202),MONTH(C202),1),C202,Feriados!$A$2:$A$842)=1,S201,T201))</f>
        <v>0</v>
      </c>
      <c r="U202" s="26">
        <v>0</v>
      </c>
      <c r="V202" s="26">
        <v>0</v>
      </c>
      <c r="W202" s="15">
        <f t="shared" ref="W202" si="936">SUM(G202+J202+M202+P202)</f>
        <v>9462031.6560571473</v>
      </c>
      <c r="X202" s="50">
        <f>'Fluxo de Caixa_'!AD208</f>
        <v>7.4291648388680187E-7</v>
      </c>
      <c r="AB202" s="26">
        <v>5290.4204</v>
      </c>
      <c r="AC202" s="26">
        <v>0</v>
      </c>
      <c r="AD202">
        <v>0</v>
      </c>
      <c r="AE202">
        <f ca="1">-SUMIF('[1]Fluxo de Movimentações'!$A$5:$F$10001,"="&amp;$C202,'[1]Fluxo de Movimentações'!$H$5:$H$10001)</f>
        <v>0</v>
      </c>
      <c r="AF202" s="26">
        <v>0</v>
      </c>
      <c r="AG202" s="26">
        <v>0</v>
      </c>
      <c r="AH202" s="26">
        <v>0</v>
      </c>
      <c r="AI202" s="26">
        <v>0</v>
      </c>
      <c r="AJ202" s="26">
        <v>-358.81496605134902</v>
      </c>
      <c r="AK202" s="68">
        <v>4.2724675999999997</v>
      </c>
      <c r="AL202" s="15">
        <f>-SUMIFS([1]Master!$J$1:$J$200,[1]Master!$A$1:$A$200,"="&amp;$I$12,[1]Master!$G$1:$G$200,"&gt;"&amp;C202,[1]Master!$E$1:$E$200,"&lt;="&amp;C202)</f>
        <v>0</v>
      </c>
      <c r="AM202" s="26">
        <v>0</v>
      </c>
      <c r="AN202" s="26">
        <v>0</v>
      </c>
    </row>
    <row r="203" spans="3:40">
      <c r="C203" s="1">
        <f>WORKDAY(C202,1,Feriados!A10:A850)</f>
        <v>45152</v>
      </c>
      <c r="D203" s="39">
        <v>9353501.3730999995</v>
      </c>
      <c r="E203" s="32">
        <v>4.2231597000000001</v>
      </c>
      <c r="F203" s="88">
        <f>SUMIF([1]HSF!$H$2:$H$30,"="&amp;"APLICAÇÃO",[1]HSF!$K$2:$K$30)</f>
        <v>2283952.1146078166</v>
      </c>
      <c r="G203" s="15">
        <f t="shared" ref="G203" si="937">H203*I203</f>
        <v>9326814.207250841</v>
      </c>
      <c r="H203" s="32">
        <v>1.0430063999999999</v>
      </c>
      <c r="I203" s="15">
        <f>SUMIFS([1]Master!$K$2:$K$10000,[1]Master!$A$2:$A$10000,$I$12,[1]Master!$F$2:$F$10000,"&lt;="&amp;$C203)</f>
        <v>8942240.6298281979</v>
      </c>
      <c r="J203" s="15">
        <f t="shared" ref="J203" si="938">K203*L203</f>
        <v>0</v>
      </c>
      <c r="K203" s="43">
        <v>0</v>
      </c>
      <c r="L203" s="40">
        <v>0</v>
      </c>
      <c r="M203" s="15">
        <f t="shared" ref="M203" si="939">N203*O203</f>
        <v>0</v>
      </c>
      <c r="N203" s="32">
        <v>0</v>
      </c>
      <c r="O203" s="40">
        <v>0</v>
      </c>
      <c r="P203" s="15">
        <f t="shared" si="910"/>
        <v>26829.021824088464</v>
      </c>
      <c r="Q203" s="32">
        <v>3.9233134000000001</v>
      </c>
      <c r="R203" s="40">
        <v>6838.3580633880701</v>
      </c>
      <c r="S203" s="15">
        <f t="shared" ref="S203" si="940">(((1+1.35%)^(1/252))-1)*D202+SUM(S202)</f>
        <v>5116.557931596958</v>
      </c>
      <c r="T203" s="15">
        <f>IF((NETWORKDAYS(DATE(YEAR(C203),MONTH(C203),1),C203,Feriados!$A$2:$A$842))&gt;=5,0,IF(NETWORKDAYS(DATE(YEAR(C203),MONTH(C203),1),C203,Feriados!$A$2:$A$842)=1,S202,T202))</f>
        <v>0</v>
      </c>
      <c r="U203" s="26">
        <v>0</v>
      </c>
      <c r="V203" s="26">
        <v>0</v>
      </c>
      <c r="W203" s="15">
        <f t="shared" ref="W203" si="941">SUM(G203+J203+M203+P203)</f>
        <v>9353643.2290749289</v>
      </c>
      <c r="X203" s="50">
        <f>'Fluxo de Caixa_'!AD209</f>
        <v>0</v>
      </c>
      <c r="AB203" s="26">
        <v>5257.9031000000004</v>
      </c>
      <c r="AC203" s="26">
        <v>0</v>
      </c>
      <c r="AD203">
        <v>0</v>
      </c>
      <c r="AE203">
        <f ca="1">-SUMIF('[1]Fluxo de Movimentações'!$A$5:$F$10001,"="&amp;$C203,'[1]Fluxo de Movimentações'!$H$5:$H$10001)</f>
        <v>0</v>
      </c>
      <c r="AF203" s="26">
        <v>0</v>
      </c>
      <c r="AG203" s="26">
        <v>0</v>
      </c>
      <c r="AH203" s="26">
        <v>0</v>
      </c>
      <c r="AI203" s="26">
        <v>0</v>
      </c>
      <c r="AJ203" s="26">
        <v>-283.231295802067</v>
      </c>
      <c r="AK203" s="68">
        <v>4.2232875999999999</v>
      </c>
      <c r="AL203" s="15">
        <f>-SUMIFS([1]Master!$J$1:$J$200,[1]Master!$A$1:$A$200,"="&amp;$I$12,[1]Master!$G$1:$G$200,"&gt;"&amp;C203,[1]Master!$E$1:$E$200,"&lt;="&amp;C203)</f>
        <v>0</v>
      </c>
      <c r="AM203" s="26">
        <v>0</v>
      </c>
      <c r="AN203" s="26">
        <v>0</v>
      </c>
    </row>
    <row r="204" spans="3:40">
      <c r="C204" s="1">
        <f>WORKDAY(C203,1,Feriados!A11:A851)</f>
        <v>45153</v>
      </c>
      <c r="D204" s="39">
        <v>9314204.3257999998</v>
      </c>
      <c r="E204" s="32">
        <v>4.2054169000000003</v>
      </c>
      <c r="F204" s="88">
        <f>SUMIF([1]HSF!$H$2:$H$30,"="&amp;"APLICAÇÃO",[1]HSF!$K$2:$K$30)</f>
        <v>2283952.1146078166</v>
      </c>
      <c r="G204" s="15">
        <f t="shared" ref="G204" si="942">H204*I204</f>
        <v>9288005.77714145</v>
      </c>
      <c r="H204" s="32">
        <v>1.0386664999999999</v>
      </c>
      <c r="I204" s="15">
        <f>SUMIFS([1]Master!$K$2:$K$10000,[1]Master!$A$2:$A$10000,$I$12,[1]Master!$F$2:$F$10000,"&lt;="&amp;$C204)</f>
        <v>8942240.6298281979</v>
      </c>
      <c r="J204" s="15">
        <f t="shared" ref="J204" si="943">K204*L204</f>
        <v>0</v>
      </c>
      <c r="K204" s="43">
        <v>0</v>
      </c>
      <c r="L204" s="40">
        <v>0</v>
      </c>
      <c r="M204" s="15">
        <f t="shared" ref="M204" si="944">N204*O204</f>
        <v>0</v>
      </c>
      <c r="N204" s="32">
        <v>0</v>
      </c>
      <c r="O204" s="40">
        <v>0</v>
      </c>
      <c r="P204" s="15">
        <f t="shared" si="910"/>
        <v>26842.368931356588</v>
      </c>
      <c r="Q204" s="32">
        <v>3.9252652000000001</v>
      </c>
      <c r="R204" s="40">
        <v>6838.3580633880701</v>
      </c>
      <c r="S204" s="15">
        <f t="shared" ref="S204" si="945">(((1+1.35%)^(1/252))-1)*D203+SUM(S203)</f>
        <v>5614.2994481618834</v>
      </c>
      <c r="T204" s="15">
        <f>IF((NETWORKDAYS(DATE(YEAR(C204),MONTH(C204),1),C204,Feriados!$A$2:$A$842))&gt;=5,0,IF(NETWORKDAYS(DATE(YEAR(C204),MONTH(C204),1),C204,Feriados!$A$2:$A$842)=1,S203,T203))</f>
        <v>0</v>
      </c>
      <c r="U204" s="26">
        <v>0</v>
      </c>
      <c r="V204" s="26">
        <v>0</v>
      </c>
      <c r="W204" s="15">
        <f t="shared" ref="W204" si="946">SUM(G204+J204+M204+P204)</f>
        <v>9314848.1460728068</v>
      </c>
      <c r="X204" s="50">
        <f>'Fluxo de Caixa_'!AD210</f>
        <v>0</v>
      </c>
      <c r="AB204" s="26">
        <v>5225.3858</v>
      </c>
      <c r="AC204" s="26">
        <v>0</v>
      </c>
      <c r="AD204">
        <v>0</v>
      </c>
      <c r="AE204">
        <f ca="1">-SUMIF('[1]Fluxo de Movimentações'!$A$5:$F$10001,"="&amp;$C204,'[1]Fluxo de Movimentações'!$H$5:$H$10001)</f>
        <v>0</v>
      </c>
      <c r="AF204" s="26">
        <v>0</v>
      </c>
      <c r="AG204" s="26">
        <v>0</v>
      </c>
      <c r="AH204" s="26">
        <v>0</v>
      </c>
      <c r="AI204" s="26">
        <v>0</v>
      </c>
      <c r="AJ204" s="26">
        <v>-254.93666215193201</v>
      </c>
      <c r="AK204" s="68">
        <v>4.2055319999999998</v>
      </c>
      <c r="AL204" s="15">
        <f>-SUMIFS([1]Master!$J$1:$J$200,[1]Master!$A$1:$A$200,"="&amp;$I$12,[1]Master!$G$1:$G$200,"&gt;"&amp;C204,[1]Master!$E$1:$E$200,"&lt;="&amp;C204)</f>
        <v>0</v>
      </c>
      <c r="AM204" s="26">
        <v>0</v>
      </c>
      <c r="AN204" s="26">
        <v>0</v>
      </c>
    </row>
    <row r="205" spans="3:40">
      <c r="C205" s="1">
        <f>WORKDAY(C204,1,Feriados!A12:A852)</f>
        <v>45154</v>
      </c>
      <c r="D205" s="39">
        <v>9303284.3784999996</v>
      </c>
      <c r="E205" s="32">
        <v>4.2004865000000002</v>
      </c>
      <c r="F205" s="88">
        <f>SUMIF([1]HSF!$H$2:$H$30,"="&amp;"APLICAÇÃO",[1]HSF!$K$2:$K$30)</f>
        <v>2283952.1146078166</v>
      </c>
      <c r="G205" s="15">
        <f t="shared" ref="G205" si="947">H205*I205</f>
        <v>9277592.537928015</v>
      </c>
      <c r="H205" s="32">
        <v>1.0375019999999999</v>
      </c>
      <c r="I205" s="15">
        <f>SUMIFS([1]Master!$K$2:$K$10000,[1]Master!$A$2:$A$10000,$I$12,[1]Master!$F$2:$F$10000,"&lt;="&amp;$C205)</f>
        <v>8942240.6298281979</v>
      </c>
      <c r="J205" s="15">
        <f t="shared" ref="J205" si="948">K205*L205</f>
        <v>0</v>
      </c>
      <c r="K205" s="43">
        <v>0</v>
      </c>
      <c r="L205" s="40">
        <v>0</v>
      </c>
      <c r="M205" s="15">
        <f t="shared" ref="M205" si="949">N205*O205</f>
        <v>0</v>
      </c>
      <c r="N205" s="32">
        <v>0</v>
      </c>
      <c r="O205" s="40">
        <v>0</v>
      </c>
      <c r="P205" s="15">
        <f t="shared" si="910"/>
        <v>26854.751830137768</v>
      </c>
      <c r="Q205" s="32">
        <v>3.927076</v>
      </c>
      <c r="R205" s="40">
        <v>6838.3580633880701</v>
      </c>
      <c r="S205" s="15">
        <f t="shared" ref="S205" si="950">(((1+1.35%)^(1/252))-1)*D204+SUM(S204)</f>
        <v>6109.9497936092339</v>
      </c>
      <c r="T205" s="15">
        <f>IF((NETWORKDAYS(DATE(YEAR(C205),MONTH(C205),1),C205,Feriados!$A$2:$A$842))&gt;=5,0,IF(NETWORKDAYS(DATE(YEAR(C205),MONTH(C205),1),C205,Feriados!$A$2:$A$842)=1,S204,T204))</f>
        <v>0</v>
      </c>
      <c r="U205" s="26">
        <v>0</v>
      </c>
      <c r="V205" s="26">
        <v>0</v>
      </c>
      <c r="W205" s="15">
        <f t="shared" ref="W205" si="951">SUM(G205+J205+M205+P205)</f>
        <v>9304447.2897581533</v>
      </c>
      <c r="X205" s="50">
        <f>'Fluxo de Caixa_'!AD211</f>
        <v>0</v>
      </c>
      <c r="AB205" s="26">
        <v>5192.8684999999996</v>
      </c>
      <c r="AC205" s="26">
        <v>0</v>
      </c>
      <c r="AD205">
        <v>0</v>
      </c>
      <c r="AE205">
        <f ca="1">-SUMIF('[1]Fluxo de Movimentações'!$A$5:$F$10001,"="&amp;$C205,'[1]Fluxo de Movimentações'!$H$5:$H$10001)</f>
        <v>0</v>
      </c>
      <c r="AF205" s="26">
        <v>0</v>
      </c>
      <c r="AG205" s="26">
        <v>0</v>
      </c>
      <c r="AH205" s="26">
        <v>0</v>
      </c>
      <c r="AI205" s="26">
        <v>0</v>
      </c>
      <c r="AJ205" s="26">
        <v>-245.86375919533199</v>
      </c>
      <c r="AK205" s="68">
        <v>4.2005974999999998</v>
      </c>
      <c r="AL205" s="15">
        <f>-SUMIFS([1]Master!$J$1:$J$200,[1]Master!$A$1:$A$200,"="&amp;$I$12,[1]Master!$G$1:$G$200,"&gt;"&amp;C205,[1]Master!$E$1:$E$200,"&lt;="&amp;C205)</f>
        <v>0</v>
      </c>
      <c r="AM205" s="26">
        <v>0</v>
      </c>
      <c r="AN205" s="26">
        <v>0</v>
      </c>
    </row>
    <row r="206" spans="3:40">
      <c r="C206" s="1">
        <f>WORKDAY(C205,1,Feriados!A13:A853)</f>
        <v>45155</v>
      </c>
      <c r="D206" s="39">
        <v>9216990.5211999994</v>
      </c>
      <c r="E206" s="32">
        <v>4.1615243</v>
      </c>
      <c r="F206" s="88">
        <f>SUMIF([1]HSF!$H$2:$H$30,"="&amp;"APLICAÇÃO",[1]HSF!$K$2:$K$30)</f>
        <v>2283952.1146078166</v>
      </c>
      <c r="G206" s="15">
        <f t="shared" ref="G206" si="952">H206*I206</f>
        <v>9191752.3932260424</v>
      </c>
      <c r="H206" s="32">
        <v>1.0279026</v>
      </c>
      <c r="I206" s="15">
        <f>SUMIFS([1]Master!$K$2:$K$10000,[1]Master!$A$2:$A$10000,$I$12,[1]Master!$F$2:$F$10000,"&lt;="&amp;$C206)</f>
        <v>8942240.6298281979</v>
      </c>
      <c r="J206" s="15">
        <f t="shared" ref="J206" si="953">K206*L206</f>
        <v>0</v>
      </c>
      <c r="K206" s="43">
        <v>0</v>
      </c>
      <c r="L206" s="40">
        <v>0</v>
      </c>
      <c r="M206" s="15">
        <f t="shared" ref="M206" si="954">N206*O206</f>
        <v>0</v>
      </c>
      <c r="N206" s="32">
        <v>0</v>
      </c>
      <c r="O206" s="40">
        <v>0</v>
      </c>
      <c r="P206" s="15">
        <f t="shared" si="910"/>
        <v>26868.294514446501</v>
      </c>
      <c r="Q206" s="32">
        <v>3.9290563999999999</v>
      </c>
      <c r="R206" s="40">
        <v>6838.3580633880701</v>
      </c>
      <c r="S206" s="15">
        <f t="shared" ref="S206" si="955">(((1+1.35%)^(1/252))-1)*D205+SUM(S205)</f>
        <v>6605.0190399672583</v>
      </c>
      <c r="T206" s="15">
        <f>IF((NETWORKDAYS(DATE(YEAR(C206),MONTH(C206),1),C206,Feriados!$A$2:$A$842))&gt;=5,0,IF(NETWORKDAYS(DATE(YEAR(C206),MONTH(C206),1),C206,Feriados!$A$2:$A$842)=1,S205,T205))</f>
        <v>0</v>
      </c>
      <c r="U206" s="26">
        <v>0</v>
      </c>
      <c r="V206" s="26">
        <v>0</v>
      </c>
      <c r="W206" s="15">
        <f t="shared" ref="W206" si="956">SUM(G206+J206+M206+P206)</f>
        <v>9218620.687740488</v>
      </c>
      <c r="X206" s="50">
        <f>'Fluxo de Caixa_'!AD212</f>
        <v>0</v>
      </c>
      <c r="AB206" s="26">
        <v>5160.3512000000001</v>
      </c>
      <c r="AC206" s="26">
        <v>0</v>
      </c>
      <c r="AD206">
        <v>0</v>
      </c>
      <c r="AE206">
        <f ca="1">-SUMIF('[1]Fluxo de Movimentações'!$A$5:$F$10001,"="&amp;$C206,'[1]Fluxo de Movimentações'!$H$5:$H$10001)</f>
        <v>0</v>
      </c>
      <c r="AF206" s="26">
        <v>0</v>
      </c>
      <c r="AG206" s="26">
        <v>0</v>
      </c>
      <c r="AH206" s="26">
        <v>0</v>
      </c>
      <c r="AI206" s="26">
        <v>0</v>
      </c>
      <c r="AJ206" s="26">
        <v>-185.536770182178</v>
      </c>
      <c r="AK206" s="68">
        <v>4.1616080999999996</v>
      </c>
      <c r="AL206" s="15">
        <f>-SUMIFS([1]Master!$J$1:$J$200,[1]Master!$A$1:$A$200,"="&amp;$I$12,[1]Master!$G$1:$G$200,"&gt;"&amp;C206,[1]Master!$E$1:$E$200,"&lt;="&amp;C206)</f>
        <v>0</v>
      </c>
      <c r="AM206" s="26">
        <v>0</v>
      </c>
      <c r="AN206" s="26">
        <v>0</v>
      </c>
    </row>
    <row r="207" spans="3:40">
      <c r="C207" s="1">
        <f>WORKDAY(C206,1,Feriados!A14:A854)</f>
        <v>45156</v>
      </c>
      <c r="D207" s="39">
        <v>9419403.4539000001</v>
      </c>
      <c r="E207" s="32">
        <v>4.2529149000000004</v>
      </c>
      <c r="F207" s="88">
        <f>SUMIF([1]HSF!$H$2:$H$30,"="&amp;"APLICAÇÃO",[1]HSF!$K$2:$K$30)</f>
        <v>2283952.1146078166</v>
      </c>
      <c r="G207" s="15">
        <f t="shared" ref="G207" si="957">H207*I207</f>
        <v>9394812.79344818</v>
      </c>
      <c r="H207" s="32">
        <v>1.0506106</v>
      </c>
      <c r="I207" s="15">
        <f>SUMIFS([1]Master!$K$2:$K$10000,[1]Master!$A$2:$A$10000,$I$12,[1]Master!$F$2:$F$10000,"&lt;="&amp;$C207)</f>
        <v>8942240.6298281979</v>
      </c>
      <c r="J207" s="15">
        <f t="shared" ref="J207" si="958">K207*L207</f>
        <v>0</v>
      </c>
      <c r="K207" s="43">
        <v>0</v>
      </c>
      <c r="L207" s="40">
        <v>0</v>
      </c>
      <c r="M207" s="15">
        <f t="shared" ref="M207" si="959">N207*O207</f>
        <v>0</v>
      </c>
      <c r="N207" s="32">
        <v>0</v>
      </c>
      <c r="O207" s="40">
        <v>0</v>
      </c>
      <c r="P207" s="15">
        <f t="shared" si="910"/>
        <v>26879.775433799125</v>
      </c>
      <c r="Q207" s="32">
        <v>3.9307352999999998</v>
      </c>
      <c r="R207" s="40">
        <v>6838.3580633880701</v>
      </c>
      <c r="S207" s="15">
        <f t="shared" ref="S207" si="960">(((1+1.35%)^(1/252))-1)*D206+SUM(S206)</f>
        <v>7095.4962053826039</v>
      </c>
      <c r="T207" s="15">
        <f>IF((NETWORKDAYS(DATE(YEAR(C207),MONTH(C207),1),C207,Feriados!$A$2:$A$842))&gt;=5,0,IF(NETWORKDAYS(DATE(YEAR(C207),MONTH(C207),1),C207,Feriados!$A$2:$A$842)=1,S206,T206))</f>
        <v>0</v>
      </c>
      <c r="U207" s="26">
        <v>0</v>
      </c>
      <c r="V207" s="26">
        <v>0</v>
      </c>
      <c r="W207" s="15">
        <f t="shared" ref="W207" si="961">SUM(G207+J207+M207+P207)</f>
        <v>9421692.5688819792</v>
      </c>
      <c r="X207" s="50">
        <f>'Fluxo de Caixa_'!AD213</f>
        <v>0</v>
      </c>
      <c r="AB207" s="26">
        <v>5127.8338999999996</v>
      </c>
      <c r="AC207" s="26">
        <v>0</v>
      </c>
      <c r="AD207">
        <v>0</v>
      </c>
      <c r="AE207">
        <f ca="1">-SUMIF('[1]Fluxo de Movimentações'!$A$5:$F$10001,"="&amp;$C207,'[1]Fluxo de Movimentações'!$H$5:$H$10001)</f>
        <v>0</v>
      </c>
      <c r="AF207" s="26">
        <v>0</v>
      </c>
      <c r="AG207" s="26">
        <v>0</v>
      </c>
      <c r="AH207" s="26">
        <v>0</v>
      </c>
      <c r="AI207" s="26">
        <v>0</v>
      </c>
      <c r="AJ207" s="26">
        <v>-321.49700018620803</v>
      </c>
      <c r="AK207" s="68">
        <v>4.2530600999999999</v>
      </c>
      <c r="AL207" s="15">
        <f>-SUMIFS([1]Master!$J$1:$J$200,[1]Master!$A$1:$A$200,"="&amp;$I$12,[1]Master!$G$1:$G$200,"&gt;"&amp;C207,[1]Master!$E$1:$E$200,"&lt;="&amp;C207)</f>
        <v>0</v>
      </c>
      <c r="AM207" s="26">
        <v>0</v>
      </c>
      <c r="AN207" s="26">
        <v>0</v>
      </c>
    </row>
    <row r="208" spans="3:40">
      <c r="C208" s="1">
        <f>WORKDAY(C207,1,Feriados!A15:A855)</f>
        <v>45159</v>
      </c>
      <c r="D208" s="39">
        <v>9349589.3066000007</v>
      </c>
      <c r="E208" s="32">
        <v>4.2213934000000002</v>
      </c>
      <c r="F208" s="88">
        <f>SUMIF([1]HSF!$H$2:$H$30,"="&amp;"APLICAÇÃO",[1]HSF!$K$2:$K$30)</f>
        <v>2283952.1146078166</v>
      </c>
      <c r="G208" s="15">
        <f t="shared" ref="G208" si="962">H208*I208</f>
        <v>9325469.2942601144</v>
      </c>
      <c r="H208" s="32">
        <v>1.042856</v>
      </c>
      <c r="I208" s="15">
        <f>SUMIFS([1]Master!$K$2:$K$10000,[1]Master!$A$2:$A$10000,$I$12,[1]Master!$F$2:$F$10000,"&lt;="&amp;$C208)</f>
        <v>8942240.6298281979</v>
      </c>
      <c r="J208" s="15">
        <f t="shared" ref="J208" si="963">K208*L208</f>
        <v>0</v>
      </c>
      <c r="K208" s="43">
        <v>0</v>
      </c>
      <c r="L208" s="40">
        <v>0</v>
      </c>
      <c r="M208" s="15">
        <f t="shared" ref="M208" si="964">N208*O208</f>
        <v>0</v>
      </c>
      <c r="N208" s="32">
        <v>0</v>
      </c>
      <c r="O208" s="40">
        <v>0</v>
      </c>
      <c r="P208" s="15">
        <f t="shared" si="910"/>
        <v>26893.746883158434</v>
      </c>
      <c r="Q208" s="32">
        <v>3.9327784000000001</v>
      </c>
      <c r="R208" s="40">
        <v>6838.3580633880701</v>
      </c>
      <c r="S208" s="15">
        <f t="shared" ref="S208" si="965">(((1+1.35%)^(1/252))-1)*D207+SUM(S207)</f>
        <v>7596.7446655330095</v>
      </c>
      <c r="T208" s="15">
        <f>IF((NETWORKDAYS(DATE(YEAR(C208),MONTH(C208),1),C208,Feriados!$A$2:$A$842))&gt;=5,0,IF(NETWORKDAYS(DATE(YEAR(C208),MONTH(C208),1),C208,Feriados!$A$2:$A$842)=1,S207,T207))</f>
        <v>0</v>
      </c>
      <c r="U208" s="26">
        <v>0</v>
      </c>
      <c r="V208" s="26">
        <v>0</v>
      </c>
      <c r="W208" s="15">
        <f t="shared" ref="W208" si="966">SUM(G208+J208+M208+P208)</f>
        <v>9352363.0411432721</v>
      </c>
      <c r="X208" s="50">
        <f>'Fluxo de Caixa_'!AD214</f>
        <v>0</v>
      </c>
      <c r="AB208" s="26">
        <v>5095.3166000000001</v>
      </c>
      <c r="AC208" s="26">
        <v>0</v>
      </c>
      <c r="AD208">
        <v>0</v>
      </c>
      <c r="AE208">
        <f ca="1">-SUMIF('[1]Fluxo de Movimentações'!$A$5:$F$10001,"="&amp;$C208,'[1]Fluxo de Movimentações'!$H$5:$H$10001)</f>
        <v>0</v>
      </c>
      <c r="AF208" s="26">
        <v>0</v>
      </c>
      <c r="AG208" s="26">
        <v>0</v>
      </c>
      <c r="AH208" s="26">
        <v>0</v>
      </c>
      <c r="AI208" s="26">
        <v>0</v>
      </c>
      <c r="AJ208" s="26">
        <v>-272.35514445902299</v>
      </c>
      <c r="AK208" s="68">
        <v>4.2215163999999996</v>
      </c>
      <c r="AL208" s="15">
        <f>-SUMIFS([1]Master!$J$1:$J$200,[1]Master!$A$1:$A$200,"="&amp;$I$12,[1]Master!$G$1:$G$200,"&gt;"&amp;C208,[1]Master!$E$1:$E$200,"&lt;="&amp;C208)</f>
        <v>0</v>
      </c>
      <c r="AM208" s="26">
        <v>0</v>
      </c>
      <c r="AN208" s="26">
        <v>0</v>
      </c>
    </row>
    <row r="209" spans="3:40">
      <c r="C209" s="1">
        <f>WORKDAY(C208,1,Feriados!A16:A856)</f>
        <v>45160</v>
      </c>
      <c r="D209" s="39">
        <v>9662984.4693</v>
      </c>
      <c r="E209" s="32">
        <v>4.3628931</v>
      </c>
      <c r="F209" s="88">
        <f>SUMIF([1]HSF!$H$2:$H$30,"="&amp;"APLICAÇÃO",[1]HSF!$K$2:$K$30)</f>
        <v>2283952.1146078166</v>
      </c>
      <c r="G209" s="15">
        <f t="shared" ref="G209" si="967">H209*I209</f>
        <v>9663033.512691753</v>
      </c>
      <c r="H209" s="32">
        <v>1.0806054</v>
      </c>
      <c r="I209" s="15">
        <f>SUMIFS([1]Master!$K$2:$K$10000,[1]Master!$A$2:$A$10000,$I$12,[1]Master!$F$2:$F$10000,"&lt;="&amp;$C209)</f>
        <v>8942240.6298281979</v>
      </c>
      <c r="J209" s="15">
        <f t="shared" ref="J209" si="968">K209*L209</f>
        <v>0</v>
      </c>
      <c r="K209" s="43">
        <v>0</v>
      </c>
      <c r="L209" s="40">
        <v>0</v>
      </c>
      <c r="M209" s="15">
        <f t="shared" ref="M209" si="969">N209*O209</f>
        <v>0</v>
      </c>
      <c r="N209" s="32">
        <v>0</v>
      </c>
      <c r="O209" s="40">
        <v>0</v>
      </c>
      <c r="P209" s="15">
        <f t="shared" ref="P209:P222" si="970">R209*Q209</f>
        <v>26906.292534861524</v>
      </c>
      <c r="Q209" s="32">
        <v>3.9346130000000001</v>
      </c>
      <c r="R209" s="40">
        <v>6838.3580633880701</v>
      </c>
      <c r="S209" s="15">
        <f t="shared" ref="S209" si="971">(((1+1.35%)^(1/252))-1)*D208+SUM(S208)</f>
        <v>8094.2780035950464</v>
      </c>
      <c r="T209" s="15">
        <f>IF((NETWORKDAYS(DATE(YEAR(C209),MONTH(C209),1),C209,Feriados!$A$2:$A$842))&gt;=5,0,IF(NETWORKDAYS(DATE(YEAR(C209),MONTH(C209),1),C209,Feriados!$A$2:$A$842)=1,S208,T208))</f>
        <v>0</v>
      </c>
      <c r="U209" s="26">
        <v>0</v>
      </c>
      <c r="V209" s="26">
        <v>0</v>
      </c>
      <c r="W209" s="15">
        <f t="shared" ref="W209" si="972">SUM(G209+J209+M209+P209)</f>
        <v>9689939.8052266147</v>
      </c>
      <c r="X209" s="50">
        <f>'Fluxo de Caixa_'!AD215</f>
        <v>0</v>
      </c>
      <c r="AB209" s="26">
        <v>5062.7992999999997</v>
      </c>
      <c r="AC209" s="26">
        <v>0</v>
      </c>
      <c r="AD209">
        <v>0</v>
      </c>
      <c r="AE209">
        <f ca="1">-SUMIF('[1]Fluxo de Movimentações'!$A$5:$F$10001,"="&amp;$C209,'[1]Fluxo de Movimentações'!$H$5:$H$10001)</f>
        <v>0</v>
      </c>
      <c r="AF209" s="26">
        <v>0</v>
      </c>
      <c r="AG209" s="26">
        <v>0</v>
      </c>
      <c r="AH209" s="26">
        <v>0</v>
      </c>
      <c r="AI209" s="26">
        <v>0</v>
      </c>
      <c r="AJ209" s="26">
        <v>-23923.9103585548</v>
      </c>
      <c r="AK209" s="68">
        <v>4.3736949000000003</v>
      </c>
      <c r="AL209" s="15">
        <f>-SUMIFS([1]Master!$J$1:$J$200,[1]Master!$A$1:$A$200,"="&amp;$I$12,[1]Master!$G$1:$G$200,"&gt;"&amp;C209,[1]Master!$E$1:$E$200,"&lt;="&amp;C209)</f>
        <v>0</v>
      </c>
      <c r="AM209" s="26">
        <v>0</v>
      </c>
      <c r="AN209" s="26">
        <v>0</v>
      </c>
    </row>
    <row r="210" spans="3:40">
      <c r="C210" s="1">
        <f>WORKDAY(C209,1,Feriados!A17:A857)</f>
        <v>45161</v>
      </c>
      <c r="D210" s="39">
        <v>9838370.4020000007</v>
      </c>
      <c r="E210" s="32">
        <v>4.4420808999999997</v>
      </c>
      <c r="F210" s="88">
        <f>SUMIF([1]HSF!$H$2:$H$30,"="&amp;"APLICAÇÃO",[1]HSF!$K$2:$K$30)</f>
        <v>2283952.1146078166</v>
      </c>
      <c r="G210" s="15">
        <f t="shared" ref="G210" si="973">H210*I210</f>
        <v>9862514.3339897711</v>
      </c>
      <c r="H210" s="32">
        <v>1.1029131000000001</v>
      </c>
      <c r="I210" s="15">
        <f>SUMIFS([1]Master!$K$2:$K$10000,[1]Master!$A$2:$A$10000,$I$12,[1]Master!$F$2:$F$10000,"&lt;="&amp;$C210)</f>
        <v>8942240.6298281979</v>
      </c>
      <c r="J210" s="15">
        <f t="shared" ref="J210" si="974">K210*L210</f>
        <v>0</v>
      </c>
      <c r="K210" s="43">
        <v>0</v>
      </c>
      <c r="L210" s="40">
        <v>0</v>
      </c>
      <c r="M210" s="15">
        <f t="shared" ref="M210" si="975">N210*O210</f>
        <v>0</v>
      </c>
      <c r="N210" s="32">
        <v>0</v>
      </c>
      <c r="O210" s="40">
        <v>0</v>
      </c>
      <c r="P210" s="15">
        <f t="shared" si="970"/>
        <v>26918.411473021461</v>
      </c>
      <c r="Q210" s="32">
        <v>3.9363852000000001</v>
      </c>
      <c r="R210" s="40">
        <v>6838.3580633880701</v>
      </c>
      <c r="S210" s="15">
        <f t="shared" ref="S210" si="976">(((1+1.35%)^(1/252))-1)*D209+SUM(S209)</f>
        <v>8608.4884957349168</v>
      </c>
      <c r="T210" s="15">
        <f>IF((NETWORKDAYS(DATE(YEAR(C210),MONTH(C210),1),C210,Feriados!$A$2:$A$842))&gt;=5,0,IF(NETWORKDAYS(DATE(YEAR(C210),MONTH(C210),1),C210,Feriados!$A$2:$A$842)=1,S209,T209))</f>
        <v>0</v>
      </c>
      <c r="U210" s="26">
        <v>0</v>
      </c>
      <c r="V210" s="26">
        <v>0</v>
      </c>
      <c r="W210" s="15">
        <f t="shared" ref="W210" si="977">SUM(G210+J210+M210+P210)</f>
        <v>9889432.745462792</v>
      </c>
      <c r="X210" s="50">
        <f>'Fluxo de Caixa_'!AD216</f>
        <v>0</v>
      </c>
      <c r="AB210" s="26">
        <v>5030.2820000000002</v>
      </c>
      <c r="AC210" s="26">
        <v>0</v>
      </c>
      <c r="AD210">
        <v>0</v>
      </c>
      <c r="AE210">
        <f ca="1">-SUMIF('[1]Fluxo de Movimentações'!$A$5:$F$10001,"="&amp;$C210,'[1]Fluxo de Movimentações'!$H$5:$H$10001)</f>
        <v>0</v>
      </c>
      <c r="AF210" s="26">
        <v>0</v>
      </c>
      <c r="AG210" s="26">
        <v>0</v>
      </c>
      <c r="AH210" s="26">
        <v>0</v>
      </c>
      <c r="AI210" s="26">
        <v>0</v>
      </c>
      <c r="AJ210" s="26">
        <v>-47484.170607152097</v>
      </c>
      <c r="AK210" s="68">
        <v>4.4635202999999999</v>
      </c>
      <c r="AL210" s="15">
        <f>-SUMIFS([1]Master!$J$1:$J$200,[1]Master!$A$1:$A$200,"="&amp;$I$12,[1]Master!$G$1:$G$200,"&gt;"&amp;C210,[1]Master!$E$1:$E$200,"&lt;="&amp;C210)</f>
        <v>0</v>
      </c>
      <c r="AM210" s="26">
        <v>0</v>
      </c>
      <c r="AN210" s="26">
        <v>0</v>
      </c>
    </row>
    <row r="211" spans="3:40">
      <c r="C211" s="1">
        <f>WORKDAY(C210,1,Feriados!A18:A858)</f>
        <v>45162</v>
      </c>
      <c r="D211" s="39">
        <v>9823640.5547000002</v>
      </c>
      <c r="E211" s="32">
        <v>4.4354303000000002</v>
      </c>
      <c r="F211" s="88">
        <f>SUMIF([1]HSF!$H$2:$H$30,"="&amp;"APLICAÇÃO",[1]HSF!$K$2:$K$30)</f>
        <v>2283952.1146078166</v>
      </c>
      <c r="G211" s="15">
        <f t="shared" ref="G211" si="978">H211*I211</f>
        <v>9845962.2465839591</v>
      </c>
      <c r="H211" s="32">
        <v>1.1010621</v>
      </c>
      <c r="I211" s="15">
        <f>SUMIFS([1]Master!$K$2:$K$10000,[1]Master!$A$2:$A$10000,$I$12,[1]Master!$F$2:$F$10000,"&lt;="&amp;$C211)</f>
        <v>8942240.6298281979</v>
      </c>
      <c r="J211" s="15">
        <f t="shared" ref="J211" si="979">K211*L211</f>
        <v>0</v>
      </c>
      <c r="K211" s="43">
        <v>0</v>
      </c>
      <c r="L211" s="40">
        <v>0</v>
      </c>
      <c r="M211" s="15">
        <f t="shared" ref="M211" si="980">N211*O211</f>
        <v>0</v>
      </c>
      <c r="N211" s="32">
        <v>0</v>
      </c>
      <c r="O211" s="40">
        <v>0</v>
      </c>
      <c r="P211" s="15">
        <f t="shared" si="970"/>
        <v>26931.022772961962</v>
      </c>
      <c r="Q211" s="32">
        <v>3.9382294</v>
      </c>
      <c r="R211" s="40">
        <v>6838.3580633880701</v>
      </c>
      <c r="S211" s="15">
        <f t="shared" ref="S211" si="981">(((1+1.35%)^(1/252))-1)*D210+SUM(S210)</f>
        <v>9132.0320554228729</v>
      </c>
      <c r="T211" s="15">
        <f>IF((NETWORKDAYS(DATE(YEAR(C211),MONTH(C211),1),C211,Feriados!$A$2:$A$842))&gt;=5,0,IF(NETWORKDAYS(DATE(YEAR(C211),MONTH(C211),1),C211,Feriados!$A$2:$A$842)=1,S210,T210))</f>
        <v>0</v>
      </c>
      <c r="U211" s="26">
        <v>0</v>
      </c>
      <c r="V211" s="26">
        <v>0</v>
      </c>
      <c r="W211" s="15">
        <f t="shared" ref="W211" si="982">SUM(G211+J211+M211+P211)</f>
        <v>9872893.2693569213</v>
      </c>
      <c r="X211" s="50">
        <f>'Fluxo de Caixa_'!AD217</f>
        <v>0</v>
      </c>
      <c r="AB211" s="26">
        <v>4997.7646999999997</v>
      </c>
      <c r="AC211" s="26">
        <v>0</v>
      </c>
      <c r="AD211">
        <v>0</v>
      </c>
      <c r="AE211">
        <f ca="1">-SUMIF('[1]Fluxo de Movimentações'!$A$5:$F$10001,"="&amp;$C211,'[1]Fluxo de Movimentações'!$H$5:$H$10001)</f>
        <v>0</v>
      </c>
      <c r="AF211" s="26">
        <v>0</v>
      </c>
      <c r="AG211" s="26">
        <v>0</v>
      </c>
      <c r="AH211" s="26">
        <v>0</v>
      </c>
      <c r="AI211" s="26">
        <v>0</v>
      </c>
      <c r="AJ211" s="26">
        <v>-45118.530749691003</v>
      </c>
      <c r="AK211" s="68">
        <v>4.4558016</v>
      </c>
      <c r="AL211" s="15">
        <f>-SUMIFS([1]Master!$J$1:$J$200,[1]Master!$A$1:$A$200,"="&amp;$I$12,[1]Master!$G$1:$G$200,"&gt;"&amp;C211,[1]Master!$E$1:$E$200,"&lt;="&amp;C211)</f>
        <v>0</v>
      </c>
      <c r="AM211" s="26">
        <v>0</v>
      </c>
      <c r="AN211" s="26">
        <v>0</v>
      </c>
    </row>
    <row r="212" spans="3:40">
      <c r="C212" s="1">
        <f>WORKDAY(C211,1,Feriados!A19:A859)</f>
        <v>45163</v>
      </c>
      <c r="D212" s="39">
        <v>9668431.1774000004</v>
      </c>
      <c r="E212" s="32">
        <v>4.3653523999999999</v>
      </c>
      <c r="F212" s="88">
        <f>SUMIF([1]HSF!$H$2:$H$30,"="&amp;"APLICAÇÃO",[1]HSF!$K$2:$K$30)</f>
        <v>2283952.1146078166</v>
      </c>
      <c r="G212" s="15">
        <f t="shared" ref="G212" si="983">H212*I212</f>
        <v>9669770.5967822652</v>
      </c>
      <c r="H212" s="32">
        <v>1.0813588000000001</v>
      </c>
      <c r="I212" s="15">
        <f>SUMIFS([1]Master!$K$2:$K$10000,[1]Master!$A$2:$A$10000,$I$12,[1]Master!$F$2:$F$10000,"&lt;="&amp;$C212)</f>
        <v>8942240.6298281979</v>
      </c>
      <c r="J212" s="15">
        <f t="shared" ref="J212" si="984">K212*L212</f>
        <v>0</v>
      </c>
      <c r="K212" s="43">
        <v>0</v>
      </c>
      <c r="L212" s="40">
        <v>0</v>
      </c>
      <c r="M212" s="15">
        <f t="shared" ref="M212" si="985">N212*O212</f>
        <v>0</v>
      </c>
      <c r="N212" s="32">
        <v>0</v>
      </c>
      <c r="O212" s="40">
        <v>0</v>
      </c>
      <c r="P212" s="15">
        <f t="shared" si="970"/>
        <v>26945.397685447009</v>
      </c>
      <c r="Q212" s="32">
        <v>3.9403315000000001</v>
      </c>
      <c r="R212" s="40">
        <v>6838.3580633880701</v>
      </c>
      <c r="S212" s="15">
        <f t="shared" ref="S212" si="986">(((1+1.35%)^(1/252))-1)*D211+SUM(S211)</f>
        <v>9654.7917742536538</v>
      </c>
      <c r="T212" s="15">
        <f>IF((NETWORKDAYS(DATE(YEAR(C212),MONTH(C212),1),C212,Feriados!$A$2:$A$842))&gt;=5,0,IF(NETWORKDAYS(DATE(YEAR(C212),MONTH(C212),1),C212,Feriados!$A$2:$A$842)=1,S211,T211))</f>
        <v>0</v>
      </c>
      <c r="U212" s="26">
        <v>0</v>
      </c>
      <c r="V212" s="26">
        <v>0</v>
      </c>
      <c r="W212" s="15">
        <f t="shared" ref="W212" si="987">SUM(G212+J212+M212+P212)</f>
        <v>9696715.9944677129</v>
      </c>
      <c r="X212" s="50">
        <f>'Fluxo de Caixa_'!AD218</f>
        <v>0</v>
      </c>
      <c r="AB212" s="26">
        <v>4965.2474000000002</v>
      </c>
      <c r="AC212" s="26">
        <v>0</v>
      </c>
      <c r="AD212">
        <v>0</v>
      </c>
      <c r="AE212">
        <f ca="1">-SUMIF('[1]Fluxo de Movimentações'!$A$5:$F$10001,"="&amp;$C212,'[1]Fluxo de Movimentações'!$H$5:$H$10001)</f>
        <v>0</v>
      </c>
      <c r="AF212" s="26">
        <v>0</v>
      </c>
      <c r="AG212" s="26">
        <v>0</v>
      </c>
      <c r="AH212" s="26">
        <v>0</v>
      </c>
      <c r="AI212" s="26">
        <v>0</v>
      </c>
      <c r="AJ212" s="26">
        <v>-23595.3573312388</v>
      </c>
      <c r="AK212" s="68">
        <v>4.3760057999999997</v>
      </c>
      <c r="AL212" s="15">
        <f>-SUMIFS([1]Master!$J$1:$J$200,[1]Master!$A$1:$A$200,"="&amp;$I$12,[1]Master!$G$1:$G$200,"&gt;"&amp;C212,[1]Master!$E$1:$E$200,"&lt;="&amp;C212)</f>
        <v>0</v>
      </c>
      <c r="AM212" s="26">
        <v>0</v>
      </c>
      <c r="AN212" s="26">
        <v>0</v>
      </c>
    </row>
    <row r="213" spans="3:40">
      <c r="C213" s="1">
        <f>WORKDAY(C212,1,Feriados!A20:A860)</f>
        <v>45166</v>
      </c>
      <c r="D213" s="39">
        <v>9626712.1201000009</v>
      </c>
      <c r="E213" s="32">
        <v>4.3465160000000003</v>
      </c>
      <c r="F213" s="88">
        <f>SUMIF([1]HSF!$H$2:$H$30,"="&amp;"APLICAÇÃO",[1]HSF!$K$2:$K$30)</f>
        <v>2283952.1146078166</v>
      </c>
      <c r="G213" s="15">
        <f t="shared" ref="G213" si="988">H213*I213</f>
        <v>9621957.3303586356</v>
      </c>
      <c r="H213" s="32">
        <v>1.0760118999999999</v>
      </c>
      <c r="I213" s="15">
        <f>SUMIFS([1]Master!$K$2:$K$10000,[1]Master!$A$2:$A$10000,$I$12,[1]Master!$F$2:$F$10000,"&lt;="&amp;$C213)</f>
        <v>8942240.6298281979</v>
      </c>
      <c r="J213" s="15">
        <f t="shared" ref="J213" si="989">K213*L213</f>
        <v>0</v>
      </c>
      <c r="K213" s="43">
        <v>0</v>
      </c>
      <c r="L213" s="40">
        <v>0</v>
      </c>
      <c r="M213" s="15">
        <f t="shared" ref="M213" si="990">N213*O213</f>
        <v>0</v>
      </c>
      <c r="N213" s="32">
        <v>0</v>
      </c>
      <c r="O213" s="40">
        <v>0</v>
      </c>
      <c r="P213" s="15">
        <f t="shared" si="970"/>
        <v>26957.900939330109</v>
      </c>
      <c r="Q213" s="32">
        <v>3.9421599000000001</v>
      </c>
      <c r="R213" s="40">
        <v>6838.3580633880701</v>
      </c>
      <c r="S213" s="15">
        <f t="shared" ref="S213" si="991">(((1+1.35%)^(1/252))-1)*D212+SUM(S212)</f>
        <v>10169.292110019118</v>
      </c>
      <c r="T213" s="15">
        <f>IF((NETWORKDAYS(DATE(YEAR(C213),MONTH(C213),1),C213,Feriados!$A$2:$A$842))&gt;=5,0,IF(NETWORKDAYS(DATE(YEAR(C213),MONTH(C213),1),C213,Feriados!$A$2:$A$842)=1,S212,T212))</f>
        <v>0</v>
      </c>
      <c r="U213" s="26">
        <v>0</v>
      </c>
      <c r="V213" s="26">
        <v>0</v>
      </c>
      <c r="W213" s="15">
        <f t="shared" ref="W213" si="992">SUM(G213+J213+M213+P213)</f>
        <v>9648915.2312979661</v>
      </c>
      <c r="X213" s="50">
        <f>'Fluxo de Caixa_'!AD219</f>
        <v>0</v>
      </c>
      <c r="AB213" s="26">
        <v>4932.7300999999998</v>
      </c>
      <c r="AC213" s="26">
        <v>0</v>
      </c>
      <c r="AD213">
        <v>0</v>
      </c>
      <c r="AE213">
        <f ca="1">-SUMIF('[1]Fluxo de Movimentações'!$A$5:$F$10001,"="&amp;$C213,'[1]Fluxo de Movimentações'!$H$5:$H$10001)</f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-16966.5688226438</v>
      </c>
      <c r="AK213" s="68">
        <v>4.3541765000000003</v>
      </c>
      <c r="AL213" s="15">
        <f>-SUMIFS([1]Master!$J$1:$J$200,[1]Master!$A$1:$A$200,"="&amp;$I$12,[1]Master!$G$1:$G$200,"&gt;"&amp;C213,[1]Master!$E$1:$E$200,"&lt;="&amp;C213)</f>
        <v>0</v>
      </c>
      <c r="AM213" s="26">
        <v>0</v>
      </c>
      <c r="AN213" s="26">
        <v>0</v>
      </c>
    </row>
    <row r="214" spans="3:40">
      <c r="C214" s="1">
        <f>WORKDAY(C213,1,Feriados!A21:A861)</f>
        <v>45167</v>
      </c>
      <c r="D214" s="39">
        <v>9671989.4228000008</v>
      </c>
      <c r="E214" s="32">
        <v>4.3669589000000002</v>
      </c>
      <c r="F214" s="88">
        <f>SUMIF([1]HSF!$H$2:$H$30,"="&amp;"APLICAÇÃO",[1]HSF!$K$2:$K$30)</f>
        <v>2283952.1146078166</v>
      </c>
      <c r="G214" s="15">
        <f t="shared" ref="G214" si="993">H214*I214</f>
        <v>9673519.1840542872</v>
      </c>
      <c r="H214" s="32">
        <v>1.0817779999999999</v>
      </c>
      <c r="I214" s="15">
        <f>SUMIFS([1]Master!$K$2:$K$10000,[1]Master!$A$2:$A$10000,$I$12,[1]Master!$F$2:$F$10000,"&lt;="&amp;$C214)</f>
        <v>8942240.6298281979</v>
      </c>
      <c r="J214" s="15">
        <f t="shared" ref="J214" si="994">K214*L214</f>
        <v>0</v>
      </c>
      <c r="K214" s="43">
        <v>0</v>
      </c>
      <c r="L214" s="40">
        <v>0</v>
      </c>
      <c r="M214" s="15">
        <f t="shared" ref="M214" si="995">N214*O214</f>
        <v>0</v>
      </c>
      <c r="N214" s="32">
        <v>0</v>
      </c>
      <c r="O214" s="40">
        <v>0</v>
      </c>
      <c r="P214" s="15">
        <f t="shared" si="970"/>
        <v>26970.337861139993</v>
      </c>
      <c r="Q214" s="32">
        <v>3.9439785999999999</v>
      </c>
      <c r="R214" s="40">
        <v>6838.3580633880701</v>
      </c>
      <c r="S214" s="15">
        <f t="shared" ref="S214" si="996">(((1+1.35%)^(1/252))-1)*D213+SUM(S213)</f>
        <v>10681.572388714843</v>
      </c>
      <c r="T214" s="15">
        <f>IF((NETWORKDAYS(DATE(YEAR(C214),MONTH(C214),1),C214,Feriados!$A$2:$A$842))&gt;=5,0,IF(NETWORKDAYS(DATE(YEAR(C214),MONTH(C214),1),C214,Feriados!$A$2:$A$842)=1,S213,T213))</f>
        <v>0</v>
      </c>
      <c r="U214" s="26">
        <v>0</v>
      </c>
      <c r="V214" s="26">
        <v>0</v>
      </c>
      <c r="W214" s="15">
        <f t="shared" ref="W214" si="997">SUM(G214+J214+M214+P214)</f>
        <v>9700489.5219154265</v>
      </c>
      <c r="X214" s="50">
        <f>'Fluxo de Caixa_'!AD220</f>
        <v>0</v>
      </c>
      <c r="AB214" s="26">
        <v>4900.2128000000002</v>
      </c>
      <c r="AC214" s="26">
        <v>0</v>
      </c>
      <c r="AD214">
        <v>0</v>
      </c>
      <c r="AE214">
        <f ca="1">-SUMIF('[1]Fluxo de Movimentações'!$A$5:$F$10001,"="&amp;$C214,'[1]Fluxo de Movimentações'!$H$5:$H$10001)</f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-22718.824093323099</v>
      </c>
      <c r="AK214" s="68">
        <v>4.3772165999999997</v>
      </c>
      <c r="AL214" s="15">
        <f>-SUMIFS([1]Master!$J$1:$J$200,[1]Master!$A$1:$A$200,"="&amp;$I$12,[1]Master!$G$1:$G$200,"&gt;"&amp;C214,[1]Master!$E$1:$E$200,"&lt;="&amp;C214)</f>
        <v>0</v>
      </c>
      <c r="AM214" s="26">
        <v>0</v>
      </c>
      <c r="AN214" s="26">
        <v>0</v>
      </c>
    </row>
    <row r="215" spans="3:40">
      <c r="C215" s="1">
        <f>WORKDAY(C214,1,Feriados!A22:A862)</f>
        <v>45168</v>
      </c>
      <c r="D215" s="39">
        <v>9644246.4655000009</v>
      </c>
      <c r="E215" s="32">
        <v>4.3544327999999997</v>
      </c>
      <c r="F215" s="88">
        <f>SUMIF([1]HSF!$H$2:$H$30,"="&amp;"APLICAÇÃO",[1]HSF!$K$2:$K$30)</f>
        <v>2283952.1146078166</v>
      </c>
      <c r="G215" s="15">
        <f t="shared" ref="G215" si="998">H215*I215</f>
        <v>9642103.3042735755</v>
      </c>
      <c r="H215" s="32">
        <v>1.0782647999999999</v>
      </c>
      <c r="I215" s="15">
        <f>SUMIFS([1]Master!$K$2:$K$10000,[1]Master!$A$2:$A$10000,$I$12,[1]Master!$F$2:$F$10000,"&lt;="&amp;$C215)</f>
        <v>8942240.6298281979</v>
      </c>
      <c r="J215" s="15">
        <f t="shared" ref="J215" si="999">K215*L215</f>
        <v>0</v>
      </c>
      <c r="K215" s="43">
        <v>0</v>
      </c>
      <c r="L215" s="40">
        <v>0</v>
      </c>
      <c r="M215" s="15">
        <f t="shared" ref="M215" si="1000">N215*O215</f>
        <v>0</v>
      </c>
      <c r="N215" s="32">
        <v>0</v>
      </c>
      <c r="O215" s="40">
        <v>0</v>
      </c>
      <c r="P215" s="15">
        <f t="shared" si="970"/>
        <v>26983.717792526819</v>
      </c>
      <c r="Q215" s="32">
        <v>3.9459352000000001</v>
      </c>
      <c r="R215" s="40">
        <v>6838.3580633880701</v>
      </c>
      <c r="S215" s="15">
        <f t="shared" ref="S215" si="1001">(((1+1.35%)^(1/252))-1)*D214+SUM(S214)</f>
        <v>11196.262074584729</v>
      </c>
      <c r="T215" s="15">
        <f>IF((NETWORKDAYS(DATE(YEAR(C215),MONTH(C215),1),C215,Feriados!$A$2:$A$842))&gt;=5,0,IF(NETWORKDAYS(DATE(YEAR(C215),MONTH(C215),1),C215,Feriados!$A$2:$A$842)=1,S214,T214))</f>
        <v>0</v>
      </c>
      <c r="U215" s="26">
        <v>0</v>
      </c>
      <c r="V215" s="26">
        <v>0</v>
      </c>
      <c r="W215" s="15">
        <f t="shared" ref="W215" si="1002">SUM(G215+J215+M215+P215)</f>
        <v>9669087.0220661014</v>
      </c>
      <c r="X215" s="50">
        <f>'Fluxo de Caixa_'!AD221</f>
        <v>0</v>
      </c>
      <c r="AB215" s="26">
        <v>4867.6954999999998</v>
      </c>
      <c r="AC215" s="26">
        <v>0</v>
      </c>
      <c r="AD215">
        <v>0</v>
      </c>
      <c r="AE215">
        <f ca="1">-SUMIF('[1]Fluxo de Movimentações'!$A$5:$F$10001,"="&amp;$C215,'[1]Fluxo de Movimentações'!$H$5:$H$10001)</f>
        <v>0</v>
      </c>
      <c r="AF215" s="26">
        <v>0</v>
      </c>
      <c r="AG215" s="26">
        <v>0</v>
      </c>
      <c r="AH215" s="26">
        <v>0</v>
      </c>
      <c r="AI215" s="26">
        <v>0</v>
      </c>
      <c r="AJ215" s="26">
        <v>-18512.080307269302</v>
      </c>
      <c r="AK215" s="68">
        <v>4.3627910999999999</v>
      </c>
      <c r="AL215" s="15">
        <f>-SUMIFS([1]Master!$J$1:$J$200,[1]Master!$A$1:$A$200,"="&amp;$I$12,[1]Master!$G$1:$G$200,"&gt;"&amp;C215,[1]Master!$E$1:$E$200,"&lt;="&amp;C215)</f>
        <v>0</v>
      </c>
      <c r="AM215" s="26">
        <v>0</v>
      </c>
      <c r="AN215" s="26">
        <v>0</v>
      </c>
    </row>
    <row r="216" spans="3:40">
      <c r="C216" s="1">
        <f>WORKDAY(C215,1,Feriados!A23:A863)</f>
        <v>45169</v>
      </c>
      <c r="D216" s="39">
        <v>9513084.4181999993</v>
      </c>
      <c r="E216" s="32">
        <v>4.2952123999999996</v>
      </c>
      <c r="F216" s="88">
        <f>SUMIF([1]HSF!$H$2:$H$30,"="&amp;"APLICAÇÃO",[1]HSF!$K$2:$K$30)</f>
        <v>2283952.1146078166</v>
      </c>
      <c r="G216" s="15">
        <f t="shared" ref="G216" si="1003">H216*I216</f>
        <v>9493326.7757948097</v>
      </c>
      <c r="H216" s="32">
        <v>1.0616273000000001</v>
      </c>
      <c r="I216" s="15">
        <f>SUMIFS([1]Master!$K$2:$K$10000,[1]Master!$A$2:$A$10000,$I$12,[1]Master!$F$2:$F$10000,"&lt;="&amp;$C216)</f>
        <v>8942240.6298281979</v>
      </c>
      <c r="J216" s="15">
        <f t="shared" ref="J216" si="1004">K216*L216</f>
        <v>0</v>
      </c>
      <c r="K216" s="43">
        <v>0</v>
      </c>
      <c r="L216" s="40">
        <v>0</v>
      </c>
      <c r="M216" s="15">
        <f t="shared" ref="M216" si="1005">N216*O216</f>
        <v>0</v>
      </c>
      <c r="N216" s="32">
        <v>0</v>
      </c>
      <c r="O216" s="40">
        <v>0</v>
      </c>
      <c r="P216" s="15">
        <f t="shared" si="970"/>
        <v>26998.234942859584</v>
      </c>
      <c r="Q216" s="32">
        <v>3.9480580999999999</v>
      </c>
      <c r="R216" s="40">
        <v>6838.3580633880701</v>
      </c>
      <c r="S216" s="15">
        <f t="shared" ref="S216:S218" si="1006">(((1+1.35%)^(1/252))-1)*D215+SUM(S215)</f>
        <v>11709.475433987158</v>
      </c>
      <c r="T216" s="15">
        <f>IF((NETWORKDAYS(DATE(YEAR(C216),MONTH(C216),1),C216,Feriados!$A$2:$A$842))&gt;=5,0,IF(NETWORKDAYS(DATE(YEAR(C216),MONTH(C216),1),C216,Feriados!$A$2:$A$842)=1,S215,T215))</f>
        <v>0</v>
      </c>
      <c r="U216" s="26">
        <v>0</v>
      </c>
      <c r="V216" s="26">
        <v>0</v>
      </c>
      <c r="W216" s="15">
        <f t="shared" ref="W216" si="1007">SUM(G216+J216+M216+P216)</f>
        <v>9520325.0107376687</v>
      </c>
      <c r="X216" s="50">
        <f>'Fluxo de Caixa_'!AD222</f>
        <v>0</v>
      </c>
      <c r="AB216" s="26">
        <v>4835.1782000000003</v>
      </c>
      <c r="AC216" s="26">
        <v>0</v>
      </c>
      <c r="AD216">
        <v>0</v>
      </c>
      <c r="AE216">
        <f ca="1">-SUMIF('[1]Fluxo de Movimentações'!$A$5:$F$10001,"="&amp;$C216,'[1]Fluxo de Movimentações'!$H$5:$H$10001)</f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-366.379022446112</v>
      </c>
      <c r="AK216" s="68">
        <v>4.2953777999999998</v>
      </c>
      <c r="AL216" s="15">
        <f>-SUMIFS([1]Master!$J$1:$J$200,[1]Master!$A$1:$A$200,"="&amp;$I$12,[1]Master!$G$1:$G$200,"&gt;"&amp;C216,[1]Master!$E$1:$E$200,"&lt;="&amp;C216)</f>
        <v>0</v>
      </c>
      <c r="AM216" s="26">
        <v>0</v>
      </c>
      <c r="AN216" s="26">
        <v>0</v>
      </c>
    </row>
    <row r="217" spans="3:40">
      <c r="C217" s="1">
        <f>WORKDAY(C216,1,Feriados!A24:A864)</f>
        <v>45170</v>
      </c>
      <c r="D217" s="39">
        <v>9622939.4071999993</v>
      </c>
      <c r="E217" s="32">
        <v>4.3448126</v>
      </c>
      <c r="F217" s="88">
        <f>SUMIF([1]HSF!$H$2:$H$30,"="&amp;"APLICAÇÃO",[1]HSF!$K$2:$K$30)</f>
        <v>2283952.1146078166</v>
      </c>
      <c r="G217" s="15">
        <f t="shared" ref="G217" si="1008">H217*I217</f>
        <v>9618088.9170621727</v>
      </c>
      <c r="H217" s="32">
        <v>1.0755793</v>
      </c>
      <c r="I217" s="15">
        <f>SUMIFS([1]Master!$K$2:$K$10000,[1]Master!$A$2:$A$10000,$I$12,[1]Master!$F$2:$F$10000,"&lt;="&amp;$C217)</f>
        <v>8942240.6298281979</v>
      </c>
      <c r="J217" s="15">
        <f t="shared" ref="J217" si="1009">K217*L217</f>
        <v>0</v>
      </c>
      <c r="K217" s="43">
        <v>0</v>
      </c>
      <c r="L217" s="40">
        <v>0</v>
      </c>
      <c r="M217" s="15">
        <f t="shared" ref="M217:M218" si="1010">N217*O217</f>
        <v>0</v>
      </c>
      <c r="N217" s="32">
        <v>0</v>
      </c>
      <c r="O217" s="40">
        <v>0</v>
      </c>
      <c r="P217" s="15">
        <f t="shared" si="970"/>
        <v>27012.166729742123</v>
      </c>
      <c r="Q217" s="32">
        <v>3.9500953999999999</v>
      </c>
      <c r="R217" s="40">
        <v>6838.3580633880701</v>
      </c>
      <c r="S217" s="15">
        <f>(((1+1.35%)^(1/252))-1)*D216</f>
        <v>506.23364199664434</v>
      </c>
      <c r="T217" s="15">
        <f>IF((NETWORKDAYS(DATE(YEAR(C217),MONTH(C217),1),C217,Feriados!$A$2:$A$842))&gt;=5,0,IF(NETWORKDAYS(DATE(YEAR(C217),MONTH(C217),1),C217,Feriados!$A$2:$A$842)=1,S216,T216))</f>
        <v>11709.475433987158</v>
      </c>
      <c r="U217" s="26">
        <v>0</v>
      </c>
      <c r="V217" s="26">
        <v>0</v>
      </c>
      <c r="W217" s="15">
        <f t="shared" ref="W217" si="1011">SUM(G217+J217+M217+P217)</f>
        <v>9645101.0837919153</v>
      </c>
      <c r="X217" s="50">
        <f>'Fluxo de Caixa_'!AD223</f>
        <v>0</v>
      </c>
      <c r="AB217" s="26">
        <v>4802.6472000000003</v>
      </c>
      <c r="AC217" s="26">
        <v>0</v>
      </c>
      <c r="AD217">
        <v>0</v>
      </c>
      <c r="AE217">
        <f ca="1">-SUMIF('[1]Fluxo de Movimentações'!$A$5:$F$10001,"="&amp;$C217,'[1]Fluxo de Movimentações'!$H$5:$H$10001)</f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-14748.685084721599</v>
      </c>
      <c r="AK217" s="68">
        <v>4.3514717000000003</v>
      </c>
      <c r="AL217" s="15">
        <f>-SUMIFS([1]Master!$J$1:$J$200,[1]Master!$A$1:$A$200,"="&amp;$I$12,[1]Master!$G$1:$G$200,"&gt;"&amp;C217,[1]Master!$E$1:$E$200,"&lt;="&amp;C217)</f>
        <v>0</v>
      </c>
      <c r="AM217" s="26">
        <v>0</v>
      </c>
      <c r="AN217" s="26">
        <v>0</v>
      </c>
    </row>
    <row r="218" spans="3:40">
      <c r="C218" s="1">
        <f>WORKDAY(C217,1,Feriados!A25:A865)</f>
        <v>45173</v>
      </c>
      <c r="D218" s="39">
        <v>9647501.6962000001</v>
      </c>
      <c r="E218" s="32">
        <v>4.3559026000000003</v>
      </c>
      <c r="F218" s="88">
        <f>SUMIF([1]HSF!$H$2:$H$30,"="&amp;"APLICAÇÃO",[1]HSF!$K$2:$K$30)</f>
        <v>2283952.1146078166</v>
      </c>
      <c r="G218" s="15">
        <f t="shared" ref="G218" si="1012">H218*I218</f>
        <v>9633600.4858351089</v>
      </c>
      <c r="H218" s="32">
        <v>1.0787118</v>
      </c>
      <c r="I218" s="15">
        <f>SUMIFS([1]Master!$K$2:$K$10000,[1]Master!$A$2:$A$10000,$I$12,[1]Master!$F$2:$F$10000,"&lt;="&amp;$C218)</f>
        <v>8930652.7339694519</v>
      </c>
      <c r="J218" s="15">
        <f t="shared" ref="J218" si="1013">K218*L218</f>
        <v>0</v>
      </c>
      <c r="K218" s="43">
        <v>0</v>
      </c>
      <c r="L218" s="40">
        <v>0</v>
      </c>
      <c r="M218" s="15">
        <f t="shared" si="1010"/>
        <v>0</v>
      </c>
      <c r="N218" s="32">
        <v>0</v>
      </c>
      <c r="O218" s="40">
        <v>0</v>
      </c>
      <c r="P218" s="15">
        <f t="shared" si="970"/>
        <v>27026.439750692029</v>
      </c>
      <c r="Q218" s="32">
        <v>3.9521826</v>
      </c>
      <c r="R218" s="40">
        <v>6838.3580633880701</v>
      </c>
      <c r="S218" s="15">
        <f t="shared" si="1006"/>
        <v>1018.3131578159341</v>
      </c>
      <c r="T218" s="15">
        <f>IF((NETWORKDAYS(DATE(YEAR(C218),MONTH(C218),1),C218,Feriados!$A$2:$A$842))&gt;=5,0,IF(NETWORKDAYS(DATE(YEAR(C218),MONTH(C218),1),C218,Feriados!$A$2:$A$842)=1,S217,T217))</f>
        <v>11709.475433987158</v>
      </c>
      <c r="U218" s="26">
        <v>0</v>
      </c>
      <c r="V218" s="26">
        <v>0</v>
      </c>
      <c r="W218" s="15">
        <f t="shared" ref="W218" si="1014">SUM(G218+J218+M218+P218)</f>
        <v>9660626.9255858008</v>
      </c>
      <c r="X218" s="50">
        <f>'Fluxo de Caixa_'!AD224</f>
        <v>0</v>
      </c>
      <c r="AB218" s="26">
        <v>4770.1162000000004</v>
      </c>
      <c r="AC218" s="26">
        <v>0</v>
      </c>
      <c r="AD218">
        <v>0</v>
      </c>
      <c r="AE218">
        <f ca="1">-SUMIF('[1]Fluxo de Movimentações'!$A$5:$F$10001,"="&amp;$C218,'[1]Fluxo de Movimentações'!$H$5:$H$10001)</f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-17667.665720311001</v>
      </c>
      <c r="AK218" s="68">
        <v>4.3638795999999997</v>
      </c>
      <c r="AL218" s="15">
        <f>-SUMIFS([1]Master!$J$1:$J$200,[1]Master!$A$1:$A$200,"="&amp;$I$12,[1]Master!$G$1:$G$200,"&gt;"&amp;C218,[1]Master!$E$1:$E$200,"&lt;="&amp;C218)</f>
        <v>12500</v>
      </c>
      <c r="AM218" s="26">
        <v>0</v>
      </c>
      <c r="AN218" s="26">
        <v>0</v>
      </c>
    </row>
    <row r="219" spans="3:40">
      <c r="C219" s="1">
        <f>WORKDAY(C218,1,Feriados!A26:A866)</f>
        <v>45174</v>
      </c>
      <c r="D219" s="39">
        <v>9598915.9052000009</v>
      </c>
      <c r="E219" s="32">
        <v>4.3339657999999996</v>
      </c>
      <c r="F219" s="88">
        <f>SUMIF([1]HSF!$H$2:$H$30,"="&amp;"APLICAÇÃO",[1]HSF!$K$2:$K$30)</f>
        <v>2283952.1146078166</v>
      </c>
      <c r="G219" s="15">
        <f t="shared" ref="G219" si="1015">H219*I219</f>
        <v>9578491.2139443289</v>
      </c>
      <c r="H219" s="32">
        <v>1.072541</v>
      </c>
      <c r="I219" s="15">
        <f>SUMIFS([1]Master!$K$2:$K$10000,[1]Master!$A$2:$A$10000,$I$12,[1]Master!$F$2:$F$10000,"&lt;="&amp;$C219)</f>
        <v>8930652.7339694519</v>
      </c>
      <c r="J219" s="15">
        <f t="shared" ref="J219" si="1016">K219*L219</f>
        <v>0</v>
      </c>
      <c r="K219" s="43">
        <v>0</v>
      </c>
      <c r="L219" s="40">
        <v>0</v>
      </c>
      <c r="M219" s="15">
        <f t="shared" ref="M219" si="1017">N219*O219</f>
        <v>0</v>
      </c>
      <c r="N219" s="32">
        <v>0</v>
      </c>
      <c r="O219" s="40">
        <v>0</v>
      </c>
      <c r="P219" s="15">
        <f t="shared" si="970"/>
        <v>27038.066327071403</v>
      </c>
      <c r="Q219" s="32">
        <v>3.9538828000000001</v>
      </c>
      <c r="R219" s="40">
        <v>6838.3580633880701</v>
      </c>
      <c r="S219" s="15">
        <f t="shared" ref="S219" si="1018">(((1+1.35%)^(1/252))-1)*D218+SUM(S218)</f>
        <v>1531.6997425594159</v>
      </c>
      <c r="T219" s="15">
        <f>IF((NETWORKDAYS(DATE(YEAR(C219),MONTH(C219),1),C219,Feriados!$A$2:$A$842))&gt;=5,0,IF(NETWORKDAYS(DATE(YEAR(C219),MONTH(C219),1),C219,Feriados!$A$2:$A$842)=1,S218,T218))</f>
        <v>11709.475433987158</v>
      </c>
      <c r="U219" s="26">
        <v>0</v>
      </c>
      <c r="V219" s="26">
        <v>0</v>
      </c>
      <c r="W219" s="15">
        <f t="shared" ref="W219" si="1019">SUM(G219+J219+M219+P219)</f>
        <v>9605529.2802713998</v>
      </c>
      <c r="X219" s="50">
        <f>'Fluxo de Caixa_'!AD225</f>
        <v>0</v>
      </c>
      <c r="AB219" s="26">
        <v>4737.5852000000004</v>
      </c>
      <c r="AC219" s="26">
        <v>0</v>
      </c>
      <c r="AD219">
        <v>0</v>
      </c>
      <c r="AE219">
        <f ca="1">-SUMIF('[1]Fluxo de Movimentações'!$A$5:$F$10001,"="&amp;$C219,'[1]Fluxo de Movimentações'!$H$5:$H$10001)</f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-10609.8677521756</v>
      </c>
      <c r="AK219" s="68">
        <v>4.3387561999999997</v>
      </c>
      <c r="AL219" s="15">
        <f>-SUMIFS([1]Master!$J$1:$J$200,[1]Master!$A$1:$A$200,"="&amp;$I$12,[1]Master!$G$1:$G$200,"&gt;"&amp;C219,[1]Master!$E$1:$E$200,"&lt;="&amp;C219)</f>
        <v>12500</v>
      </c>
      <c r="AM219" s="26">
        <v>0</v>
      </c>
      <c r="AN219" s="26">
        <v>0</v>
      </c>
    </row>
    <row r="220" spans="3:40">
      <c r="C220" s="1">
        <f>WORKDAY(C219,1,Feriados!A27:A867)</f>
        <v>45175</v>
      </c>
      <c r="D220" s="39">
        <v>9468620.5441999994</v>
      </c>
      <c r="E220" s="32">
        <v>4.2751367</v>
      </c>
      <c r="F220" s="88">
        <f>SUMIF([1]HSF!$H$2:$H$30,"="&amp;"APLICAÇÃO",[1]HSF!$K$2:$K$30)</f>
        <v>2283952.1146078166</v>
      </c>
      <c r="G220" s="15">
        <f t="shared" ref="G220" si="1020">H220*I220</f>
        <v>9438444.2900313139</v>
      </c>
      <c r="H220" s="32">
        <v>1.0568594</v>
      </c>
      <c r="I220" s="15">
        <f>SUMIFS([1]Master!$K$2:$K$10000,[1]Master!$A$2:$A$10000,$I$12,[1]Master!$F$2:$F$10000,"&lt;="&amp;$C220)</f>
        <v>8930652.7339694519</v>
      </c>
      <c r="J220" s="15">
        <f t="shared" ref="J220" si="1021">K220*L220</f>
        <v>0</v>
      </c>
      <c r="K220" s="43">
        <v>0</v>
      </c>
      <c r="L220" s="40">
        <v>0</v>
      </c>
      <c r="M220" s="15">
        <f t="shared" ref="M220" si="1022">N220*O220</f>
        <v>0</v>
      </c>
      <c r="N220" s="32">
        <v>0</v>
      </c>
      <c r="O220" s="40">
        <v>0</v>
      </c>
      <c r="P220" s="15">
        <f t="shared" si="970"/>
        <v>39551.11391501296</v>
      </c>
      <c r="Q220" s="32">
        <v>3.9557907999999999</v>
      </c>
      <c r="R220" s="40">
        <v>9998.2824963880703</v>
      </c>
      <c r="S220" s="15">
        <f t="shared" ref="S220" si="1023">(((1+1.35%)^(1/252))-1)*D219+SUM(S219)</f>
        <v>2042.5008607133063</v>
      </c>
      <c r="T220" s="15">
        <f>IF((NETWORKDAYS(DATE(YEAR(C220),MONTH(C220),1),C220,Feriados!$A$2:$A$842))&gt;=5,0,IF(NETWORKDAYS(DATE(YEAR(C220),MONTH(C220),1),C220,Feriados!$A$2:$A$842)=1,S219,T219))</f>
        <v>11709.475433987158</v>
      </c>
      <c r="U220" s="26">
        <v>0</v>
      </c>
      <c r="V220" s="26">
        <v>0</v>
      </c>
      <c r="W220" s="15">
        <f t="shared" ref="W220" si="1024">SUM(G220+J220+M220+P220)</f>
        <v>9477995.403946327</v>
      </c>
      <c r="X220" s="50">
        <f>'Fluxo de Caixa_'!AD226</f>
        <v>-7.5661591836251318E-7</v>
      </c>
      <c r="AB220" s="26">
        <v>4705.0541999999996</v>
      </c>
      <c r="AC220" s="26">
        <v>0</v>
      </c>
      <c r="AD220">
        <v>0</v>
      </c>
      <c r="AE220">
        <f ca="1">-SUMIF('[1]Fluxo de Movimentações'!$A$5:$F$10001,"="&amp;$C220,'[1]Fluxo de Movimentações'!$H$5:$H$10001)</f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-328.03530724426798</v>
      </c>
      <c r="AK220" s="68">
        <v>4.2752847999999997</v>
      </c>
      <c r="AL220" s="15">
        <f>-SUMIFS([1]Master!$J$1:$J$200,[1]Master!$A$1:$A$200,"="&amp;$I$12,[1]Master!$G$1:$G$200,"&gt;"&amp;C220,[1]Master!$E$1:$E$200,"&lt;="&amp;C220)</f>
        <v>0</v>
      </c>
      <c r="AM220" s="26">
        <v>0</v>
      </c>
      <c r="AN220" s="26">
        <v>0</v>
      </c>
    </row>
    <row r="221" spans="3:40">
      <c r="C221" s="1">
        <f>WORKDAY(C220,1,Feriados!A28:A868)</f>
        <v>45177</v>
      </c>
      <c r="D221" s="39">
        <v>9431624.4132000003</v>
      </c>
      <c r="E221" s="32">
        <v>4.2584327000000002</v>
      </c>
      <c r="F221" s="88">
        <f>SUMIF([1]HSF!$H$2:$H$30,"="&amp;"APLICAÇÃO",[1]HSF!$K$2:$K$30)</f>
        <v>2283952.1146078166</v>
      </c>
      <c r="G221" s="15">
        <f t="shared" ref="G221" si="1025">H221*I221</f>
        <v>9401938.4608506691</v>
      </c>
      <c r="H221" s="32">
        <v>1.0527717000000001</v>
      </c>
      <c r="I221" s="15">
        <f>SUMIFS([1]Master!$K$2:$K$10000,[1]Master!$A$2:$A$10000,$I$12,[1]Master!$F$2:$F$10000,"&lt;="&amp;$C221)</f>
        <v>8930652.7339694519</v>
      </c>
      <c r="J221" s="15">
        <f t="shared" ref="J221" si="1026">K221*L221</f>
        <v>0</v>
      </c>
      <c r="K221" s="43">
        <v>0</v>
      </c>
      <c r="L221" s="40">
        <v>0</v>
      </c>
      <c r="M221" s="15">
        <f t="shared" ref="M221" si="1027">N221*O221</f>
        <v>0</v>
      </c>
      <c r="N221" s="32">
        <v>0</v>
      </c>
      <c r="O221" s="40">
        <v>0</v>
      </c>
      <c r="P221" s="15">
        <f t="shared" si="970"/>
        <v>27860.62366783417</v>
      </c>
      <c r="Q221" s="32">
        <v>3.9576810999999998</v>
      </c>
      <c r="R221" s="40">
        <v>7039.6333013880703</v>
      </c>
      <c r="S221" s="15">
        <f t="shared" ref="S221" si="1028">(((1+1.35%)^(1/252))-1)*D220+SUM(S220)</f>
        <v>2546.3683817041037</v>
      </c>
      <c r="T221" s="15">
        <f>IF((NETWORKDAYS(DATE(YEAR(C221),MONTH(C221),1),C221,Feriados!$A$2:$A$842))&gt;=5,0,IF(NETWORKDAYS(DATE(YEAR(C221),MONTH(C221),1),C221,Feriados!$A$2:$A$842)=1,S220,T220))</f>
        <v>0</v>
      </c>
      <c r="U221" s="26">
        <v>0</v>
      </c>
      <c r="V221" s="26">
        <v>0</v>
      </c>
      <c r="W221" s="15">
        <f t="shared" ref="W221" si="1029">SUM(G221+J221+M221+P221)</f>
        <v>9429799.0845185034</v>
      </c>
      <c r="X221" s="50">
        <f>'Fluxo de Caixa_'!AD227</f>
        <v>5.8171463024336845E-7</v>
      </c>
      <c r="AB221" s="26">
        <v>4672.5231999999996</v>
      </c>
      <c r="AC221" s="26">
        <v>0</v>
      </c>
      <c r="AD221">
        <v>0</v>
      </c>
      <c r="AE221">
        <f ca="1">-SUMIF('[1]Fluxo de Movimentações'!$A$5:$F$10001,"="&amp;$C221,'[1]Fluxo de Movimentações'!$H$5:$H$10001)</f>
        <v>0</v>
      </c>
      <c r="AF221" s="26">
        <v>0</v>
      </c>
      <c r="AG221" s="26">
        <v>0</v>
      </c>
      <c r="AH221" s="26">
        <v>0</v>
      </c>
      <c r="AI221" s="26">
        <v>0</v>
      </c>
      <c r="AJ221" s="26">
        <v>-300.84776569577099</v>
      </c>
      <c r="AK221" s="68">
        <v>4.2585686000000003</v>
      </c>
      <c r="AL221" s="15">
        <f>-SUMIFS([1]Master!$J$1:$J$200,[1]Master!$A$1:$A$200,"="&amp;$I$12,[1]Master!$G$1:$G$200,"&gt;"&amp;C221,[1]Master!$E$1:$E$200,"&lt;="&amp;C221)</f>
        <v>0</v>
      </c>
      <c r="AM221" s="26">
        <v>0</v>
      </c>
      <c r="AN221" s="26">
        <v>0</v>
      </c>
    </row>
    <row r="222" spans="3:40">
      <c r="C222" s="1">
        <f>WORKDAY(C221,1,Feriados!A29:A869)</f>
        <v>45180</v>
      </c>
      <c r="D222" s="39">
        <v>9542487.6422000006</v>
      </c>
      <c r="E222" s="32">
        <v>4.3084880999999999</v>
      </c>
      <c r="F222" s="88">
        <f>SUMIF([1]HSF!$H$2:$H$30,"="&amp;"APLICAÇÃO",[1]HSF!$K$2:$K$30)</f>
        <v>2283952.1146078166</v>
      </c>
      <c r="G222" s="15">
        <f t="shared" ref="G222" si="1030">H222*I222</f>
        <v>9514665.6249851976</v>
      </c>
      <c r="H222" s="32">
        <v>1.0653942000000001</v>
      </c>
      <c r="I222" s="15">
        <f>SUMIFS([1]Master!$K$2:$K$10000,[1]Master!$A$2:$A$10000,$I$12,[1]Master!$F$2:$F$10000,"&lt;="&amp;$C222)</f>
        <v>8930652.7339694519</v>
      </c>
      <c r="J222" s="15">
        <f t="shared" ref="J222" si="1031">K222*L222</f>
        <v>0</v>
      </c>
      <c r="K222" s="43">
        <v>0</v>
      </c>
      <c r="L222" s="40">
        <v>0</v>
      </c>
      <c r="M222" s="15">
        <f t="shared" ref="M222" si="1032">N222*O222</f>
        <v>0</v>
      </c>
      <c r="N222" s="32">
        <v>0</v>
      </c>
      <c r="O222" s="40">
        <v>0</v>
      </c>
      <c r="P222" s="15">
        <f t="shared" si="970"/>
        <v>27873.920127213831</v>
      </c>
      <c r="Q222" s="32">
        <v>3.9595699</v>
      </c>
      <c r="R222" s="40">
        <v>7039.6333013880703</v>
      </c>
      <c r="S222" s="15">
        <f t="shared" ref="S222" si="1033">(((1+1.35%)^(1/252))-1)*D221+SUM(S221)</f>
        <v>3048.2671735937397</v>
      </c>
      <c r="T222" s="15">
        <f>IF((NETWORKDAYS(DATE(YEAR(C222),MONTH(C222),1),C222,Feriados!$A$2:$A$842))&gt;=5,0,IF(NETWORKDAYS(DATE(YEAR(C222),MONTH(C222),1),C222,Feriados!$A$2:$A$842)=1,S221,T221))</f>
        <v>0</v>
      </c>
      <c r="U222" s="26">
        <v>0</v>
      </c>
      <c r="V222" s="26">
        <v>0</v>
      </c>
      <c r="W222" s="15">
        <f t="shared" ref="W222" si="1034">SUM(G222+J222+M222+P222)</f>
        <v>9542539.5451124106</v>
      </c>
      <c r="X222" s="50">
        <f>'Fluxo de Caixa_'!AD228</f>
        <v>0</v>
      </c>
      <c r="AB222" s="26">
        <v>4639.9921999999997</v>
      </c>
      <c r="AC222" s="26">
        <v>0</v>
      </c>
      <c r="AD222">
        <v>0</v>
      </c>
      <c r="AE222">
        <f ca="1">-SUMIF('[1]Fluxo de Movimentações'!$A$5:$F$10001,"="&amp;$C222,'[1]Fluxo de Movimentações'!$H$5:$H$10001)</f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-1643.66911336217</v>
      </c>
      <c r="AK222" s="68">
        <v>4.3092303000000003</v>
      </c>
      <c r="AL222" s="15">
        <f>-SUMIFS([1]Master!$J$1:$J$200,[1]Master!$A$1:$A$200,"="&amp;$I$12,[1]Master!$G$1:$G$200,"&gt;"&amp;C222,[1]Master!$E$1:$E$200,"&lt;="&amp;C222)</f>
        <v>0</v>
      </c>
      <c r="AM222" s="26">
        <v>0</v>
      </c>
      <c r="AN222" s="26">
        <v>0</v>
      </c>
    </row>
    <row r="223" spans="3:40">
      <c r="C223" s="1">
        <f>WORKDAY(C222,1,Feriados!A30:A870)</f>
        <v>45181</v>
      </c>
      <c r="D223" s="39">
        <v>9732738.6212000009</v>
      </c>
      <c r="E223" s="32">
        <v>4.3943874999999997</v>
      </c>
      <c r="F223" s="88">
        <f>SUMIF([1]HSF!$H$2:$H$30,"="&amp;"APLICAÇÃO",[1]HSF!$K$2:$K$30)</f>
        <v>2283952.1146078166</v>
      </c>
      <c r="G223" s="15">
        <f t="shared" ref="G223" si="1035">H223*I223</f>
        <v>9731265.2110685259</v>
      </c>
      <c r="H223" s="32">
        <v>1.0896477</v>
      </c>
      <c r="I223" s="15">
        <f>SUMIFS([1]Master!$K$2:$K$10000,[1]Master!$A$2:$A$10000,$I$12,[1]Master!$F$2:$F$10000,"&lt;="&amp;$C223)</f>
        <v>8930652.7339694519</v>
      </c>
      <c r="J223" s="15">
        <f t="shared" ref="J223" si="1036">K223*L223</f>
        <v>0</v>
      </c>
      <c r="K223" s="43">
        <v>0</v>
      </c>
      <c r="L223" s="40">
        <v>0</v>
      </c>
      <c r="M223" s="15">
        <f t="shared" ref="M223" si="1037">N223*O223</f>
        <v>0</v>
      </c>
      <c r="N223" s="32">
        <v>0</v>
      </c>
      <c r="O223" s="40">
        <v>0</v>
      </c>
      <c r="P223" s="15">
        <f t="shared" ref="P223:P241" si="1038">R223*Q223</f>
        <v>27886.982166804555</v>
      </c>
      <c r="Q223" s="32">
        <v>3.9614254</v>
      </c>
      <c r="R223" s="40">
        <v>7039.6333013880703</v>
      </c>
      <c r="S223" s="15">
        <f t="shared" ref="S223" si="1039">(((1+1.35%)^(1/252))-1)*D222+SUM(S222)</f>
        <v>3556.0654922522967</v>
      </c>
      <c r="T223" s="15">
        <f>IF((NETWORKDAYS(DATE(YEAR(C223),MONTH(C223),1),C223,Feriados!$A$2:$A$842))&gt;=5,0,IF(NETWORKDAYS(DATE(YEAR(C223),MONTH(C223),1),C223,Feriados!$A$2:$A$842)=1,S222,T222))</f>
        <v>0</v>
      </c>
      <c r="U223" s="26">
        <v>0</v>
      </c>
      <c r="V223" s="26">
        <v>0</v>
      </c>
      <c r="W223" s="15">
        <f t="shared" ref="W223:W228" si="1040">SUM(G223+J223+M223+P223)</f>
        <v>9759152.1932353303</v>
      </c>
      <c r="X223" s="50">
        <f>'Fluxo de Caixa_'!AD229</f>
        <v>0</v>
      </c>
      <c r="AB223" s="26">
        <v>4607.4611999999997</v>
      </c>
      <c r="AC223" s="26">
        <v>0</v>
      </c>
      <c r="AD223">
        <v>0</v>
      </c>
      <c r="AE223">
        <f ca="1">-SUMIF('[1]Fluxo de Movimentações'!$A$5:$F$10001,"="&amp;$C223,'[1]Fluxo de Movimentações'!$H$5:$H$10001)</f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-27464.963574321398</v>
      </c>
      <c r="AK223" s="68">
        <v>4.4067881</v>
      </c>
      <c r="AL223" s="15">
        <f>-SUMIFS([1]Master!$J$1:$J$200,[1]Master!$A$1:$A$200,"="&amp;$I$12,[1]Master!$G$1:$G$200,"&gt;"&amp;C223,[1]Master!$E$1:$E$200,"&lt;="&amp;C223)</f>
        <v>0</v>
      </c>
      <c r="AM223" s="26">
        <v>0</v>
      </c>
      <c r="AN223" s="26">
        <v>0</v>
      </c>
    </row>
    <row r="224" spans="3:40">
      <c r="C224" s="1">
        <f>WORKDAY(C223,1,Feriados!A31:A871)</f>
        <v>45182</v>
      </c>
      <c r="D224" s="39">
        <v>9779660.4901999999</v>
      </c>
      <c r="E224" s="32">
        <v>4.4155730000000002</v>
      </c>
      <c r="F224" s="88">
        <f>SUMIF([1]HSF!$H$2:$H$30,"="&amp;"APLICAÇÃO",[1]HSF!$K$2:$K$30)</f>
        <v>2283952.1146078166</v>
      </c>
      <c r="G224" s="15">
        <f t="shared" ref="G224" si="1041">H224*I224</f>
        <v>9784708.9162244182</v>
      </c>
      <c r="H224" s="32">
        <v>1.0956319999999999</v>
      </c>
      <c r="I224" s="15">
        <f>SUMIFS([1]Master!$K$2:$K$10000,[1]Master!$A$2:$A$10000,$I$12,[1]Master!$F$2:$F$10000,"&lt;="&amp;$C224)</f>
        <v>8930652.7339694519</v>
      </c>
      <c r="J224" s="15">
        <f t="shared" ref="J224" si="1042">K224*L224</f>
        <v>0</v>
      </c>
      <c r="K224" s="43">
        <v>0</v>
      </c>
      <c r="L224" s="40">
        <v>0</v>
      </c>
      <c r="M224" s="15">
        <f t="shared" ref="M224" si="1043">N224*O224</f>
        <v>0</v>
      </c>
      <c r="N224" s="32">
        <v>0</v>
      </c>
      <c r="O224" s="40">
        <v>0</v>
      </c>
      <c r="P224" s="15">
        <f t="shared" si="1038"/>
        <v>27900.23286856776</v>
      </c>
      <c r="Q224" s="32">
        <v>3.9633077000000001</v>
      </c>
      <c r="R224" s="40">
        <v>7039.6333013880703</v>
      </c>
      <c r="S224" s="15">
        <f t="shared" ref="S224" si="1044">(((1+1.35%)^(1/252))-1)*D223+SUM(S223)</f>
        <v>4073.9879138577739</v>
      </c>
      <c r="T224" s="15">
        <f>IF((NETWORKDAYS(DATE(YEAR(C224),MONTH(C224),1),C224,Feriados!$A$2:$A$842))&gt;=5,0,IF(NETWORKDAYS(DATE(YEAR(C224),MONTH(C224),1),C224,Feriados!$A$2:$A$842)=1,S223,T223))</f>
        <v>0</v>
      </c>
      <c r="U224" s="26">
        <v>0</v>
      </c>
      <c r="V224" s="26">
        <v>0</v>
      </c>
      <c r="W224" s="15">
        <f t="shared" si="1040"/>
        <v>9812609.1490929853</v>
      </c>
      <c r="X224" s="50">
        <f>'Fluxo de Caixa_'!AD230</f>
        <v>0</v>
      </c>
      <c r="AB224" s="26">
        <v>4574.9301999999998</v>
      </c>
      <c r="AC224" s="26">
        <v>0</v>
      </c>
      <c r="AD224">
        <v>0</v>
      </c>
      <c r="AE224">
        <f ca="1">-SUMIF('[1]Fluxo de Movimentações'!$A$5:$F$10001,"="&amp;$C224,'[1]Fluxo de Movimentações'!$H$5:$H$10001)</f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-33449.631951716299</v>
      </c>
      <c r="AK224" s="68">
        <v>4.4306757000000001</v>
      </c>
      <c r="AL224" s="15">
        <f>-SUMIFS([1]Master!$J$1:$J$200,[1]Master!$A$1:$A$200,"="&amp;$I$12,[1]Master!$G$1:$G$200,"&gt;"&amp;C224,[1]Master!$E$1:$E$200,"&lt;="&amp;C224)</f>
        <v>0</v>
      </c>
      <c r="AM224" s="26">
        <v>0</v>
      </c>
      <c r="AN224" s="26">
        <v>0</v>
      </c>
    </row>
    <row r="225" spans="3:40">
      <c r="C225" s="1">
        <f>WORKDAY(C224,1,Feriados!A32:A872)</f>
        <v>45183</v>
      </c>
      <c r="D225" s="39">
        <v>9772290.5292000007</v>
      </c>
      <c r="E225" s="32">
        <v>4.4122455</v>
      </c>
      <c r="F225" s="88">
        <f>SUMIF([1]HSF!$H$2:$H$30,"="&amp;"APLICAÇÃO",[1]HSF!$K$2:$K$30)</f>
        <v>2283952.1146078166</v>
      </c>
      <c r="G225" s="15">
        <f t="shared" ref="G225" si="1045">H225*I225</f>
        <v>9776459.6722940505</v>
      </c>
      <c r="H225" s="32">
        <v>1.0947083</v>
      </c>
      <c r="I225" s="15">
        <f>SUMIFS([1]Master!$K$2:$K$10000,[1]Master!$A$2:$A$10000,$I$12,[1]Master!$F$2:$F$10000,"&lt;="&amp;$C225)</f>
        <v>8930652.7339694519</v>
      </c>
      <c r="J225" s="15">
        <f t="shared" ref="J225" si="1046">K225*L225</f>
        <v>0</v>
      </c>
      <c r="K225" s="43">
        <v>0</v>
      </c>
      <c r="L225" s="40">
        <v>0</v>
      </c>
      <c r="M225" s="15">
        <f t="shared" ref="M225" si="1047">N225*O225</f>
        <v>0</v>
      </c>
      <c r="N225" s="32">
        <v>0</v>
      </c>
      <c r="O225" s="40">
        <v>0</v>
      </c>
      <c r="P225" s="15">
        <f t="shared" si="1038"/>
        <v>27913.500465450885</v>
      </c>
      <c r="Q225" s="32">
        <v>3.9651923999999998</v>
      </c>
      <c r="R225" s="40">
        <v>7039.6333013880703</v>
      </c>
      <c r="S225" s="15">
        <f t="shared" ref="S225" si="1048">(((1+1.35%)^(1/252))-1)*D224+SUM(S224)</f>
        <v>4594.4072573435733</v>
      </c>
      <c r="T225" s="15">
        <f>IF((NETWORKDAYS(DATE(YEAR(C225),MONTH(C225),1),C225,Feriados!$A$2:$A$842))&gt;=5,0,IF(NETWORKDAYS(DATE(YEAR(C225),MONTH(C225),1),C225,Feriados!$A$2:$A$842)=1,S224,T224))</f>
        <v>0</v>
      </c>
      <c r="U225" s="26">
        <v>0</v>
      </c>
      <c r="V225" s="26">
        <v>0</v>
      </c>
      <c r="W225" s="15">
        <f t="shared" si="1040"/>
        <v>9804373.1727595013</v>
      </c>
      <c r="X225" s="50">
        <f>'Fluxo de Caixa_'!AD231</f>
        <v>0</v>
      </c>
      <c r="AB225" s="26">
        <v>4542.3991999999998</v>
      </c>
      <c r="AC225" s="26">
        <v>0</v>
      </c>
      <c r="AD225">
        <v>0</v>
      </c>
      <c r="AE225">
        <f ca="1">-SUMIF('[1]Fluxo de Movimentações'!$A$5:$F$10001,"="&amp;$C225,'[1]Fluxo de Movimentações'!$H$5:$H$10001)</f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-32030.6578651501</v>
      </c>
      <c r="AK225" s="68">
        <v>4.4267075</v>
      </c>
      <c r="AL225" s="15">
        <f>-SUMIFS([1]Master!$J$1:$J$200,[1]Master!$A$1:$A$200,"="&amp;$I$12,[1]Master!$G$1:$G$200,"&gt;"&amp;C225,[1]Master!$E$1:$E$200,"&lt;="&amp;C225)</f>
        <v>0</v>
      </c>
      <c r="AM225" s="26">
        <v>0</v>
      </c>
      <c r="AN225" s="26">
        <v>0</v>
      </c>
    </row>
    <row r="226" spans="3:40">
      <c r="C226" s="1">
        <f>WORKDAY(C225,1,Feriados!A33:A873)</f>
        <v>45184</v>
      </c>
      <c r="D226" s="39">
        <v>9757904.5781999994</v>
      </c>
      <c r="E226" s="32">
        <v>4.4057500999999997</v>
      </c>
      <c r="F226" s="88">
        <f>SUMIF([1]HSF!$H$2:$H$30,"="&amp;"APLICAÇÃO",[1]HSF!$K$2:$K$30)</f>
        <v>2283952.1146078166</v>
      </c>
      <c r="G226" s="15">
        <f t="shared" ref="G226" si="1049">H226*I226</f>
        <v>9760235.355472248</v>
      </c>
      <c r="H226" s="32">
        <v>1.0928916</v>
      </c>
      <c r="I226" s="15">
        <f>SUMIFS([1]Master!$K$2:$K$10000,[1]Master!$A$2:$A$10000,$I$12,[1]Master!$F$2:$F$10000,"&lt;="&amp;$C226)</f>
        <v>8930652.7339694519</v>
      </c>
      <c r="J226" s="15">
        <f t="shared" ref="J226" si="1050">K226*L226</f>
        <v>0</v>
      </c>
      <c r="K226" s="43">
        <v>0</v>
      </c>
      <c r="L226" s="40">
        <v>0</v>
      </c>
      <c r="M226" s="15">
        <f t="shared" ref="M226" si="1051">N226*O226</f>
        <v>0</v>
      </c>
      <c r="N226" s="32">
        <v>0</v>
      </c>
      <c r="O226" s="40">
        <v>0</v>
      </c>
      <c r="P226" s="15">
        <f t="shared" si="1038"/>
        <v>27926.6019269881</v>
      </c>
      <c r="Q226" s="32">
        <v>3.9670535</v>
      </c>
      <c r="R226" s="40">
        <v>7039.6333013880703</v>
      </c>
      <c r="S226" s="15">
        <f t="shared" ref="S226" si="1052">(((1+1.35%)^(1/252))-1)*D225+SUM(S225)</f>
        <v>5114.4344123409301</v>
      </c>
      <c r="T226" s="15">
        <f>IF((NETWORKDAYS(DATE(YEAR(C226),MONTH(C226),1),C226,Feriados!$A$2:$A$842))&gt;=5,0,IF(NETWORKDAYS(DATE(YEAR(C226),MONTH(C226),1),C226,Feriados!$A$2:$A$842)=1,S225,T225))</f>
        <v>0</v>
      </c>
      <c r="U226" s="26">
        <v>0</v>
      </c>
      <c r="V226" s="26">
        <v>0</v>
      </c>
      <c r="W226" s="15">
        <f t="shared" si="1040"/>
        <v>9788161.957399236</v>
      </c>
      <c r="X226" s="50">
        <f>'Fluxo de Caixa_'!AD232</f>
        <v>0</v>
      </c>
      <c r="AB226" s="26">
        <v>4509.8681999999999</v>
      </c>
      <c r="AC226" s="26">
        <v>0</v>
      </c>
      <c r="AD226">
        <v>0</v>
      </c>
      <c r="AE226">
        <f ca="1">-SUMIF('[1]Fluxo de Movimentações'!$A$5:$F$10001,"="&amp;$C226,'[1]Fluxo de Movimentações'!$H$5:$H$10001)</f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-29652.874674471001</v>
      </c>
      <c r="AK226" s="68">
        <v>4.4191386000000001</v>
      </c>
      <c r="AL226" s="15">
        <f>-SUMIFS([1]Master!$J$1:$J$200,[1]Master!$A$1:$A$200,"="&amp;$I$12,[1]Master!$G$1:$G$200,"&gt;"&amp;C226,[1]Master!$E$1:$E$200,"&lt;="&amp;C226)</f>
        <v>0</v>
      </c>
      <c r="AM226" s="26">
        <v>0</v>
      </c>
      <c r="AN226" s="26">
        <v>0</v>
      </c>
    </row>
    <row r="227" spans="3:40">
      <c r="C227" s="1">
        <f>WORKDAY(C226,1,Feriados!A34:A874)</f>
        <v>45187</v>
      </c>
      <c r="D227" s="39">
        <v>9705753.1471999995</v>
      </c>
      <c r="E227" s="32">
        <v>4.3822033999999999</v>
      </c>
      <c r="F227" s="88">
        <f>SUMIF([1]HSF!$H$2:$H$30,"="&amp;"APLICAÇÃO",[1]HSF!$K$2:$K$30)</f>
        <v>2283952.1146078166</v>
      </c>
      <c r="G227" s="15">
        <f t="shared" ref="G227" si="1053">H227*I227</f>
        <v>9700983.1537781805</v>
      </c>
      <c r="H227" s="32">
        <v>1.0862569</v>
      </c>
      <c r="I227" s="15">
        <f>SUMIFS([1]Master!$K$2:$K$10000,[1]Master!$A$2:$A$10000,$I$12,[1]Master!$F$2:$F$10000,"&lt;="&amp;$C227)</f>
        <v>8930652.7339694519</v>
      </c>
      <c r="J227" s="15">
        <f t="shared" ref="J227" si="1054">K227*L227</f>
        <v>0</v>
      </c>
      <c r="K227" s="43">
        <v>0</v>
      </c>
      <c r="L227" s="40">
        <v>0</v>
      </c>
      <c r="M227" s="15">
        <f t="shared" ref="M227" si="1055">N227*O227</f>
        <v>0</v>
      </c>
      <c r="N227" s="32">
        <v>0</v>
      </c>
      <c r="O227" s="40">
        <v>0</v>
      </c>
      <c r="P227" s="15">
        <f t="shared" si="1038"/>
        <v>27939.801239428201</v>
      </c>
      <c r="Q227" s="32">
        <v>3.9689285000000001</v>
      </c>
      <c r="R227" s="40">
        <v>7039.6333013880703</v>
      </c>
      <c r="S227" s="15">
        <f t="shared" ref="S227" si="1056">(((1+1.35%)^(1/252))-1)*D226+SUM(S226)</f>
        <v>5633.6960267367149</v>
      </c>
      <c r="T227" s="15">
        <f>IF((NETWORKDAYS(DATE(YEAR(C227),MONTH(C227),1),C227,Feriados!$A$2:$A$842))&gt;=5,0,IF(NETWORKDAYS(DATE(YEAR(C227),MONTH(C227),1),C227,Feriados!$A$2:$A$842)=1,S226,T226))</f>
        <v>0</v>
      </c>
      <c r="U227" s="26">
        <v>0</v>
      </c>
      <c r="V227" s="26">
        <v>0</v>
      </c>
      <c r="W227" s="15">
        <f t="shared" si="1040"/>
        <v>9728922.9550176095</v>
      </c>
      <c r="X227" s="50">
        <f>'Fluxo de Caixa_'!AD233</f>
        <v>0</v>
      </c>
      <c r="AB227" s="26">
        <v>4477.3371999999999</v>
      </c>
      <c r="AC227" s="26">
        <v>0</v>
      </c>
      <c r="AD227">
        <v>0</v>
      </c>
      <c r="AE227">
        <f ca="1">-SUMIF('[1]Fluxo de Movimentações'!$A$5:$F$10001,"="&amp;$C227,'[1]Fluxo de Movimentações'!$H$5:$H$10001)</f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-22013.456190931502</v>
      </c>
      <c r="AK227" s="68">
        <v>4.3921427</v>
      </c>
      <c r="AL227" s="15">
        <f>-SUMIFS([1]Master!$J$1:$J$200,[1]Master!$A$1:$A$200,"="&amp;$I$12,[1]Master!$G$1:$G$200,"&gt;"&amp;C227,[1]Master!$E$1:$E$200,"&lt;="&amp;C227)</f>
        <v>0</v>
      </c>
      <c r="AM227" s="26">
        <v>0</v>
      </c>
      <c r="AN227" s="26">
        <v>0</v>
      </c>
    </row>
    <row r="228" spans="3:40">
      <c r="C228" s="1">
        <f>WORKDAY(C227,1,Feriados!A35:A875)</f>
        <v>45188</v>
      </c>
      <c r="D228" s="39">
        <v>9670948.6461999994</v>
      </c>
      <c r="E228" s="32">
        <v>4.3664889999999996</v>
      </c>
      <c r="F228" s="88">
        <f>SUMIF([1]HSF!$H$2:$H$30,"="&amp;"APLICAÇÃO",[1]HSF!$K$2:$K$30)</f>
        <v>2283952.1146078166</v>
      </c>
      <c r="G228" s="15">
        <f t="shared" ref="G228" si="1057">H228*I228</f>
        <v>9661439.1165374368</v>
      </c>
      <c r="H228" s="32">
        <v>1.0818289999999999</v>
      </c>
      <c r="I228" s="15">
        <f>SUMIFS([1]Master!$K$2:$K$10000,[1]Master!$A$2:$A$10000,$I$12,[1]Master!$F$2:$F$10000,"&lt;="&amp;$C228)</f>
        <v>8930652.7339694519</v>
      </c>
      <c r="J228" s="15">
        <f t="shared" ref="J228" si="1058">K228*L228</f>
        <v>0</v>
      </c>
      <c r="K228" s="43">
        <v>0</v>
      </c>
      <c r="L228" s="40">
        <v>0</v>
      </c>
      <c r="M228" s="15">
        <f t="shared" ref="M228" si="1059">N228*O228</f>
        <v>0</v>
      </c>
      <c r="N228" s="32">
        <v>0</v>
      </c>
      <c r="O228" s="40">
        <v>0</v>
      </c>
      <c r="P228" s="15">
        <f t="shared" si="1038"/>
        <v>27953.026598511518</v>
      </c>
      <c r="Q228" s="32">
        <v>3.9708071999999999</v>
      </c>
      <c r="R228" s="40">
        <v>7039.6333013880703</v>
      </c>
      <c r="S228" s="15">
        <f t="shared" ref="S228" si="1060">(((1+1.35%)^(1/252))-1)*D227+SUM(S227)</f>
        <v>6150.1824309388467</v>
      </c>
      <c r="T228" s="15">
        <f>IF((NETWORKDAYS(DATE(YEAR(C228),MONTH(C228),1),C228,Feriados!$A$2:$A$842))&gt;=5,0,IF(NETWORKDAYS(DATE(YEAR(C228),MONTH(C228),1),C228,Feriados!$A$2:$A$842)=1,S227,T227))</f>
        <v>0</v>
      </c>
      <c r="U228" s="26">
        <v>0</v>
      </c>
      <c r="V228" s="26">
        <v>0</v>
      </c>
      <c r="W228" s="15">
        <f t="shared" si="1040"/>
        <v>9689392.1431359481</v>
      </c>
      <c r="X228" s="50">
        <f>'Fluxo de Caixa_'!AD234</f>
        <v>0</v>
      </c>
      <c r="AB228" s="26">
        <v>4444.8062</v>
      </c>
      <c r="AC228" s="26">
        <v>0</v>
      </c>
      <c r="AD228">
        <v>0</v>
      </c>
      <c r="AE228">
        <f ca="1">-SUMIF('[1]Fluxo de Movimentações'!$A$5:$F$10001,"="&amp;$C228,'[1]Fluxo de Movimentações'!$H$5:$H$10001)</f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-16738.1968523039</v>
      </c>
      <c r="AK228" s="68">
        <v>4.3740464000000001</v>
      </c>
      <c r="AL228" s="15">
        <f>-SUMIFS([1]Master!$J$1:$J$200,[1]Master!$A$1:$A$200,"="&amp;$I$12,[1]Master!$G$1:$G$200,"&gt;"&amp;C228,[1]Master!$E$1:$E$200,"&lt;="&amp;C228)</f>
        <v>0</v>
      </c>
      <c r="AM228" s="26">
        <v>0</v>
      </c>
      <c r="AN228" s="26">
        <v>0</v>
      </c>
    </row>
    <row r="229" spans="3:40">
      <c r="C229" s="1">
        <f>WORKDAY(C228,1,Feriados!A36:A876)</f>
        <v>45189</v>
      </c>
      <c r="D229" s="39">
        <v>9763589.4651999995</v>
      </c>
      <c r="E229" s="32">
        <v>4.4083169</v>
      </c>
      <c r="F229" s="88">
        <f>SUMIF([1]HSF!$H$2:$H$30,"="&amp;"APLICAÇÃO",[1]HSF!$K$2:$K$30)</f>
        <v>2283952.1146078166</v>
      </c>
      <c r="G229" s="15">
        <f t="shared" ref="G229" si="1061">H229*I229</f>
        <v>9766718.1162918359</v>
      </c>
      <c r="H229" s="32">
        <v>1.0936174999999999</v>
      </c>
      <c r="I229" s="15">
        <f>SUMIFS([1]Master!$K$2:$K$10000,[1]Master!$A$2:$A$10000,$I$12,[1]Master!$F$2:$F$10000,"&lt;="&amp;$C229)</f>
        <v>8930652.7339694519</v>
      </c>
      <c r="J229" s="15">
        <f t="shared" ref="J229" si="1062">K229*L229</f>
        <v>0</v>
      </c>
      <c r="K229" s="43">
        <v>0</v>
      </c>
      <c r="L229" s="40">
        <v>0</v>
      </c>
      <c r="M229" s="15">
        <f t="shared" ref="M229" si="1063">N229*O229</f>
        <v>0</v>
      </c>
      <c r="N229" s="32">
        <v>0</v>
      </c>
      <c r="O229" s="40">
        <v>0</v>
      </c>
      <c r="P229" s="15">
        <f t="shared" si="1038"/>
        <v>27966.351216424388</v>
      </c>
      <c r="Q229" s="32">
        <v>3.9727000000000001</v>
      </c>
      <c r="R229" s="40">
        <v>7039.6333013880703</v>
      </c>
      <c r="S229" s="15">
        <f t="shared" ref="S229" si="1064">(((1+1.35%)^(1/252))-1)*D228+SUM(S228)</f>
        <v>6664.8167324448859</v>
      </c>
      <c r="T229" s="15">
        <f>IF((NETWORKDAYS(DATE(YEAR(C229),MONTH(C229),1),C229,Feriados!$A$2:$A$842))&gt;=5,0,IF(NETWORKDAYS(DATE(YEAR(C229),MONTH(C229),1),C229,Feriados!$A$2:$A$842)=1,S228,T228))</f>
        <v>0</v>
      </c>
      <c r="U229" s="26">
        <v>0</v>
      </c>
      <c r="V229" s="26">
        <v>0</v>
      </c>
      <c r="W229" s="15">
        <f t="shared" ref="W229" si="1065">SUM(G229+J229+M229+P229)</f>
        <v>9794684.4675082602</v>
      </c>
      <c r="X229" s="50">
        <f>'Fluxo de Caixa_'!AD235</f>
        <v>0</v>
      </c>
      <c r="AB229" s="26">
        <v>4412.2752</v>
      </c>
      <c r="AC229" s="26">
        <v>0</v>
      </c>
      <c r="AD229">
        <v>0</v>
      </c>
      <c r="AE229">
        <f ca="1">-SUMIF('[1]Fluxo de Movimentações'!$A$5:$F$10001,"="&amp;$C229,'[1]Fluxo de Movimentações'!$H$5:$H$10001)</f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-28842.595329947599</v>
      </c>
      <c r="AK229" s="68">
        <v>4.4213393999999999</v>
      </c>
      <c r="AL229" s="15">
        <f>-SUMIFS([1]Master!$J$1:$J$200,[1]Master!$A$1:$A$200,"="&amp;$I$12,[1]Master!$G$1:$G$200,"&gt;"&amp;C229,[1]Master!$E$1:$E$200,"&lt;="&amp;C229)</f>
        <v>0</v>
      </c>
      <c r="AM229" s="26">
        <v>0</v>
      </c>
      <c r="AN229" s="26">
        <v>0</v>
      </c>
    </row>
    <row r="230" spans="3:40">
      <c r="C230" s="1">
        <f>WORKDAY(C229,1,Feriados!A37:A877)</f>
        <v>45190</v>
      </c>
      <c r="D230" s="39">
        <v>9626965.8841999993</v>
      </c>
      <c r="E230" s="32">
        <v>4.3466304999999998</v>
      </c>
      <c r="F230" s="88">
        <f>SUMIF([1]HSF!$H$2:$H$30,"="&amp;"APLICAÇÃO",[1]HSF!$K$2:$K$30)</f>
        <v>2283952.1146078166</v>
      </c>
      <c r="G230" s="15">
        <f t="shared" ref="G230" si="1066">H230*I230</f>
        <v>9611473.0075561516</v>
      </c>
      <c r="H230" s="32">
        <v>1.0762341</v>
      </c>
      <c r="I230" s="15">
        <f>SUMIFS([1]Master!$K$2:$K$10000,[1]Master!$A$2:$A$10000,$I$12,[1]Master!$F$2:$F$10000,"&lt;="&amp;$C230)</f>
        <v>8930652.7339694519</v>
      </c>
      <c r="J230" s="15">
        <f t="shared" ref="J230" si="1067">K230*L230</f>
        <v>0</v>
      </c>
      <c r="K230" s="43">
        <v>0</v>
      </c>
      <c r="L230" s="40">
        <v>0</v>
      </c>
      <c r="M230" s="15">
        <f t="shared" ref="M230" si="1068">N230*O230</f>
        <v>0</v>
      </c>
      <c r="N230" s="32">
        <v>0</v>
      </c>
      <c r="O230" s="40">
        <v>0</v>
      </c>
      <c r="P230" s="15">
        <f t="shared" si="1038"/>
        <v>27979.94967607268</v>
      </c>
      <c r="Q230" s="32">
        <v>3.9746317000000002</v>
      </c>
      <c r="R230" s="40">
        <v>7039.6333013880703</v>
      </c>
      <c r="S230" s="15">
        <f t="shared" ref="S230" si="1069">(((1+1.35%)^(1/252))-1)*D229+SUM(S229)</f>
        <v>7184.3808650276051</v>
      </c>
      <c r="T230" s="15">
        <f>IF((NETWORKDAYS(DATE(YEAR(C230),MONTH(C230),1),C230,Feriados!$A$2:$A$842))&gt;=5,0,IF(NETWORKDAYS(DATE(YEAR(C230),MONTH(C230),1),C230,Feriados!$A$2:$A$842)=1,S229,T229))</f>
        <v>0</v>
      </c>
      <c r="U230" s="26">
        <v>0</v>
      </c>
      <c r="V230" s="26">
        <v>0</v>
      </c>
      <c r="W230" s="15">
        <f t="shared" ref="W230" si="1070">SUM(G230+J230+M230+P230)</f>
        <v>9639452.9572322238</v>
      </c>
      <c r="X230" s="50">
        <f>'Fluxo de Caixa_'!AD236</f>
        <v>0</v>
      </c>
      <c r="AB230" s="26">
        <v>4379.7442000000001</v>
      </c>
      <c r="AC230" s="26">
        <v>0</v>
      </c>
      <c r="AD230">
        <v>0</v>
      </c>
      <c r="AE230">
        <f ca="1">-SUMIF('[1]Fluxo de Movimentações'!$A$5:$F$10001,"="&amp;$C230,'[1]Fluxo de Movimentações'!$H$5:$H$10001)</f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-9682.5193870904495</v>
      </c>
      <c r="AK230" s="68">
        <v>4.3510023000000002</v>
      </c>
      <c r="AL230" s="15">
        <f>-SUMIFS([1]Master!$J$1:$J$200,[1]Master!$A$1:$A$200,"="&amp;$I$12,[1]Master!$G$1:$G$200,"&gt;"&amp;C230,[1]Master!$E$1:$E$200,"&lt;="&amp;C230)</f>
        <v>0</v>
      </c>
      <c r="AM230" s="26">
        <v>0</v>
      </c>
      <c r="AN230" s="26">
        <v>0</v>
      </c>
    </row>
    <row r="231" spans="3:40">
      <c r="C231" s="1">
        <f>WORKDAY(C230,1,Feriados!A38:A878)</f>
        <v>45191</v>
      </c>
      <c r="D231" s="39">
        <v>9574565.1532000005</v>
      </c>
      <c r="E231" s="32">
        <v>4.3229712999999999</v>
      </c>
      <c r="F231" s="88">
        <f>SUMIF([1]HSF!$H$2:$H$30,"="&amp;"APLICAÇÃO",[1]HSF!$K$2:$K$30)</f>
        <v>2283952.1146078166</v>
      </c>
      <c r="G231" s="15">
        <f t="shared" ref="G231" si="1071">H231*I231</f>
        <v>9551951.1001495197</v>
      </c>
      <c r="H231" s="32">
        <v>1.0695692000000001</v>
      </c>
      <c r="I231" s="15">
        <f>SUMIFS([1]Master!$K$2:$K$10000,[1]Master!$A$2:$A$10000,$I$12,[1]Master!$F$2:$F$10000,"&lt;="&amp;$C231)</f>
        <v>8930652.7339694519</v>
      </c>
      <c r="J231" s="15">
        <f t="shared" ref="J231" si="1072">K231*L231</f>
        <v>0</v>
      </c>
      <c r="K231" s="43">
        <v>0</v>
      </c>
      <c r="L231" s="40">
        <v>0</v>
      </c>
      <c r="M231" s="15">
        <f t="shared" ref="M231" si="1073">N231*O231</f>
        <v>0</v>
      </c>
      <c r="N231" s="32">
        <v>0</v>
      </c>
      <c r="O231" s="40">
        <v>0</v>
      </c>
      <c r="P231" s="15">
        <f t="shared" si="1038"/>
        <v>27993.720606736853</v>
      </c>
      <c r="Q231" s="32">
        <v>3.9765879000000002</v>
      </c>
      <c r="R231" s="40">
        <v>7039.6333013880703</v>
      </c>
      <c r="S231" s="15">
        <f t="shared" ref="S231" si="1074">(((1+1.35%)^(1/252))-1)*D230+SUM(S230)</f>
        <v>7696.6746476426597</v>
      </c>
      <c r="T231" s="15">
        <f>IF((NETWORKDAYS(DATE(YEAR(C231),MONTH(C231),1),C231,Feriados!$A$2:$A$842))&gt;=5,0,IF(NETWORKDAYS(DATE(YEAR(C231),MONTH(C231),1),C231,Feriados!$A$2:$A$842)=1,S230,T230))</f>
        <v>0</v>
      </c>
      <c r="U231" s="26">
        <v>0</v>
      </c>
      <c r="V231" s="26">
        <v>0</v>
      </c>
      <c r="W231" s="15">
        <f t="shared" ref="W231" si="1075">SUM(G231+J231+M231+P231)</f>
        <v>9579944.8207562566</v>
      </c>
      <c r="X231" s="50">
        <f>'Fluxo de Caixa_'!AD237</f>
        <v>0</v>
      </c>
      <c r="AB231" s="26">
        <v>4347.2132000000001</v>
      </c>
      <c r="AC231" s="26">
        <v>0</v>
      </c>
      <c r="AD231">
        <v>0</v>
      </c>
      <c r="AE231">
        <f ca="1">-SUMIF('[1]Fluxo de Movimentações'!$A$5:$F$10001,"="&amp;$C231,'[1]Fluxo de Movimentações'!$H$5:$H$10001)</f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-2030.26692219559</v>
      </c>
      <c r="AK231" s="68">
        <v>4.3238880000000002</v>
      </c>
      <c r="AL231" s="15">
        <f>-SUMIFS([1]Master!$J$1:$J$200,[1]Master!$A$1:$A$200,"="&amp;$I$12,[1]Master!$G$1:$G$200,"&gt;"&amp;C231,[1]Master!$E$1:$E$200,"&lt;="&amp;C231)</f>
        <v>0</v>
      </c>
      <c r="AM231" s="26">
        <v>0</v>
      </c>
      <c r="AN231" s="26">
        <v>0</v>
      </c>
    </row>
    <row r="232" spans="3:40">
      <c r="C232" s="1">
        <f>WORKDAY(C231,1,Feriados!A39:A879)</f>
        <v>45194</v>
      </c>
      <c r="D232" s="39">
        <v>9589567.3122000005</v>
      </c>
      <c r="E232" s="32">
        <v>4.3297448999999997</v>
      </c>
      <c r="F232" s="88">
        <f>SUMIF([1]HSF!$H$2:$H$30,"="&amp;"APLICAÇÃO",[1]HSF!$K$2:$K$30)</f>
        <v>2283952.1146078166</v>
      </c>
      <c r="G232" s="15">
        <f t="shared" ref="G232" si="1076">H232*I232</f>
        <v>9568984.5341090187</v>
      </c>
      <c r="H232" s="32">
        <v>1.0714764999999999</v>
      </c>
      <c r="I232" s="15">
        <f>SUMIFS([1]Master!$K$2:$K$10000,[1]Master!$A$2:$A$10000,$I$12,[1]Master!$F$2:$F$10000,"&lt;="&amp;$C232)</f>
        <v>8930652.7339694519</v>
      </c>
      <c r="J232" s="15">
        <f t="shared" ref="J232" si="1077">K232*L232</f>
        <v>0</v>
      </c>
      <c r="K232" s="43">
        <v>0</v>
      </c>
      <c r="L232" s="40">
        <v>0</v>
      </c>
      <c r="M232" s="15">
        <f t="shared" ref="M232" si="1078">N232*O232</f>
        <v>0</v>
      </c>
      <c r="N232" s="32">
        <v>0</v>
      </c>
      <c r="O232" s="40">
        <v>0</v>
      </c>
      <c r="P232" s="15">
        <f t="shared" si="1038"/>
        <v>28007.181089572437</v>
      </c>
      <c r="Q232" s="32">
        <v>3.9784999999999999</v>
      </c>
      <c r="R232" s="40">
        <v>7039.6333013880703</v>
      </c>
      <c r="S232" s="15">
        <f t="shared" ref="S232" si="1079">(((1+1.35%)^(1/252))-1)*D231+SUM(S231)</f>
        <v>8206.1799536994004</v>
      </c>
      <c r="T232" s="15">
        <f>IF((NETWORKDAYS(DATE(YEAR(C232),MONTH(C232),1),C232,Feriados!$A$2:$A$842))&gt;=5,0,IF(NETWORKDAYS(DATE(YEAR(C232),MONTH(C232),1),C232,Feriados!$A$2:$A$842)=1,S231,T231))</f>
        <v>0</v>
      </c>
      <c r="U232" s="26">
        <v>0</v>
      </c>
      <c r="V232" s="26">
        <v>0</v>
      </c>
      <c r="W232" s="15">
        <f t="shared" ref="W232" si="1080">SUM(G232+J232+M232+P232)</f>
        <v>9596991.7151985914</v>
      </c>
      <c r="X232" s="50">
        <f>'Fluxo de Caixa_'!AD238</f>
        <v>0</v>
      </c>
      <c r="AB232" s="26">
        <v>4314.6822000000002</v>
      </c>
      <c r="AC232" s="26">
        <v>0</v>
      </c>
      <c r="AD232">
        <v>0</v>
      </c>
      <c r="AE232">
        <f ca="1">-SUMIF('[1]Fluxo de Movimentações'!$A$5:$F$10001,"="&amp;$C232,'[1]Fluxo de Movimentações'!$H$5:$H$10001)</f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-3533.2281298847001</v>
      </c>
      <c r="AK232" s="68">
        <v>4.3313401000000002</v>
      </c>
      <c r="AL232" s="15">
        <f>-SUMIFS([1]Master!$J$1:$J$200,[1]Master!$A$1:$A$200,"="&amp;$I$12,[1]Master!$G$1:$G$200,"&gt;"&amp;C232,[1]Master!$E$1:$E$200,"&lt;="&amp;C232)</f>
        <v>0</v>
      </c>
      <c r="AM232" s="26">
        <v>0</v>
      </c>
      <c r="AN232" s="26">
        <v>0</v>
      </c>
    </row>
    <row r="233" spans="3:40">
      <c r="C233" s="1">
        <f>WORKDAY(C232,1,Feriados!A40:A880)</f>
        <v>45195</v>
      </c>
      <c r="D233" s="39">
        <v>9472254.9311999995</v>
      </c>
      <c r="E233" s="32">
        <v>4.2767777000000002</v>
      </c>
      <c r="F233" s="88">
        <f>SUMIF([1]HSF!$H$2:$H$30,"="&amp;"APLICAÇÃO",[1]HSF!$K$2:$K$30)</f>
        <v>2283952.1146078166</v>
      </c>
      <c r="G233" s="15">
        <f t="shared" ref="G233" si="1081">H233*I233</f>
        <v>9448970.8504088446</v>
      </c>
      <c r="H233" s="32">
        <v>1.0580381000000001</v>
      </c>
      <c r="I233" s="15">
        <f>SUMIFS([1]Master!$K$2:$K$10000,[1]Master!$A$2:$A$10000,$I$12,[1]Master!$F$2:$F$10000,"&lt;="&amp;$C233)</f>
        <v>8930652.7339694519</v>
      </c>
      <c r="J233" s="15">
        <f t="shared" ref="J233" si="1082">K233*L233</f>
        <v>0</v>
      </c>
      <c r="K233" s="43">
        <v>0</v>
      </c>
      <c r="L233" s="40">
        <v>0</v>
      </c>
      <c r="M233" s="15">
        <f t="shared" ref="M233" si="1083">N233*O233</f>
        <v>0</v>
      </c>
      <c r="N233" s="32">
        <v>0</v>
      </c>
      <c r="O233" s="40">
        <v>0</v>
      </c>
      <c r="P233" s="15">
        <f t="shared" si="1038"/>
        <v>28020.937940970012</v>
      </c>
      <c r="Q233" s="32">
        <v>3.9804542000000001</v>
      </c>
      <c r="R233" s="40">
        <v>7039.6333013880703</v>
      </c>
      <c r="S233" s="15">
        <f t="shared" ref="S233" si="1084">(((1+1.35%)^(1/252))-1)*D232+SUM(S232)</f>
        <v>8716.483591533146</v>
      </c>
      <c r="T233" s="15">
        <f>IF((NETWORKDAYS(DATE(YEAR(C233),MONTH(C233),1),C233,Feriados!$A$2:$A$842))&gt;=5,0,IF(NETWORKDAYS(DATE(YEAR(C233),MONTH(C233),1),C233,Feriados!$A$2:$A$842)=1,S232,T232))</f>
        <v>0</v>
      </c>
      <c r="U233" s="26">
        <v>0</v>
      </c>
      <c r="V233" s="26">
        <v>0</v>
      </c>
      <c r="W233" s="15">
        <f t="shared" ref="W233" si="1085">SUM(G233+J233+M233+P233)</f>
        <v>9476991.7883498147</v>
      </c>
      <c r="X233" s="50">
        <f>'Fluxo de Caixa_'!AD239</f>
        <v>0</v>
      </c>
      <c r="AB233" s="26">
        <v>4282.1512000000002</v>
      </c>
      <c r="AC233" s="26">
        <v>0</v>
      </c>
      <c r="AD233">
        <v>0</v>
      </c>
      <c r="AE233">
        <f ca="1">-SUMIF('[1]Fluxo de Movimentações'!$A$5:$F$10001,"="&amp;$C233,'[1]Fluxo de Movimentações'!$H$5:$H$10001)</f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-302.62435057517001</v>
      </c>
      <c r="AK233" s="68">
        <v>4.2769142999999996</v>
      </c>
      <c r="AL233" s="15">
        <f>-SUMIFS([1]Master!$J$1:$J$200,[1]Master!$A$1:$A$200,"="&amp;$I$12,[1]Master!$G$1:$G$200,"&gt;"&amp;C233,[1]Master!$E$1:$E$200,"&lt;="&amp;C233)</f>
        <v>0</v>
      </c>
      <c r="AM233" s="26">
        <v>0</v>
      </c>
      <c r="AN233" s="26">
        <v>0</v>
      </c>
    </row>
    <row r="234" spans="3:40">
      <c r="C234" s="1">
        <f>WORKDAY(C233,1,Feriados!A41:A881)</f>
        <v>45196</v>
      </c>
      <c r="D234" s="39">
        <v>9415008.6701999996</v>
      </c>
      <c r="E234" s="32">
        <v>4.2509306000000002</v>
      </c>
      <c r="F234" s="88">
        <f>SUMIF([1]HSF!$H$2:$H$30,"="&amp;"APLICAÇÃO",[1]HSF!$K$2:$K$30)</f>
        <v>2283952.1146078166</v>
      </c>
      <c r="G234" s="15">
        <f t="shared" ref="G234" si="1086">H234*I234</f>
        <v>9392207.6216317359</v>
      </c>
      <c r="H234" s="32">
        <v>1.0516821000000001</v>
      </c>
      <c r="I234" s="15">
        <f>SUMIFS([1]Master!$K$2:$K$10000,[1]Master!$A$2:$A$10000,$I$12,[1]Master!$F$2:$F$10000,"&lt;="&amp;$C234)</f>
        <v>8930652.7339694519</v>
      </c>
      <c r="J234" s="15">
        <f t="shared" ref="J234" si="1087">K234*L234</f>
        <v>0</v>
      </c>
      <c r="K234" s="43">
        <v>0</v>
      </c>
      <c r="L234" s="40">
        <v>0</v>
      </c>
      <c r="M234" s="15">
        <f t="shared" ref="M234" si="1088">N234*O234</f>
        <v>0</v>
      </c>
      <c r="N234" s="32">
        <v>0</v>
      </c>
      <c r="O234" s="40">
        <v>0</v>
      </c>
      <c r="P234" s="15">
        <f t="shared" si="1038"/>
        <v>28034.486419221863</v>
      </c>
      <c r="Q234" s="32">
        <v>3.9823788000000002</v>
      </c>
      <c r="R234" s="40">
        <v>7039.6333013880703</v>
      </c>
      <c r="S234" s="15">
        <f t="shared" ref="S234" si="1089">(((1+1.35%)^(1/252))-1)*D233+SUM(S233)</f>
        <v>9220.5445144624264</v>
      </c>
      <c r="T234" s="15">
        <f>IF((NETWORKDAYS(DATE(YEAR(C234),MONTH(C234),1),C234,Feriados!$A$2:$A$842))&gt;=5,0,IF(NETWORKDAYS(DATE(YEAR(C234),MONTH(C234),1),C234,Feriados!$A$2:$A$842)=1,S233,T233))</f>
        <v>0</v>
      </c>
      <c r="U234" s="26">
        <v>0</v>
      </c>
      <c r="V234" s="26">
        <v>0</v>
      </c>
      <c r="W234" s="15">
        <f t="shared" ref="W234" si="1090">SUM(G234+J234+M234+P234)</f>
        <v>9420242.1080509573</v>
      </c>
      <c r="X234" s="50">
        <f>'Fluxo de Caixa_'!AD240</f>
        <v>0</v>
      </c>
      <c r="AB234" s="26">
        <v>4249.6202000000003</v>
      </c>
      <c r="AC234" s="26">
        <v>0</v>
      </c>
      <c r="AD234">
        <v>0</v>
      </c>
      <c r="AE234">
        <f ca="1">-SUMIF('[1]Fluxo de Movimentações'!$A$5:$F$10001,"="&amp;$C234,'[1]Fluxo de Movimentações'!$H$5:$H$10001)</f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-262.60558065345401</v>
      </c>
      <c r="AK234" s="68">
        <v>4.2510491999999998</v>
      </c>
      <c r="AL234" s="15">
        <f>-SUMIFS([1]Master!$J$1:$J$200,[1]Master!$A$1:$A$200,"="&amp;$I$12,[1]Master!$G$1:$G$200,"&gt;"&amp;C234,[1]Master!$E$1:$E$200,"&lt;="&amp;C234)</f>
        <v>0</v>
      </c>
      <c r="AM234" s="26">
        <v>0</v>
      </c>
      <c r="AN234" s="26">
        <v>0</v>
      </c>
    </row>
    <row r="235" spans="3:40">
      <c r="C235" s="1">
        <f>WORKDAY(C234,1,Feriados!A42:A882)</f>
        <v>45197</v>
      </c>
      <c r="D235" s="39">
        <v>9572803.0091999993</v>
      </c>
      <c r="E235" s="32">
        <v>4.3221756999999998</v>
      </c>
      <c r="F235" s="88">
        <f>SUMIF([1]HSF!$H$2:$H$30,"="&amp;"APLICAÇÃO",[1]HSF!$K$2:$K$30)</f>
        <v>2283952.1146078166</v>
      </c>
      <c r="G235" s="15">
        <f t="shared" ref="G235" si="1091">H235*I235</f>
        <v>9550626.6843490712</v>
      </c>
      <c r="H235" s="32">
        <v>1.0694208999999999</v>
      </c>
      <c r="I235" s="15">
        <f>SUMIFS([1]Master!$K$2:$K$10000,[1]Master!$A$2:$A$10000,$I$12,[1]Master!$F$2:$F$10000,"&lt;="&amp;$C235)</f>
        <v>8930652.7339694519</v>
      </c>
      <c r="J235" s="15">
        <f t="shared" ref="J235" si="1092">K235*L235</f>
        <v>0</v>
      </c>
      <c r="K235" s="43">
        <v>0</v>
      </c>
      <c r="L235" s="40">
        <v>0</v>
      </c>
      <c r="M235" s="15">
        <f t="shared" ref="M235" si="1093">N235*O235</f>
        <v>0</v>
      </c>
      <c r="N235" s="32">
        <v>0</v>
      </c>
      <c r="O235" s="40">
        <v>0</v>
      </c>
      <c r="P235" s="15">
        <f t="shared" si="1038"/>
        <v>28048.226375499511</v>
      </c>
      <c r="Q235" s="32">
        <v>3.9843305999999998</v>
      </c>
      <c r="R235" s="40">
        <v>7039.6333013880703</v>
      </c>
      <c r="S235" s="15">
        <f t="shared" ref="S235" si="1094">(((1+1.35%)^(1/252))-1)*D234+SUM(S234)</f>
        <v>9721.5591085752312</v>
      </c>
      <c r="T235" s="15">
        <f>IF((NETWORKDAYS(DATE(YEAR(C235),MONTH(C235),1),C235,Feriados!$A$2:$A$842))&gt;=5,0,IF(NETWORKDAYS(DATE(YEAR(C235),MONTH(C235),1),C235,Feriados!$A$2:$A$842)=1,S234,T234))</f>
        <v>0</v>
      </c>
      <c r="U235" s="26">
        <v>0</v>
      </c>
      <c r="V235" s="26">
        <v>0</v>
      </c>
      <c r="W235" s="15">
        <f t="shared" ref="W235" si="1095">SUM(G235+J235+M235+P235)</f>
        <v>9578674.910724571</v>
      </c>
      <c r="X235" s="50">
        <f>'Fluxo de Caixa_'!AD241</f>
        <v>0</v>
      </c>
      <c r="AB235" s="26">
        <v>4217.0892000000003</v>
      </c>
      <c r="AC235" s="26">
        <v>0</v>
      </c>
      <c r="AD235">
        <v>0</v>
      </c>
      <c r="AE235">
        <f ca="1">-SUMIF('[1]Fluxo de Movimentações'!$A$5:$F$10001,"="&amp;$C235,'[1]Fluxo de Movimentações'!$H$5:$H$10001)</f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-367.52633509069801</v>
      </c>
      <c r="AK235" s="68">
        <v>4.3223415999999997</v>
      </c>
      <c r="AL235" s="15">
        <f>-SUMIFS([1]Master!$J$1:$J$200,[1]Master!$A$1:$A$200,"="&amp;$I$12,[1]Master!$G$1:$G$200,"&gt;"&amp;C235,[1]Master!$E$1:$E$200,"&lt;="&amp;C235)</f>
        <v>0</v>
      </c>
      <c r="AM235" s="26">
        <v>0</v>
      </c>
      <c r="AN235" s="26">
        <v>0</v>
      </c>
    </row>
    <row r="236" spans="3:40">
      <c r="C236" s="1">
        <f>WORKDAY(C235,1,Feriados!A43:A883)</f>
        <v>45198</v>
      </c>
      <c r="D236" s="39">
        <v>9650111.7008999996</v>
      </c>
      <c r="E236" s="32">
        <v>4.357081</v>
      </c>
      <c r="F236" s="88">
        <f>SUMIF([1]HSF!$H$2:$H$30,"="&amp;"APLICAÇÃO",[1]HSF!$K$2:$K$30)</f>
        <v>2283952.1146078166</v>
      </c>
      <c r="G236" s="15">
        <f t="shared" ref="G236" si="1096">H236*I236</f>
        <v>9638078.3151159212</v>
      </c>
      <c r="H236" s="32">
        <v>1.0792132000000001</v>
      </c>
      <c r="I236" s="15">
        <f>SUMIFS([1]Master!$K$2:$K$10000,[1]Master!$A$2:$A$10000,$I$12,[1]Master!$F$2:$F$10000,"&lt;="&amp;$C236)</f>
        <v>8930652.7339694519</v>
      </c>
      <c r="J236" s="15">
        <f t="shared" ref="J236" si="1097">K236*L236</f>
        <v>0</v>
      </c>
      <c r="K236" s="43">
        <v>0</v>
      </c>
      <c r="L236" s="40">
        <v>0</v>
      </c>
      <c r="M236" s="15">
        <f t="shared" ref="M236" si="1098">N236*O236</f>
        <v>0</v>
      </c>
      <c r="N236" s="32">
        <v>0</v>
      </c>
      <c r="O236" s="40">
        <v>0</v>
      </c>
      <c r="P236" s="15">
        <f t="shared" si="1038"/>
        <v>28062.554141157827</v>
      </c>
      <c r="Q236" s="32">
        <v>3.9863659</v>
      </c>
      <c r="R236" s="40">
        <v>7039.6333013880703</v>
      </c>
      <c r="S236" s="15">
        <f t="shared" ref="S236:S238" si="1099">(((1+1.35%)^(1/252))-1)*D235+SUM(S235)</f>
        <v>10230.970643092098</v>
      </c>
      <c r="T236" s="15">
        <f>IF((NETWORKDAYS(DATE(YEAR(C236),MONTH(C236),1),C236,Feriados!$A$2:$A$842))&gt;=5,0,IF(NETWORKDAYS(DATE(YEAR(C236),MONTH(C236),1),C236,Feriados!$A$2:$A$842)=1,S235,T235))</f>
        <v>0</v>
      </c>
      <c r="U236" s="26">
        <v>0</v>
      </c>
      <c r="V236" s="26">
        <v>0</v>
      </c>
      <c r="W236" s="15">
        <f t="shared" ref="W236" si="1100">SUM(G236+J236+M236+P236)</f>
        <v>9666140.8692570794</v>
      </c>
      <c r="X236" s="50">
        <f>'Fluxo de Caixa_'!AD242</f>
        <v>0</v>
      </c>
      <c r="AB236" s="26">
        <v>4198.7509</v>
      </c>
      <c r="AC236" s="26">
        <v>0</v>
      </c>
      <c r="AD236">
        <v>0</v>
      </c>
      <c r="AE236">
        <f ca="1">-SUMIF('[1]Fluxo de Movimentações'!$A$5:$F$10001,"="&amp;$C236,'[1]Fluxo de Movimentações'!$H$5:$H$10001)</f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-9997.0619873393298</v>
      </c>
      <c r="AK236" s="68">
        <v>4.3615947000000004</v>
      </c>
      <c r="AL236" s="15">
        <f>-SUMIFS([1]Master!$J$1:$J$200,[1]Master!$A$1:$A$200,"="&amp;$I$12,[1]Master!$G$1:$G$200,"&gt;"&amp;C236,[1]Master!$E$1:$E$200,"&lt;="&amp;C236)</f>
        <v>0</v>
      </c>
      <c r="AM236" s="26">
        <v>0</v>
      </c>
      <c r="AN236" s="26">
        <v>0</v>
      </c>
    </row>
    <row r="237" spans="3:40">
      <c r="C237" s="1">
        <f>WORKDAY(C236,1,Feriados!A44:A884)</f>
        <v>45201</v>
      </c>
      <c r="D237" s="39">
        <v>9580816.7448999994</v>
      </c>
      <c r="E237" s="32">
        <v>4.3257938999999999</v>
      </c>
      <c r="F237" s="88">
        <f>SUMIF([1]HSF!$H$2:$H$30,"="&amp;"APLICAÇÃO",[1]HSF!$K$2:$K$30)</f>
        <v>2283952.1146078166</v>
      </c>
      <c r="G237" s="15">
        <f t="shared" ref="G237" si="1101">H237*I237</f>
        <v>9559686.831547685</v>
      </c>
      <c r="H237" s="32">
        <v>1.0704354</v>
      </c>
      <c r="I237" s="15">
        <f>SUMIFS([1]Master!$K$2:$K$10000,[1]Master!$A$2:$A$10000,$I$12,[1]Master!$F$2:$F$10000,"&lt;="&amp;$C237)</f>
        <v>8930652.7339694519</v>
      </c>
      <c r="J237" s="15">
        <f t="shared" ref="J237" si="1102">K237*L237</f>
        <v>0</v>
      </c>
      <c r="K237" s="43">
        <v>0</v>
      </c>
      <c r="L237" s="40">
        <v>0</v>
      </c>
      <c r="M237" s="15">
        <f t="shared" ref="M237" si="1103">N237*O237</f>
        <v>0</v>
      </c>
      <c r="N237" s="32">
        <v>0</v>
      </c>
      <c r="O237" s="40">
        <v>0</v>
      </c>
      <c r="P237" s="15">
        <f t="shared" si="1038"/>
        <v>28076.340559015265</v>
      </c>
      <c r="Q237" s="32">
        <v>3.9883242999999999</v>
      </c>
      <c r="R237" s="40">
        <v>7039.6333013880703</v>
      </c>
      <c r="S237" s="15">
        <f>(((1+1.35%)^(1/252))-1)*D236</f>
        <v>513.52547473192556</v>
      </c>
      <c r="T237" s="15">
        <f>IF((NETWORKDAYS(DATE(YEAR(C237),MONTH(C237),1),C237,Feriados!$A$2:$A$842))&gt;=5,0,IF(NETWORKDAYS(DATE(YEAR(C237),MONTH(C237),1),C237,Feriados!$A$2:$A$842)=1,S236,T236))</f>
        <v>10230.970643092098</v>
      </c>
      <c r="U237" s="26">
        <v>0</v>
      </c>
      <c r="V237" s="26">
        <v>0</v>
      </c>
      <c r="W237" s="15">
        <f t="shared" ref="W237" si="1104">SUM(G237+J237+M237+P237)</f>
        <v>9587763.1721067</v>
      </c>
      <c r="X237" s="50">
        <f>'Fluxo de Caixa_'!AD243</f>
        <v>0</v>
      </c>
      <c r="AB237" s="26">
        <v>4166.2249000000002</v>
      </c>
      <c r="AC237" s="26">
        <v>0</v>
      </c>
      <c r="AD237">
        <v>0</v>
      </c>
      <c r="AE237">
        <f ca="1">-SUMIF('[1]Fluxo de Movimentações'!$A$5:$F$10001,"="&amp;$C237,'[1]Fluxo de Movimentações'!$H$5:$H$10001)</f>
        <v>0</v>
      </c>
      <c r="AF237" s="26">
        <v>0</v>
      </c>
      <c r="AG237" s="26">
        <v>0</v>
      </c>
      <c r="AH237" s="26">
        <v>0</v>
      </c>
      <c r="AI237" s="26">
        <v>0</v>
      </c>
      <c r="AJ237" s="26">
        <v>-368.25991363117703</v>
      </c>
      <c r="AK237" s="68">
        <v>4.3259601999999999</v>
      </c>
      <c r="AL237" s="15">
        <f>-SUMIFS([1]Master!$J$1:$J$200,[1]Master!$A$1:$A$200,"="&amp;$I$12,[1]Master!$G$1:$G$200,"&gt;"&amp;C237,[1]Master!$E$1:$E$200,"&lt;="&amp;C237)</f>
        <v>0</v>
      </c>
      <c r="AM237" s="26">
        <v>0</v>
      </c>
      <c r="AN237" s="26">
        <v>0</v>
      </c>
    </row>
    <row r="238" spans="3:40">
      <c r="C238" s="1">
        <f>WORKDAY(C237,1,Feriados!A45:A885)</f>
        <v>45202</v>
      </c>
      <c r="D238" s="39">
        <v>9405797.6788999997</v>
      </c>
      <c r="E238" s="32">
        <v>4.2467718000000003</v>
      </c>
      <c r="F238" s="88">
        <f>SUMIF([1]HSF!$H$2:$H$30,"="&amp;"APLICAÇÃO",[1]HSF!$K$2:$K$30)</f>
        <v>2283952.1146078166</v>
      </c>
      <c r="G238" s="15">
        <f t="shared" ref="G238" si="1105">H238*I238</f>
        <v>9373575.6023583878</v>
      </c>
      <c r="H238" s="32">
        <v>1.0508835000000001</v>
      </c>
      <c r="I238" s="15">
        <f>SUMIFS([1]Master!$K$2:$K$10000,[1]Master!$A$2:$A$10000,$I$12,[1]Master!$F$2:$F$10000,"&lt;="&amp;$C238)</f>
        <v>8919709.5609155409</v>
      </c>
      <c r="J238" s="15">
        <f t="shared" ref="J238" si="1106">K238*L238</f>
        <v>0</v>
      </c>
      <c r="K238" s="43">
        <v>0</v>
      </c>
      <c r="L238" s="40">
        <v>0</v>
      </c>
      <c r="M238" s="15">
        <f t="shared" ref="M238" si="1107">N238*O238</f>
        <v>0</v>
      </c>
      <c r="N238" s="32">
        <v>0</v>
      </c>
      <c r="O238" s="40">
        <v>0</v>
      </c>
      <c r="P238" s="15">
        <f t="shared" si="1038"/>
        <v>28089.468771159023</v>
      </c>
      <c r="Q238" s="32">
        <v>3.9901892000000001</v>
      </c>
      <c r="R238" s="40">
        <v>7039.6333013880703</v>
      </c>
      <c r="S238" s="15">
        <f t="shared" si="1099"/>
        <v>1023.3634558596984</v>
      </c>
      <c r="T238" s="15">
        <f>IF((NETWORKDAYS(DATE(YEAR(C238),MONTH(C238),1),C238,Feriados!$A$2:$A$842))&gt;=5,0,IF(NETWORKDAYS(DATE(YEAR(C238),MONTH(C238),1),C238,Feriados!$A$2:$A$842)=1,S237,T237))</f>
        <v>10230.970643092098</v>
      </c>
      <c r="U238" s="26">
        <v>0</v>
      </c>
      <c r="V238" s="26">
        <v>0</v>
      </c>
      <c r="W238" s="15">
        <f t="shared" ref="W238" si="1108">SUM(G238+J238+M238+P238)</f>
        <v>9401665.0711295474</v>
      </c>
      <c r="X238" s="50">
        <f>'Fluxo de Caixa_'!AD244</f>
        <v>0</v>
      </c>
      <c r="AB238" s="26">
        <v>4133.6989000000003</v>
      </c>
      <c r="AC238" s="26">
        <v>0</v>
      </c>
      <c r="AD238">
        <v>0</v>
      </c>
      <c r="AE238">
        <f ca="1">-SUMIF('[1]Fluxo de Movimentações'!$A$5:$F$10001,"="&amp;$C238,'[1]Fluxo de Movimentações'!$H$5:$H$10001)</f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-246.87293089649901</v>
      </c>
      <c r="AK238" s="68">
        <v>4.2468833000000004</v>
      </c>
      <c r="AL238" s="15">
        <f>-SUMIFS([1]Master!$J$1:$J$200,[1]Master!$A$1:$A$200,"="&amp;$I$12,[1]Master!$G$1:$G$200,"&gt;"&amp;C238,[1]Master!$E$1:$E$200,"&lt;="&amp;C238)</f>
        <v>11500</v>
      </c>
      <c r="AM238" s="26">
        <v>0</v>
      </c>
      <c r="AN238" s="26">
        <v>0</v>
      </c>
    </row>
    <row r="239" spans="3:40">
      <c r="C239" s="1">
        <f>WORKDAY(C238,1,Feriados!A46:A886)</f>
        <v>45203</v>
      </c>
      <c r="D239" s="39">
        <v>9512994.0428999998</v>
      </c>
      <c r="E239" s="32">
        <v>4.2951715999999998</v>
      </c>
      <c r="F239" s="88">
        <f>SUMIF([1]HSF!$H$2:$H$30,"="&amp;"APLICAÇÃO",[1]HSF!$K$2:$K$30)</f>
        <v>2283952.1146078166</v>
      </c>
      <c r="G239" s="15">
        <f t="shared" ref="G239" si="1109">H239*I239</f>
        <v>9481362.2646634448</v>
      </c>
      <c r="H239" s="32">
        <v>1.0629675999999999</v>
      </c>
      <c r="I239" s="15">
        <f>SUMIFS([1]Master!$K$2:$K$10000,[1]Master!$A$2:$A$10000,$I$12,[1]Master!$F$2:$F$10000,"&lt;="&amp;$C239)</f>
        <v>8919709.5609155409</v>
      </c>
      <c r="J239" s="15">
        <f t="shared" ref="J239" si="1110">K239*L239</f>
        <v>0</v>
      </c>
      <c r="K239" s="43">
        <v>0</v>
      </c>
      <c r="L239" s="40">
        <v>0</v>
      </c>
      <c r="M239" s="15">
        <f t="shared" ref="M239" si="1111">N239*O239</f>
        <v>0</v>
      </c>
      <c r="N239" s="32">
        <v>0</v>
      </c>
      <c r="O239" s="40">
        <v>0</v>
      </c>
      <c r="P239" s="15">
        <f t="shared" si="1038"/>
        <v>28102.716657068904</v>
      </c>
      <c r="Q239" s="32">
        <v>3.9920711</v>
      </c>
      <c r="R239" s="40">
        <v>7039.6333013880703</v>
      </c>
      <c r="S239" s="15">
        <f t="shared" ref="S239" si="1112">(((1+1.35%)^(1/252))-1)*D238+SUM(S238)</f>
        <v>1523.8878920524003</v>
      </c>
      <c r="T239" s="15">
        <f>IF((NETWORKDAYS(DATE(YEAR(C239),MONTH(C239),1),C239,Feriados!$A$2:$A$842))&gt;=5,0,IF(NETWORKDAYS(DATE(YEAR(C239),MONTH(C239),1),C239,Feriados!$A$2:$A$842)=1,S238,T238))</f>
        <v>10230.970643092098</v>
      </c>
      <c r="U239" s="26">
        <v>0</v>
      </c>
      <c r="V239" s="26">
        <v>0</v>
      </c>
      <c r="W239" s="15">
        <f t="shared" ref="W239" si="1113">SUM(G239+J239+M239+P239)</f>
        <v>9509464.9813205134</v>
      </c>
      <c r="X239" s="50">
        <f>'Fluxo de Caixa_'!AD245</f>
        <v>0</v>
      </c>
      <c r="AB239" s="26">
        <v>4101.1728999999996</v>
      </c>
      <c r="AC239" s="26">
        <v>0</v>
      </c>
      <c r="AD239">
        <v>0</v>
      </c>
      <c r="AE239">
        <f ca="1">-SUMIF('[1]Fluxo de Movimentações'!$A$5:$F$10001,"="&amp;$C239,'[1]Fluxo de Movimentações'!$H$5:$H$10001)</f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-317.372359596737</v>
      </c>
      <c r="AK239" s="68">
        <v>4.2953149000000002</v>
      </c>
      <c r="AL239" s="15">
        <f>-SUMIFS([1]Master!$J$1:$J$200,[1]Master!$A$1:$A$200,"="&amp;$I$12,[1]Master!$G$1:$G$200,"&gt;"&amp;C239,[1]Master!$E$1:$E$200,"&lt;="&amp;C239)</f>
        <v>11500</v>
      </c>
      <c r="AM239" s="26">
        <v>0</v>
      </c>
      <c r="AN239" s="26">
        <v>0</v>
      </c>
    </row>
    <row r="240" spans="3:40">
      <c r="C240" s="1">
        <f>WORKDAY(C239,1,Feriados!A47:A887)</f>
        <v>45204</v>
      </c>
      <c r="D240" s="39">
        <v>9468094.5569000002</v>
      </c>
      <c r="E240" s="32">
        <v>4.2748992000000001</v>
      </c>
      <c r="F240" s="88">
        <f>SUMIF([1]HSF!$H$2:$H$30,"="&amp;"APLICAÇÃO",[1]HSF!$K$2:$K$30)</f>
        <v>2283952.1146078166</v>
      </c>
      <c r="G240" s="15">
        <f t="shared" ref="G240" si="1114">H240*I240</f>
        <v>9436955.4906144273</v>
      </c>
      <c r="H240" s="32">
        <v>1.0579890999999999</v>
      </c>
      <c r="I240" s="15">
        <f>SUMIFS([1]Master!$K$2:$K$10000,[1]Master!$A$2:$A$10000,$I$12,[1]Master!$F$2:$F$10000,"&lt;="&amp;$C240)</f>
        <v>8919709.5609155409</v>
      </c>
      <c r="J240" s="15">
        <f t="shared" ref="J240" si="1115">K240*L240</f>
        <v>0</v>
      </c>
      <c r="K240" s="43">
        <v>0</v>
      </c>
      <c r="L240" s="40">
        <v>0</v>
      </c>
      <c r="M240" s="15">
        <f t="shared" ref="M240" si="1116">N240*O240</f>
        <v>0</v>
      </c>
      <c r="N240" s="32">
        <v>0</v>
      </c>
      <c r="O240" s="40">
        <v>0</v>
      </c>
      <c r="P240" s="15">
        <f t="shared" si="1038"/>
        <v>39615.839941469363</v>
      </c>
      <c r="Q240" s="32">
        <v>3.9939353</v>
      </c>
      <c r="R240" s="40">
        <v>9918.9989235602698</v>
      </c>
      <c r="S240" s="15">
        <f t="shared" ref="S240" si="1117">(((1+1.35%)^(1/252))-1)*D239+SUM(S239)</f>
        <v>2030.1167247763362</v>
      </c>
      <c r="T240" s="15">
        <f>IF((NETWORKDAYS(DATE(YEAR(C240),MONTH(C240),1),C240,Feriados!$A$2:$A$842))&gt;=5,0,IF(NETWORKDAYS(DATE(YEAR(C240),MONTH(C240),1),C240,Feriados!$A$2:$A$842)=1,S239,T239))</f>
        <v>10230.970643092098</v>
      </c>
      <c r="U240" s="26">
        <v>0</v>
      </c>
      <c r="V240" s="26">
        <v>0</v>
      </c>
      <c r="W240" s="15">
        <f t="shared" ref="W240" si="1118">SUM(G240+J240+M240+P240)</f>
        <v>9476571.3305558972</v>
      </c>
      <c r="X240" s="50">
        <f>'Fluxo de Caixa_'!AD246</f>
        <v>-9.0949470177292824E-12</v>
      </c>
      <c r="AB240" s="26">
        <v>4068.6469000000002</v>
      </c>
      <c r="AC240" s="26">
        <v>0</v>
      </c>
      <c r="AD240">
        <v>0</v>
      </c>
      <c r="AE240">
        <f ca="1">-SUMIF('[1]Fluxo de Movimentações'!$A$5:$F$10001,"="&amp;$C240,'[1]Fluxo de Movimentações'!$H$5:$H$10001)</f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-284.458427141095</v>
      </c>
      <c r="AK240" s="68">
        <v>4.2750276999999999</v>
      </c>
      <c r="AL240" s="15">
        <f>-SUMIFS([1]Master!$J$1:$J$200,[1]Master!$A$1:$A$200,"="&amp;$I$12,[1]Master!$G$1:$G$200,"&gt;"&amp;C240,[1]Master!$E$1:$E$200,"&lt;="&amp;C240)</f>
        <v>0</v>
      </c>
      <c r="AM240" s="26">
        <v>0</v>
      </c>
      <c r="AN240" s="26">
        <v>0</v>
      </c>
    </row>
    <row r="241" spans="3:40">
      <c r="C241" s="1">
        <f>WORKDAY(C240,1,Feriados!A48:A888)</f>
        <v>45205</v>
      </c>
      <c r="D241" s="39">
        <v>9425686.8209000006</v>
      </c>
      <c r="E241" s="32">
        <v>4.2557518999999999</v>
      </c>
      <c r="F241" s="88">
        <f>SUMIF([1]HSF!$H$2:$H$30,"="&amp;"APLICAÇÃO",[1]HSF!$K$2:$K$30)</f>
        <v>2283952.1146078166</v>
      </c>
      <c r="G241" s="15">
        <f t="shared" ref="G241" si="1119">H241*I241</f>
        <v>9395033.7476490811</v>
      </c>
      <c r="H241" s="32">
        <v>1.0532892</v>
      </c>
      <c r="I241" s="15">
        <f>SUMIFS([1]Master!$K$2:$K$10000,[1]Master!$A$2:$A$10000,$I$12,[1]Master!$F$2:$F$10000,"&lt;="&amp;$C241)</f>
        <v>8919709.5609155409</v>
      </c>
      <c r="J241" s="15">
        <f t="shared" ref="J241" si="1120">K241*L241</f>
        <v>0</v>
      </c>
      <c r="K241" s="43">
        <v>0</v>
      </c>
      <c r="L241" s="40">
        <v>0</v>
      </c>
      <c r="M241" s="15">
        <f t="shared" ref="M241" si="1121">N241*O241</f>
        <v>0</v>
      </c>
      <c r="N241" s="32">
        <v>0</v>
      </c>
      <c r="O241" s="40">
        <v>0</v>
      </c>
      <c r="P241" s="15">
        <f t="shared" si="1038"/>
        <v>29404.117577165507</v>
      </c>
      <c r="Q241" s="32">
        <v>3.9958657</v>
      </c>
      <c r="R241" s="40">
        <v>7358.6350955602702</v>
      </c>
      <c r="S241" s="15">
        <f t="shared" ref="S241" si="1122">(((1+1.35%)^(1/252))-1)*D240+SUM(S240)</f>
        <v>2533.9562556374535</v>
      </c>
      <c r="T241" s="15">
        <f>IF((NETWORKDAYS(DATE(YEAR(C241),MONTH(C241),1),C241,Feriados!$A$2:$A$842))&gt;=5,0,IF(NETWORKDAYS(DATE(YEAR(C241),MONTH(C241),1),C241,Feriados!$A$2:$A$842)=1,S240,T240))</f>
        <v>0</v>
      </c>
      <c r="U241" s="26">
        <v>0</v>
      </c>
      <c r="V241" s="26">
        <v>0</v>
      </c>
      <c r="W241" s="15">
        <f t="shared" ref="W241" si="1123">SUM(G241+J241+M241+P241)</f>
        <v>9424437.8652262464</v>
      </c>
      <c r="X241" s="50">
        <f>'Fluxo de Caixa_'!AD247</f>
        <v>-1.7410275177098811E-7</v>
      </c>
      <c r="AB241" s="26">
        <v>4036.1208999999999</v>
      </c>
      <c r="AC241" s="26">
        <v>0</v>
      </c>
      <c r="AD241">
        <v>0</v>
      </c>
      <c r="AE241">
        <f ca="1">-SUMIF('[1]Fluxo de Movimentações'!$A$5:$F$10001,"="&amp;$C241,'[1]Fluxo de Movimentações'!$H$5:$H$10001)</f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-253.24829205674399</v>
      </c>
      <c r="AK241" s="68">
        <v>4.2558661999999998</v>
      </c>
      <c r="AL241" s="15">
        <f>-SUMIFS([1]Master!$J$1:$J$200,[1]Master!$A$1:$A$200,"="&amp;$I$12,[1]Master!$G$1:$G$200,"&gt;"&amp;C241,[1]Master!$E$1:$E$200,"&lt;="&amp;C241)</f>
        <v>0</v>
      </c>
      <c r="AM241" s="26">
        <v>0</v>
      </c>
      <c r="AN241" s="26">
        <v>0</v>
      </c>
    </row>
    <row r="242" spans="3:40">
      <c r="C242" s="1">
        <f>WORKDAY(C241,1,Feriados!A49:A889)</f>
        <v>45208</v>
      </c>
      <c r="D242" s="39">
        <v>9472474.7749000005</v>
      </c>
      <c r="E242" s="32">
        <v>4.2768769000000004</v>
      </c>
      <c r="F242" s="88">
        <f>SUMIF([1]HSF!$H$2:$H$30,"="&amp;"APLICAÇÃO",[1]HSF!$K$2:$K$30)</f>
        <v>2283952.1146078166</v>
      </c>
      <c r="G242" s="15">
        <f t="shared" ref="G242" si="1124">H242*I242</f>
        <v>9442371.5382598173</v>
      </c>
      <c r="H242" s="32">
        <v>1.0585963</v>
      </c>
      <c r="I242" s="15">
        <f>SUMIFS([1]Master!$K$2:$K$10000,[1]Master!$A$2:$A$10000,$I$12,[1]Master!$F$2:$F$10000,"&lt;="&amp;$C242)</f>
        <v>8919709.5609155409</v>
      </c>
      <c r="J242" s="15">
        <f t="shared" ref="J242" si="1125">K242*L242</f>
        <v>0</v>
      </c>
      <c r="K242" s="43">
        <v>0</v>
      </c>
      <c r="L242" s="40">
        <v>0</v>
      </c>
      <c r="M242" s="15">
        <f t="shared" ref="M242" si="1126">N242*O242</f>
        <v>0</v>
      </c>
      <c r="N242" s="32">
        <v>0</v>
      </c>
      <c r="O242" s="40">
        <v>0</v>
      </c>
      <c r="P242" s="15">
        <f t="shared" ref="P242:P295" si="1127">R242*Q242</f>
        <v>29417.837752301177</v>
      </c>
      <c r="Q242" s="32">
        <v>3.9977301999999999</v>
      </c>
      <c r="R242" s="40">
        <v>7358.6350955602702</v>
      </c>
      <c r="S242" s="15">
        <f t="shared" ref="S242" si="1128">(((1+1.35%)^(1/252))-1)*D241+SUM(S241)</f>
        <v>3035.5390817642956</v>
      </c>
      <c r="T242" s="15">
        <f>IF((NETWORKDAYS(DATE(YEAR(C242),MONTH(C242),1),C242,Feriados!$A$2:$A$842))&gt;=5,0,IF(NETWORKDAYS(DATE(YEAR(C242),MONTH(C242),1),C242,Feriados!$A$2:$A$842)=1,S241,T241))</f>
        <v>0</v>
      </c>
      <c r="U242" s="26">
        <v>0</v>
      </c>
      <c r="V242" s="26">
        <v>0</v>
      </c>
      <c r="W242" s="15">
        <f t="shared" ref="W242" si="1129">SUM(G242+J242+M242+P242)</f>
        <v>9471789.3760121185</v>
      </c>
      <c r="X242" s="50">
        <f>'Fluxo de Caixa_'!AD248</f>
        <v>0</v>
      </c>
      <c r="AB242" s="26">
        <v>4003.5949000000001</v>
      </c>
      <c r="AC242" s="26">
        <v>0</v>
      </c>
      <c r="AD242">
        <v>0</v>
      </c>
      <c r="AE242">
        <f ca="1">-SUMIF('[1]Fluxo de Movimentações'!$A$5:$F$10001,"="&amp;$C242,'[1]Fluxo de Movimentações'!$H$5:$H$10001)</f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-282.697882839393</v>
      </c>
      <c r="AK242" s="68">
        <v>4.2770045999999997</v>
      </c>
      <c r="AL242" s="15">
        <f>-SUMIFS([1]Master!$J$1:$J$200,[1]Master!$A$1:$A$200,"="&amp;$I$12,[1]Master!$G$1:$G$200,"&gt;"&amp;C242,[1]Master!$E$1:$E$200,"&lt;="&amp;C242)</f>
        <v>0</v>
      </c>
      <c r="AM242" s="26">
        <v>0</v>
      </c>
      <c r="AN242" s="26">
        <v>0</v>
      </c>
    </row>
    <row r="243" spans="3:40">
      <c r="C243" s="1">
        <f>WORKDAY(C242,1,Feriados!A50:A890)</f>
        <v>45209</v>
      </c>
      <c r="D243" s="39">
        <v>9705264.4989</v>
      </c>
      <c r="E243" s="32">
        <v>4.3819828000000003</v>
      </c>
      <c r="F243" s="88">
        <f>SUMIF([1]HSF!$H$2:$H$30,"="&amp;"APLICAÇÃO",[1]HSF!$K$2:$K$30)</f>
        <v>2283952.1146078166</v>
      </c>
      <c r="G243" s="15">
        <f t="shared" ref="G243" si="1130">H243*I243</f>
        <v>9689385.0551302508</v>
      </c>
      <c r="H243" s="32">
        <v>1.0862893</v>
      </c>
      <c r="I243" s="15">
        <f>SUMIFS([1]Master!$K$2:$K$10000,[1]Master!$A$2:$A$10000,$I$12,[1]Master!$F$2:$F$10000,"&lt;="&amp;$C243)</f>
        <v>8919709.5609155409</v>
      </c>
      <c r="J243" s="15">
        <f t="shared" ref="J243" si="1131">K243*L243</f>
        <v>0</v>
      </c>
      <c r="K243" s="43">
        <v>0</v>
      </c>
      <c r="L243" s="40">
        <v>0</v>
      </c>
      <c r="M243" s="15">
        <f t="shared" ref="M243" si="1132">N243*O243</f>
        <v>0</v>
      </c>
      <c r="N243" s="32">
        <v>0</v>
      </c>
      <c r="O243" s="40">
        <v>0</v>
      </c>
      <c r="P243" s="15">
        <f t="shared" si="1127"/>
        <v>29431.496850765558</v>
      </c>
      <c r="Q243" s="32">
        <v>3.9995864000000001</v>
      </c>
      <c r="R243" s="40">
        <v>7358.6350955602702</v>
      </c>
      <c r="S243" s="15">
        <f t="shared" ref="S243" si="1133">(((1+1.35%)^(1/252))-1)*D242+SUM(S242)</f>
        <v>3539.6117035571651</v>
      </c>
      <c r="T243" s="15">
        <f>IF((NETWORKDAYS(DATE(YEAR(C243),MONTH(C243),1),C243,Feriados!$A$2:$A$842))&gt;=5,0,IF(NETWORKDAYS(DATE(YEAR(C243),MONTH(C243),1),C243,Feriados!$A$2:$A$842)=1,S242,T242))</f>
        <v>0</v>
      </c>
      <c r="U243" s="26">
        <v>0</v>
      </c>
      <c r="V243" s="26">
        <v>0</v>
      </c>
      <c r="W243" s="15">
        <f t="shared" ref="W243" si="1134">SUM(G243+J243+M243+P243)</f>
        <v>9718816.551981017</v>
      </c>
      <c r="X243" s="50">
        <f>'Fluxo de Caixa_'!AD249</f>
        <v>0</v>
      </c>
      <c r="AB243" s="26">
        <v>3971.0689000000002</v>
      </c>
      <c r="AC243" s="26">
        <v>0</v>
      </c>
      <c r="AD243">
        <v>0</v>
      </c>
      <c r="AE243">
        <f ca="1">-SUMIF('[1]Fluxo de Movimentações'!$A$5:$F$10001,"="&amp;$C243,'[1]Fluxo de Movimentações'!$H$5:$H$10001)</f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-13983.55</v>
      </c>
      <c r="AK243" s="68">
        <v>4.3882965</v>
      </c>
      <c r="AL243" s="15">
        <f>-SUMIFS([1]Master!$J$1:$J$200,[1]Master!$A$1:$A$200,"="&amp;$I$12,[1]Master!$G$1:$G$200,"&gt;"&amp;C243,[1]Master!$E$1:$E$200,"&lt;="&amp;C243)</f>
        <v>0</v>
      </c>
      <c r="AM243" s="26">
        <v>0</v>
      </c>
      <c r="AN243" s="26">
        <v>0</v>
      </c>
    </row>
    <row r="244" spans="3:40">
      <c r="C244" s="1">
        <f>WORKDAY(C243,1,Feriados!A51:A891)</f>
        <v>45210</v>
      </c>
      <c r="D244" s="39">
        <v>9684730.6837000009</v>
      </c>
      <c r="E244" s="32">
        <v>4.3727117</v>
      </c>
      <c r="F244" s="88">
        <f>SUMIF([1]HSF!$H$2:$H$30,"="&amp;"APLICAÇÃO",[1]HSF!$K$2:$K$30)</f>
        <v>2283952.1146078166</v>
      </c>
      <c r="G244" s="15">
        <f t="shared" ref="G244" si="1135">H244*I244</f>
        <v>9666789.6468705386</v>
      </c>
      <c r="H244" s="32">
        <v>1.0837561</v>
      </c>
      <c r="I244" s="15">
        <f>SUMIFS([1]Master!$K$2:$K$10000,[1]Master!$A$2:$A$10000,$I$12,[1]Master!$F$2:$F$10000,"&lt;="&amp;$C244)</f>
        <v>8919709.5609155409</v>
      </c>
      <c r="J244" s="15">
        <f t="shared" ref="J244" si="1136">K244*L244</f>
        <v>0</v>
      </c>
      <c r="K244" s="43">
        <v>0</v>
      </c>
      <c r="L244" s="40">
        <v>0</v>
      </c>
      <c r="M244" s="15">
        <f t="shared" ref="M244" si="1137">N244*O244</f>
        <v>0</v>
      </c>
      <c r="N244" s="32">
        <v>0</v>
      </c>
      <c r="O244" s="40">
        <v>0</v>
      </c>
      <c r="P244" s="15">
        <f t="shared" si="1127"/>
        <v>29445.122099508499</v>
      </c>
      <c r="Q244" s="32">
        <v>4.0014380000000003</v>
      </c>
      <c r="R244" s="40">
        <v>7358.6350955602702</v>
      </c>
      <c r="S244" s="15">
        <f t="shared" ref="S244" si="1138">(((1+1.35%)^(1/252))-1)*D243+SUM(S243)</f>
        <v>4056.0721046043068</v>
      </c>
      <c r="T244" s="15">
        <f>IF((NETWORKDAYS(DATE(YEAR(C244),MONTH(C244),1),C244,Feriados!$A$2:$A$842))&gt;=5,0,IF(NETWORKDAYS(DATE(YEAR(C244),MONTH(C244),1),C244,Feriados!$A$2:$A$842)=1,S243,T243))</f>
        <v>0</v>
      </c>
      <c r="U244" s="26">
        <v>0</v>
      </c>
      <c r="V244" s="26">
        <v>0</v>
      </c>
      <c r="W244" s="15">
        <f t="shared" ref="W244" si="1139">SUM(G244+J244+M244+P244)</f>
        <v>9696234.7689700462</v>
      </c>
      <c r="X244" s="50">
        <f>'Fluxo de Caixa_'!AD250</f>
        <v>0</v>
      </c>
      <c r="AB244" s="26">
        <v>3938.5437000000002</v>
      </c>
      <c r="AC244" s="26">
        <v>0</v>
      </c>
      <c r="AD244">
        <v>0</v>
      </c>
      <c r="AE244">
        <f ca="1">-SUMIF('[1]Fluxo de Movimentações'!$A$5:$F$10001,"="&amp;$C244,'[1]Fluxo de Movimentações'!$H$5:$H$10001)</f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-11386.625227762301</v>
      </c>
      <c r="AK244" s="68">
        <v>4.3778528000000003</v>
      </c>
      <c r="AL244" s="15">
        <f>-SUMIFS([1]Master!$J$1:$J$200,[1]Master!$A$1:$A$200,"="&amp;$I$12,[1]Master!$G$1:$G$200,"&gt;"&amp;C244,[1]Master!$E$1:$E$200,"&lt;="&amp;C244)</f>
        <v>0</v>
      </c>
      <c r="AM244" s="26">
        <v>0</v>
      </c>
      <c r="AN244" s="26">
        <v>0</v>
      </c>
    </row>
    <row r="245" spans="3:40">
      <c r="C245" s="1">
        <f>WORKDAY(C244,1,Feriados!A52:A892)</f>
        <v>45212</v>
      </c>
      <c r="D245" s="39">
        <v>9411555.2700999994</v>
      </c>
      <c r="E245" s="32">
        <v>4.2493714000000002</v>
      </c>
      <c r="F245" s="88">
        <f>SUMIF([1]HSF!$H$2:$H$30,"="&amp;"APLICAÇÃO",[1]HSF!$K$2:$K$30)</f>
        <v>2283952.1146078166</v>
      </c>
      <c r="G245" s="15">
        <f t="shared" ref="G245" si="1140">H245*I245</f>
        <v>9382996.5995966252</v>
      </c>
      <c r="H245" s="32">
        <v>1.0519396999999999</v>
      </c>
      <c r="I245" s="15">
        <f>SUMIFS([1]Master!$K$2:$K$10000,[1]Master!$A$2:$A$10000,$I$12,[1]Master!$F$2:$F$10000,"&lt;="&amp;$C245)</f>
        <v>8919709.5609155409</v>
      </c>
      <c r="J245" s="15">
        <f t="shared" ref="J245" si="1141">K245*L245</f>
        <v>0</v>
      </c>
      <c r="K245" s="43">
        <v>0</v>
      </c>
      <c r="L245" s="40">
        <v>0</v>
      </c>
      <c r="M245" s="15">
        <f t="shared" ref="M245" si="1142">N245*O245</f>
        <v>0</v>
      </c>
      <c r="N245" s="32">
        <v>0</v>
      </c>
      <c r="O245" s="40">
        <v>0</v>
      </c>
      <c r="P245" s="15">
        <f t="shared" si="1127"/>
        <v>29458.278603195849</v>
      </c>
      <c r="Q245" s="32">
        <v>4.0032259000000003</v>
      </c>
      <c r="R245" s="40">
        <v>7358.6350955602702</v>
      </c>
      <c r="S245" s="15">
        <f t="shared" ref="S245" si="1143">(((1+1.35%)^(1/252))-1)*D244+SUM(S244)</f>
        <v>4571.4398097816529</v>
      </c>
      <c r="T245" s="15">
        <f>IF((NETWORKDAYS(DATE(YEAR(C245),MONTH(C245),1),C245,Feriados!$A$2:$A$842))&gt;=5,0,IF(NETWORKDAYS(DATE(YEAR(C245),MONTH(C245),1),C245,Feriados!$A$2:$A$842)=1,S244,T244))</f>
        <v>0</v>
      </c>
      <c r="U245" s="26">
        <v>0</v>
      </c>
      <c r="V245" s="26">
        <v>0</v>
      </c>
      <c r="W245" s="15">
        <f t="shared" ref="W245" si="1144">SUM(G245+J245+M245+P245)</f>
        <v>9412454.8781998213</v>
      </c>
      <c r="X245" s="50">
        <f>'Fluxo de Caixa_'!AD251</f>
        <v>0</v>
      </c>
      <c r="AB245" s="26">
        <v>3909.4701</v>
      </c>
      <c r="AC245" s="26">
        <v>0</v>
      </c>
      <c r="AD245">
        <v>0</v>
      </c>
      <c r="AE245">
        <f ca="1">-SUMIF('[1]Fluxo de Movimentações'!$A$5:$F$10001,"="&amp;$C245,'[1]Fluxo de Movimentações'!$H$5:$H$10001)</f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-237.68932631095501</v>
      </c>
      <c r="AK245" s="68">
        <v>4.2494787000000001</v>
      </c>
      <c r="AL245" s="15">
        <f>-SUMIFS([1]Master!$J$1:$J$200,[1]Master!$A$1:$A$200,"="&amp;$I$12,[1]Master!$G$1:$G$200,"&gt;"&amp;C245,[1]Master!$E$1:$E$200,"&lt;="&amp;C245)</f>
        <v>0</v>
      </c>
      <c r="AM245" s="26">
        <v>0</v>
      </c>
      <c r="AN245" s="26">
        <v>0</v>
      </c>
    </row>
    <row r="246" spans="3:40">
      <c r="C246" s="1">
        <f>WORKDAY(C245,1,Feriados!A53:A893)</f>
        <v>45215</v>
      </c>
      <c r="D246" s="39">
        <v>9447337.9965000004</v>
      </c>
      <c r="E246" s="32">
        <v>4.2655275000000001</v>
      </c>
      <c r="F246" s="88">
        <f>SUMIF([1]HSF!$H$2:$H$30,"="&amp;"APLICAÇÃO",[1]HSF!$K$2:$K$30)</f>
        <v>2283952.1146078166</v>
      </c>
      <c r="G246" s="15">
        <f t="shared" ref="G246" si="1145">H246*I246</f>
        <v>9419318.5488996301</v>
      </c>
      <c r="H246" s="32">
        <v>1.0560118000000001</v>
      </c>
      <c r="I246" s="15">
        <f>SUMIFS([1]Master!$K$2:$K$10000,[1]Master!$A$2:$A$10000,$I$12,[1]Master!$F$2:$F$10000,"&lt;="&amp;$C246)</f>
        <v>8919709.5609155409</v>
      </c>
      <c r="J246" s="15">
        <f t="shared" ref="J246" si="1146">K246*L246</f>
        <v>0</v>
      </c>
      <c r="K246" s="43">
        <v>0</v>
      </c>
      <c r="L246" s="40">
        <v>0</v>
      </c>
      <c r="M246" s="15">
        <f t="shared" ref="M246" si="1147">N246*O246</f>
        <v>0</v>
      </c>
      <c r="N246" s="32">
        <v>0</v>
      </c>
      <c r="O246" s="40">
        <v>0</v>
      </c>
      <c r="P246" s="15">
        <f t="shared" si="1127"/>
        <v>29471.114270393035</v>
      </c>
      <c r="Q246" s="32">
        <v>4.0049701999999998</v>
      </c>
      <c r="R246" s="40">
        <v>7358.6350955602702</v>
      </c>
      <c r="S246" s="15">
        <f t="shared" ref="S246" si="1148">(((1+1.35%)^(1/252))-1)*D245+SUM(S245)</f>
        <v>5072.2706330759693</v>
      </c>
      <c r="T246" s="15">
        <f>IF((NETWORKDAYS(DATE(YEAR(C246),MONTH(C246),1),C246,Feriados!$A$2:$A$842))&gt;=5,0,IF(NETWORKDAYS(DATE(YEAR(C246),MONTH(C246),1),C246,Feriados!$A$2:$A$842)=1,S245,T245))</f>
        <v>0</v>
      </c>
      <c r="U246" s="26">
        <v>0</v>
      </c>
      <c r="V246" s="26">
        <v>0</v>
      </c>
      <c r="W246" s="15">
        <f t="shared" ref="W246" si="1149">SUM(G246+J246+M246+P246)</f>
        <v>9448789.6631700229</v>
      </c>
      <c r="X246" s="50">
        <f>'Fluxo de Caixa_'!AD252</f>
        <v>0</v>
      </c>
      <c r="AB246" s="26">
        <v>3880.3964999999998</v>
      </c>
      <c r="AC246" s="26">
        <v>0</v>
      </c>
      <c r="AD246">
        <v>0</v>
      </c>
      <c r="AE246">
        <f ca="1">-SUMIF('[1]Fluxo de Movimentações'!$A$5:$F$10001,"="&amp;$C246,'[1]Fluxo de Movimentações'!$H$5:$H$10001)</f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-259.83934049738599</v>
      </c>
      <c r="AK246" s="68">
        <v>4.2656447999999996</v>
      </c>
      <c r="AL246" s="15">
        <f>-SUMIFS([1]Master!$J$1:$J$200,[1]Master!$A$1:$A$200,"="&amp;$I$12,[1]Master!$G$1:$G$200,"&gt;"&amp;C246,[1]Master!$E$1:$E$200,"&lt;="&amp;C246)</f>
        <v>0</v>
      </c>
      <c r="AM246" s="26">
        <v>0</v>
      </c>
      <c r="AN246" s="26">
        <v>0</v>
      </c>
    </row>
    <row r="247" spans="3:40">
      <c r="C247" s="1">
        <f>WORKDAY(C246,1,Feriados!A54:A894)</f>
        <v>45216</v>
      </c>
      <c r="D247" s="39">
        <v>9307763.4229000006</v>
      </c>
      <c r="E247" s="32">
        <v>4.2025088000000004</v>
      </c>
      <c r="F247" s="88">
        <f>SUMIF([1]HSF!$H$2:$H$30,"="&amp;"APLICAÇÃO",[1]HSF!$K$2:$K$30)</f>
        <v>2283952.1146078166</v>
      </c>
      <c r="G247" s="15">
        <f t="shared" ref="G247" si="1150">H247*I247</f>
        <v>9280165.7279236112</v>
      </c>
      <c r="H247" s="32">
        <v>1.0404112000000001</v>
      </c>
      <c r="I247" s="15">
        <f>SUMIFS([1]Master!$K$2:$K$10000,[1]Master!$A$2:$A$10000,$I$12,[1]Master!$F$2:$F$10000,"&lt;="&amp;$C247)</f>
        <v>8919709.5609155409</v>
      </c>
      <c r="J247" s="15">
        <f t="shared" ref="J247" si="1151">K247*L247</f>
        <v>0</v>
      </c>
      <c r="K247" s="43">
        <v>0</v>
      </c>
      <c r="L247" s="40">
        <v>0</v>
      </c>
      <c r="M247" s="15">
        <f t="shared" ref="M247" si="1152">N247*O247</f>
        <v>0</v>
      </c>
      <c r="N247" s="32">
        <v>0</v>
      </c>
      <c r="O247" s="40">
        <v>0</v>
      </c>
      <c r="P247" s="15">
        <f t="shared" si="1127"/>
        <v>29483.958032088824</v>
      </c>
      <c r="Q247" s="32">
        <v>4.0067155999999997</v>
      </c>
      <c r="R247" s="40">
        <v>7358.6350955602702</v>
      </c>
      <c r="S247" s="15">
        <f t="shared" ref="S247" si="1153">(((1+1.35%)^(1/252))-1)*D246+SUM(S246)</f>
        <v>5575.0056148019485</v>
      </c>
      <c r="T247" s="15">
        <f>IF((NETWORKDAYS(DATE(YEAR(C247),MONTH(C247),1),C247,Feriados!$A$2:$A$842))&gt;=5,0,IF(NETWORKDAYS(DATE(YEAR(C247),MONTH(C247),1),C247,Feriados!$A$2:$A$842)=1,S246,T246))</f>
        <v>0</v>
      </c>
      <c r="U247" s="26">
        <v>0</v>
      </c>
      <c r="V247" s="26">
        <v>0</v>
      </c>
      <c r="W247" s="15">
        <f t="shared" ref="W247" si="1154">SUM(G247+J247+M247+P247)</f>
        <v>9309649.6859556995</v>
      </c>
      <c r="X247" s="50">
        <f>'Fluxo de Caixa_'!AD253</f>
        <v>0</v>
      </c>
      <c r="AB247" s="26">
        <v>3851.3229000000001</v>
      </c>
      <c r="AC247" s="26">
        <v>0</v>
      </c>
      <c r="AD247">
        <v>0</v>
      </c>
      <c r="AE247">
        <f ca="1">-SUMIF('[1]Fluxo de Movimentações'!$A$5:$F$10001,"="&amp;$C247,'[1]Fluxo de Movimentações'!$H$5:$H$10001)</f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-162.64170837277101</v>
      </c>
      <c r="AK247" s="68">
        <v>4.2025822000000002</v>
      </c>
      <c r="AL247" s="15">
        <f>-SUMIFS([1]Master!$J$1:$J$200,[1]Master!$A$1:$A$200,"="&amp;$I$12,[1]Master!$G$1:$G$200,"&gt;"&amp;C247,[1]Master!$E$1:$E$200,"&lt;="&amp;C247)</f>
        <v>0</v>
      </c>
      <c r="AM247" s="26">
        <v>0</v>
      </c>
      <c r="AN247" s="26">
        <v>0</v>
      </c>
    </row>
    <row r="248" spans="3:40">
      <c r="C248" s="1">
        <f>WORKDAY(C247,1,Feriados!A55:A895)</f>
        <v>45217</v>
      </c>
      <c r="D248" s="39">
        <v>9088274.1592999995</v>
      </c>
      <c r="E248" s="32">
        <v>4.1034081000000002</v>
      </c>
      <c r="F248" s="88">
        <f>SUMIF([1]HSF!$H$2:$H$30,"="&amp;"APLICAÇÃO",[1]HSF!$K$2:$K$30)</f>
        <v>2283952.1146078166</v>
      </c>
      <c r="G248" s="15">
        <f t="shared" ref="G248" si="1155">H248*I248</f>
        <v>9061036.115111554</v>
      </c>
      <c r="H248" s="32">
        <v>1.0158442999999999</v>
      </c>
      <c r="I248" s="15">
        <f>SUMIFS([1]Master!$K$2:$K$10000,[1]Master!$A$2:$A$10000,$I$12,[1]Master!$F$2:$F$10000,"&lt;="&amp;$C248)</f>
        <v>8919709.5609155409</v>
      </c>
      <c r="J248" s="15">
        <f t="shared" ref="J248" si="1156">K248*L248</f>
        <v>0</v>
      </c>
      <c r="K248" s="43">
        <v>0</v>
      </c>
      <c r="L248" s="40">
        <v>0</v>
      </c>
      <c r="M248" s="15">
        <f t="shared" ref="M248" si="1157">N248*O248</f>
        <v>0</v>
      </c>
      <c r="N248" s="32">
        <v>0</v>
      </c>
      <c r="O248" s="40">
        <v>0</v>
      </c>
      <c r="P248" s="15">
        <f t="shared" si="1127"/>
        <v>29352.158689051812</v>
      </c>
      <c r="Q248" s="32">
        <v>4.0085094999999997</v>
      </c>
      <c r="R248" s="40">
        <v>7322.4620495602703</v>
      </c>
      <c r="S248" s="15">
        <f t="shared" ref="S248" si="1158">(((1+1.35%)^(1/252))-1)*D247+SUM(S247)</f>
        <v>6070.3132110851502</v>
      </c>
      <c r="T248" s="15">
        <f>IF((NETWORKDAYS(DATE(YEAR(C248),MONTH(C248),1),C248,Feriados!$A$2:$A$842))&gt;=5,0,IF(NETWORKDAYS(DATE(YEAR(C248),MONTH(C248),1),C248,Feriados!$A$2:$A$842)=1,S247,T247))</f>
        <v>0</v>
      </c>
      <c r="U248" s="26">
        <v>0</v>
      </c>
      <c r="V248" s="26">
        <v>0</v>
      </c>
      <c r="W248" s="15">
        <f t="shared" ref="W248" si="1159">SUM(G248+J248+M248+P248)</f>
        <v>9090388.2738006059</v>
      </c>
      <c r="X248" s="50">
        <f>'Fluxo de Caixa_'!AD254</f>
        <v>-1.4650634625468228E-6</v>
      </c>
      <c r="AB248" s="26">
        <v>3967.2492999999999</v>
      </c>
      <c r="AC248" s="26">
        <v>0</v>
      </c>
      <c r="AD248">
        <v>0</v>
      </c>
      <c r="AE248">
        <f ca="1">-SUMIF('[1]Fluxo de Movimentações'!$A$5:$F$10001,"="&amp;$C248,'[1]Fluxo de Movimentações'!$H$5:$H$10001)</f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-11.1101674524248</v>
      </c>
      <c r="AK248" s="68">
        <v>4.1034131</v>
      </c>
      <c r="AL248" s="15">
        <f>-SUMIFS([1]Master!$J$1:$J$200,[1]Master!$A$1:$A$200,"="&amp;$I$12,[1]Master!$G$1:$G$200,"&gt;"&amp;C248,[1]Master!$E$1:$E$200,"&lt;="&amp;C248)</f>
        <v>0</v>
      </c>
      <c r="AM248" s="26">
        <v>0</v>
      </c>
      <c r="AN248" s="26">
        <v>0</v>
      </c>
    </row>
    <row r="249" spans="3:40">
      <c r="C249" s="1">
        <f>WORKDAY(C248,1,Feriados!A56:A896)</f>
        <v>45218</v>
      </c>
      <c r="D249" s="39">
        <v>9166845.4633000009</v>
      </c>
      <c r="E249" s="32">
        <v>4.1388835000000004</v>
      </c>
      <c r="F249" s="88">
        <f>SUMIF([1]HSF!$H$2:$H$30,"="&amp;"APLICAÇÃO",[1]HSF!$K$2:$K$30)</f>
        <v>2283952.1146078166</v>
      </c>
      <c r="G249" s="15">
        <f t="shared" ref="G249" si="1160">H249*I249</f>
        <v>9140161.0746845249</v>
      </c>
      <c r="H249" s="32">
        <v>1.0247151000000001</v>
      </c>
      <c r="I249" s="15">
        <f>SUMIFS([1]Master!$K$2:$K$10000,[1]Master!$A$2:$A$10000,$I$12,[1]Master!$F$2:$F$10000,"&lt;="&amp;$C249)</f>
        <v>8919709.5609155409</v>
      </c>
      <c r="J249" s="15">
        <f t="shared" ref="J249" si="1161">K249*L249</f>
        <v>0</v>
      </c>
      <c r="K249" s="43">
        <v>0</v>
      </c>
      <c r="L249" s="40">
        <v>0</v>
      </c>
      <c r="M249" s="15">
        <f t="shared" ref="M249" si="1162">N249*O249</f>
        <v>0</v>
      </c>
      <c r="N249" s="32">
        <v>0</v>
      </c>
      <c r="O249" s="40">
        <v>0</v>
      </c>
      <c r="P249" s="15">
        <f t="shared" si="1127"/>
        <v>29365.736730430315</v>
      </c>
      <c r="Q249" s="32">
        <v>4.0103638000000004</v>
      </c>
      <c r="R249" s="40">
        <v>7322.4620495602703</v>
      </c>
      <c r="S249" s="15">
        <f t="shared" ref="S249" si="1163">(((1+1.35%)^(1/252))-1)*D248+SUM(S248)</f>
        <v>6553.9408049204794</v>
      </c>
      <c r="T249" s="15">
        <f>IF((NETWORKDAYS(DATE(YEAR(C249),MONTH(C249),1),C249,Feriados!$A$2:$A$842))&gt;=5,0,IF(NETWORKDAYS(DATE(YEAR(C249),MONTH(C249),1),C249,Feriados!$A$2:$A$842)=1,S248,T248))</f>
        <v>0</v>
      </c>
      <c r="U249" s="26">
        <v>0</v>
      </c>
      <c r="V249" s="26">
        <v>0</v>
      </c>
      <c r="W249" s="15">
        <f t="shared" ref="W249" si="1164">SUM(G249+J249+M249+P249)</f>
        <v>9169526.8114149552</v>
      </c>
      <c r="X249" s="50">
        <f>'Fluxo de Caixa_'!AD255</f>
        <v>0</v>
      </c>
      <c r="AB249" s="26">
        <v>3934.7233000000001</v>
      </c>
      <c r="AC249" s="26">
        <v>0</v>
      </c>
      <c r="AD249">
        <v>0</v>
      </c>
      <c r="AE249">
        <f ca="1">-SUMIF('[1]Fluxo de Movimentações'!$A$5:$F$10001,"="&amp;$C249,'[1]Fluxo de Movimentações'!$H$5:$H$10001)</f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-62.200171301969696</v>
      </c>
      <c r="AK249" s="68">
        <v>4.1389116000000001</v>
      </c>
      <c r="AL249" s="15">
        <f>-SUMIFS([1]Master!$J$1:$J$200,[1]Master!$A$1:$A$200,"="&amp;$I$12,[1]Master!$G$1:$G$200,"&gt;"&amp;C249,[1]Master!$E$1:$E$200,"&lt;="&amp;C249)</f>
        <v>0</v>
      </c>
      <c r="AM249" s="26">
        <v>0</v>
      </c>
      <c r="AN249" s="26">
        <v>0</v>
      </c>
    </row>
    <row r="250" spans="3:40">
      <c r="C250" s="1">
        <f>WORKDAY(C249,1,Feriados!A57:A897)</f>
        <v>45219</v>
      </c>
      <c r="D250" s="39">
        <v>9205929.4772999994</v>
      </c>
      <c r="E250" s="32">
        <v>4.1565301999999997</v>
      </c>
      <c r="F250" s="88">
        <f>SUMIF([1]HSF!$H$2:$H$30,"="&amp;"APLICAÇÃO",[1]HSF!$K$2:$K$30)</f>
        <v>2283952.1146078166</v>
      </c>
      <c r="G250" s="15">
        <f t="shared" ref="G250" si="1165">H250*I250</f>
        <v>9179776.1807574183</v>
      </c>
      <c r="H250" s="32">
        <v>1.0291564</v>
      </c>
      <c r="I250" s="15">
        <f>SUMIFS([1]Master!$K$2:$K$10000,[1]Master!$A$2:$A$10000,$I$12,[1]Master!$F$2:$F$10000,"&lt;="&amp;$C250)</f>
        <v>8919709.5609155409</v>
      </c>
      <c r="J250" s="15">
        <f t="shared" ref="J250" si="1166">K250*L250</f>
        <v>0</v>
      </c>
      <c r="K250" s="43">
        <v>0</v>
      </c>
      <c r="L250" s="40">
        <v>0</v>
      </c>
      <c r="M250" s="15">
        <f t="shared" ref="M250" si="1167">N250*O250</f>
        <v>0</v>
      </c>
      <c r="N250" s="32">
        <v>0</v>
      </c>
      <c r="O250" s="40">
        <v>0</v>
      </c>
      <c r="P250" s="15">
        <f t="shared" si="1127"/>
        <v>29379.215918571143</v>
      </c>
      <c r="Q250" s="32">
        <v>4.0122045999999996</v>
      </c>
      <c r="R250" s="40">
        <v>7322.4620495602703</v>
      </c>
      <c r="S250" s="15">
        <f t="shared" ref="S250" si="1168">(((1+1.35%)^(1/252))-1)*D249+SUM(S249)</f>
        <v>7041.749528201507</v>
      </c>
      <c r="T250" s="15">
        <f>IF((NETWORKDAYS(DATE(YEAR(C250),MONTH(C250),1),C250,Feriados!$A$2:$A$842))&gt;=5,0,IF(NETWORKDAYS(DATE(YEAR(C250),MONTH(C250),1),C250,Feriados!$A$2:$A$842)=1,S249,T249))</f>
        <v>0</v>
      </c>
      <c r="U250" s="26">
        <v>0</v>
      </c>
      <c r="V250" s="26">
        <v>0</v>
      </c>
      <c r="W250" s="15">
        <f t="shared" ref="W250" si="1169">SUM(G250+J250+M250+P250)</f>
        <v>9209155.396675989</v>
      </c>
      <c r="X250" s="50">
        <f>'Fluxo de Caixa_'!AD256</f>
        <v>0</v>
      </c>
      <c r="AB250" s="26">
        <v>3902.1972999999998</v>
      </c>
      <c r="AC250" s="26">
        <v>0</v>
      </c>
      <c r="AD250">
        <v>0</v>
      </c>
      <c r="AE250">
        <f ca="1">-SUMIF('[1]Fluxo de Movimentações'!$A$5:$F$10001,"="&amp;$C250,'[1]Fluxo de Movimentações'!$H$5:$H$10001)</f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-86.448926259796707</v>
      </c>
      <c r="AK250" s="68">
        <v>4.1565691999999999</v>
      </c>
      <c r="AL250" s="15">
        <f>-SUMIFS([1]Master!$J$1:$J$200,[1]Master!$A$1:$A$200,"="&amp;$I$12,[1]Master!$G$1:$G$200,"&gt;"&amp;C250,[1]Master!$E$1:$E$200,"&lt;="&amp;C250)</f>
        <v>0</v>
      </c>
      <c r="AM250" s="26">
        <v>0</v>
      </c>
      <c r="AN250" s="26">
        <v>0</v>
      </c>
    </row>
    <row r="251" spans="3:40">
      <c r="C251" s="1">
        <f>WORKDAY(C250,1,Feriados!A58:A898)</f>
        <v>45222</v>
      </c>
      <c r="D251" s="39">
        <v>9349036.3512999993</v>
      </c>
      <c r="E251" s="32">
        <v>4.2211438000000001</v>
      </c>
      <c r="F251" s="88">
        <f>SUMIF([1]HSF!$H$2:$H$30,"="&amp;"APLICAÇÃO",[1]HSF!$K$2:$K$30)</f>
        <v>2283952.1146078166</v>
      </c>
      <c r="G251" s="15">
        <f t="shared" ref="G251" si="1170">H251*I251</f>
        <v>9323486.9733190667</v>
      </c>
      <c r="H251" s="32">
        <v>1.0452680000000001</v>
      </c>
      <c r="I251" s="15">
        <f>SUMIFS([1]Master!$K$2:$K$10000,[1]Master!$A$2:$A$10000,$I$12,[1]Master!$F$2:$F$10000,"&lt;="&amp;$C251)</f>
        <v>8919709.5609155409</v>
      </c>
      <c r="J251" s="15">
        <f t="shared" ref="J251" si="1171">K251*L251</f>
        <v>0</v>
      </c>
      <c r="K251" s="43">
        <v>0</v>
      </c>
      <c r="L251" s="40">
        <v>0</v>
      </c>
      <c r="M251" s="15">
        <f t="shared" ref="M251" si="1172">N251*O251</f>
        <v>0</v>
      </c>
      <c r="N251" s="32">
        <v>0</v>
      </c>
      <c r="O251" s="40">
        <v>0</v>
      </c>
      <c r="P251" s="15">
        <f t="shared" si="1127"/>
        <v>29392.678265049264</v>
      </c>
      <c r="Q251" s="32">
        <v>4.0140431000000003</v>
      </c>
      <c r="R251" s="40">
        <v>7322.4620495602703</v>
      </c>
      <c r="S251" s="15">
        <f t="shared" ref="S251" si="1173">(((1+1.35%)^(1/252))-1)*D250+SUM(S250)</f>
        <v>7531.6380861482721</v>
      </c>
      <c r="T251" s="15">
        <f>IF((NETWORKDAYS(DATE(YEAR(C251),MONTH(C251),1),C251,Feriados!$A$2:$A$842))&gt;=5,0,IF(NETWORKDAYS(DATE(YEAR(C251),MONTH(C251),1),C251,Feriados!$A$2:$A$842)=1,S250,T250))</f>
        <v>0</v>
      </c>
      <c r="U251" s="26">
        <v>0</v>
      </c>
      <c r="V251" s="26">
        <v>0</v>
      </c>
      <c r="W251" s="15">
        <f t="shared" ref="W251" si="1174">SUM(G251+J251+M251+P251)</f>
        <v>9352879.6515841167</v>
      </c>
      <c r="X251" s="50">
        <f>'Fluxo de Caixa_'!AD257</f>
        <v>0</v>
      </c>
      <c r="AB251" s="26">
        <v>3869.6713</v>
      </c>
      <c r="AC251" s="26">
        <v>0</v>
      </c>
      <c r="AD251">
        <v>0</v>
      </c>
      <c r="AE251">
        <f ca="1">-SUMIF('[1]Fluxo de Movimentações'!$A$5:$F$10001,"="&amp;$C251,'[1]Fluxo de Movimentações'!$H$5:$H$10001)</f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-181.418588743074</v>
      </c>
      <c r="AK251" s="68">
        <v>4.2212256999999997</v>
      </c>
      <c r="AL251" s="15">
        <f>-SUMIFS([1]Master!$J$1:$J$200,[1]Master!$A$1:$A$200,"="&amp;$I$12,[1]Master!$G$1:$G$200,"&gt;"&amp;C251,[1]Master!$E$1:$E$200,"&lt;="&amp;C251)</f>
        <v>0</v>
      </c>
      <c r="AM251" s="26">
        <v>0</v>
      </c>
      <c r="AN251" s="26">
        <v>0</v>
      </c>
    </row>
    <row r="252" spans="3:40">
      <c r="C252" s="1">
        <f>WORKDAY(C251,1,Feriados!A59:A899)</f>
        <v>45223</v>
      </c>
      <c r="D252" s="39">
        <v>9414985.8052999992</v>
      </c>
      <c r="E252" s="32">
        <v>4.2509202999999998</v>
      </c>
      <c r="F252" s="88">
        <f>SUMIF([1]HSF!$H$2:$H$30,"="&amp;"APLICAÇÃO",[1]HSF!$K$2:$K$30)</f>
        <v>2283952.1146078166</v>
      </c>
      <c r="G252" s="15">
        <f t="shared" ref="G252" si="1175">H252*I252</f>
        <v>9389995.8956890758</v>
      </c>
      <c r="H252" s="32">
        <v>1.0527244</v>
      </c>
      <c r="I252" s="15">
        <f>SUMIFS([1]Master!$K$2:$K$10000,[1]Master!$A$2:$A$10000,$I$12,[1]Master!$F$2:$F$10000,"&lt;="&amp;$C252)</f>
        <v>8919709.5609155409</v>
      </c>
      <c r="J252" s="15">
        <f t="shared" ref="J252" si="1176">K252*L252</f>
        <v>0</v>
      </c>
      <c r="K252" s="43">
        <v>0</v>
      </c>
      <c r="L252" s="40">
        <v>0</v>
      </c>
      <c r="M252" s="15">
        <f t="shared" ref="M252" si="1177">N252*O252</f>
        <v>0</v>
      </c>
      <c r="N252" s="32">
        <v>0</v>
      </c>
      <c r="O252" s="40">
        <v>0</v>
      </c>
      <c r="P252" s="15">
        <f t="shared" si="1127"/>
        <v>29405.739340607062</v>
      </c>
      <c r="Q252" s="32">
        <v>4.0158268000000001</v>
      </c>
      <c r="R252" s="40">
        <v>7322.4620495602703</v>
      </c>
      <c r="S252" s="15">
        <f t="shared" ref="S252" si="1178">(((1+1.35%)^(1/252))-1)*D251+SUM(S251)</f>
        <v>8029.1419989930955</v>
      </c>
      <c r="T252" s="15">
        <f>IF((NETWORKDAYS(DATE(YEAR(C252),MONTH(C252),1),C252,Feriados!$A$2:$A$842))&gt;=5,0,IF(NETWORKDAYS(DATE(YEAR(C252),MONTH(C252),1),C252,Feriados!$A$2:$A$842)=1,S251,T251))</f>
        <v>0</v>
      </c>
      <c r="U252" s="26">
        <v>0</v>
      </c>
      <c r="V252" s="26">
        <v>0</v>
      </c>
      <c r="W252" s="15">
        <f t="shared" ref="W252" si="1179">SUM(G252+J252+M252+P252)</f>
        <v>9419401.6350296829</v>
      </c>
      <c r="X252" s="50">
        <f>'Fluxo de Caixa_'!AD258</f>
        <v>0</v>
      </c>
      <c r="AB252" s="26">
        <v>3837.1453000000001</v>
      </c>
      <c r="AC252" s="26">
        <v>0</v>
      </c>
      <c r="AD252">
        <v>0</v>
      </c>
      <c r="AE252">
        <f ca="1">-SUMIF('[1]Fluxo de Movimentações'!$A$5:$F$10001,"="&amp;$C252,'[1]Fluxo de Movimentações'!$H$5:$H$10001)</f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-223.93515042400099</v>
      </c>
      <c r="AK252" s="68">
        <v>4.2510214</v>
      </c>
      <c r="AL252" s="15">
        <f>-SUMIFS([1]Master!$J$1:$J$200,[1]Master!$A$1:$A$200,"="&amp;$I$12,[1]Master!$G$1:$G$200,"&gt;"&amp;C252,[1]Master!$E$1:$E$200,"&lt;="&amp;C252)</f>
        <v>0</v>
      </c>
      <c r="AM252" s="26">
        <v>0</v>
      </c>
      <c r="AN252" s="26">
        <v>0</v>
      </c>
    </row>
    <row r="253" spans="3:40">
      <c r="C253" s="1">
        <f>WORKDAY(C252,1,Feriados!A60:A900)</f>
        <v>45224</v>
      </c>
      <c r="D253" s="39">
        <v>9268710.1692999993</v>
      </c>
      <c r="E253" s="32">
        <v>4.184876</v>
      </c>
      <c r="F253" s="88">
        <f>SUMIF([1]HSF!$H$2:$H$30,"="&amp;"APLICAÇÃO",[1]HSF!$K$2:$K$30)</f>
        <v>2283952.1146078166</v>
      </c>
      <c r="G253" s="15">
        <f t="shared" ref="G253" si="1180">H253*I253</f>
        <v>9244139.0210070722</v>
      </c>
      <c r="H253" s="32">
        <v>1.0363722</v>
      </c>
      <c r="I253" s="15">
        <f>SUMIFS([1]Master!$K$2:$K$10000,[1]Master!$A$2:$A$10000,$I$12,[1]Master!$F$2:$F$10000,"&lt;="&amp;$C253)</f>
        <v>8919709.5609155409</v>
      </c>
      <c r="J253" s="15">
        <f t="shared" ref="J253" si="1181">K253*L253</f>
        <v>0</v>
      </c>
      <c r="K253" s="43">
        <v>0</v>
      </c>
      <c r="L253" s="40">
        <v>0</v>
      </c>
      <c r="M253" s="15">
        <f t="shared" ref="M253" si="1182">N253*O253</f>
        <v>0</v>
      </c>
      <c r="N253" s="32">
        <v>0</v>
      </c>
      <c r="O253" s="40">
        <v>0</v>
      </c>
      <c r="P253" s="15">
        <f t="shared" si="1127"/>
        <v>29418.736710745026</v>
      </c>
      <c r="Q253" s="32">
        <v>4.0176017999999996</v>
      </c>
      <c r="R253" s="40">
        <v>7322.4620495602703</v>
      </c>
      <c r="S253" s="15">
        <f t="shared" ref="S253" si="1183">(((1+1.35%)^(1/252))-1)*D252+SUM(S252)</f>
        <v>8530.1553763626143</v>
      </c>
      <c r="T253" s="15">
        <f>IF((NETWORKDAYS(DATE(YEAR(C253),MONTH(C253),1),C253,Feriados!$A$2:$A$842))&gt;=5,0,IF(NETWORKDAYS(DATE(YEAR(C253),MONTH(C253),1),C253,Feriados!$A$2:$A$842)=1,S252,T252))</f>
        <v>0</v>
      </c>
      <c r="U253" s="26">
        <v>0</v>
      </c>
      <c r="V253" s="26">
        <v>0</v>
      </c>
      <c r="W253" s="15">
        <f t="shared" ref="W253" si="1184">SUM(G253+J253+M253+P253)</f>
        <v>9273557.757717818</v>
      </c>
      <c r="X253" s="50">
        <f>'Fluxo de Caixa_'!AD259</f>
        <v>0</v>
      </c>
      <c r="AB253" s="26">
        <v>3804.6192999999998</v>
      </c>
      <c r="AC253" s="26">
        <v>0</v>
      </c>
      <c r="AD253">
        <v>0</v>
      </c>
      <c r="AE253">
        <f ca="1">-SUMIF('[1]Fluxo de Movimentações'!$A$5:$F$10001,"="&amp;$C253,'[1]Fluxo de Movimentações'!$H$5:$H$10001)</f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-122.154106760169</v>
      </c>
      <c r="AK253" s="68">
        <v>4.1849312000000003</v>
      </c>
      <c r="AL253" s="15">
        <f>-SUMIFS([1]Master!$J$1:$J$200,[1]Master!$A$1:$A$200,"="&amp;$I$12,[1]Master!$G$1:$G$200,"&gt;"&amp;C253,[1]Master!$E$1:$E$200,"&lt;="&amp;C253)</f>
        <v>0</v>
      </c>
      <c r="AM253" s="26">
        <v>0</v>
      </c>
      <c r="AN253" s="26">
        <v>0</v>
      </c>
    </row>
    <row r="254" spans="3:40">
      <c r="C254" s="1">
        <f>WORKDAY(C253,1,Feriados!A61:A901)</f>
        <v>45225</v>
      </c>
      <c r="D254" s="39">
        <v>9501844.0432999991</v>
      </c>
      <c r="E254" s="32">
        <v>4.2901372999999996</v>
      </c>
      <c r="F254" s="88">
        <f>SUMIF([1]HSF!$H$2:$H$30,"="&amp;"APLICAÇÃO",[1]HSF!$K$2:$K$30)</f>
        <v>2283952.1146078166</v>
      </c>
      <c r="G254" s="15">
        <f t="shared" ref="G254" si="1185">H254*I254</f>
        <v>9477941.5560468361</v>
      </c>
      <c r="H254" s="32">
        <v>1.0625841</v>
      </c>
      <c r="I254" s="15">
        <f>SUMIFS([1]Master!$K$2:$K$10000,[1]Master!$A$2:$A$10000,$I$12,[1]Master!$F$2:$F$10000,"&lt;="&amp;$C254)</f>
        <v>8919709.5609155409</v>
      </c>
      <c r="J254" s="15">
        <f t="shared" ref="J254" si="1186">K254*L254</f>
        <v>0</v>
      </c>
      <c r="K254" s="43">
        <v>0</v>
      </c>
      <c r="L254" s="40">
        <v>0</v>
      </c>
      <c r="M254" s="15">
        <f t="shared" ref="M254" si="1187">N254*O254</f>
        <v>0</v>
      </c>
      <c r="N254" s="32">
        <v>0</v>
      </c>
      <c r="O254" s="40">
        <v>0</v>
      </c>
      <c r="P254" s="15">
        <f t="shared" si="1127"/>
        <v>29432.038695304265</v>
      </c>
      <c r="Q254" s="32">
        <v>4.0194184000000002</v>
      </c>
      <c r="R254" s="40">
        <v>7322.4620495602703</v>
      </c>
      <c r="S254" s="15">
        <f t="shared" ref="S254" si="1188">(((1+1.35%)^(1/252))-1)*D253+SUM(S253)</f>
        <v>9023.3847748781263</v>
      </c>
      <c r="T254" s="15">
        <f>IF((NETWORKDAYS(DATE(YEAR(C254),MONTH(C254),1),C254,Feriados!$A$2:$A$842))&gt;=5,0,IF(NETWORKDAYS(DATE(YEAR(C254),MONTH(C254),1),C254,Feriados!$A$2:$A$842)=1,S253,T253))</f>
        <v>0</v>
      </c>
      <c r="U254" s="26">
        <v>0</v>
      </c>
      <c r="V254" s="26">
        <v>0</v>
      </c>
      <c r="W254" s="15">
        <f t="shared" ref="W254" si="1189">SUM(G254+J254+M254+P254)</f>
        <v>9507373.5947421398</v>
      </c>
      <c r="X254" s="50">
        <f>'Fluxo de Caixa_'!AD260</f>
        <v>0</v>
      </c>
      <c r="AB254" s="26">
        <v>3772.0933</v>
      </c>
      <c r="AC254" s="26">
        <v>0</v>
      </c>
      <c r="AD254">
        <v>0</v>
      </c>
      <c r="AE254">
        <f ca="1">-SUMIF('[1]Fluxo de Movimentações'!$A$5:$F$10001,"="&amp;$C254,'[1]Fluxo de Movimentações'!$H$5:$H$10001)</f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-279.30257290995098</v>
      </c>
      <c r="AK254" s="68">
        <v>4.2902630000000004</v>
      </c>
      <c r="AL254" s="15">
        <f>-SUMIFS([1]Master!$J$1:$J$200,[1]Master!$A$1:$A$200,"="&amp;$I$12,[1]Master!$G$1:$G$200,"&gt;"&amp;C254,[1]Master!$E$1:$E$200,"&lt;="&amp;C254)</f>
        <v>0</v>
      </c>
      <c r="AM254" s="26">
        <v>0</v>
      </c>
      <c r="AN254" s="26">
        <v>0</v>
      </c>
    </row>
    <row r="255" spans="3:40">
      <c r="C255" s="1">
        <f>WORKDAY(C254,1,Feriados!A62:A902)</f>
        <v>45226</v>
      </c>
      <c r="D255" s="39">
        <v>9241563.0073000006</v>
      </c>
      <c r="E255" s="32">
        <v>4.1726188999999998</v>
      </c>
      <c r="F255" s="88">
        <f>SUMIF([1]HSF!$H$2:$H$30,"="&amp;"APLICAÇÃO",[1]HSF!$K$2:$K$30)</f>
        <v>2283952.1146078166</v>
      </c>
      <c r="G255" s="15">
        <f t="shared" ref="G255" si="1190">H255*I255</f>
        <v>9218006.9479064588</v>
      </c>
      <c r="H255" s="32">
        <v>1.0334425</v>
      </c>
      <c r="I255" s="15">
        <f>SUMIFS([1]Master!$K$2:$K$10000,[1]Master!$A$2:$A$10000,$I$12,[1]Master!$F$2:$F$10000,"&lt;="&amp;$C255)</f>
        <v>8919709.5609155409</v>
      </c>
      <c r="J255" s="15">
        <f t="shared" ref="J255" si="1191">K255*L255</f>
        <v>0</v>
      </c>
      <c r="K255" s="43">
        <v>0</v>
      </c>
      <c r="L255" s="40">
        <v>0</v>
      </c>
      <c r="M255" s="15">
        <f t="shared" ref="M255" si="1192">N255*O255</f>
        <v>0</v>
      </c>
      <c r="N255" s="32">
        <v>0</v>
      </c>
      <c r="O255" s="40">
        <v>0</v>
      </c>
      <c r="P255" s="15">
        <f t="shared" si="1127"/>
        <v>29445.552299016726</v>
      </c>
      <c r="Q255" s="32">
        <v>4.0212639000000001</v>
      </c>
      <c r="R255" s="40">
        <v>7322.4620495602703</v>
      </c>
      <c r="S255" s="15">
        <f t="shared" ref="S255" si="1193">(((1+1.35%)^(1/252))-1)*D254+SUM(S254)</f>
        <v>9529.0202664040207</v>
      </c>
      <c r="T255" s="15">
        <f>IF((NETWORKDAYS(DATE(YEAR(C255),MONTH(C255),1),C255,Feriados!$A$2:$A$842))&gt;=5,0,IF(NETWORKDAYS(DATE(YEAR(C255),MONTH(C255),1),C255,Feriados!$A$2:$A$842)=1,S254,T254))</f>
        <v>0</v>
      </c>
      <c r="U255" s="26">
        <v>0</v>
      </c>
      <c r="V255" s="26">
        <v>0</v>
      </c>
      <c r="W255" s="15">
        <f t="shared" ref="W255" si="1194">SUM(G255+J255+M255+P255)</f>
        <v>9247452.5002054758</v>
      </c>
      <c r="X255" s="50">
        <f>'Fluxo de Caixa_'!AD261</f>
        <v>0</v>
      </c>
      <c r="AB255" s="26">
        <v>3739.5673000000002</v>
      </c>
      <c r="AC255" s="26">
        <v>0</v>
      </c>
      <c r="AD255">
        <v>0</v>
      </c>
      <c r="AE255">
        <f ca="1">-SUMIF('[1]Fluxo de Movimentações'!$A$5:$F$10001,"="&amp;$C255,'[1]Fluxo de Movimentações'!$H$5:$H$10001)</f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-100.14558053245401</v>
      </c>
      <c r="AK255" s="68">
        <v>4.1726641000000004</v>
      </c>
      <c r="AL255" s="15">
        <f>-SUMIFS([1]Master!$J$1:$J$200,[1]Master!$A$1:$A$200,"="&amp;$I$12,[1]Master!$G$1:$G$200,"&gt;"&amp;C255,[1]Master!$E$1:$E$200,"&lt;="&amp;C255)</f>
        <v>0</v>
      </c>
      <c r="AM255" s="26">
        <v>0</v>
      </c>
      <c r="AN255" s="26">
        <v>0</v>
      </c>
    </row>
    <row r="256" spans="3:40">
      <c r="C256" s="1">
        <f>WORKDAY(C255,1,Feriados!A63:A903)</f>
        <v>45229</v>
      </c>
      <c r="D256" s="39">
        <v>9133019.7213000003</v>
      </c>
      <c r="E256" s="32">
        <v>4.1236110000000004</v>
      </c>
      <c r="F256" s="88">
        <f>SUMIF([1]HSF!$H$2:$H$30,"="&amp;"APLICAÇÃO",[1]HSF!$K$2:$K$30)</f>
        <v>2283952.1146078166</v>
      </c>
      <c r="G256" s="15">
        <f t="shared" ref="G256" si="1195">H256*I256</f>
        <v>9109898.2840862498</v>
      </c>
      <c r="H256" s="32">
        <v>1.0213223</v>
      </c>
      <c r="I256" s="15">
        <f>SUMIFS([1]Master!$K$2:$K$10000,[1]Master!$A$2:$A$10000,$I$12,[1]Master!$F$2:$F$10000,"&lt;="&amp;$C256)</f>
        <v>8919709.5609155409</v>
      </c>
      <c r="J256" s="15">
        <f t="shared" ref="J256" si="1196">K256*L256</f>
        <v>0</v>
      </c>
      <c r="K256" s="43">
        <v>0</v>
      </c>
      <c r="L256" s="40">
        <v>0</v>
      </c>
      <c r="M256" s="15">
        <f t="shared" ref="M256" si="1197">N256*O256</f>
        <v>0</v>
      </c>
      <c r="N256" s="32">
        <v>0</v>
      </c>
      <c r="O256" s="40">
        <v>0</v>
      </c>
      <c r="P256" s="15">
        <f t="shared" si="1127"/>
        <v>29459.222603417049</v>
      </c>
      <c r="Q256" s="32">
        <v>4.0231307999999997</v>
      </c>
      <c r="R256" s="40">
        <v>7322.4620495602703</v>
      </c>
      <c r="S256" s="15">
        <f t="shared" ref="S256:S257" si="1198">(((1+1.35%)^(1/252))-1)*D255+SUM(S255)</f>
        <v>10020.805043376718</v>
      </c>
      <c r="T256" s="15">
        <f>IF((NETWORKDAYS(DATE(YEAR(C256),MONTH(C256),1),C256,Feriados!$A$2:$A$842))&gt;=5,0,IF(NETWORKDAYS(DATE(YEAR(C256),MONTH(C256),1),C256,Feriados!$A$2:$A$842)=1,S255,T255))</f>
        <v>0</v>
      </c>
      <c r="U256" s="26">
        <v>0</v>
      </c>
      <c r="V256" s="26">
        <v>0</v>
      </c>
      <c r="W256" s="15">
        <f t="shared" ref="W256" si="1199">SUM(G256+J256+M256+P256)</f>
        <v>9139357.5066896677</v>
      </c>
      <c r="X256" s="50">
        <f>'Fluxo de Caixa_'!AD262</f>
        <v>0</v>
      </c>
      <c r="AB256" s="26">
        <v>3707.0412999999999</v>
      </c>
      <c r="AC256" s="26">
        <v>0</v>
      </c>
      <c r="AD256">
        <v>0</v>
      </c>
      <c r="AE256">
        <f ca="1">-SUMIF('[1]Fluxo de Movimentações'!$A$5:$F$10001,"="&amp;$C256,'[1]Fluxo de Movimentações'!$H$5:$H$10001)</f>
        <v>0</v>
      </c>
      <c r="AF256" s="26">
        <v>0</v>
      </c>
      <c r="AG256" s="26">
        <v>0</v>
      </c>
      <c r="AH256" s="26">
        <v>0</v>
      </c>
      <c r="AI256" s="26">
        <v>0</v>
      </c>
      <c r="AJ256" s="26">
        <v>-24.1402561716009</v>
      </c>
      <c r="AK256" s="68">
        <v>4.1236218999999998</v>
      </c>
      <c r="AL256" s="15">
        <f>-SUMIFS([1]Master!$J$1:$J$200,[1]Master!$A$1:$A$200,"="&amp;$I$12,[1]Master!$G$1:$G$200,"&gt;"&amp;C256,[1]Master!$E$1:$E$200,"&lt;="&amp;C256)</f>
        <v>0</v>
      </c>
      <c r="AM256" s="26">
        <v>0</v>
      </c>
      <c r="AN256" s="26">
        <v>0</v>
      </c>
    </row>
    <row r="257" spans="3:40">
      <c r="C257" s="1">
        <f>WORKDAY(C256,1,Feriados!A64:A904)</f>
        <v>45230</v>
      </c>
      <c r="D257" s="39">
        <v>9203729.4253000002</v>
      </c>
      <c r="E257" s="32">
        <v>4.1555368000000001</v>
      </c>
      <c r="F257" s="88">
        <f>SUMIF([1]HSF!$H$2:$H$30,"="&amp;"APLICAÇÃO",[1]HSF!$K$2:$K$30)</f>
        <v>2283952.1146078166</v>
      </c>
      <c r="G257" s="15">
        <f t="shared" ref="G257" si="1200">H257*I257</f>
        <v>9181158.7357393615</v>
      </c>
      <c r="H257" s="32">
        <v>1.0293114000000001</v>
      </c>
      <c r="I257" s="15">
        <f>SUMIFS([1]Master!$K$2:$K$10000,[1]Master!$A$2:$A$10000,$I$12,[1]Master!$F$2:$F$10000,"&lt;="&amp;$C257)</f>
        <v>8919709.5609155409</v>
      </c>
      <c r="J257" s="15">
        <f t="shared" ref="J257" si="1201">K257*L257</f>
        <v>0</v>
      </c>
      <c r="K257" s="43">
        <v>0</v>
      </c>
      <c r="L257" s="40">
        <v>0</v>
      </c>
      <c r="M257" s="15">
        <f t="shared" ref="M257" si="1202">N257*O257</f>
        <v>0</v>
      </c>
      <c r="N257" s="32">
        <v>0</v>
      </c>
      <c r="O257" s="40">
        <v>0</v>
      </c>
      <c r="P257" s="15">
        <f t="shared" si="1127"/>
        <v>29472.861421230558</v>
      </c>
      <c r="Q257" s="32">
        <v>4.0249933999999996</v>
      </c>
      <c r="R257" s="40">
        <v>7322.4620495602703</v>
      </c>
      <c r="S257" s="15">
        <f t="shared" si="1198"/>
        <v>10506.81374809246</v>
      </c>
      <c r="T257" s="15">
        <f>IF((NETWORKDAYS(DATE(YEAR(C257),MONTH(C257),1),C257,Feriados!$A$2:$A$842))&gt;=5,0,IF(NETWORKDAYS(DATE(YEAR(C257),MONTH(C257),1),C257,Feriados!$A$2:$A$842)=1,S256,T256))</f>
        <v>0</v>
      </c>
      <c r="U257" s="26">
        <v>0</v>
      </c>
      <c r="V257" s="26">
        <v>0</v>
      </c>
      <c r="W257" s="15">
        <f t="shared" ref="W257" si="1203">SUM(G257+J257+M257+P257)</f>
        <v>9210631.5971605927</v>
      </c>
      <c r="X257" s="50">
        <f>'Fluxo de Caixa_'!AD263</f>
        <v>0</v>
      </c>
      <c r="AB257" s="26">
        <v>3674.5153</v>
      </c>
      <c r="AC257" s="26">
        <v>0</v>
      </c>
      <c r="AD257">
        <v>0</v>
      </c>
      <c r="AE257">
        <f ca="1">-SUMIF('[1]Fluxo de Movimentações'!$A$5:$F$10001,"="&amp;$C257,'[1]Fluxo de Movimentações'!$H$5:$H$10001)</f>
        <v>0</v>
      </c>
      <c r="AF257" s="26">
        <v>0</v>
      </c>
      <c r="AG257" s="26">
        <v>0</v>
      </c>
      <c r="AH257" s="26">
        <v>0</v>
      </c>
      <c r="AI257" s="26">
        <v>0</v>
      </c>
      <c r="AJ257" s="26">
        <v>-70.0039357865396</v>
      </c>
      <c r="AK257" s="68">
        <v>4.1555683999999999</v>
      </c>
      <c r="AL257" s="15">
        <f>-SUMIFS([1]Master!$J$1:$J$200,[1]Master!$A$1:$A$200,"="&amp;$I$12,[1]Master!$G$1:$G$200,"&gt;"&amp;C257,[1]Master!$E$1:$E$200,"&lt;="&amp;C257)</f>
        <v>0</v>
      </c>
      <c r="AM257" s="26">
        <v>0</v>
      </c>
      <c r="AN257" s="26">
        <v>0</v>
      </c>
    </row>
    <row r="258" spans="3:40">
      <c r="C258" s="1">
        <f>WORKDAY(C257,1,Feriados!A65:A905)</f>
        <v>45231</v>
      </c>
      <c r="D258" s="39">
        <v>9408111.7742999997</v>
      </c>
      <c r="E258" s="32">
        <v>4.2478166000000002</v>
      </c>
      <c r="F258" s="88">
        <f>SUMIF([1]HSF!$H$2:$H$30,"="&amp;"APLICAÇÃO",[1]HSF!$K$2:$K$30)</f>
        <v>2283952.1146078166</v>
      </c>
      <c r="G258" s="15">
        <f t="shared" ref="G258" si="1204">H258*I258</f>
        <v>9386186.2877356093</v>
      </c>
      <c r="H258" s="32">
        <v>1.0522973</v>
      </c>
      <c r="I258" s="15">
        <f>SUMIFS([1]Master!$K$2:$K$10000,[1]Master!$A$2:$A$10000,$I$12,[1]Master!$F$2:$F$10000,"&lt;="&amp;$C258)</f>
        <v>8919709.5609155409</v>
      </c>
      <c r="J258" s="15">
        <f t="shared" ref="J258" si="1205">K258*L258</f>
        <v>0</v>
      </c>
      <c r="K258" s="43">
        <v>0</v>
      </c>
      <c r="L258" s="40">
        <v>0</v>
      </c>
      <c r="M258" s="15">
        <f t="shared" ref="M258" si="1206">N258*O258</f>
        <v>0</v>
      </c>
      <c r="N258" s="32">
        <v>0</v>
      </c>
      <c r="O258" s="40">
        <v>0</v>
      </c>
      <c r="P258" s="15">
        <f t="shared" si="1127"/>
        <v>29486.719912905559</v>
      </c>
      <c r="Q258" s="32">
        <v>4.0268860000000002</v>
      </c>
      <c r="R258" s="40">
        <v>7322.4620495602703</v>
      </c>
      <c r="S258" s="76">
        <f>(((1+1.35%)^(1/252))-1)*D257</f>
        <v>489.77148336952217</v>
      </c>
      <c r="T258" s="15">
        <f>IF((NETWORKDAYS(DATE(YEAR(C258),MONTH(C258),1),C258,Feriados!$A$2:$A$842))&gt;=5,0,IF(NETWORKDAYS(DATE(YEAR(C258),MONTH(C258),1),C258,Feriados!$A$2:$A$842)=1,S257,T257))</f>
        <v>10506.81374809246</v>
      </c>
      <c r="U258" s="26">
        <v>0</v>
      </c>
      <c r="V258" s="26">
        <v>0</v>
      </c>
      <c r="W258" s="15">
        <f t="shared" ref="W258" si="1207">SUM(G258+J258+M258+P258)</f>
        <v>9415673.0076485146</v>
      </c>
      <c r="X258" s="50">
        <f>'Fluxo de Caixa_'!AD264</f>
        <v>0</v>
      </c>
      <c r="AB258" s="26">
        <v>3641.9843000000001</v>
      </c>
      <c r="AC258" s="26">
        <v>0</v>
      </c>
      <c r="AD258">
        <v>0</v>
      </c>
      <c r="AE258">
        <f ca="1">-SUMIF('[1]Fluxo de Movimentações'!$A$5:$F$10001,"="&amp;$C258,'[1]Fluxo de Movimentações'!$H$5:$H$10001)</f>
        <v>0</v>
      </c>
      <c r="AF258" s="26">
        <v>0</v>
      </c>
      <c r="AG258" s="26">
        <v>0</v>
      </c>
      <c r="AH258" s="26">
        <v>0</v>
      </c>
      <c r="AI258" s="26">
        <v>0</v>
      </c>
      <c r="AJ258" s="26">
        <v>-206.76109589692899</v>
      </c>
      <c r="AK258" s="68">
        <v>4.2479100000000001</v>
      </c>
      <c r="AL258" s="15">
        <f>-SUMIFS([1]Master!$J$1:$J$200,[1]Master!$A$1:$A$200,"="&amp;$I$12,[1]Master!$G$1:$G$200,"&gt;"&amp;C258,[1]Master!$E$1:$E$200,"&lt;="&amp;C258)</f>
        <v>0</v>
      </c>
      <c r="AM258" s="26">
        <v>0</v>
      </c>
      <c r="AN258" s="26">
        <v>0</v>
      </c>
    </row>
    <row r="259" spans="3:40">
      <c r="C259" s="1">
        <f>WORKDAY(C258,1,Feriados!A66:A906)</f>
        <v>45233</v>
      </c>
      <c r="D259" s="39">
        <v>9778302.8333000001</v>
      </c>
      <c r="E259" s="32">
        <v>4.4149599999999998</v>
      </c>
      <c r="F259" s="88">
        <f>SUMIF([1]HSF!$H$2:$H$30,"="&amp;"APLICAÇÃO",[1]HSF!$K$2:$K$30)</f>
        <v>2283952.1146078166</v>
      </c>
      <c r="G259" s="15">
        <f t="shared" ref="G259" si="1208">H259*I259</f>
        <v>9761828.8375143949</v>
      </c>
      <c r="H259" s="32">
        <v>1.0957564</v>
      </c>
      <c r="I259" s="15">
        <f>SUMIFS([1]Master!$K$2:$K$10000,[1]Master!$A$2:$A$10000,$I$12,[1]Master!$F$2:$F$10000,"&lt;="&amp;$C259)</f>
        <v>8908758.2217310295</v>
      </c>
      <c r="J259" s="15">
        <f t="shared" ref="J259" si="1209">K259*L259</f>
        <v>0</v>
      </c>
      <c r="K259" s="43">
        <v>0</v>
      </c>
      <c r="L259" s="40">
        <v>0</v>
      </c>
      <c r="M259" s="15">
        <f t="shared" ref="M259" si="1210">N259*O259</f>
        <v>0</v>
      </c>
      <c r="N259" s="32">
        <v>0</v>
      </c>
      <c r="O259" s="40">
        <v>0</v>
      </c>
      <c r="P259" s="15">
        <f t="shared" si="1127"/>
        <v>29500.757804900772</v>
      </c>
      <c r="Q259" s="32">
        <v>4.0288031000000002</v>
      </c>
      <c r="R259" s="40">
        <v>7322.4620495602703</v>
      </c>
      <c r="S259" s="15">
        <f t="shared" ref="S259" si="1211">(((1+1.35%)^(1/252))-1)*D258+SUM(S258)</f>
        <v>990.41906289731605</v>
      </c>
      <c r="T259" s="15">
        <f>IF((NETWORKDAYS(DATE(YEAR(C259),MONTH(C259),1),C259,Feriados!$A$2:$A$842))&gt;=5,0,IF(NETWORKDAYS(DATE(YEAR(C259),MONTH(C259),1),C259,Feriados!$A$2:$A$842)=1,S258,T258))</f>
        <v>10506.81374809246</v>
      </c>
      <c r="U259" s="26">
        <v>0</v>
      </c>
      <c r="V259" s="26">
        <v>0</v>
      </c>
      <c r="W259" s="15">
        <f t="shared" ref="W259" si="1212">SUM(G259+J259+M259+P259)</f>
        <v>9791329.5953192953</v>
      </c>
      <c r="X259" s="50">
        <f>'Fluxo de Caixa_'!AD265</f>
        <v>0</v>
      </c>
      <c r="AB259" s="26">
        <v>3609.4533000000001</v>
      </c>
      <c r="AC259" s="26">
        <v>0</v>
      </c>
      <c r="AD259">
        <v>0</v>
      </c>
      <c r="AE259">
        <f ca="1">-SUMIF('[1]Fluxo de Movimentações'!$A$5:$F$10001,"="&amp;$C259,'[1]Fluxo de Movimentações'!$H$5:$H$10001)</f>
        <v>0</v>
      </c>
      <c r="AF259" s="26">
        <v>0</v>
      </c>
      <c r="AG259" s="26">
        <v>0</v>
      </c>
      <c r="AH259" s="26">
        <v>0</v>
      </c>
      <c r="AI259" s="26">
        <v>0</v>
      </c>
      <c r="AJ259" s="26">
        <v>-17139.1009025196</v>
      </c>
      <c r="AK259" s="68">
        <v>4.4226985000000001</v>
      </c>
      <c r="AL259" s="15">
        <f>-SUMIFS([1]Master!$J$1:$J$200,[1]Master!$A$1:$A$200,"="&amp;$I$12,[1]Master!$G$1:$G$200,"&gt;"&amp;C259,[1]Master!$E$1:$E$200,"&lt;="&amp;C259)</f>
        <v>12000</v>
      </c>
      <c r="AM259" s="26">
        <v>0</v>
      </c>
      <c r="AN259" s="26">
        <v>0</v>
      </c>
    </row>
    <row r="260" spans="3:40">
      <c r="C260" s="1">
        <f>WORKDAY(C259,1,Feriados!A67:A907)</f>
        <v>45236</v>
      </c>
      <c r="D260" s="39">
        <v>9713275.4123</v>
      </c>
      <c r="E260" s="32">
        <v>4.3855997999999996</v>
      </c>
      <c r="F260" s="88">
        <f>SUMIF([1]HSF!$H$2:$H$30,"="&amp;"APLICAÇÃO",[1]HSF!$K$2:$K$30)</f>
        <v>2283952.1146078166</v>
      </c>
      <c r="G260" s="15">
        <f t="shared" ref="G260" si="1213">H260*I260</f>
        <v>9688004.6307583768</v>
      </c>
      <c r="H260" s="32">
        <v>1.0874697</v>
      </c>
      <c r="I260" s="15">
        <f>SUMIFS([1]Master!$K$2:$K$10000,[1]Master!$A$2:$A$10000,$I$12,[1]Master!$F$2:$F$10000,"&lt;="&amp;$C260)</f>
        <v>8908758.2217310295</v>
      </c>
      <c r="J260" s="15">
        <f t="shared" ref="J260" si="1214">K260*L260</f>
        <v>0</v>
      </c>
      <c r="K260" s="43">
        <v>0</v>
      </c>
      <c r="L260" s="40">
        <v>0</v>
      </c>
      <c r="M260" s="15">
        <f t="shared" ref="M260" si="1215">N260*O260</f>
        <v>0</v>
      </c>
      <c r="N260" s="32">
        <v>0</v>
      </c>
      <c r="O260" s="40">
        <v>0</v>
      </c>
      <c r="P260" s="15">
        <f t="shared" si="1127"/>
        <v>29514.187932545869</v>
      </c>
      <c r="Q260" s="32">
        <v>4.0306372000000001</v>
      </c>
      <c r="R260" s="40">
        <v>7322.4620495602703</v>
      </c>
      <c r="S260" s="15">
        <f t="shared" ref="S260" si="1216">(((1+1.35%)^(1/252))-1)*D259+SUM(S259)</f>
        <v>1510.7661594054948</v>
      </c>
      <c r="T260" s="15">
        <f>IF((NETWORKDAYS(DATE(YEAR(C260),MONTH(C260),1),C260,Feriados!$A$2:$A$842))&gt;=5,0,IF(NETWORKDAYS(DATE(YEAR(C260),MONTH(C260),1),C260,Feriados!$A$2:$A$842)=1,S259,T259))</f>
        <v>10506.81374809246</v>
      </c>
      <c r="U260" s="26">
        <v>0</v>
      </c>
      <c r="V260" s="26">
        <v>0</v>
      </c>
      <c r="W260" s="15">
        <f t="shared" ref="W260" si="1217">SUM(G260+J260+M260+P260)</f>
        <v>9717518.8186909221</v>
      </c>
      <c r="X260" s="50">
        <f>'Fluxo de Caixa_'!AD266</f>
        <v>0</v>
      </c>
      <c r="AB260" s="26">
        <v>3576.9223000000002</v>
      </c>
      <c r="AC260" s="26">
        <v>0</v>
      </c>
      <c r="AD260">
        <v>0</v>
      </c>
      <c r="AE260">
        <f ca="1">-SUMIF('[1]Fluxo de Movimentações'!$A$5:$F$10001,"="&amp;$C260,'[1]Fluxo de Movimentações'!$H$5:$H$10001)</f>
        <v>0</v>
      </c>
      <c r="AF260" s="26">
        <v>0</v>
      </c>
      <c r="AG260" s="26">
        <v>0</v>
      </c>
      <c r="AH260" s="26">
        <v>0</v>
      </c>
      <c r="AI260" s="26">
        <v>0</v>
      </c>
      <c r="AJ260" s="26">
        <v>-7802.87891247272</v>
      </c>
      <c r="AK260" s="68">
        <v>4.3891228</v>
      </c>
      <c r="AL260" s="15">
        <f>-SUMIFS([1]Master!$J$1:$J$200,[1]Master!$A$1:$A$200,"="&amp;$I$12,[1]Master!$G$1:$G$200,"&gt;"&amp;C260,[1]Master!$E$1:$E$200,"&lt;="&amp;C260)</f>
        <v>12000</v>
      </c>
      <c r="AM260" s="26">
        <v>0</v>
      </c>
      <c r="AN260" s="26">
        <v>0</v>
      </c>
    </row>
    <row r="261" spans="3:40">
      <c r="C261" s="1">
        <f>WORKDAY(C260,1,Feriados!A68:A908)</f>
        <v>45237</v>
      </c>
      <c r="D261" s="39">
        <v>9942631.8213</v>
      </c>
      <c r="E261" s="32">
        <v>4.4891554999999999</v>
      </c>
      <c r="F261" s="88">
        <f>SUMIF([1]HSF!$H$2:$H$30,"="&amp;"APLICAÇÃO",[1]HSF!$K$2:$K$30)</f>
        <v>2283952.1146078166</v>
      </c>
      <c r="G261" s="15">
        <f t="shared" ref="G261" si="1218">H261*I261</f>
        <v>9948706.9678558242</v>
      </c>
      <c r="H261" s="32">
        <v>1.1167332999999999</v>
      </c>
      <c r="I261" s="15">
        <f>SUMIFS([1]Master!$K$2:$K$10000,[1]Master!$A$2:$A$10000,$I$12,[1]Master!$F$2:$F$10000,"&lt;="&amp;$C261)</f>
        <v>8908758.2217310295</v>
      </c>
      <c r="J261" s="15">
        <f t="shared" ref="J261" si="1219">K261*L261</f>
        <v>0</v>
      </c>
      <c r="K261" s="43">
        <v>0</v>
      </c>
      <c r="L261" s="40">
        <v>0</v>
      </c>
      <c r="M261" s="15">
        <f t="shared" ref="M261" si="1220">N261*O261</f>
        <v>0</v>
      </c>
      <c r="N261" s="32">
        <v>0</v>
      </c>
      <c r="O261" s="40">
        <v>0</v>
      </c>
      <c r="P261" s="15">
        <f t="shared" si="1127"/>
        <v>41527.255598319367</v>
      </c>
      <c r="Q261" s="32">
        <v>4.0324217999999998</v>
      </c>
      <c r="R261" s="40">
        <v>10298.341209820701</v>
      </c>
      <c r="S261" s="15">
        <f t="shared" ref="S261" si="1221">(((1+1.35%)^(1/252))-1)*D260+SUM(S260)</f>
        <v>2027.6528568763749</v>
      </c>
      <c r="T261" s="15">
        <f>IF((NETWORKDAYS(DATE(YEAR(C261),MONTH(C261),1),C261,Feriados!$A$2:$A$842))&gt;=5,0,IF(NETWORKDAYS(DATE(YEAR(C261),MONTH(C261),1),C261,Feriados!$A$2:$A$842)=1,S260,T260))</f>
        <v>10506.81374809246</v>
      </c>
      <c r="U261" s="26">
        <v>0</v>
      </c>
      <c r="V261" s="26">
        <v>0</v>
      </c>
      <c r="W261" s="15">
        <f t="shared" ref="W261" si="1222">SUM(G261+J261+M261+P261)</f>
        <v>9990234.2234541439</v>
      </c>
      <c r="X261" s="50">
        <f>'Fluxo de Caixa_'!AD267</f>
        <v>1.4733814168721437E-10</v>
      </c>
      <c r="AB261" s="26">
        <v>3544.3912999999998</v>
      </c>
      <c r="AC261" s="26">
        <v>0</v>
      </c>
      <c r="AD261">
        <v>0</v>
      </c>
      <c r="AE261">
        <f ca="1">-SUMIF('[1]Fluxo de Movimentações'!$A$5:$F$10001,"="&amp;$C261,'[1]Fluxo de Movimentações'!$H$5:$H$10001)</f>
        <v>0</v>
      </c>
      <c r="AF261" s="26">
        <v>0</v>
      </c>
      <c r="AG261" s="26">
        <v>0</v>
      </c>
      <c r="AH261" s="26">
        <v>0</v>
      </c>
      <c r="AI261" s="26">
        <v>0</v>
      </c>
      <c r="AJ261" s="26">
        <v>-38612.493818577699</v>
      </c>
      <c r="AK261" s="68">
        <v>4.5065892999999999</v>
      </c>
      <c r="AL261" s="15">
        <f>-SUMIFS([1]Master!$J$1:$J$200,[1]Master!$A$1:$A$200,"="&amp;$I$12,[1]Master!$G$1:$G$200,"&gt;"&amp;C261,[1]Master!$E$1:$E$200,"&lt;="&amp;C261)</f>
        <v>0</v>
      </c>
      <c r="AM261" s="26">
        <v>0</v>
      </c>
      <c r="AN261" s="26">
        <v>0</v>
      </c>
    </row>
    <row r="262" spans="3:40">
      <c r="C262" s="1">
        <f>WORKDAY(C261,1,Feriados!A69:A909)</f>
        <v>45238</v>
      </c>
      <c r="D262" s="39">
        <v>9986173.4802999999</v>
      </c>
      <c r="E262" s="32">
        <v>4.5088147999999997</v>
      </c>
      <c r="F262" s="88">
        <f>SUMIF([1]HSF!$H$2:$H$30,"="&amp;"APLICAÇÃO",[1]HSF!$K$2:$K$30)</f>
        <v>2283952.1146078166</v>
      </c>
      <c r="G262" s="15">
        <f t="shared" ref="G262" si="1223">H262*I262</f>
        <v>9998265.498967493</v>
      </c>
      <c r="H262" s="32">
        <v>1.1222962000000001</v>
      </c>
      <c r="I262" s="15">
        <f>SUMIFS([1]Master!$K$2:$K$10000,[1]Master!$A$2:$A$10000,$I$12,[1]Master!$F$2:$F$10000,"&lt;="&amp;$C262)</f>
        <v>8908758.2217310295</v>
      </c>
      <c r="J262" s="15">
        <f t="shared" ref="J262" si="1224">K262*L262</f>
        <v>0</v>
      </c>
      <c r="K262" s="43">
        <v>0</v>
      </c>
      <c r="L262" s="40">
        <v>0</v>
      </c>
      <c r="M262" s="15">
        <f t="shared" ref="M262" si="1225">N262*O262</f>
        <v>0</v>
      </c>
      <c r="N262" s="32">
        <v>0</v>
      </c>
      <c r="O262" s="40">
        <v>0</v>
      </c>
      <c r="P262" s="15">
        <f t="shared" si="1127"/>
        <v>31038.774095489538</v>
      </c>
      <c r="Q262" s="32">
        <v>4.0341899000000003</v>
      </c>
      <c r="R262" s="40">
        <v>7693.9298508207403</v>
      </c>
      <c r="S262" s="15">
        <f t="shared" ref="S262" si="1226">(((1+1.35%)^(1/252))-1)*D261+SUM(S261)</f>
        <v>2556.7446316007699</v>
      </c>
      <c r="T262" s="15">
        <f>IF((NETWORKDAYS(DATE(YEAR(C262),MONTH(C262),1),C262,Feriados!$A$2:$A$842))&gt;=5,0,IF(NETWORKDAYS(DATE(YEAR(C262),MONTH(C262),1),C262,Feriados!$A$2:$A$842)=1,S261,T261))</f>
        <v>0</v>
      </c>
      <c r="U262" s="26">
        <v>0</v>
      </c>
      <c r="V262" s="26">
        <v>0</v>
      </c>
      <c r="W262" s="15">
        <f t="shared" ref="W262" si="1227">SUM(G262+J262+M262+P262)</f>
        <v>10029304.273062982</v>
      </c>
      <c r="X262" s="50">
        <f>'Fluxo de Caixa_'!AD268</f>
        <v>-7.7085132943466306E-8</v>
      </c>
      <c r="AB262" s="26">
        <v>3511.8602999999998</v>
      </c>
      <c r="AC262" s="26">
        <v>0</v>
      </c>
      <c r="AD262">
        <v>0</v>
      </c>
      <c r="AE262">
        <f ca="1">-SUMIF('[1]Fluxo de Movimentações'!$A$5:$F$10001,"="&amp;$C262,'[1]Fluxo de Movimentações'!$H$5:$H$10001)</f>
        <v>0</v>
      </c>
      <c r="AF262" s="26">
        <v>0</v>
      </c>
      <c r="AG262" s="26">
        <v>0</v>
      </c>
      <c r="AH262" s="26">
        <v>0</v>
      </c>
      <c r="AI262" s="26">
        <v>0</v>
      </c>
      <c r="AJ262" s="26">
        <v>-44085.928372966802</v>
      </c>
      <c r="AK262" s="68">
        <v>4.5287198999999996</v>
      </c>
      <c r="AL262" s="15">
        <f>-SUMIFS([1]Master!$J$1:$J$200,[1]Master!$A$1:$A$200,"="&amp;$I$12,[1]Master!$G$1:$G$200,"&gt;"&amp;C262,[1]Master!$E$1:$E$200,"&lt;="&amp;C262)</f>
        <v>0</v>
      </c>
      <c r="AM262" s="26">
        <v>0</v>
      </c>
      <c r="AN262" s="26">
        <v>0</v>
      </c>
    </row>
    <row r="263" spans="3:40">
      <c r="C263" s="1">
        <f>WORKDAY(C262,1,Feriados!A70:A910)</f>
        <v>45239</v>
      </c>
      <c r="D263" s="39">
        <v>9942745.3693000004</v>
      </c>
      <c r="E263" s="32">
        <v>4.4892067999999998</v>
      </c>
      <c r="F263" s="88">
        <f>SUMIF([1]HSF!$H$2:$H$30,"="&amp;"APLICAÇÃO",[1]HSF!$K$2:$K$30)</f>
        <v>2283952.1146078166</v>
      </c>
      <c r="G263" s="15">
        <f t="shared" ref="G263" si="1228">H263*I263</f>
        <v>9949000.0660013203</v>
      </c>
      <c r="H263" s="32">
        <v>1.1167662</v>
      </c>
      <c r="I263" s="15">
        <f>SUMIFS([1]Master!$K$2:$K$10000,[1]Master!$A$2:$A$10000,$I$12,[1]Master!$F$2:$F$10000,"&lt;="&amp;$C263)</f>
        <v>8908758.2217310295</v>
      </c>
      <c r="J263" s="15">
        <f t="shared" ref="J263" si="1229">K263*L263</f>
        <v>0</v>
      </c>
      <c r="K263" s="43">
        <v>0</v>
      </c>
      <c r="L263" s="40">
        <v>0</v>
      </c>
      <c r="M263" s="15">
        <f t="shared" ref="M263" si="1230">N263*O263</f>
        <v>0</v>
      </c>
      <c r="N263" s="32">
        <v>0</v>
      </c>
      <c r="O263" s="40">
        <v>0</v>
      </c>
      <c r="P263" s="15">
        <f t="shared" si="1127"/>
        <v>31052.449286406387</v>
      </c>
      <c r="Q263" s="32">
        <v>4.0359673000000003</v>
      </c>
      <c r="R263" s="40">
        <v>7693.9298508207403</v>
      </c>
      <c r="S263" s="15">
        <f t="shared" ref="S263" si="1231">(((1+1.35%)^(1/252))-1)*D262+SUM(S262)</f>
        <v>3088.1534521585831</v>
      </c>
      <c r="T263" s="15">
        <f>IF((NETWORKDAYS(DATE(YEAR(C263),MONTH(C263),1),C263,Feriados!$A$2:$A$842))&gt;=5,0,IF(NETWORKDAYS(DATE(YEAR(C263),MONTH(C263),1),C263,Feriados!$A$2:$A$842)=1,S262,T262))</f>
        <v>0</v>
      </c>
      <c r="U263" s="26">
        <v>0</v>
      </c>
      <c r="V263" s="26">
        <v>0</v>
      </c>
      <c r="W263" s="15">
        <f t="shared" ref="W263" si="1232">SUM(G263+J263+M263+P263)</f>
        <v>9980052.5152877271</v>
      </c>
      <c r="X263" s="50">
        <f>'Fluxo de Caixa_'!AD269</f>
        <v>0</v>
      </c>
      <c r="AB263" s="26">
        <v>3479.3292999999999</v>
      </c>
      <c r="AC263" s="26">
        <v>0</v>
      </c>
      <c r="AD263">
        <v>0</v>
      </c>
      <c r="AE263">
        <f ca="1">-SUMIF('[1]Fluxo de Movimentações'!$A$5:$F$10001,"="&amp;$C263,'[1]Fluxo de Movimentações'!$H$5:$H$10001)</f>
        <v>0</v>
      </c>
      <c r="AF263" s="26">
        <v>0</v>
      </c>
      <c r="AG263" s="26">
        <v>0</v>
      </c>
      <c r="AH263" s="26">
        <v>0</v>
      </c>
      <c r="AI263" s="26">
        <v>0</v>
      </c>
      <c r="AJ263" s="26">
        <v>-37698.376757695398</v>
      </c>
      <c r="AK263" s="68">
        <v>4.5062277999999996</v>
      </c>
      <c r="AL263" s="15">
        <f>-SUMIFS([1]Master!$J$1:$J$200,[1]Master!$A$1:$A$200,"="&amp;$I$12,[1]Master!$G$1:$G$200,"&gt;"&amp;C263,[1]Master!$E$1:$E$200,"&lt;="&amp;C263)</f>
        <v>0</v>
      </c>
      <c r="AM263" s="26">
        <v>0</v>
      </c>
      <c r="AN263" s="26">
        <v>0</v>
      </c>
    </row>
    <row r="264" spans="3:40">
      <c r="C264" s="1">
        <f>WORKDAY(C263,1,Feriados!A71:A911)</f>
        <v>45240</v>
      </c>
      <c r="D264" s="39">
        <v>9983259.7083000001</v>
      </c>
      <c r="E264" s="32">
        <v>4.5074993000000001</v>
      </c>
      <c r="F264" s="88">
        <f>SUMIF([1]HSF!$H$2:$H$30,"="&amp;"APLICAÇÃO",[1]HSF!$K$2:$K$30)</f>
        <v>2283952.1146078166</v>
      </c>
      <c r="G264" s="15">
        <f t="shared" ref="G264" si="1233">H264*I264</f>
        <v>9995460.1310034692</v>
      </c>
      <c r="H264" s="32">
        <v>1.1219813000000001</v>
      </c>
      <c r="I264" s="15">
        <f>SUMIFS([1]Master!$K$2:$K$10000,[1]Master!$A$2:$A$10000,$I$12,[1]Master!$F$2:$F$10000,"&lt;="&amp;$C264)</f>
        <v>8908758.2217310295</v>
      </c>
      <c r="J264" s="15">
        <f t="shared" ref="J264" si="1234">K264*L264</f>
        <v>0</v>
      </c>
      <c r="K264" s="43">
        <v>0</v>
      </c>
      <c r="L264" s="40">
        <v>0</v>
      </c>
      <c r="M264" s="15">
        <f t="shared" ref="M264" si="1235">N264*O264</f>
        <v>0</v>
      </c>
      <c r="N264" s="32">
        <v>0</v>
      </c>
      <c r="O264" s="40">
        <v>0</v>
      </c>
      <c r="P264" s="15">
        <f t="shared" si="1127"/>
        <v>31066.131401860101</v>
      </c>
      <c r="Q264" s="32">
        <v>4.0377456</v>
      </c>
      <c r="R264" s="40">
        <v>7693.9298508207403</v>
      </c>
      <c r="S264" s="15">
        <f t="shared" ref="S264" si="1236">(((1+1.35%)^(1/252))-1)*D263+SUM(S263)</f>
        <v>3617.2512692783839</v>
      </c>
      <c r="T264" s="15">
        <f>IF((NETWORKDAYS(DATE(YEAR(C264),MONTH(C264),1),C264,Feriados!$A$2:$A$842))&gt;=5,0,IF(NETWORKDAYS(DATE(YEAR(C264),MONTH(C264),1),C264,Feriados!$A$2:$A$842)=1,S263,T263))</f>
        <v>0</v>
      </c>
      <c r="U264" s="26">
        <v>0</v>
      </c>
      <c r="V264" s="26">
        <v>0</v>
      </c>
      <c r="W264" s="15">
        <f t="shared" ref="W264" si="1237">SUM(G264+J264+M264+P264)</f>
        <v>10026526.262405328</v>
      </c>
      <c r="X264" s="50">
        <f>'Fluxo de Caixa_'!AD270</f>
        <v>0</v>
      </c>
      <c r="AB264" s="26">
        <v>3446.7982999999999</v>
      </c>
      <c r="AC264" s="26">
        <v>0</v>
      </c>
      <c r="AD264">
        <v>0</v>
      </c>
      <c r="AE264">
        <f ca="1">-SUMIF('[1]Fluxo de Movimentações'!$A$5:$F$10001,"="&amp;$C264,'[1]Fluxo de Movimentações'!$H$5:$H$10001)</f>
        <v>0</v>
      </c>
      <c r="AF264" s="26">
        <v>0</v>
      </c>
      <c r="AG264" s="26">
        <v>0</v>
      </c>
      <c r="AH264" s="26">
        <v>0</v>
      </c>
      <c r="AI264" s="26">
        <v>0</v>
      </c>
      <c r="AJ264" s="26">
        <v>-43096.189492701204</v>
      </c>
      <c r="AK264" s="68">
        <v>4.5269573999999997</v>
      </c>
      <c r="AL264" s="15">
        <f>-SUMIFS([1]Master!$J$1:$J$200,[1]Master!$A$1:$A$200,"="&amp;$I$12,[1]Master!$G$1:$G$200,"&gt;"&amp;C264,[1]Master!$E$1:$E$200,"&lt;="&amp;C264)</f>
        <v>0</v>
      </c>
      <c r="AM264" s="26">
        <v>0</v>
      </c>
      <c r="AN264" s="26">
        <v>0</v>
      </c>
    </row>
    <row r="265" spans="3:40">
      <c r="C265" s="1">
        <f>WORKDAY(C264,1,Feriados!A72:A912)</f>
        <v>45243</v>
      </c>
      <c r="D265" s="39">
        <v>9928591.2172999997</v>
      </c>
      <c r="E265" s="32">
        <v>4.4828161</v>
      </c>
      <c r="F265" s="88">
        <f>SUMIF([1]HSF!$H$2:$H$30,"="&amp;"APLICAÇÃO",[1]HSF!$K$2:$K$30)</f>
        <v>2283952.1146078166</v>
      </c>
      <c r="G265" s="15">
        <f t="shared" ref="G265" si="1238">H265*I265</f>
        <v>9933438.2471395992</v>
      </c>
      <c r="H265" s="32">
        <v>1.1150194</v>
      </c>
      <c r="I265" s="15">
        <f>SUMIFS([1]Master!$K$2:$K$10000,[1]Master!$A$2:$A$10000,$I$12,[1]Master!$F$2:$F$10000,"&lt;="&amp;$C265)</f>
        <v>8908758.2217310295</v>
      </c>
      <c r="J265" s="15">
        <f t="shared" ref="J265" si="1239">K265*L265</f>
        <v>0</v>
      </c>
      <c r="K265" s="43">
        <v>0</v>
      </c>
      <c r="L265" s="40">
        <v>0</v>
      </c>
      <c r="M265" s="15">
        <f t="shared" ref="M265" si="1240">N265*O265</f>
        <v>0</v>
      </c>
      <c r="N265" s="32">
        <v>0</v>
      </c>
      <c r="O265" s="40">
        <v>0</v>
      </c>
      <c r="P265" s="15">
        <f t="shared" si="1127"/>
        <v>31079.884301468443</v>
      </c>
      <c r="Q265" s="32">
        <v>4.0395330999999999</v>
      </c>
      <c r="R265" s="40">
        <v>7693.9298508207403</v>
      </c>
      <c r="S265" s="15">
        <f t="shared" ref="S265" si="1241">(((1+1.35%)^(1/252))-1)*D264+SUM(S264)</f>
        <v>4148.5050350351821</v>
      </c>
      <c r="T265" s="15">
        <f>IF((NETWORKDAYS(DATE(YEAR(C265),MONTH(C265),1),C265,Feriados!$A$2:$A$842))&gt;=5,0,IF(NETWORKDAYS(DATE(YEAR(C265),MONTH(C265),1),C265,Feriados!$A$2:$A$842)=1,S264,T264))</f>
        <v>0</v>
      </c>
      <c r="U265" s="26">
        <v>0</v>
      </c>
      <c r="V265" s="26">
        <v>0</v>
      </c>
      <c r="W265" s="15">
        <f t="shared" ref="W265" si="1242">SUM(G265+J265+M265+P265)</f>
        <v>9964518.1314410679</v>
      </c>
      <c r="X265" s="50">
        <f>'Fluxo de Caixa_'!AD271</f>
        <v>0</v>
      </c>
      <c r="AB265" s="26">
        <v>3414.2673</v>
      </c>
      <c r="AC265" s="26">
        <v>0</v>
      </c>
      <c r="AD265">
        <v>0</v>
      </c>
      <c r="AE265">
        <f ca="1">-SUMIF('[1]Fluxo de Movimentações'!$A$5:$F$10001,"="&amp;$C265,'[1]Fluxo de Movimentações'!$H$5:$H$10001)</f>
        <v>0</v>
      </c>
      <c r="AF265" s="26">
        <v>0</v>
      </c>
      <c r="AG265" s="26">
        <v>0</v>
      </c>
      <c r="AH265" s="26">
        <v>0</v>
      </c>
      <c r="AI265" s="26">
        <v>0</v>
      </c>
      <c r="AJ265" s="26">
        <v>-35192.731013755103</v>
      </c>
      <c r="AK265" s="68">
        <v>4.4987057999999998</v>
      </c>
      <c r="AL265" s="15">
        <f>-SUMIFS([1]Master!$J$1:$J$200,[1]Master!$A$1:$A$200,"="&amp;$I$12,[1]Master!$G$1:$G$200,"&gt;"&amp;C265,[1]Master!$E$1:$E$200,"&lt;="&amp;C265)</f>
        <v>0</v>
      </c>
      <c r="AM265" s="26">
        <v>0</v>
      </c>
      <c r="AN265" s="26">
        <v>0</v>
      </c>
    </row>
    <row r="266" spans="3:40">
      <c r="C266" s="1">
        <f>WORKDAY(C265,1,Feriados!A73:A913)</f>
        <v>45244</v>
      </c>
      <c r="D266" s="39">
        <v>10136192.3563</v>
      </c>
      <c r="E266" s="32">
        <v>4.5765491999999997</v>
      </c>
      <c r="F266" s="88">
        <f>SUMIF([1]HSF!$H$2:$H$30,"="&amp;"APLICAÇÃO",[1]HSF!$K$2:$K$30)</f>
        <v>2283952.1146078166</v>
      </c>
      <c r="G266" s="15">
        <f t="shared" ref="G266" si="1243">H266*I266</f>
        <v>10169451.742577164</v>
      </c>
      <c r="H266" s="32">
        <v>1.1415116999999999</v>
      </c>
      <c r="I266" s="15">
        <f>SUMIFS([1]Master!$K$2:$K$10000,[1]Master!$A$2:$A$10000,$I$12,[1]Master!$F$2:$F$10000,"&lt;="&amp;$C266)</f>
        <v>8908758.2217310295</v>
      </c>
      <c r="J266" s="15">
        <f t="shared" ref="J266" si="1244">K266*L266</f>
        <v>0</v>
      </c>
      <c r="K266" s="43">
        <v>0</v>
      </c>
      <c r="L266" s="40">
        <v>0</v>
      </c>
      <c r="M266" s="15">
        <f t="shared" ref="M266" si="1245">N266*O266</f>
        <v>0</v>
      </c>
      <c r="N266" s="32">
        <v>0</v>
      </c>
      <c r="O266" s="40">
        <v>0</v>
      </c>
      <c r="P266" s="15">
        <f t="shared" si="1127"/>
        <v>31093.627198967977</v>
      </c>
      <c r="Q266" s="32">
        <v>4.0413192999999996</v>
      </c>
      <c r="R266" s="40">
        <v>7693.9298508207403</v>
      </c>
      <c r="S266" s="15">
        <f t="shared" ref="S266" si="1246">(((1+1.35%)^(1/252))-1)*D265+SUM(S265)</f>
        <v>4676.8496466118231</v>
      </c>
      <c r="T266" s="15">
        <f>IF((NETWORKDAYS(DATE(YEAR(C266),MONTH(C266),1),C266,Feriados!$A$2:$A$842))&gt;=5,0,IF(NETWORKDAYS(DATE(YEAR(C266),MONTH(C266),1),C266,Feriados!$A$2:$A$842)=1,S265,T265))</f>
        <v>0</v>
      </c>
      <c r="U266" s="26">
        <v>0</v>
      </c>
      <c r="V266" s="26">
        <v>0</v>
      </c>
      <c r="W266" s="15">
        <f t="shared" ref="W266" si="1247">SUM(G266+J266+M266+P266)</f>
        <v>10200545.369776132</v>
      </c>
      <c r="X266" s="50">
        <f>'Fluxo de Caixa_'!AD272</f>
        <v>0</v>
      </c>
      <c r="AB266" s="26">
        <v>3381.7363</v>
      </c>
      <c r="AC266" s="26">
        <v>0</v>
      </c>
      <c r="AD266">
        <v>0</v>
      </c>
      <c r="AE266">
        <f ca="1">-SUMIF('[1]Fluxo de Movimentações'!$A$5:$F$10001,"="&amp;$C266,'[1]Fluxo de Movimentações'!$H$5:$H$10001)</f>
        <v>0</v>
      </c>
      <c r="AF266" s="26">
        <v>0</v>
      </c>
      <c r="AG266" s="26">
        <v>0</v>
      </c>
      <c r="AH266" s="26">
        <v>0</v>
      </c>
      <c r="AI266" s="26">
        <v>0</v>
      </c>
      <c r="AJ266" s="26">
        <v>-63057.942108521798</v>
      </c>
      <c r="AK266" s="68">
        <v>4.6050202999999996</v>
      </c>
      <c r="AL266" s="15">
        <f>-SUMIFS([1]Master!$J$1:$J$200,[1]Master!$A$1:$A$200,"="&amp;$I$12,[1]Master!$G$1:$G$200,"&gt;"&amp;C266,[1]Master!$E$1:$E$200,"&lt;="&amp;C266)</f>
        <v>0</v>
      </c>
      <c r="AM266" s="26">
        <v>0</v>
      </c>
      <c r="AN266" s="26">
        <v>0</v>
      </c>
    </row>
    <row r="267" spans="3:40">
      <c r="C267" s="1">
        <f>WORKDAY(C266,1,Feriados!A74:A914)</f>
        <v>45246</v>
      </c>
      <c r="D267" s="39">
        <v>10321068.5953</v>
      </c>
      <c r="E267" s="32">
        <v>4.6600219000000003</v>
      </c>
      <c r="F267" s="88">
        <f>SUMIF([1]HSF!$H$2:$H$30,"="&amp;"APLICAÇÃO",[1]HSF!$K$2:$K$30)</f>
        <v>2283952.1146078166</v>
      </c>
      <c r="G267" s="15">
        <f t="shared" ref="G267" si="1248">H267*I267</f>
        <v>10379654.783694731</v>
      </c>
      <c r="H267" s="32">
        <v>1.1651068</v>
      </c>
      <c r="I267" s="15">
        <f>SUMIFS([1]Master!$K$2:$K$10000,[1]Master!$A$2:$A$10000,$I$12,[1]Master!$F$2:$F$10000,"&lt;="&amp;$C267)</f>
        <v>8908758.2217310295</v>
      </c>
      <c r="J267" s="15">
        <f t="shared" ref="J267" si="1249">K267*L267</f>
        <v>0</v>
      </c>
      <c r="K267" s="43">
        <v>0</v>
      </c>
      <c r="L267" s="40">
        <v>0</v>
      </c>
      <c r="M267" s="15">
        <f t="shared" ref="M267" si="1250">N267*O267</f>
        <v>0</v>
      </c>
      <c r="N267" s="32">
        <v>0</v>
      </c>
      <c r="O267" s="40">
        <v>0</v>
      </c>
      <c r="P267" s="15">
        <f t="shared" si="1127"/>
        <v>31107.473964520501</v>
      </c>
      <c r="Q267" s="32">
        <v>4.0431189999999999</v>
      </c>
      <c r="R267" s="40">
        <v>7693.9298508207403</v>
      </c>
      <c r="S267" s="15">
        <f t="shared" ref="S267" si="1251">(((1+1.35%)^(1/252))-1)*D266+SUM(S266)</f>
        <v>5216.2416405156473</v>
      </c>
      <c r="T267" s="15">
        <f>IF((NETWORKDAYS(DATE(YEAR(C267),MONTH(C267),1),C267,Feriados!$A$2:$A$842))&gt;=5,0,IF(NETWORKDAYS(DATE(YEAR(C267),MONTH(C267),1),C267,Feriados!$A$2:$A$842)=1,S266,T266))</f>
        <v>0</v>
      </c>
      <c r="U267" s="26">
        <v>0</v>
      </c>
      <c r="V267" s="26">
        <v>0</v>
      </c>
      <c r="W267" s="15">
        <f t="shared" ref="W267" si="1252">SUM(G267+J267+M267+P267)</f>
        <v>10410762.257659251</v>
      </c>
      <c r="X267" s="50">
        <f>'Fluxo de Caixa_'!AD273</f>
        <v>0</v>
      </c>
      <c r="AB267" s="26">
        <v>3349.2053000000001</v>
      </c>
      <c r="AC267" s="26">
        <v>0</v>
      </c>
      <c r="AD267">
        <v>0</v>
      </c>
      <c r="AE267">
        <f ca="1">-SUMIF('[1]Fluxo de Movimentações'!$A$5:$F$10001,"="&amp;$C267,'[1]Fluxo de Movimentações'!$H$5:$H$10001)</f>
        <v>0</v>
      </c>
      <c r="AF267" s="26">
        <v>0</v>
      </c>
      <c r="AG267" s="26">
        <v>0</v>
      </c>
      <c r="AH267" s="26">
        <v>0</v>
      </c>
      <c r="AI267" s="26">
        <v>0</v>
      </c>
      <c r="AJ267" s="26">
        <v>-87826.713416312006</v>
      </c>
      <c r="AK267" s="68">
        <v>4.6996761999999999</v>
      </c>
      <c r="AL267" s="15">
        <f>-SUMIFS([1]Master!$J$1:$J$200,[1]Master!$A$1:$A$200,"="&amp;$I$12,[1]Master!$G$1:$G$200,"&gt;"&amp;C267,[1]Master!$E$1:$E$200,"&lt;="&amp;C267)</f>
        <v>0</v>
      </c>
      <c r="AM267" s="26">
        <v>0</v>
      </c>
      <c r="AN267" s="26">
        <v>0</v>
      </c>
    </row>
    <row r="268" spans="3:40">
      <c r="C268" s="1">
        <f>WORKDAY(C267,1,Feriados!A75:A915)</f>
        <v>45247</v>
      </c>
      <c r="D268" s="39">
        <v>10203599.1143</v>
      </c>
      <c r="E268" s="32">
        <v>4.6069838000000001</v>
      </c>
      <c r="F268" s="88">
        <f>SUMIF([1]HSF!$H$2:$H$30,"="&amp;"APLICAÇÃO",[1]HSF!$K$2:$K$30)</f>
        <v>2283952.1146078166</v>
      </c>
      <c r="G268" s="15">
        <f t="shared" ref="G268" si="1253">H268*I268</f>
        <v>10246263.05596493</v>
      </c>
      <c r="H268" s="32">
        <v>1.1501337</v>
      </c>
      <c r="I268" s="15">
        <f>SUMIFS([1]Master!$K$2:$K$10000,[1]Master!$A$2:$A$10000,$I$12,[1]Master!$F$2:$F$10000,"&lt;="&amp;$C268)</f>
        <v>8908758.2217310295</v>
      </c>
      <c r="J268" s="15">
        <f t="shared" ref="J268" si="1254">K268*L268</f>
        <v>0</v>
      </c>
      <c r="K268" s="43">
        <v>0</v>
      </c>
      <c r="L268" s="40">
        <v>0</v>
      </c>
      <c r="M268" s="15">
        <f t="shared" ref="M268" si="1255">N268*O268</f>
        <v>0</v>
      </c>
      <c r="N268" s="32">
        <v>0</v>
      </c>
      <c r="O268" s="40">
        <v>0</v>
      </c>
      <c r="P268" s="15">
        <f t="shared" si="1127"/>
        <v>31121.362277294218</v>
      </c>
      <c r="Q268" s="32">
        <v>4.0449241000000002</v>
      </c>
      <c r="R268" s="40">
        <v>7693.9298508207403</v>
      </c>
      <c r="S268" s="15">
        <f t="shared" ref="S268" si="1256">(((1+1.35%)^(1/252))-1)*D267+SUM(S267)</f>
        <v>5765.4717234843138</v>
      </c>
      <c r="T268" s="15">
        <f>IF((NETWORKDAYS(DATE(YEAR(C268),MONTH(C268),1),C268,Feriados!$A$2:$A$842))&gt;=5,0,IF(NETWORKDAYS(DATE(YEAR(C268),MONTH(C268),1),C268,Feriados!$A$2:$A$842)=1,S267,T267))</f>
        <v>0</v>
      </c>
      <c r="U268" s="26">
        <v>0</v>
      </c>
      <c r="V268" s="26">
        <v>0</v>
      </c>
      <c r="W268" s="15">
        <f t="shared" ref="W268" si="1257">SUM(G268+J268+M268+P268)</f>
        <v>10277384.418242224</v>
      </c>
      <c r="X268" s="50">
        <f>'Fluxo de Caixa_'!AD274</f>
        <v>0</v>
      </c>
      <c r="AB268" s="26">
        <v>3316.6743000000001</v>
      </c>
      <c r="AC268" s="26">
        <v>0</v>
      </c>
      <c r="AD268">
        <v>0</v>
      </c>
      <c r="AE268">
        <f ca="1">-SUMIF('[1]Fluxo de Movimentações'!$A$5:$F$10001,"="&amp;$C268,'[1]Fluxo de Movimentações'!$H$5:$H$10001)</f>
        <v>0</v>
      </c>
      <c r="AF268" s="26">
        <v>0</v>
      </c>
      <c r="AG268" s="26">
        <v>0</v>
      </c>
      <c r="AH268" s="26">
        <v>0</v>
      </c>
      <c r="AI268" s="26">
        <v>0</v>
      </c>
      <c r="AJ268" s="26">
        <v>-71336.575047129605</v>
      </c>
      <c r="AK268" s="68">
        <v>4.6391926000000003</v>
      </c>
      <c r="AL268" s="15">
        <f>-SUMIFS([1]Master!$J$1:$J$200,[1]Master!$A$1:$A$200,"="&amp;$I$12,[1]Master!$G$1:$G$200,"&gt;"&amp;C268,[1]Master!$E$1:$E$200,"&lt;="&amp;C268)</f>
        <v>0</v>
      </c>
      <c r="AM268" s="26">
        <v>0</v>
      </c>
      <c r="AN268" s="26">
        <v>0</v>
      </c>
    </row>
    <row r="269" spans="3:40">
      <c r="C269" s="1">
        <f>WORKDAY(C268,1,Feriados!A76:A916)</f>
        <v>45250</v>
      </c>
      <c r="D269" s="39">
        <v>10218311.0733</v>
      </c>
      <c r="E269" s="32">
        <v>4.6136263</v>
      </c>
      <c r="F269" s="88">
        <f>SUMIF([1]HSF!$H$2:$H$30,"="&amp;"APLICAÇÃO",[1]HSF!$K$2:$K$30)</f>
        <v>2283952.1146078166</v>
      </c>
      <c r="G269" s="15">
        <f t="shared" ref="G269" si="1258">H269*I269</f>
        <v>10263069.428350225</v>
      </c>
      <c r="H269" s="32">
        <v>1.1520201999999999</v>
      </c>
      <c r="I269" s="15">
        <f>SUMIFS([1]Master!$K$2:$K$10000,[1]Master!$A$2:$A$10000,$I$12,[1]Master!$F$2:$F$10000,"&lt;="&amp;$C269)</f>
        <v>8908758.2217310295</v>
      </c>
      <c r="J269" s="15">
        <f t="shared" ref="J269" si="1259">K269*L269</f>
        <v>0</v>
      </c>
      <c r="K269" s="43">
        <v>0</v>
      </c>
      <c r="L269" s="40">
        <v>0</v>
      </c>
      <c r="M269" s="15">
        <f t="shared" ref="M269" si="1260">N269*O269</f>
        <v>0</v>
      </c>
      <c r="N269" s="32">
        <v>0</v>
      </c>
      <c r="O269" s="40">
        <v>0</v>
      </c>
      <c r="P269" s="15">
        <f t="shared" si="1127"/>
        <v>31135.229047064349</v>
      </c>
      <c r="Q269" s="32">
        <v>4.0467263999999998</v>
      </c>
      <c r="R269" s="40">
        <v>7693.9298508207403</v>
      </c>
      <c r="S269" s="15">
        <f t="shared" ref="S269" si="1261">(((1+1.35%)^(1/252))-1)*D268+SUM(S268)</f>
        <v>6308.4507315569854</v>
      </c>
      <c r="T269" s="15">
        <f>IF((NETWORKDAYS(DATE(YEAR(C269),MONTH(C269),1),C269,Feriados!$A$2:$A$842))&gt;=5,0,IF(NETWORKDAYS(DATE(YEAR(C269),MONTH(C269),1),C269,Feriados!$A$2:$A$842)=1,S268,T268))</f>
        <v>0</v>
      </c>
      <c r="U269" s="26">
        <v>0</v>
      </c>
      <c r="V269" s="26">
        <v>0</v>
      </c>
      <c r="W269" s="15">
        <f t="shared" ref="W269" si="1262">SUM(G269+J269+M269+P269)</f>
        <v>10294204.657397289</v>
      </c>
      <c r="X269" s="50">
        <f>'Fluxo de Caixa_'!AD275</f>
        <v>0</v>
      </c>
      <c r="AB269" s="26">
        <v>3284.1433000000002</v>
      </c>
      <c r="AC269" s="26">
        <v>0</v>
      </c>
      <c r="AD269">
        <v>0</v>
      </c>
      <c r="AE269">
        <f ca="1">-SUMIF('[1]Fluxo de Movimentações'!$A$5:$F$10001,"="&amp;$C269,'[1]Fluxo de Movimentações'!$H$5:$H$10001)</f>
        <v>0</v>
      </c>
      <c r="AF269" s="26">
        <v>0</v>
      </c>
      <c r="AG269" s="26">
        <v>0</v>
      </c>
      <c r="AH269" s="26">
        <v>0</v>
      </c>
      <c r="AI269" s="26">
        <v>0</v>
      </c>
      <c r="AJ269" s="26">
        <v>-72869.354740020804</v>
      </c>
      <c r="AK269" s="68">
        <v>4.6465272000000004</v>
      </c>
      <c r="AL269" s="15">
        <f>-SUMIFS([1]Master!$J$1:$J$200,[1]Master!$A$1:$A$200,"="&amp;$I$12,[1]Master!$G$1:$G$200,"&gt;"&amp;C269,[1]Master!$E$1:$E$200,"&lt;="&amp;C269)</f>
        <v>0</v>
      </c>
      <c r="AM269" s="26">
        <v>0</v>
      </c>
      <c r="AN269" s="26">
        <v>0</v>
      </c>
    </row>
    <row r="270" spans="3:40">
      <c r="C270" s="1">
        <f>WORKDAY(C269,1,Feriados!A77:A917)</f>
        <v>45251</v>
      </c>
      <c r="D270" s="39">
        <v>10117924.6423</v>
      </c>
      <c r="E270" s="32">
        <v>4.5683011999999996</v>
      </c>
      <c r="F270" s="88">
        <f>SUMIF([1]HSF!$H$2:$H$30,"="&amp;"APLICAÇÃO",[1]HSF!$K$2:$K$30)</f>
        <v>2283952.1146078166</v>
      </c>
      <c r="G270" s="15">
        <f t="shared" ref="G270" si="1263">H270*I270</f>
        <v>10149080.976027355</v>
      </c>
      <c r="H270" s="32">
        <v>1.1392251</v>
      </c>
      <c r="I270" s="15">
        <f>SUMIFS([1]Master!$K$2:$K$10000,[1]Master!$A$2:$A$10000,$I$12,[1]Master!$F$2:$F$10000,"&lt;="&amp;$C270)</f>
        <v>8908758.2217310295</v>
      </c>
      <c r="J270" s="15">
        <f t="shared" ref="J270" si="1264">K270*L270</f>
        <v>0</v>
      </c>
      <c r="K270" s="43">
        <v>0</v>
      </c>
      <c r="L270" s="40">
        <v>0</v>
      </c>
      <c r="M270" s="15">
        <f t="shared" ref="M270" si="1265">N270*O270</f>
        <v>0</v>
      </c>
      <c r="N270" s="32">
        <v>0</v>
      </c>
      <c r="O270" s="40">
        <v>0</v>
      </c>
      <c r="P270" s="15">
        <f t="shared" si="1127"/>
        <v>31149.087353511648</v>
      </c>
      <c r="Q270" s="32">
        <v>4.0485275999999999</v>
      </c>
      <c r="R270" s="40">
        <v>7693.9298508207403</v>
      </c>
      <c r="S270" s="15">
        <f t="shared" ref="S270" si="1266">(((1+1.35%)^(1/252))-1)*D269+SUM(S269)</f>
        <v>6852.2126285706217</v>
      </c>
      <c r="T270" s="15">
        <f>IF((NETWORKDAYS(DATE(YEAR(C270),MONTH(C270),1),C270,Feriados!$A$2:$A$842))&gt;=5,0,IF(NETWORKDAYS(DATE(YEAR(C270),MONTH(C270),1),C270,Feriados!$A$2:$A$842)=1,S269,T269))</f>
        <v>0</v>
      </c>
      <c r="U270" s="26">
        <v>0</v>
      </c>
      <c r="V270" s="26">
        <v>0</v>
      </c>
      <c r="W270" s="15">
        <f t="shared" ref="W270" si="1267">SUM(G270+J270+M270+P270)</f>
        <v>10180230.063380865</v>
      </c>
      <c r="X270" s="50">
        <f>'Fluxo de Caixa_'!AD276</f>
        <v>0</v>
      </c>
      <c r="AB270" s="26">
        <v>3251.6122999999998</v>
      </c>
      <c r="AC270" s="26">
        <v>0</v>
      </c>
      <c r="AD270">
        <v>0</v>
      </c>
      <c r="AE270">
        <f ca="1">-SUMIF('[1]Fluxo de Movimentações'!$A$5:$F$10001,"="&amp;$C270,'[1]Fluxo de Movimentações'!$H$5:$H$10001)</f>
        <v>0</v>
      </c>
      <c r="AF270" s="26">
        <v>0</v>
      </c>
      <c r="AG270" s="26">
        <v>0</v>
      </c>
      <c r="AH270" s="26">
        <v>0</v>
      </c>
      <c r="AI270" s="26">
        <v>0</v>
      </c>
      <c r="AJ270" s="26">
        <v>-58704.876791489201</v>
      </c>
      <c r="AK270" s="68">
        <v>4.5948067999999997</v>
      </c>
      <c r="AL270" s="15">
        <f>-SUMIFS([1]Master!$J$1:$J$200,[1]Master!$A$1:$A$200,"="&amp;$I$12,[1]Master!$G$1:$G$200,"&gt;"&amp;C270,[1]Master!$E$1:$E$200,"&lt;="&amp;C270)</f>
        <v>0</v>
      </c>
      <c r="AM270" s="26">
        <v>0</v>
      </c>
      <c r="AN270" s="26">
        <v>0</v>
      </c>
    </row>
    <row r="271" spans="3:40">
      <c r="C271" s="1">
        <f>WORKDAY(C270,1,Feriados!A78:A918)</f>
        <v>45252</v>
      </c>
      <c r="D271" s="39">
        <v>10192615.9813</v>
      </c>
      <c r="E271" s="32">
        <v>4.6020247999999997</v>
      </c>
      <c r="F271" s="88">
        <f>SUMIF([1]HSF!$H$2:$H$30,"="&amp;"APLICAÇÃO",[1]HSF!$K$2:$K$30)</f>
        <v>2283952.1146078166</v>
      </c>
      <c r="G271" s="15">
        <f t="shared" ref="G271" si="1268">H271*I271</f>
        <v>10234040.239684716</v>
      </c>
      <c r="H271" s="32">
        <v>1.1487617000000001</v>
      </c>
      <c r="I271" s="15">
        <f>SUMIFS([1]Master!$K$2:$K$10000,[1]Master!$A$2:$A$10000,$I$12,[1]Master!$F$2:$F$10000,"&lt;="&amp;$C271)</f>
        <v>8908758.2217310295</v>
      </c>
      <c r="J271" s="15">
        <f t="shared" ref="J271" si="1269">K271*L271</f>
        <v>0</v>
      </c>
      <c r="K271" s="43">
        <v>0</v>
      </c>
      <c r="L271" s="40">
        <v>0</v>
      </c>
      <c r="M271" s="15">
        <f t="shared" ref="M271" si="1270">N271*O271</f>
        <v>0</v>
      </c>
      <c r="N271" s="32">
        <v>0</v>
      </c>
      <c r="O271" s="40">
        <v>0</v>
      </c>
      <c r="P271" s="15">
        <f t="shared" si="1127"/>
        <v>31162.981052036266</v>
      </c>
      <c r="Q271" s="32">
        <v>4.0503334000000004</v>
      </c>
      <c r="R271" s="40">
        <v>7693.9298508207403</v>
      </c>
      <c r="S271" s="15">
        <f t="shared" ref="S271" si="1271">(((1+1.35%)^(1/252))-1)*D270+SUM(S270)</f>
        <v>7390.6325159543476</v>
      </c>
      <c r="T271" s="15">
        <f>IF((NETWORKDAYS(DATE(YEAR(C271),MONTH(C271),1),C271,Feriados!$A$2:$A$842))&gt;=5,0,IF(NETWORKDAYS(DATE(YEAR(C271),MONTH(C271),1),C271,Feriados!$A$2:$A$842)=1,S270,T270))</f>
        <v>0</v>
      </c>
      <c r="U271" s="26">
        <v>0</v>
      </c>
      <c r="V271" s="26">
        <v>0</v>
      </c>
      <c r="W271" s="15">
        <f t="shared" ref="W271" si="1272">SUM(G271+J271+M271+P271)</f>
        <v>10265203.220736751</v>
      </c>
      <c r="X271" s="50">
        <f>'Fluxo de Caixa_'!AD277</f>
        <v>0</v>
      </c>
      <c r="AB271" s="26">
        <v>3219.0812999999998</v>
      </c>
      <c r="AC271" s="26">
        <v>0</v>
      </c>
      <c r="AD271">
        <v>0</v>
      </c>
      <c r="AE271">
        <f ca="1">-SUMIF('[1]Fluxo de Movimentações'!$A$5:$F$10001,"="&amp;$C271,'[1]Fluxo de Movimentações'!$H$5:$H$10001)</f>
        <v>0</v>
      </c>
      <c r="AF271" s="26">
        <v>0</v>
      </c>
      <c r="AG271" s="26">
        <v>0</v>
      </c>
      <c r="AH271" s="26">
        <v>0</v>
      </c>
      <c r="AI271" s="26">
        <v>0</v>
      </c>
      <c r="AJ271" s="26">
        <v>-68415.754125628402</v>
      </c>
      <c r="AK271" s="68">
        <v>4.6329149000000003</v>
      </c>
      <c r="AL271" s="15">
        <f>-SUMIFS([1]Master!$J$1:$J$200,[1]Master!$A$1:$A$200,"="&amp;$I$12,[1]Master!$G$1:$G$200,"&gt;"&amp;C271,[1]Master!$E$1:$E$200,"&lt;="&amp;C271)</f>
        <v>0</v>
      </c>
      <c r="AM271" s="26">
        <v>0</v>
      </c>
      <c r="AN271" s="26">
        <v>0</v>
      </c>
    </row>
    <row r="272" spans="3:40">
      <c r="C272" s="1">
        <f>WORKDAY(C271,1,Feriados!A79:A919)</f>
        <v>45253</v>
      </c>
      <c r="D272" s="39">
        <v>10278952.770300001</v>
      </c>
      <c r="E272" s="32">
        <v>4.6410064000000002</v>
      </c>
      <c r="F272" s="88">
        <f>SUMIF([1]HSF!$H$2:$H$30,"="&amp;"APLICAÇÃO",[1]HSF!$K$2:$K$30)</f>
        <v>2283952.1146078166</v>
      </c>
      <c r="G272" s="15">
        <f t="shared" ref="G272" si="1273">H272*I272</f>
        <v>10332237.027183745</v>
      </c>
      <c r="H272" s="32">
        <v>1.1597842</v>
      </c>
      <c r="I272" s="15">
        <f>SUMIFS([1]Master!$K$2:$K$10000,[1]Master!$A$2:$A$10000,$I$12,[1]Master!$F$2:$F$10000,"&lt;="&amp;$C272)</f>
        <v>8908758.2217310295</v>
      </c>
      <c r="J272" s="15">
        <f t="shared" ref="J272" si="1274">K272*L272</f>
        <v>0</v>
      </c>
      <c r="K272" s="43">
        <v>0</v>
      </c>
      <c r="L272" s="40">
        <v>0</v>
      </c>
      <c r="M272" s="15">
        <f t="shared" ref="M272" si="1275">N272*O272</f>
        <v>0</v>
      </c>
      <c r="N272" s="32">
        <v>0</v>
      </c>
      <c r="O272" s="40">
        <v>0</v>
      </c>
      <c r="P272" s="15">
        <f t="shared" si="1127"/>
        <v>31176.73702921654</v>
      </c>
      <c r="Q272" s="32">
        <v>4.0521212999999996</v>
      </c>
      <c r="R272" s="40">
        <v>7693.9298508207403</v>
      </c>
      <c r="S272" s="15">
        <f t="shared" ref="S272:S279" si="1276">(((1+1.35%)^(1/252))-1)*D271+SUM(S271)</f>
        <v>7933.0270625448438</v>
      </c>
      <c r="T272" s="15">
        <f>IF((NETWORKDAYS(DATE(YEAR(C272),MONTH(C272),1),C272,Feriados!$A$2:$A$842))&gt;=5,0,IF(NETWORKDAYS(DATE(YEAR(C272),MONTH(C272),1),C272,Feriados!$A$2:$A$842)=1,S271,T271))</f>
        <v>0</v>
      </c>
      <c r="U272" s="26">
        <v>0</v>
      </c>
      <c r="V272" s="26">
        <v>0</v>
      </c>
      <c r="W272" s="15">
        <f t="shared" ref="W272:W277" si="1277">SUM(G272+J272+M272+P272)</f>
        <v>10363413.764212962</v>
      </c>
      <c r="X272" s="50">
        <f>'Fluxo de Caixa_'!AD278</f>
        <v>0</v>
      </c>
      <c r="AB272" s="26">
        <v>3186.5502999999999</v>
      </c>
      <c r="AC272" s="26">
        <v>0</v>
      </c>
      <c r="AD272">
        <v>0</v>
      </c>
      <c r="AE272">
        <f ca="1">-SUMIF('[1]Fluxo de Movimentações'!$A$5:$F$10001,"="&amp;$C272,'[1]Fluxo de Movimentações'!$H$5:$H$10001)</f>
        <v>0</v>
      </c>
      <c r="AF272" s="26">
        <v>0</v>
      </c>
      <c r="AG272" s="26">
        <v>0</v>
      </c>
      <c r="AH272" s="26">
        <v>0</v>
      </c>
      <c r="AI272" s="26">
        <v>0</v>
      </c>
      <c r="AJ272" s="26">
        <v>-79714.619102425495</v>
      </c>
      <c r="AK272" s="68">
        <v>4.6769980000000002</v>
      </c>
      <c r="AL272" s="15">
        <f>-SUMIFS([1]Master!$J$1:$J$200,[1]Master!$A$1:$A$200,"="&amp;$I$12,[1]Master!$G$1:$G$200,"&gt;"&amp;C272,[1]Master!$E$1:$E$200,"&lt;="&amp;C272)</f>
        <v>0</v>
      </c>
      <c r="AM272" s="26">
        <v>0</v>
      </c>
      <c r="AN272" s="26">
        <v>0</v>
      </c>
    </row>
    <row r="273" spans="3:40">
      <c r="C273" s="1">
        <f>WORKDAY(C272,1,Feriados!A80:A920)</f>
        <v>45254</v>
      </c>
      <c r="D273" s="39">
        <v>10165334.849300001</v>
      </c>
      <c r="E273" s="32">
        <v>4.5897072000000003</v>
      </c>
      <c r="F273" s="88">
        <f>SUMIF([1]HSF!$H$2:$H$30,"="&amp;"APLICAÇÃO",[1]HSF!$K$2:$K$30)</f>
        <v>2283952.1146078166</v>
      </c>
      <c r="G273" s="15">
        <f t="shared" ref="G273" si="1278">H273*I273</f>
        <v>10203216.827113347</v>
      </c>
      <c r="H273" s="32">
        <v>1.1453017999999999</v>
      </c>
      <c r="I273" s="15">
        <f>SUMIFS([1]Master!$K$2:$K$10000,[1]Master!$A$2:$A$10000,$I$12,[1]Master!$F$2:$F$10000,"&lt;="&amp;$C273)</f>
        <v>8908758.2217310295</v>
      </c>
      <c r="J273" s="15">
        <f t="shared" ref="J273" si="1279">K273*L273</f>
        <v>0</v>
      </c>
      <c r="K273" s="43">
        <v>0</v>
      </c>
      <c r="L273" s="40">
        <v>0</v>
      </c>
      <c r="M273" s="15">
        <f t="shared" ref="M273" si="1280">N273*O273</f>
        <v>0</v>
      </c>
      <c r="N273" s="32">
        <v>0</v>
      </c>
      <c r="O273" s="40">
        <v>0</v>
      </c>
      <c r="P273" s="15">
        <f t="shared" si="1127"/>
        <v>31190.580717197125</v>
      </c>
      <c r="Q273" s="32">
        <v>4.0539205999999997</v>
      </c>
      <c r="R273" s="40">
        <v>7693.9298508207403</v>
      </c>
      <c r="S273" s="15">
        <f t="shared" si="1276"/>
        <v>8480.0159746652153</v>
      </c>
      <c r="T273" s="15">
        <f>IF((NETWORKDAYS(DATE(YEAR(C273),MONTH(C273),1),C273,Feriados!$A$2:$A$842))&gt;=5,0,IF(NETWORKDAYS(DATE(YEAR(C273),MONTH(C273),1),C273,Feriados!$A$2:$A$842)=1,S272,T272))</f>
        <v>0</v>
      </c>
      <c r="U273" s="26">
        <v>0</v>
      </c>
      <c r="V273" s="26">
        <v>0</v>
      </c>
      <c r="W273" s="15">
        <f t="shared" si="1277"/>
        <v>10234407.407830544</v>
      </c>
      <c r="X273" s="50">
        <f>'Fluxo de Caixa_'!AD279</f>
        <v>0</v>
      </c>
      <c r="AB273" s="26">
        <v>3154.0192999999999</v>
      </c>
      <c r="AC273" s="26">
        <v>0</v>
      </c>
      <c r="AD273">
        <v>0</v>
      </c>
      <c r="AE273">
        <f ca="1">-SUMIF('[1]Fluxo de Movimentações'!$A$5:$F$10001,"="&amp;$C273,'[1]Fluxo de Movimentações'!$H$5:$H$10001)</f>
        <v>0</v>
      </c>
      <c r="AF273" s="26">
        <v>0</v>
      </c>
      <c r="AG273" s="26">
        <v>0</v>
      </c>
      <c r="AH273" s="26">
        <v>0</v>
      </c>
      <c r="AI273" s="26">
        <v>0</v>
      </c>
      <c r="AJ273" s="26">
        <v>-63746.692445291599</v>
      </c>
      <c r="AK273" s="68">
        <v>4.6184892</v>
      </c>
      <c r="AL273" s="15">
        <f>-SUMIFS([1]Master!$J$1:$J$200,[1]Master!$A$1:$A$200,"="&amp;$I$12,[1]Master!$G$1:$G$200,"&gt;"&amp;C273,[1]Master!$E$1:$E$200,"&lt;="&amp;C273)</f>
        <v>0</v>
      </c>
      <c r="AM273" s="26">
        <v>0</v>
      </c>
      <c r="AN273" s="26">
        <v>0</v>
      </c>
    </row>
    <row r="274" spans="3:40">
      <c r="C274" s="1">
        <f>WORKDAY(C273,1,Feriados!A81:A921)</f>
        <v>45257</v>
      </c>
      <c r="D274" s="39">
        <v>10185841.838300001</v>
      </c>
      <c r="E274" s="32">
        <v>4.5989662999999998</v>
      </c>
      <c r="F274" s="88">
        <f>SUMIF([1]HSF!$H$2:$H$30,"="&amp;"APLICAÇÃO",[1]HSF!$K$2:$K$30)</f>
        <v>2283952.1146078166</v>
      </c>
      <c r="G274" s="15">
        <f t="shared" ref="G274" si="1281">H274*I274</f>
        <v>10226605.88094868</v>
      </c>
      <c r="H274" s="32">
        <v>1.1479272</v>
      </c>
      <c r="I274" s="15">
        <f>SUMIFS([1]Master!$K$2:$K$10000,[1]Master!$A$2:$A$10000,$I$12,[1]Master!$F$2:$F$10000,"&lt;="&amp;$C274)</f>
        <v>8908758.2217310295</v>
      </c>
      <c r="J274" s="15">
        <f t="shared" ref="J274" si="1282">K274*L274</f>
        <v>0</v>
      </c>
      <c r="K274" s="43">
        <v>0</v>
      </c>
      <c r="L274" s="40">
        <v>0</v>
      </c>
      <c r="M274" s="15">
        <f t="shared" ref="M274" si="1283">N274*O274</f>
        <v>0</v>
      </c>
      <c r="N274" s="32">
        <v>0</v>
      </c>
      <c r="O274" s="40">
        <v>0</v>
      </c>
      <c r="P274" s="15">
        <f t="shared" si="1127"/>
        <v>31204.503652655174</v>
      </c>
      <c r="Q274" s="32">
        <v>4.0557302000000002</v>
      </c>
      <c r="R274" s="40">
        <v>7693.9298508207403</v>
      </c>
      <c r="S274" s="15">
        <f t="shared" si="1276"/>
        <v>9020.9587705718077</v>
      </c>
      <c r="T274" s="15">
        <f>IF((NETWORKDAYS(DATE(YEAR(C274),MONTH(C274),1),C274,Feriados!$A$2:$A$842))&gt;=5,0,IF(NETWORKDAYS(DATE(YEAR(C274),MONTH(C274),1),C274,Feriados!$A$2:$A$842)=1,S273,T273))</f>
        <v>0</v>
      </c>
      <c r="U274" s="26">
        <v>0</v>
      </c>
      <c r="V274" s="26">
        <v>0</v>
      </c>
      <c r="W274" s="15">
        <f t="shared" si="1277"/>
        <v>10257810.384601334</v>
      </c>
      <c r="X274" s="50">
        <f>'Fluxo de Caixa_'!AD280</f>
        <v>0</v>
      </c>
      <c r="AB274" s="26">
        <v>3121.4883</v>
      </c>
      <c r="AC274" s="26">
        <v>0</v>
      </c>
      <c r="AD274">
        <v>0</v>
      </c>
      <c r="AE274">
        <f ca="1">-SUMIF('[1]Fluxo de Movimentações'!$A$5:$F$10001,"="&amp;$C274,'[1]Fluxo de Movimentações'!$H$5:$H$10001)</f>
        <v>0</v>
      </c>
      <c r="AF274" s="26">
        <v>0</v>
      </c>
      <c r="AG274" s="26">
        <v>0</v>
      </c>
      <c r="AH274" s="26">
        <v>0</v>
      </c>
      <c r="AI274" s="26">
        <v>0</v>
      </c>
      <c r="AJ274" s="26">
        <v>-66069.137784324703</v>
      </c>
      <c r="AK274" s="68">
        <v>4.6287969000000002</v>
      </c>
      <c r="AL274" s="15">
        <f>-SUMIFS([1]Master!$J$1:$J$200,[1]Master!$A$1:$A$200,"="&amp;$I$12,[1]Master!$G$1:$G$200,"&gt;"&amp;C274,[1]Master!$E$1:$E$200,"&lt;="&amp;C274)</f>
        <v>0</v>
      </c>
      <c r="AM274" s="26">
        <v>0</v>
      </c>
      <c r="AN274" s="26">
        <v>0</v>
      </c>
    </row>
    <row r="275" spans="3:40">
      <c r="C275" s="1">
        <f>WORKDAY(C274,1,Feriados!A82:A922)</f>
        <v>45258</v>
      </c>
      <c r="D275" s="39">
        <v>10270472.337300001</v>
      </c>
      <c r="E275" s="32">
        <v>4.6371773999999997</v>
      </c>
      <c r="F275" s="88">
        <f>SUMIF([1]HSF!$H$2:$H$30,"="&amp;"APLICAÇÃO",[1]HSF!$K$2:$K$30)</f>
        <v>2283952.1146078166</v>
      </c>
      <c r="G275" s="15">
        <f t="shared" ref="G275" si="1284">H275*I275</f>
        <v>10322865.013534483</v>
      </c>
      <c r="H275" s="32">
        <v>1.1587322</v>
      </c>
      <c r="I275" s="15">
        <f>SUMIFS([1]Master!$K$2:$K$10000,[1]Master!$A$2:$A$10000,$I$12,[1]Master!$F$2:$F$10000,"&lt;="&amp;$C275)</f>
        <v>8908758.2217310295</v>
      </c>
      <c r="J275" s="15">
        <f t="shared" ref="J275" si="1285">K275*L275</f>
        <v>0</v>
      </c>
      <c r="K275" s="43">
        <v>0</v>
      </c>
      <c r="L275" s="40">
        <v>0</v>
      </c>
      <c r="M275" s="15">
        <f t="shared" ref="M275" si="1286">N275*O275</f>
        <v>0</v>
      </c>
      <c r="N275" s="32">
        <v>0</v>
      </c>
      <c r="O275" s="40">
        <v>0</v>
      </c>
      <c r="P275" s="15">
        <f t="shared" si="1127"/>
        <v>31218.453516867692</v>
      </c>
      <c r="Q275" s="32">
        <v>4.0575432999999999</v>
      </c>
      <c r="R275" s="40">
        <v>7693.9298508207403</v>
      </c>
      <c r="S275" s="15">
        <f t="shared" si="1276"/>
        <v>9562.9928348064714</v>
      </c>
      <c r="T275" s="15">
        <f>IF((NETWORKDAYS(DATE(YEAR(C275),MONTH(C275),1),C275,Feriados!$A$2:$A$842))&gt;=5,0,IF(NETWORKDAYS(DATE(YEAR(C275),MONTH(C275),1),C275,Feriados!$A$2:$A$842)=1,S274,T274))</f>
        <v>0</v>
      </c>
      <c r="U275" s="26">
        <v>0</v>
      </c>
      <c r="V275" s="26">
        <v>0</v>
      </c>
      <c r="W275" s="15">
        <f t="shared" si="1277"/>
        <v>10354083.46705135</v>
      </c>
      <c r="X275" s="50">
        <f>'Fluxo de Caixa_'!AD281</f>
        <v>0</v>
      </c>
      <c r="AB275" s="26">
        <v>3088.9573</v>
      </c>
      <c r="AC275" s="26">
        <v>0</v>
      </c>
      <c r="AD275">
        <v>0</v>
      </c>
      <c r="AE275">
        <f ca="1">-SUMIF('[1]Fluxo de Movimentações'!$A$5:$F$10001,"="&amp;$C275,'[1]Fluxo de Movimentações'!$H$5:$H$10001)</f>
        <v>0</v>
      </c>
      <c r="AF275" s="26">
        <v>0</v>
      </c>
      <c r="AG275" s="26">
        <v>0</v>
      </c>
      <c r="AH275" s="26">
        <v>0</v>
      </c>
      <c r="AI275" s="26">
        <v>0</v>
      </c>
      <c r="AJ275" s="26">
        <v>-77137.180800407703</v>
      </c>
      <c r="AK275" s="68">
        <v>4.6720053000000004</v>
      </c>
      <c r="AL275" s="15">
        <f>-SUMIFS([1]Master!$J$1:$J$200,[1]Master!$A$1:$A$200,"="&amp;$I$12,[1]Master!$G$1:$G$200,"&gt;"&amp;C275,[1]Master!$E$1:$E$200,"&lt;="&amp;C275)</f>
        <v>0</v>
      </c>
      <c r="AM275" s="26">
        <v>0</v>
      </c>
      <c r="AN275" s="26">
        <v>0</v>
      </c>
    </row>
    <row r="276" spans="3:40">
      <c r="C276" s="1">
        <f>WORKDAY(C275,1,Feriados!A83:A923)</f>
        <v>45259</v>
      </c>
      <c r="D276" s="39">
        <v>10276043.406300001</v>
      </c>
      <c r="E276" s="32">
        <v>4.6396927999999997</v>
      </c>
      <c r="F276" s="88">
        <f>SUMIF([1]HSF!$H$2:$H$30,"="&amp;"APLICAÇÃO",[1]HSF!$K$2:$K$30)</f>
        <v>2283952.1146078166</v>
      </c>
      <c r="G276" s="15">
        <f t="shared" ref="G276" si="1287">H276*I276</f>
        <v>10329231.212159732</v>
      </c>
      <c r="H276" s="32">
        <v>1.1594468</v>
      </c>
      <c r="I276" s="15">
        <f>SUMIFS([1]Master!$K$2:$K$10000,[1]Master!$A$2:$A$10000,$I$12,[1]Master!$F$2:$F$10000,"&lt;="&amp;$C276)</f>
        <v>8908758.2217310295</v>
      </c>
      <c r="J276" s="15">
        <f t="shared" ref="J276" si="1288">K276*L276</f>
        <v>0</v>
      </c>
      <c r="K276" s="43">
        <v>0</v>
      </c>
      <c r="L276" s="40">
        <v>0</v>
      </c>
      <c r="M276" s="15">
        <f t="shared" ref="M276" si="1289">N276*O276</f>
        <v>0</v>
      </c>
      <c r="N276" s="32">
        <v>0</v>
      </c>
      <c r="O276" s="40">
        <v>0</v>
      </c>
      <c r="P276" s="15">
        <f t="shared" si="1127"/>
        <v>31232.381068683651</v>
      </c>
      <c r="Q276" s="32">
        <v>4.0593535000000003</v>
      </c>
      <c r="R276" s="40">
        <v>7693.9298508207403</v>
      </c>
      <c r="S276" s="15">
        <f t="shared" si="1276"/>
        <v>10109.530465271537</v>
      </c>
      <c r="T276" s="15">
        <f>IF((NETWORKDAYS(DATE(YEAR(C276),MONTH(C276),1),C276,Feriados!$A$2:$A$842))&gt;=5,0,IF(NETWORKDAYS(DATE(YEAR(C276),MONTH(C276),1),C276,Feriados!$A$2:$A$842)=1,S275,T275))</f>
        <v>0</v>
      </c>
      <c r="U276" s="26">
        <v>0</v>
      </c>
      <c r="V276" s="26">
        <v>0</v>
      </c>
      <c r="W276" s="15">
        <f t="shared" si="1277"/>
        <v>10360463.593228417</v>
      </c>
      <c r="X276" s="50">
        <f>'Fluxo de Caixa_'!AD282</f>
        <v>0</v>
      </c>
      <c r="AB276" s="26">
        <v>3056.4263000000001</v>
      </c>
      <c r="AC276" s="26">
        <v>0</v>
      </c>
      <c r="AD276">
        <v>0</v>
      </c>
      <c r="AE276">
        <f ca="1">-SUMIF('[1]Fluxo de Movimentações'!$A$5:$F$10001,"="&amp;$C276,'[1]Fluxo de Movimentações'!$H$5:$H$10001)</f>
        <v>0</v>
      </c>
      <c r="AF276" s="26">
        <v>0</v>
      </c>
      <c r="AG276" s="26">
        <v>0</v>
      </c>
      <c r="AH276" s="26">
        <v>0</v>
      </c>
      <c r="AI276" s="26">
        <v>0</v>
      </c>
      <c r="AJ276" s="26">
        <v>-77367.222618781394</v>
      </c>
      <c r="AK276" s="68">
        <v>4.6746245000000002</v>
      </c>
      <c r="AL276" s="15">
        <f>-SUMIFS([1]Master!$J$1:$J$200,[1]Master!$A$1:$A$200,"="&amp;$I$12,[1]Master!$G$1:$G$200,"&gt;"&amp;C276,[1]Master!$E$1:$E$200,"&lt;="&amp;C276)</f>
        <v>0</v>
      </c>
      <c r="AM276" s="26">
        <v>0</v>
      </c>
      <c r="AN276" s="26">
        <v>0</v>
      </c>
    </row>
    <row r="277" spans="3:40">
      <c r="C277" s="1">
        <f>WORKDAY(C276,1,Feriados!A84:A924)</f>
        <v>45260</v>
      </c>
      <c r="D277" s="39">
        <v>10336906.1052</v>
      </c>
      <c r="E277" s="32">
        <v>4.6671725999999998</v>
      </c>
      <c r="F277" s="88">
        <f>SUMIF([1]HSF!$H$2:$H$30,"="&amp;"APLICAÇÃO",[1]HSF!$K$2:$K$30)</f>
        <v>2283952.1146078166</v>
      </c>
      <c r="G277" s="15">
        <f t="shared" ref="G277" si="1290">H277*I277</f>
        <v>10398475.426313959</v>
      </c>
      <c r="H277" s="32">
        <v>1.1672194</v>
      </c>
      <c r="I277" s="15">
        <f>SUMIFS([1]Master!$K$2:$K$10000,[1]Master!$A$2:$A$10000,$I$12,[1]Master!$F$2:$F$10000,"&lt;="&amp;$C277)</f>
        <v>8908758.2217310295</v>
      </c>
      <c r="J277" s="15">
        <f t="shared" ref="J277" si="1291">K277*L277</f>
        <v>0</v>
      </c>
      <c r="K277" s="43">
        <v>0</v>
      </c>
      <c r="L277" s="40">
        <v>0</v>
      </c>
      <c r="M277" s="15">
        <f t="shared" ref="M277" si="1292">N277*O277</f>
        <v>0</v>
      </c>
      <c r="N277" s="32">
        <v>0</v>
      </c>
      <c r="O277" s="40">
        <v>0</v>
      </c>
      <c r="P277" s="15">
        <f t="shared" si="1127"/>
        <v>31246.666388237667</v>
      </c>
      <c r="Q277" s="32">
        <v>4.0612101999999997</v>
      </c>
      <c r="R277" s="40">
        <v>7693.9298508207403</v>
      </c>
      <c r="S277" s="15">
        <f t="shared" si="1276"/>
        <v>10656.364557160228</v>
      </c>
      <c r="T277" s="15">
        <f>IF((NETWORKDAYS(DATE(YEAR(C277),MONTH(C277),1),C277,Feriados!$A$2:$A$842))&gt;=5,0,IF(NETWORKDAYS(DATE(YEAR(C277),MONTH(C277),1),C277,Feriados!$A$2:$A$842)=1,S276,T276))</f>
        <v>0</v>
      </c>
      <c r="U277" s="26">
        <v>0</v>
      </c>
      <c r="V277" s="26">
        <v>0</v>
      </c>
      <c r="W277" s="15">
        <f t="shared" si="1277"/>
        <v>10429722.092702197</v>
      </c>
      <c r="X277" s="50">
        <f>'Fluxo de Caixa_'!AD283</f>
        <v>0</v>
      </c>
      <c r="AB277" s="26">
        <v>3028.0952000000002</v>
      </c>
      <c r="AC277" s="26">
        <v>0</v>
      </c>
      <c r="AD277">
        <v>0</v>
      </c>
      <c r="AE277">
        <f ca="1">-SUMIF('[1]Fluxo de Movimentações'!$A$5:$F$10001,"="&amp;$C277,'[1]Fluxo de Movimentações'!$H$5:$H$10001)</f>
        <v>0</v>
      </c>
      <c r="AF277" s="26">
        <v>0</v>
      </c>
      <c r="AG277" s="26">
        <v>0</v>
      </c>
      <c r="AH277" s="26">
        <v>0</v>
      </c>
      <c r="AI277" s="26">
        <v>0</v>
      </c>
      <c r="AJ277" s="26">
        <v>-85187.777502448007</v>
      </c>
      <c r="AK277" s="68">
        <v>4.7056354000000002</v>
      </c>
      <c r="AL277" s="15">
        <f>-SUMIFS([1]Master!$J$1:$J$200,[1]Master!$A$1:$A$200,"="&amp;$I$12,[1]Master!$G$1:$G$200,"&gt;"&amp;C277,[1]Master!$E$1:$E$200,"&lt;="&amp;C277)</f>
        <v>0</v>
      </c>
      <c r="AM277" s="26">
        <v>0</v>
      </c>
      <c r="AN277" s="26">
        <v>0</v>
      </c>
    </row>
    <row r="278" spans="3:40">
      <c r="C278" s="1">
        <f>WORKDAY(C277,1,Feriados!A85:A925)</f>
        <v>45261</v>
      </c>
      <c r="D278" s="39">
        <v>10446525.9542</v>
      </c>
      <c r="E278" s="32">
        <v>4.7166665999999999</v>
      </c>
      <c r="F278" s="88">
        <f>SUMIF([1]HSF!$H$2:$H$30,"="&amp;"APLICAÇÃO",[1]HSF!$K$2:$K$30)</f>
        <v>2283952.1146078166</v>
      </c>
      <c r="G278" s="15">
        <f t="shared" ref="G278" si="1293">H278*I278</f>
        <v>10523133.898358997</v>
      </c>
      <c r="H278" s="32">
        <v>1.1812122</v>
      </c>
      <c r="I278" s="15">
        <f>SUMIFS([1]Master!$K$2:$K$10000,[1]Master!$A$2:$A$10000,$I$12,[1]Master!$F$2:$F$10000,"&lt;="&amp;$C278)</f>
        <v>8908758.2217310295</v>
      </c>
      <c r="J278" s="15">
        <f t="shared" ref="J278" si="1294">K278*L278</f>
        <v>0</v>
      </c>
      <c r="K278" s="43">
        <v>0</v>
      </c>
      <c r="L278" s="40">
        <v>0</v>
      </c>
      <c r="M278" s="15">
        <f t="shared" ref="M278" si="1295">N278*O278</f>
        <v>0</v>
      </c>
      <c r="N278" s="32">
        <v>0</v>
      </c>
      <c r="O278" s="40">
        <v>0</v>
      </c>
      <c r="P278" s="15">
        <f t="shared" si="1127"/>
        <v>81261.231766965037</v>
      </c>
      <c r="Q278" s="32">
        <v>4.0631032999999999</v>
      </c>
      <c r="R278" s="40">
        <v>19999.794680820702</v>
      </c>
      <c r="S278" s="15">
        <f>(((1+1.35%)^(1/252))-1)*D277</f>
        <v>550.07286749200057</v>
      </c>
      <c r="T278" s="15">
        <f>IF((NETWORKDAYS(DATE(YEAR(C278),MONTH(C278),1),C278,Feriados!$A$2:$A$842))&gt;=5,0,IF(NETWORKDAYS(DATE(YEAR(C278),MONTH(C278),1),C278,Feriados!$A$2:$A$842)=1,S277,T277))</f>
        <v>10656.364557160228</v>
      </c>
      <c r="U278" s="26">
        <v>0</v>
      </c>
      <c r="V278" s="26">
        <v>0</v>
      </c>
      <c r="W278" s="15">
        <f t="shared" ref="W278" si="1296">SUM(G278+J278+M278+P278)</f>
        <v>10604395.130125962</v>
      </c>
      <c r="X278" s="50">
        <f>'Fluxo de Caixa_'!AD284</f>
        <v>-1.267835614271462E-7</v>
      </c>
      <c r="AB278" s="26">
        <v>2995.5641999999998</v>
      </c>
      <c r="AC278" s="26">
        <v>0</v>
      </c>
      <c r="AD278">
        <f>SUMIFS([1]Master!$J$2:$J$100,[1]Master!$A$2:$A$100,"="&amp;$I$12,[1]Master!$E$2:$E$100,"="&amp;C278,[1]Master!$J$2:$J$100,"&gt;"&amp;0)</f>
        <v>0</v>
      </c>
      <c r="AE278" s="26">
        <v>-50000</v>
      </c>
      <c r="AF278" s="26">
        <v>0</v>
      </c>
      <c r="AG278" s="26">
        <v>0</v>
      </c>
      <c r="AH278" s="26">
        <v>0</v>
      </c>
      <c r="AI278" s="26">
        <v>0</v>
      </c>
      <c r="AJ278" s="26">
        <v>-99658.404991537507</v>
      </c>
      <c r="AK278" s="68">
        <v>4.7616630000000004</v>
      </c>
      <c r="AL278" s="15">
        <f>-SUMIFS([1]Master!$J$1:$J$200,[1]Master!$A$1:$A$200,"="&amp;$I$12,[1]Master!$G$1:$G$200,"&gt;"&amp;C278,[1]Master!$E$1:$E$200,"&lt;="&amp;C278)</f>
        <v>0</v>
      </c>
      <c r="AM278" s="26">
        <v>0</v>
      </c>
      <c r="AN278" s="26">
        <v>0</v>
      </c>
    </row>
    <row r="279" spans="3:40">
      <c r="C279" s="1">
        <f>WORKDAY(C278,1,Feriados!A86:A926)</f>
        <v>45264</v>
      </c>
      <c r="D279" s="39">
        <v>10410564.9932</v>
      </c>
      <c r="E279" s="32">
        <v>4.6778548000000004</v>
      </c>
      <c r="F279" s="88">
        <f>SUMIF([1]HSF!$H$2:$H$30,"="&amp;"APLICAÇÃO",[1]HSF!$K$2:$K$30)</f>
        <v>2283952.1146078166</v>
      </c>
      <c r="G279" s="15">
        <f t="shared" ref="G279" si="1297">H279*I279</f>
        <v>10414022.416275134</v>
      </c>
      <c r="H279" s="32">
        <v>1.1702554000000001</v>
      </c>
      <c r="I279" s="15">
        <f>SUMIFS([1]Master!$K$2:$K$10000,[1]Master!$A$2:$A$10000,$I$12,[1]Master!$F$2:$F$10000,"&lt;="&amp;$C279)</f>
        <v>8898931.3070250601</v>
      </c>
      <c r="J279" s="15">
        <f t="shared" ref="J279" si="1298">K279*L279</f>
        <v>0</v>
      </c>
      <c r="K279" s="43">
        <v>0</v>
      </c>
      <c r="L279" s="40">
        <v>0</v>
      </c>
      <c r="M279" s="15">
        <f t="shared" ref="M279" si="1299">N279*O279</f>
        <v>0</v>
      </c>
      <c r="N279" s="32">
        <v>0</v>
      </c>
      <c r="O279" s="40">
        <v>0</v>
      </c>
      <c r="P279" s="15">
        <f t="shared" si="1127"/>
        <v>31298.259387808623</v>
      </c>
      <c r="Q279" s="32">
        <v>4.0649547000000004</v>
      </c>
      <c r="R279" s="40">
        <v>7699.53460682074</v>
      </c>
      <c r="S279" s="15">
        <f t="shared" si="1276"/>
        <v>1105.9790959587262</v>
      </c>
      <c r="T279" s="15">
        <f>IF((NETWORKDAYS(DATE(YEAR(C279),MONTH(C279),1),C279,Feriados!$A$2:$A$842))&gt;=5,0,IF(NETWORKDAYS(DATE(YEAR(C279),MONTH(C279),1),C279,Feriados!$A$2:$A$842)=1,S278,T278))</f>
        <v>10656.364557160228</v>
      </c>
      <c r="U279" s="26">
        <v>0</v>
      </c>
      <c r="V279" s="26">
        <v>0</v>
      </c>
      <c r="W279" s="15">
        <f t="shared" ref="W279" si="1300">SUM(G279+J279+M279+P279)</f>
        <v>10445320.675662942</v>
      </c>
      <c r="X279" s="50">
        <f>'Fluxo de Caixa_'!AD285</f>
        <v>-9.7150041256099939E-7</v>
      </c>
      <c r="AB279" s="26">
        <v>2963.0331999999999</v>
      </c>
      <c r="AC279" s="26">
        <v>0</v>
      </c>
      <c r="AD279">
        <f>SUMIFS([1]Master!$J$2:$J$100,[1]Master!$A$2:$A$100,"="&amp;$I$12,[1]Master!$E$2:$E$100,"="&amp;C279,[1]Master!$J$2:$J$100,"&gt;"&amp;0)</f>
        <v>50000</v>
      </c>
      <c r="AE279">
        <v>0</v>
      </c>
      <c r="AF279" s="26">
        <v>0</v>
      </c>
      <c r="AG279" s="26">
        <v>0</v>
      </c>
      <c r="AH279" s="26">
        <v>0</v>
      </c>
      <c r="AI279" s="26">
        <v>0</v>
      </c>
      <c r="AJ279" s="26">
        <v>-87456.5342244036</v>
      </c>
      <c r="AK279" s="68">
        <v>4.7173419000000001</v>
      </c>
      <c r="AL279" s="15">
        <f>-SUMIFS([1]Master!$J$1:$J$200,[1]Master!$A$1:$A$200,"="&amp;$I$12,[1]Master!$G$1:$G$200,"&gt;"&amp;C279,[1]Master!$E$1:$E$200,"&lt;="&amp;C279)</f>
        <v>11500</v>
      </c>
      <c r="AM279" s="26">
        <v>0</v>
      </c>
      <c r="AN279" s="26">
        <v>0</v>
      </c>
    </row>
    <row r="280" spans="3:40">
      <c r="C280" s="1">
        <f>WORKDAY(C279,1,Feriados!A87:A927)</f>
        <v>45265</v>
      </c>
      <c r="D280" s="39">
        <v>10415826.312200001</v>
      </c>
      <c r="E280" s="32">
        <v>4.6802188999999998</v>
      </c>
      <c r="F280" s="88">
        <f>SUMIF([1]HSF!$H$2:$H$30,"="&amp;"APLICAÇÃO",[1]HSF!$K$2:$K$30)</f>
        <v>2283952.1146078166</v>
      </c>
      <c r="G280" s="15">
        <f t="shared" ref="G280" si="1301">H280*I280</f>
        <v>10470091.487426525</v>
      </c>
      <c r="H280" s="32">
        <v>1.1709373999999999</v>
      </c>
      <c r="I280" s="15">
        <f>SUMIFS([1]Master!$K$2:$K$10000,[1]Master!$A$2:$A$10000,$I$12,[1]Master!$F$2:$F$10000,"&lt;="&amp;$C280)</f>
        <v>8941632.1380003113</v>
      </c>
      <c r="J280" s="15">
        <f t="shared" ref="J280" si="1302">K280*L280</f>
        <v>0</v>
      </c>
      <c r="K280" s="43">
        <v>0</v>
      </c>
      <c r="L280" s="40">
        <v>0</v>
      </c>
      <c r="M280" s="15">
        <f t="shared" ref="M280" si="1303">N280*O280</f>
        <v>0</v>
      </c>
      <c r="N280" s="32">
        <v>0</v>
      </c>
      <c r="O280" s="40">
        <v>0</v>
      </c>
      <c r="P280" s="15">
        <f t="shared" si="1127"/>
        <v>31312.570512782317</v>
      </c>
      <c r="Q280" s="32">
        <v>4.0668134</v>
      </c>
      <c r="R280" s="40">
        <v>7699.53460682074</v>
      </c>
      <c r="S280" s="15">
        <f t="shared" ref="S280" si="1304">(((1+1.35%)^(1/252))-1)*D279+SUM(S279)</f>
        <v>1659.9716813359507</v>
      </c>
      <c r="T280" s="15">
        <f>IF((NETWORKDAYS(DATE(YEAR(C280),MONTH(C280),1),C280,Feriados!$A$2:$A$842))&gt;=5,0,IF(NETWORKDAYS(DATE(YEAR(C280),MONTH(C280),1),C280,Feriados!$A$2:$A$842)=1,S279,T279))</f>
        <v>10656.364557160228</v>
      </c>
      <c r="U280" s="26">
        <v>0</v>
      </c>
      <c r="V280" s="26">
        <v>0</v>
      </c>
      <c r="W280" s="15">
        <f t="shared" ref="W280" si="1305">SUM(G280+J280+M280+P280)</f>
        <v>10501404.057939308</v>
      </c>
      <c r="X280" s="50">
        <f>'Fluxo de Caixa_'!AD286</f>
        <v>0</v>
      </c>
      <c r="AB280" s="26">
        <v>2930.5021999999999</v>
      </c>
      <c r="AC280" s="26">
        <v>0</v>
      </c>
      <c r="AD280">
        <f>SUMIFS([1]Master!$J$2:$J$100,[1]Master!$A$2:$A$100,"="&amp;$I$12,[1]Master!$E$2:$E$100,"="&amp;C280,[1]Master!$J$2:$J$100,"&gt;"&amp;0)</f>
        <v>0</v>
      </c>
      <c r="AE280">
        <v>0</v>
      </c>
      <c r="AF280" s="26">
        <v>0</v>
      </c>
      <c r="AG280" s="26">
        <v>0</v>
      </c>
      <c r="AH280" s="26">
        <v>0</v>
      </c>
      <c r="AI280" s="26">
        <v>0</v>
      </c>
      <c r="AJ280" s="26">
        <v>-87692.003372096005</v>
      </c>
      <c r="AK280" s="68">
        <v>4.7196221999999999</v>
      </c>
      <c r="AL280" s="15">
        <f>-SUMIFS([1]Master!$J$1:$J$200,[1]Master!$A$1:$A$200,"="&amp;$I$12,[1]Master!$G$1:$G$200,"&gt;"&amp;C280,[1]Master!$E$1:$E$200,"&lt;="&amp;C280)</f>
        <v>11500</v>
      </c>
      <c r="AM280" s="26">
        <v>0</v>
      </c>
      <c r="AN280" s="26">
        <v>0</v>
      </c>
    </row>
    <row r="281" spans="3:40">
      <c r="C281" s="1">
        <f>WORKDAY(C280,1,Feriados!A88:A928)</f>
        <v>45266</v>
      </c>
      <c r="D281" s="39">
        <v>10371179.1812</v>
      </c>
      <c r="E281" s="32">
        <v>4.6601572000000004</v>
      </c>
      <c r="F281" s="88">
        <f>SUMIF([1]HSF!$H$2:$H$30,"="&amp;"APLICAÇÃO",[1]HSF!$K$2:$K$30)</f>
        <v>2283952.1146078166</v>
      </c>
      <c r="G281" s="15">
        <f t="shared" ref="G281" si="1306">H281*I281</f>
        <v>10419446.977160107</v>
      </c>
      <c r="H281" s="32">
        <v>1.1652735000000001</v>
      </c>
      <c r="I281" s="15">
        <f>SUMIFS([1]Master!$K$2:$K$10000,[1]Master!$A$2:$A$10000,$I$12,[1]Master!$F$2:$F$10000,"&lt;="&amp;$C281)</f>
        <v>8941632.1380003113</v>
      </c>
      <c r="J281" s="15">
        <f t="shared" ref="J281" si="1307">K281*L281</f>
        <v>0</v>
      </c>
      <c r="K281" s="43">
        <v>0</v>
      </c>
      <c r="L281" s="40">
        <v>0</v>
      </c>
      <c r="M281" s="15">
        <f t="shared" ref="M281" si="1308">N281*O281</f>
        <v>0</v>
      </c>
      <c r="N281" s="32">
        <v>0</v>
      </c>
      <c r="O281" s="40">
        <v>0</v>
      </c>
      <c r="P281" s="15">
        <f t="shared" si="1127"/>
        <v>42826.488960770701</v>
      </c>
      <c r="Q281" s="32">
        <v>4.0686210999999997</v>
      </c>
      <c r="R281" s="40">
        <v>10526.0450428207</v>
      </c>
      <c r="S281" s="15">
        <f t="shared" ref="S281" si="1309">(((1+1.35%)^(1/252))-1)*D280+SUM(S280)</f>
        <v>2214.244244958084</v>
      </c>
      <c r="T281" s="15">
        <f>IF((NETWORKDAYS(DATE(YEAR(C281),MONTH(C281),1),C281,Feriados!$A$2:$A$842))&gt;=5,0,IF(NETWORKDAYS(DATE(YEAR(C281),MONTH(C281),1),C281,Feriados!$A$2:$A$842)=1,S280,T280))</f>
        <v>10656.364557160228</v>
      </c>
      <c r="U281" s="26">
        <v>0</v>
      </c>
      <c r="V281" s="26">
        <v>0</v>
      </c>
      <c r="W281" s="15">
        <f t="shared" ref="W281" si="1310">SUM(G281+J281+M281+P281)</f>
        <v>10462273.466120878</v>
      </c>
      <c r="X281" s="50">
        <f>'Fluxo de Caixa_'!AD287</f>
        <v>7.2036164056044072E-7</v>
      </c>
      <c r="AB281" s="26">
        <v>2897.97</v>
      </c>
      <c r="AC281" s="26">
        <v>0</v>
      </c>
      <c r="AD281">
        <f>SUMIFS([1]Master!$J$2:$J$100,[1]Master!$A$2:$A$100,"="&amp;$I$12,[1]Master!$E$2:$E$100,"="&amp;C281,[1]Master!$J$2:$J$100,"&gt;"&amp;0)</f>
        <v>0</v>
      </c>
      <c r="AE281">
        <v>0</v>
      </c>
      <c r="AF281" s="26">
        <v>0</v>
      </c>
      <c r="AG281" s="26">
        <v>0</v>
      </c>
      <c r="AH281" s="26">
        <v>0</v>
      </c>
      <c r="AI281" s="26">
        <v>0</v>
      </c>
      <c r="AJ281" s="26">
        <v>-81121.809829709906</v>
      </c>
      <c r="AK281" s="68">
        <v>4.6966083000000003</v>
      </c>
      <c r="AL281" s="15">
        <f>-SUMIFS([1]Master!$J$1:$J$200,[1]Master!$A$1:$A$200,"="&amp;$I$12,[1]Master!$G$1:$G$200,"&gt;"&amp;C281,[1]Master!$E$1:$E$200,"&lt;="&amp;C281)</f>
        <v>0</v>
      </c>
      <c r="AM281" s="26">
        <v>0</v>
      </c>
      <c r="AN281" s="26">
        <v>0</v>
      </c>
    </row>
    <row r="282" spans="3:40">
      <c r="C282" s="1">
        <f>WORKDAY(C281,1,Feriados!A89:A929)</f>
        <v>45267</v>
      </c>
      <c r="D282" s="39">
        <v>10447460.100199999</v>
      </c>
      <c r="E282" s="32">
        <v>4.6944331000000004</v>
      </c>
      <c r="F282" s="88">
        <f>SUMIF([1]HSF!$H$2:$H$30,"="&amp;"APLICAÇÃO",[1]HSF!$K$2:$K$30)</f>
        <v>2283952.1146078166</v>
      </c>
      <c r="G282" s="15">
        <f t="shared" ref="G282" si="1311">H282*I282</f>
        <v>10506211.210447978</v>
      </c>
      <c r="H282" s="32">
        <v>1.1749769000000001</v>
      </c>
      <c r="I282" s="15">
        <f>SUMIFS([1]Master!$K$2:$K$10000,[1]Master!$A$2:$A$10000,$I$12,[1]Master!$F$2:$F$10000,"&lt;="&amp;$C282)</f>
        <v>8941632.1380003113</v>
      </c>
      <c r="J282" s="15">
        <f t="shared" ref="J282" si="1312">K282*L282</f>
        <v>0</v>
      </c>
      <c r="K282" s="43">
        <v>0</v>
      </c>
      <c r="L282" s="40">
        <v>0</v>
      </c>
      <c r="M282" s="15">
        <f t="shared" ref="M282" si="1313">N282*O282</f>
        <v>0</v>
      </c>
      <c r="N282" s="32">
        <v>0</v>
      </c>
      <c r="O282" s="40">
        <v>0</v>
      </c>
      <c r="P282" s="15">
        <f t="shared" si="1127"/>
        <v>32189.974770246241</v>
      </c>
      <c r="Q282" s="32">
        <v>4.0704969999999996</v>
      </c>
      <c r="R282" s="40">
        <v>7908.1190258207398</v>
      </c>
      <c r="S282" s="15">
        <f t="shared" ref="S282" si="1314">(((1+1.35%)^(1/252))-1)*D281+SUM(S281)</f>
        <v>2766.1409356522327</v>
      </c>
      <c r="T282" s="15">
        <f>IF((NETWORKDAYS(DATE(YEAR(C282),MONTH(C282),1),C282,Feriados!$A$2:$A$842))&gt;=5,0,IF(NETWORKDAYS(DATE(YEAR(C282),MONTH(C282),1),C282,Feriados!$A$2:$A$842)=1,S281,T281))</f>
        <v>0</v>
      </c>
      <c r="U282" s="26">
        <v>0</v>
      </c>
      <c r="V282" s="26">
        <v>0</v>
      </c>
      <c r="W282" s="15">
        <f t="shared" ref="W282" si="1315">SUM(G282+J282+M282+P282)</f>
        <v>10538401.185218224</v>
      </c>
      <c r="X282" s="50">
        <f>'Fluxo de Caixa_'!AD288</f>
        <v>-1.5797122614458203E-6</v>
      </c>
      <c r="AB282" s="26">
        <v>2865.4402</v>
      </c>
      <c r="AC282" s="26">
        <v>0</v>
      </c>
      <c r="AD282">
        <f>SUMIFS([1]Master!$J$2:$J$100,[1]Master!$A$2:$A$100,"="&amp;$I$12,[1]Master!$E$2:$E$100,"="&amp;C282,[1]Master!$J$2:$J$100,"&gt;"&amp;0)</f>
        <v>0</v>
      </c>
      <c r="AE282">
        <v>0</v>
      </c>
      <c r="AF282" s="26">
        <v>0</v>
      </c>
      <c r="AG282" s="26">
        <v>0</v>
      </c>
      <c r="AH282" s="26">
        <v>0</v>
      </c>
      <c r="AI282" s="26">
        <v>0</v>
      </c>
      <c r="AJ282" s="26">
        <v>-91040.402702426494</v>
      </c>
      <c r="AK282" s="68">
        <v>4.735341</v>
      </c>
      <c r="AL282" s="15">
        <f>-SUMIFS([1]Master!$J$1:$J$200,[1]Master!$A$1:$A$200,"="&amp;$I$12,[1]Master!$G$1:$G$200,"&gt;"&amp;C282,[1]Master!$E$1:$E$200,"&lt;="&amp;C282)</f>
        <v>0</v>
      </c>
      <c r="AM282" s="26">
        <v>0</v>
      </c>
      <c r="AN282" s="26">
        <v>0</v>
      </c>
    </row>
    <row r="283" spans="3:40">
      <c r="C283" s="1">
        <f>WORKDAY(C282,1,Feriados!A90:A930)</f>
        <v>45268</v>
      </c>
      <c r="D283" s="39">
        <v>10492622.8792</v>
      </c>
      <c r="E283" s="32">
        <v>4.7147264</v>
      </c>
      <c r="F283" s="88">
        <f>SUMIF([1]HSF!$H$2:$H$30,"="&amp;"APLICAÇÃO",[1]HSF!$K$2:$K$30)</f>
        <v>2283952.1146078166</v>
      </c>
      <c r="G283" s="15">
        <f t="shared" ref="G283" si="1316">H283*I283</f>
        <v>10557622.018588625</v>
      </c>
      <c r="H283" s="32">
        <v>1.1807265</v>
      </c>
      <c r="I283" s="15">
        <f>SUMIFS([1]Master!$K$2:$K$10000,[1]Master!$A$2:$A$10000,$I$12,[1]Master!$F$2:$F$10000,"&lt;="&amp;$C283)</f>
        <v>8941632.1380003113</v>
      </c>
      <c r="J283" s="15">
        <f t="shared" ref="J283" si="1317">K283*L283</f>
        <v>0</v>
      </c>
      <c r="K283" s="43">
        <v>0</v>
      </c>
      <c r="L283" s="40">
        <v>0</v>
      </c>
      <c r="M283" s="15">
        <f t="shared" ref="M283" si="1318">N283*O283</f>
        <v>0</v>
      </c>
      <c r="N283" s="32">
        <v>0</v>
      </c>
      <c r="O283" s="40">
        <v>0</v>
      </c>
      <c r="P283" s="15">
        <f t="shared" si="1127"/>
        <v>32205.122772240207</v>
      </c>
      <c r="Q283" s="32">
        <v>4.0724125000000004</v>
      </c>
      <c r="R283" s="40">
        <v>7908.1190258207398</v>
      </c>
      <c r="S283" s="15">
        <f t="shared" ref="S283" si="1319">(((1+1.35%)^(1/252))-1)*D282+SUM(S282)</f>
        <v>3322.0968741930992</v>
      </c>
      <c r="T283" s="15">
        <f>IF((NETWORKDAYS(DATE(YEAR(C283),MONTH(C283),1),C283,Feriados!$A$2:$A$842))&gt;=5,0,IF(NETWORKDAYS(DATE(YEAR(C283),MONTH(C283),1),C283,Feriados!$A$2:$A$842)=1,S282,T282))</f>
        <v>0</v>
      </c>
      <c r="U283" s="26">
        <v>0</v>
      </c>
      <c r="V283" s="26">
        <v>0</v>
      </c>
      <c r="W283" s="15">
        <f t="shared" ref="W283" si="1320">SUM(G283+J283+M283+P283)</f>
        <v>10589827.141360866</v>
      </c>
      <c r="X283" s="50">
        <f>'Fluxo de Caixa_'!AD289</f>
        <v>0</v>
      </c>
      <c r="AB283" s="26">
        <v>2833.07365882353</v>
      </c>
      <c r="AC283" s="26">
        <v>0</v>
      </c>
      <c r="AD283">
        <f>SUMIFS([1]Master!$J$2:$J$100,[1]Master!$A$2:$A$100,"="&amp;$I$12,[1]Master!$E$2:$E$100,"="&amp;C283,[1]Master!$J$2:$J$100,"&gt;"&amp;0)</f>
        <v>0</v>
      </c>
      <c r="AE283">
        <v>0</v>
      </c>
      <c r="AF283" s="26">
        <v>0</v>
      </c>
      <c r="AG283" s="26">
        <v>0</v>
      </c>
      <c r="AH283" s="26">
        <v>0</v>
      </c>
      <c r="AI283" s="26">
        <v>0</v>
      </c>
      <c r="AJ283" s="26">
        <v>-96715.078583055001</v>
      </c>
      <c r="AK283" s="68">
        <v>4.7581841000000002</v>
      </c>
      <c r="AL283" s="15">
        <f>-SUMIFS([1]Master!$J$1:$J$200,[1]Master!$A$1:$A$200,"="&amp;$I$12,[1]Master!$G$1:$G$200,"&gt;"&amp;C283,[1]Master!$E$1:$E$200,"&lt;="&amp;C283)</f>
        <v>0</v>
      </c>
      <c r="AM283" s="26">
        <v>0</v>
      </c>
      <c r="AN283" s="26">
        <v>0</v>
      </c>
    </row>
    <row r="284" spans="3:40">
      <c r="C284" s="1">
        <f>WORKDAY(C283,1,Feriados!A91:A931)</f>
        <v>45271</v>
      </c>
      <c r="D284" s="39">
        <v>10407129.858200001</v>
      </c>
      <c r="E284" s="32">
        <v>4.6763111999999998</v>
      </c>
      <c r="F284" s="88">
        <f>SUMIF([1]HSF!$H$2:$H$30,"="&amp;"APLICAÇÃO",[1]HSF!$K$2:$K$30)</f>
        <v>2283952.1146078166</v>
      </c>
      <c r="G284" s="15">
        <f t="shared" ref="G284" si="1321">H284*I284</f>
        <v>10460562.390057059</v>
      </c>
      <c r="H284" s="32">
        <v>1.1698717000000001</v>
      </c>
      <c r="I284" s="15">
        <f>SUMIFS([1]Master!$K$2:$K$10000,[1]Master!$A$2:$A$10000,$I$12,[1]Master!$F$2:$F$10000,"&lt;="&amp;$C284)</f>
        <v>8941632.1380003113</v>
      </c>
      <c r="J284" s="15">
        <f t="shared" ref="J284" si="1322">K284*L284</f>
        <v>0</v>
      </c>
      <c r="K284" s="43">
        <v>0</v>
      </c>
      <c r="L284" s="40">
        <v>0</v>
      </c>
      <c r="M284" s="15">
        <f t="shared" ref="M284" si="1323">N284*O284</f>
        <v>0</v>
      </c>
      <c r="N284" s="32">
        <v>0</v>
      </c>
      <c r="O284" s="40">
        <v>0</v>
      </c>
      <c r="P284" s="15">
        <f t="shared" si="1127"/>
        <v>32220.00347981109</v>
      </c>
      <c r="Q284" s="32">
        <v>4.0742941999999998</v>
      </c>
      <c r="R284" s="40">
        <v>7908.1190258207398</v>
      </c>
      <c r="S284" s="15">
        <f t="shared" ref="S284" si="1324">(((1+1.35%)^(1/252))-1)*D283+SUM(S283)</f>
        <v>3880.4561255913727</v>
      </c>
      <c r="T284" s="15">
        <f>IF((NETWORKDAYS(DATE(YEAR(C284),MONTH(C284),1),C284,Feriados!$A$2:$A$842))&gt;=5,0,IF(NETWORKDAYS(DATE(YEAR(C284),MONTH(C284),1),C284,Feriados!$A$2:$A$842)=1,S283,T283))</f>
        <v>0</v>
      </c>
      <c r="U284" s="26">
        <v>0</v>
      </c>
      <c r="V284" s="26">
        <v>0</v>
      </c>
      <c r="W284" s="15">
        <f t="shared" ref="W284" si="1325">SUM(G284+J284+M284+P284)</f>
        <v>10492782.393536869</v>
      </c>
      <c r="X284" s="50">
        <f>'Fluxo de Caixa_'!AD290</f>
        <v>0</v>
      </c>
      <c r="AB284" s="26">
        <v>2800.3782000000001</v>
      </c>
      <c r="AC284" s="26">
        <v>0</v>
      </c>
      <c r="AD284">
        <f>SUMIFS([1]Master!$J$2:$J$100,[1]Master!$A$2:$A$100,"="&amp;$I$12,[1]Master!$E$2:$E$100,"="&amp;C284,[1]Master!$J$2:$J$100,"&gt;"&amp;0)</f>
        <v>0</v>
      </c>
      <c r="AE284">
        <v>0</v>
      </c>
      <c r="AF284" s="26">
        <v>0</v>
      </c>
      <c r="AG284" s="26">
        <v>0</v>
      </c>
      <c r="AH284" s="26">
        <v>0</v>
      </c>
      <c r="AI284" s="26">
        <v>0</v>
      </c>
      <c r="AJ284" s="26">
        <v>-84572.49</v>
      </c>
      <c r="AK284" s="68">
        <v>4.7143128000000001</v>
      </c>
      <c r="AL284" s="15">
        <f>-SUMIFS([1]Master!$J$1:$J$200,[1]Master!$A$1:$A$200,"="&amp;$I$12,[1]Master!$G$1:$G$200,"&gt;"&amp;C284,[1]Master!$E$1:$E$200,"&lt;="&amp;C284)</f>
        <v>0</v>
      </c>
      <c r="AM284" s="26">
        <v>0</v>
      </c>
      <c r="AN284" s="26">
        <v>0</v>
      </c>
    </row>
    <row r="285" spans="3:40">
      <c r="C285" s="1">
        <f>WORKDAY(C284,1,Feriados!A92:A932)</f>
        <v>45272</v>
      </c>
      <c r="D285" s="39">
        <v>10447836.997199999</v>
      </c>
      <c r="E285" s="32">
        <v>4.6946025000000002</v>
      </c>
      <c r="F285" s="88">
        <f>SUMIF([1]HSF!$H$2:$H$30,"="&amp;"APLICAÇÃO",[1]HSF!$K$2:$K$30)</f>
        <v>2283952.1146078166</v>
      </c>
      <c r="G285" s="15">
        <f t="shared" ref="G285" si="1326">H285*I285</f>
        <v>10507136.669374261</v>
      </c>
      <c r="H285" s="32">
        <v>1.1750803999999999</v>
      </c>
      <c r="I285" s="15">
        <f>SUMIFS([1]Master!$K$2:$K$10000,[1]Master!$A$2:$A$10000,$I$12,[1]Master!$F$2:$F$10000,"&lt;="&amp;$C285)</f>
        <v>8941632.1380003113</v>
      </c>
      <c r="J285" s="15">
        <f t="shared" ref="J285" si="1327">K285*L285</f>
        <v>0</v>
      </c>
      <c r="K285" s="43">
        <v>0</v>
      </c>
      <c r="L285" s="40">
        <v>0</v>
      </c>
      <c r="M285" s="15">
        <f t="shared" ref="M285" si="1328">N285*O285</f>
        <v>0</v>
      </c>
      <c r="N285" s="32">
        <v>0</v>
      </c>
      <c r="O285" s="40">
        <v>0</v>
      </c>
      <c r="P285" s="15">
        <f t="shared" si="1127"/>
        <v>32234.472174380735</v>
      </c>
      <c r="Q285" s="32">
        <v>4.0761238000000004</v>
      </c>
      <c r="R285" s="40">
        <v>7908.1190258207398</v>
      </c>
      <c r="S285" s="15">
        <f t="shared" ref="S285" si="1329">(((1+1.35%)^(1/252))-1)*D284+SUM(S284)</f>
        <v>4434.2659121175247</v>
      </c>
      <c r="T285" s="15">
        <f>IF((NETWORKDAYS(DATE(YEAR(C285),MONTH(C285),1),C285,Feriados!$A$2:$A$842))&gt;=5,0,IF(NETWORKDAYS(DATE(YEAR(C285),MONTH(C285),1),C285,Feriados!$A$2:$A$842)=1,S284,T284))</f>
        <v>0</v>
      </c>
      <c r="U285" s="26">
        <v>0</v>
      </c>
      <c r="V285" s="26">
        <v>0</v>
      </c>
      <c r="W285" s="15">
        <f t="shared" ref="W285" si="1330">SUM(G285+J285+M285+P285)</f>
        <v>10539371.141548641</v>
      </c>
      <c r="X285" s="50">
        <f>'Fluxo de Caixa_'!AD291</f>
        <v>0</v>
      </c>
      <c r="AB285" s="26">
        <v>2767.8472000000002</v>
      </c>
      <c r="AC285" s="26">
        <v>0</v>
      </c>
      <c r="AD285">
        <f>SUMIFS([1]Master!$J$2:$J$100,[1]Master!$A$2:$A$100,"="&amp;$I$12,[1]Master!$E$2:$E$100,"="&amp;C285,[1]Master!$J$2:$J$100,"&gt;"&amp;0)</f>
        <v>0</v>
      </c>
      <c r="AE285">
        <v>0</v>
      </c>
      <c r="AF285" s="26">
        <v>0</v>
      </c>
      <c r="AG285" s="26">
        <v>0</v>
      </c>
      <c r="AH285" s="26">
        <v>0</v>
      </c>
      <c r="AI285" s="26">
        <v>0</v>
      </c>
      <c r="AJ285" s="26">
        <v>-89867.828470046006</v>
      </c>
      <c r="AK285" s="68">
        <v>4.7349834</v>
      </c>
      <c r="AL285" s="15">
        <f>-SUMIFS([1]Master!$J$1:$J$200,[1]Master!$A$1:$A$200,"="&amp;$I$12,[1]Master!$G$1:$G$200,"&gt;"&amp;C285,[1]Master!$E$1:$E$200,"&lt;="&amp;C285)</f>
        <v>0</v>
      </c>
      <c r="AM285" s="26">
        <v>0</v>
      </c>
      <c r="AN285" s="26">
        <v>0</v>
      </c>
    </row>
    <row r="286" spans="3:40">
      <c r="C286" s="1">
        <f>WORKDAY(C285,1,Feriados!A93:A933)</f>
        <v>45273</v>
      </c>
      <c r="D286" s="39">
        <v>10727528.426200001</v>
      </c>
      <c r="E286" s="32">
        <v>4.8202781999999997</v>
      </c>
      <c r="F286" s="88">
        <f>SUMIF([1]HSF!$H$2:$H$30,"="&amp;"APLICAÇÃO",[1]HSF!$K$2:$K$30)</f>
        <v>2283952.1146078166</v>
      </c>
      <c r="G286" s="15">
        <f t="shared" ref="G286" si="1331">H286*I286</f>
        <v>10825077.859957993</v>
      </c>
      <c r="H286" s="32">
        <v>1.2106378</v>
      </c>
      <c r="I286" s="15">
        <f>SUMIFS([1]Master!$K$2:$K$10000,[1]Master!$A$2:$A$10000,$I$12,[1]Master!$F$2:$F$10000,"&lt;="&amp;$C286)</f>
        <v>8941632.1380003113</v>
      </c>
      <c r="J286" s="15">
        <f t="shared" ref="J286" si="1332">K286*L286</f>
        <v>0</v>
      </c>
      <c r="K286" s="43">
        <v>0</v>
      </c>
      <c r="L286" s="40">
        <v>0</v>
      </c>
      <c r="M286" s="15">
        <f t="shared" ref="M286" si="1333">N286*O286</f>
        <v>0</v>
      </c>
      <c r="N286" s="32">
        <v>0</v>
      </c>
      <c r="O286" s="40">
        <v>0</v>
      </c>
      <c r="P286" s="15">
        <f t="shared" si="1127"/>
        <v>32248.901328355249</v>
      </c>
      <c r="Q286" s="32">
        <v>4.0779484000000004</v>
      </c>
      <c r="R286" s="40">
        <v>7908.1190258207398</v>
      </c>
      <c r="S286" s="15">
        <f t="shared" ref="S286" si="1334">(((1+1.35%)^(1/252))-1)*D285+SUM(S285)</f>
        <v>4990.241907028395</v>
      </c>
      <c r="T286" s="15">
        <f>IF((NETWORKDAYS(DATE(YEAR(C286),MONTH(C286),1),C286,Feriados!$A$2:$A$842))&gt;=5,0,IF(NETWORKDAYS(DATE(YEAR(C286),MONTH(C286),1),C286,Feriados!$A$2:$A$842)=1,S285,T285))</f>
        <v>0</v>
      </c>
      <c r="U286" s="26">
        <v>0</v>
      </c>
      <c r="V286" s="26">
        <v>0</v>
      </c>
      <c r="W286" s="15">
        <f t="shared" ref="W286" si="1335">SUM(G286+J286+M286+P286)</f>
        <v>10857326.761286348</v>
      </c>
      <c r="X286" s="50">
        <f>'Fluxo de Caixa_'!AD292</f>
        <v>0</v>
      </c>
      <c r="AB286" s="26">
        <v>2735.3162000000002</v>
      </c>
      <c r="AC286" s="26">
        <v>0</v>
      </c>
      <c r="AD286">
        <f>SUMIFS([1]Master!$J$2:$J$100,[1]Master!$A$2:$A$100,"="&amp;$I$12,[1]Master!$E$2:$E$100,"="&amp;C286,[1]Master!$J$2:$J$100,"&gt;"&amp;0)</f>
        <v>0</v>
      </c>
      <c r="AE286">
        <v>0</v>
      </c>
      <c r="AF286" s="26">
        <v>0</v>
      </c>
      <c r="AG286" s="26">
        <v>0</v>
      </c>
      <c r="AH286" s="26">
        <v>0</v>
      </c>
      <c r="AI286" s="26">
        <v>0</v>
      </c>
      <c r="AJ286" s="26">
        <v>-127543.514075902</v>
      </c>
      <c r="AK286" s="68">
        <v>4.8775883000000002</v>
      </c>
      <c r="AL286" s="15">
        <f>-SUMIFS([1]Master!$J$1:$J$200,[1]Master!$A$1:$A$200,"="&amp;$I$12,[1]Master!$G$1:$G$200,"&gt;"&amp;C286,[1]Master!$E$1:$E$200,"&lt;="&amp;C286)</f>
        <v>0</v>
      </c>
      <c r="AM286" s="26">
        <v>0</v>
      </c>
      <c r="AN286" s="26">
        <v>0</v>
      </c>
    </row>
    <row r="287" spans="3:40">
      <c r="C287" s="1">
        <f>WORKDAY(C286,1,Feriados!A94:A934)</f>
        <v>45274</v>
      </c>
      <c r="D287" s="39">
        <v>10779768.885199999</v>
      </c>
      <c r="E287" s="32">
        <v>4.8437517999999997</v>
      </c>
      <c r="F287" s="88">
        <f>SUMIF([1]HSF!$H$2:$H$30,"="&amp;"APLICAÇÃO",[1]HSF!$K$2:$K$30)</f>
        <v>2283952.1146078166</v>
      </c>
      <c r="G287" s="15">
        <f t="shared" ref="G287" si="1336">H287*I287</f>
        <v>10884568.326898536</v>
      </c>
      <c r="H287" s="32">
        <v>1.2172909999999999</v>
      </c>
      <c r="I287" s="15">
        <f>SUMIFS([1]Master!$K$2:$K$10000,[1]Master!$A$2:$A$10000,$I$12,[1]Master!$F$2:$F$10000,"&lt;="&amp;$C287)</f>
        <v>8941632.1380003113</v>
      </c>
      <c r="J287" s="15">
        <f t="shared" ref="J287" si="1337">K287*L287</f>
        <v>0</v>
      </c>
      <c r="K287" s="43">
        <v>0</v>
      </c>
      <c r="L287" s="40">
        <v>0</v>
      </c>
      <c r="M287" s="15">
        <f t="shared" ref="M287" si="1338">N287*O287</f>
        <v>0</v>
      </c>
      <c r="N287" s="32">
        <v>0</v>
      </c>
      <c r="O287" s="40">
        <v>0</v>
      </c>
      <c r="P287" s="15">
        <f t="shared" si="1127"/>
        <v>32263.440405184218</v>
      </c>
      <c r="Q287" s="32">
        <v>4.0797869000000002</v>
      </c>
      <c r="R287" s="40">
        <v>7908.1190258207398</v>
      </c>
      <c r="S287" s="15">
        <f t="shared" ref="S287" si="1339">(((1+1.35%)^(1/252))-1)*D286+SUM(S286)</f>
        <v>5561.1015300575054</v>
      </c>
      <c r="T287" s="15">
        <f>IF((NETWORKDAYS(DATE(YEAR(C287),MONTH(C287),1),C287,Feriados!$A$2:$A$842))&gt;=5,0,IF(NETWORKDAYS(DATE(YEAR(C287),MONTH(C287),1),C287,Feriados!$A$2:$A$842)=1,S286,T286))</f>
        <v>0</v>
      </c>
      <c r="U287" s="26">
        <v>0</v>
      </c>
      <c r="V287" s="26">
        <v>0</v>
      </c>
      <c r="W287" s="15">
        <f t="shared" ref="W287" si="1340">SUM(G287+J287+M287+P287)</f>
        <v>10916831.76730372</v>
      </c>
      <c r="X287" s="50">
        <f>'Fluxo de Caixa_'!AD293</f>
        <v>0</v>
      </c>
      <c r="AB287" s="26">
        <v>2702.7851999999998</v>
      </c>
      <c r="AC287" s="26">
        <v>0</v>
      </c>
      <c r="AD287">
        <f>SUMIFS([1]Master!$J$2:$J$100,[1]Master!$A$2:$A$100,"="&amp;$I$12,[1]Master!$E$2:$E$100,"="&amp;C287,[1]Master!$J$2:$J$100,"&gt;"&amp;0)</f>
        <v>0</v>
      </c>
      <c r="AE287">
        <v>0</v>
      </c>
      <c r="AF287" s="26">
        <v>0</v>
      </c>
      <c r="AG287" s="26">
        <v>0</v>
      </c>
      <c r="AH287" s="26">
        <v>0</v>
      </c>
      <c r="AI287" s="26">
        <v>0</v>
      </c>
      <c r="AJ287" s="26">
        <v>-134204.593301557</v>
      </c>
      <c r="AK287" s="68">
        <v>4.9040549999999996</v>
      </c>
      <c r="AL287" s="15">
        <f>-SUMIFS([1]Master!$J$1:$J$200,[1]Master!$A$1:$A$200,"="&amp;$I$12,[1]Master!$G$1:$G$200,"&gt;"&amp;C287,[1]Master!$E$1:$E$200,"&lt;="&amp;C287)</f>
        <v>0</v>
      </c>
      <c r="AM287" s="26">
        <v>0</v>
      </c>
      <c r="AN287" s="26">
        <v>0</v>
      </c>
    </row>
    <row r="288" spans="3:40">
      <c r="C288" s="1">
        <f>WORKDAY(C287,1,Feriados!A95:A935)</f>
        <v>45275</v>
      </c>
      <c r="D288" s="39">
        <v>10697861.4142</v>
      </c>
      <c r="E288" s="32">
        <v>4.8069477000000003</v>
      </c>
      <c r="F288" s="88">
        <f>SUMIF([1]HSF!$H$2:$H$30,"="&amp;"APLICAÇÃO",[1]HSF!$K$2:$K$30)</f>
        <v>2283952.1146078166</v>
      </c>
      <c r="G288" s="15">
        <f t="shared" ref="G288" si="1341">H288*I288</f>
        <v>10791622.743313665</v>
      </c>
      <c r="H288" s="32">
        <v>1.2068962999999999</v>
      </c>
      <c r="I288" s="15">
        <f>SUMIFS([1]Master!$K$2:$K$10000,[1]Master!$A$2:$A$10000,$I$12,[1]Master!$F$2:$F$10000,"&lt;="&amp;$C288)</f>
        <v>8941632.1380003113</v>
      </c>
      <c r="J288" s="15">
        <f t="shared" ref="J288" si="1342">K288*L288</f>
        <v>0</v>
      </c>
      <c r="K288" s="43">
        <v>0</v>
      </c>
      <c r="L288" s="40">
        <v>0</v>
      </c>
      <c r="M288" s="15">
        <f t="shared" ref="M288" si="1343">N288*O288</f>
        <v>0</v>
      </c>
      <c r="N288" s="32">
        <v>0</v>
      </c>
      <c r="O288" s="40">
        <v>0</v>
      </c>
      <c r="P288" s="15">
        <f t="shared" si="1127"/>
        <v>32277.32389894595</v>
      </c>
      <c r="Q288" s="32">
        <v>4.0815425000000003</v>
      </c>
      <c r="R288" s="40">
        <v>7908.1190258207398</v>
      </c>
      <c r="S288" s="15">
        <f t="shared" ref="S288" si="1344">(((1+1.35%)^(1/252))-1)*D287+SUM(S287)</f>
        <v>6134.7411008571362</v>
      </c>
      <c r="T288" s="15">
        <f>IF((NETWORKDAYS(DATE(YEAR(C288),MONTH(C288),1),C288,Feriados!$A$2:$A$842))&gt;=5,0,IF(NETWORKDAYS(DATE(YEAR(C288),MONTH(C288),1),C288,Feriados!$A$2:$A$842)=1,S287,T287))</f>
        <v>0</v>
      </c>
      <c r="U288" s="26">
        <v>0</v>
      </c>
      <c r="V288" s="26">
        <v>0</v>
      </c>
      <c r="W288" s="15">
        <f t="shared" ref="W288" si="1345">SUM(G288+J288+M288+P288)</f>
        <v>10823900.067212611</v>
      </c>
      <c r="X288" s="50">
        <f>'Fluxo de Caixa_'!AD294</f>
        <v>0</v>
      </c>
      <c r="AB288" s="26">
        <v>2670.2541999999999</v>
      </c>
      <c r="AC288" s="26">
        <v>0</v>
      </c>
      <c r="AD288">
        <f>SUMIFS([1]Master!$J$2:$J$100,[1]Master!$A$2:$A$100,"="&amp;$I$12,[1]Master!$E$2:$E$100,"="&amp;C288,[1]Master!$J$2:$J$100,"&gt;"&amp;0)</f>
        <v>0</v>
      </c>
      <c r="AE288">
        <v>0</v>
      </c>
      <c r="AF288" s="26">
        <v>0</v>
      </c>
      <c r="AG288" s="26">
        <v>0</v>
      </c>
      <c r="AH288" s="26">
        <v>0</v>
      </c>
      <c r="AI288" s="26">
        <v>0</v>
      </c>
      <c r="AJ288" s="26">
        <v>-122574.223596588</v>
      </c>
      <c r="AK288" s="68">
        <v>4.8620248999999998</v>
      </c>
      <c r="AL288" s="15">
        <f>-SUMIFS([1]Master!$J$1:$J$200,[1]Master!$A$1:$A$200,"="&amp;$I$12,[1]Master!$G$1:$G$200,"&gt;"&amp;C288,[1]Master!$E$1:$E$200,"&lt;="&amp;C288)</f>
        <v>0</v>
      </c>
      <c r="AM288" s="26">
        <v>0</v>
      </c>
      <c r="AN288" s="26">
        <v>0</v>
      </c>
    </row>
    <row r="289" spans="3:40">
      <c r="C289" s="1">
        <f>WORKDAY(C288,1,Feriados!A96:A936)</f>
        <v>45278</v>
      </c>
      <c r="D289" s="39">
        <v>10747716.0832</v>
      </c>
      <c r="E289" s="32">
        <v>4.8293492999999996</v>
      </c>
      <c r="F289" s="88">
        <f>SUMIF([1]HSF!$H$2:$H$30,"="&amp;"APLICAÇÃO",[1]HSF!$K$2:$K$30)</f>
        <v>2283952.1146078166</v>
      </c>
      <c r="G289" s="15">
        <f t="shared" ref="G289" si="1346">H289*I289</f>
        <v>10848314.479395015</v>
      </c>
      <c r="H289" s="32">
        <v>1.2132365000000001</v>
      </c>
      <c r="I289" s="15">
        <f>SUMIFS([1]Master!$K$2:$K$10000,[1]Master!$A$2:$A$10000,$I$12,[1]Master!$F$2:$F$10000,"&lt;="&amp;$C289)</f>
        <v>8941632.1380003113</v>
      </c>
      <c r="J289" s="15">
        <f t="shared" ref="J289" si="1347">K289*L289</f>
        <v>0</v>
      </c>
      <c r="K289" s="43">
        <v>0</v>
      </c>
      <c r="L289" s="40">
        <v>0</v>
      </c>
      <c r="M289" s="15">
        <f t="shared" ref="M289" si="1348">N289*O289</f>
        <v>0</v>
      </c>
      <c r="N289" s="32">
        <v>0</v>
      </c>
      <c r="O289" s="40">
        <v>0</v>
      </c>
      <c r="P289" s="15">
        <f t="shared" si="1127"/>
        <v>32291.379789702441</v>
      </c>
      <c r="Q289" s="32">
        <v>4.0833199000000002</v>
      </c>
      <c r="R289" s="40">
        <v>7908.1190258207398</v>
      </c>
      <c r="S289" s="15">
        <f t="shared" ref="S289" si="1349">(((1+1.35%)^(1/252))-1)*D288+SUM(S288)</f>
        <v>6704.0220098885884</v>
      </c>
      <c r="T289" s="15">
        <f>IF((NETWORKDAYS(DATE(YEAR(C289),MONTH(C289),1),C289,Feriados!$A$2:$A$842))&gt;=5,0,IF(NETWORKDAYS(DATE(YEAR(C289),MONTH(C289),1),C289,Feriados!$A$2:$A$842)=1,S288,T288))</f>
        <v>0</v>
      </c>
      <c r="U289" s="26">
        <v>0</v>
      </c>
      <c r="V289" s="26">
        <v>0</v>
      </c>
      <c r="W289" s="15">
        <f t="shared" ref="W289" si="1350">SUM(G289+J289+M289+P289)</f>
        <v>10880605.859184718</v>
      </c>
      <c r="X289" s="50">
        <f>'Fluxo de Caixa_'!AD295</f>
        <v>0</v>
      </c>
      <c r="AB289" s="26">
        <v>2637.7231999999999</v>
      </c>
      <c r="AC289" s="26">
        <v>0</v>
      </c>
      <c r="AD289">
        <f>SUMIFS([1]Master!$J$2:$J$100,[1]Master!$A$2:$A$100,"="&amp;$I$12,[1]Master!$E$2:$E$100,"="&amp;C289,[1]Master!$J$2:$J$100,"&gt;"&amp;0)</f>
        <v>0</v>
      </c>
      <c r="AE289">
        <v>0</v>
      </c>
      <c r="AF289" s="26">
        <v>0</v>
      </c>
      <c r="AG289" s="26">
        <v>0</v>
      </c>
      <c r="AH289" s="26">
        <v>0</v>
      </c>
      <c r="AI289" s="26">
        <v>0</v>
      </c>
      <c r="AJ289" s="26">
        <v>-128823.556068329</v>
      </c>
      <c r="AK289" s="68">
        <v>4.8872344999999999</v>
      </c>
      <c r="AL289" s="15">
        <f>-SUMIFS([1]Master!$J$1:$J$200,[1]Master!$A$1:$A$200,"="&amp;$I$12,[1]Master!$G$1:$G$200,"&gt;"&amp;C289,[1]Master!$E$1:$E$200,"&lt;="&amp;C289)</f>
        <v>0</v>
      </c>
      <c r="AM289" s="26">
        <v>0</v>
      </c>
      <c r="AN289" s="26">
        <v>0</v>
      </c>
    </row>
    <row r="290" spans="3:40">
      <c r="C290" s="1">
        <f>WORKDAY(C289,1,Feriados!A97:A937)</f>
        <v>45279</v>
      </c>
      <c r="D290" s="39">
        <v>10799989.003</v>
      </c>
      <c r="E290" s="32">
        <v>4.8528374999999997</v>
      </c>
      <c r="F290" s="88">
        <f>SUMIF([1]HSF!$H$2:$H$30,"="&amp;"APLICAÇÃO",[1]HSF!$K$2:$K$30)</f>
        <v>2283952.1146078166</v>
      </c>
      <c r="G290" s="15">
        <f t="shared" ref="G290" si="1351">H290*I290</f>
        <v>10907757.555685228</v>
      </c>
      <c r="H290" s="32">
        <v>1.2198844</v>
      </c>
      <c r="I290" s="15">
        <f>SUMIFS([1]Master!$K$2:$K$10000,[1]Master!$A$2:$A$10000,$I$12,[1]Master!$F$2:$F$10000,"&lt;="&amp;$C290)</f>
        <v>8941632.1380003113</v>
      </c>
      <c r="J290" s="15">
        <f t="shared" ref="J290" si="1352">K290*L290</f>
        <v>0</v>
      </c>
      <c r="K290" s="43">
        <v>0</v>
      </c>
      <c r="L290" s="40">
        <v>0</v>
      </c>
      <c r="M290" s="15">
        <f t="shared" ref="M290" si="1353">N290*O290</f>
        <v>0</v>
      </c>
      <c r="N290" s="32">
        <v>0</v>
      </c>
      <c r="O290" s="40">
        <v>0</v>
      </c>
      <c r="P290" s="15">
        <f t="shared" si="1127"/>
        <v>32305.410374478051</v>
      </c>
      <c r="Q290" s="32">
        <v>4.0850941000000001</v>
      </c>
      <c r="R290" s="40">
        <v>7908.1190258207398</v>
      </c>
      <c r="S290" s="15">
        <f t="shared" ref="S290" si="1354">(((1+1.35%)^(1/252))-1)*D289+SUM(S289)</f>
        <v>7275.9559081661073</v>
      </c>
      <c r="T290" s="15">
        <f>IF((NETWORKDAYS(DATE(YEAR(C290),MONTH(C290),1),C290,Feriados!$A$2:$A$842))&gt;=5,0,IF(NETWORKDAYS(DATE(YEAR(C290),MONTH(C290),1),C290,Feriados!$A$2:$A$842)=1,S289,T289))</f>
        <v>0</v>
      </c>
      <c r="U290" s="26">
        <v>0</v>
      </c>
      <c r="V290" s="26">
        <v>0</v>
      </c>
      <c r="W290" s="15">
        <f t="shared" ref="W290" si="1355">SUM(G290+J290+M290+P290)</f>
        <v>10940062.966059705</v>
      </c>
      <c r="X290" s="50">
        <f>'Fluxo de Caixa_'!AD296</f>
        <v>0</v>
      </c>
      <c r="AB290" s="26">
        <v>2605.1930000000002</v>
      </c>
      <c r="AC290" s="26">
        <v>0</v>
      </c>
      <c r="AD290">
        <f>SUMIFS([1]Master!$J$2:$J$100,[1]Master!$A$2:$A$100,"="&amp;$I$12,[1]Master!$E$2:$E$100,"="&amp;C290,[1]Master!$J$2:$J$100,"&gt;"&amp;0)</f>
        <v>0</v>
      </c>
      <c r="AE290">
        <v>0</v>
      </c>
      <c r="AF290" s="26">
        <v>0</v>
      </c>
      <c r="AG290" s="26">
        <v>0</v>
      </c>
      <c r="AH290" s="26">
        <v>0</v>
      </c>
      <c r="AI290" s="26">
        <v>0</v>
      </c>
      <c r="AJ290" s="26">
        <v>-135403.25762896601</v>
      </c>
      <c r="AK290" s="68">
        <v>4.9136791999999998</v>
      </c>
      <c r="AL290" s="15">
        <f>-SUMIFS([1]Master!$J$1:$J$200,[1]Master!$A$1:$A$200,"="&amp;$I$12,[1]Master!$G$1:$G$200,"&gt;"&amp;C290,[1]Master!$E$1:$E$200,"&lt;="&amp;C290)</f>
        <v>0</v>
      </c>
      <c r="AM290" s="26">
        <v>0</v>
      </c>
      <c r="AN290" s="26">
        <v>0</v>
      </c>
    </row>
    <row r="291" spans="3:40">
      <c r="C291" s="1">
        <f>WORKDAY(C290,1,Feriados!A98:A938)</f>
        <v>45280</v>
      </c>
      <c r="D291" s="39">
        <v>10738318.894400001</v>
      </c>
      <c r="E291" s="32">
        <v>4.8251267999999996</v>
      </c>
      <c r="F291" s="88">
        <f>SUMIF([1]HSF!$H$2:$H$30,"="&amp;"APLICAÇÃO",[1]HSF!$K$2:$K$30)</f>
        <v>2283952.1146078166</v>
      </c>
      <c r="G291" s="15">
        <f t="shared" ref="G291" si="1356">H291*I291</f>
        <v>10837719.539474698</v>
      </c>
      <c r="H291" s="32">
        <v>1.2120515999999999</v>
      </c>
      <c r="I291" s="15">
        <f>SUMIFS([1]Master!$K$2:$K$10000,[1]Master!$A$2:$A$10000,$I$12,[1]Master!$F$2:$F$10000,"&lt;="&amp;$C291)</f>
        <v>8941632.1380003113</v>
      </c>
      <c r="J291" s="15">
        <f t="shared" ref="J291" si="1357">K291*L291</f>
        <v>0</v>
      </c>
      <c r="K291" s="43">
        <v>0</v>
      </c>
      <c r="L291" s="40">
        <v>0</v>
      </c>
      <c r="M291" s="15">
        <f t="shared" ref="M291" si="1358">N291*O291</f>
        <v>0</v>
      </c>
      <c r="N291" s="32">
        <v>0</v>
      </c>
      <c r="O291" s="40">
        <v>0</v>
      </c>
      <c r="P291" s="15">
        <f t="shared" si="1127"/>
        <v>32319.231394099479</v>
      </c>
      <c r="Q291" s="32">
        <v>4.0868418000000002</v>
      </c>
      <c r="R291" s="40">
        <v>7908.1190258207398</v>
      </c>
      <c r="S291" s="15">
        <f t="shared" ref="S291" si="1359">(((1+1.35%)^(1/252))-1)*D290+SUM(S290)</f>
        <v>7850.6714815980613</v>
      </c>
      <c r="T291" s="15">
        <f>IF((NETWORKDAYS(DATE(YEAR(C291),MONTH(C291),1),C291,Feriados!$A$2:$A$842))&gt;=5,0,IF(NETWORKDAYS(DATE(YEAR(C291),MONTH(C291),1),C291,Feriados!$A$2:$A$842)=1,S290,T290))</f>
        <v>0</v>
      </c>
      <c r="U291" s="26">
        <v>0</v>
      </c>
      <c r="V291" s="26">
        <v>0</v>
      </c>
      <c r="W291" s="15">
        <f t="shared" ref="W291" si="1360">SUM(G291+J291+M291+P291)</f>
        <v>10870038.770868797</v>
      </c>
      <c r="X291" s="50">
        <f>'Fluxo de Caixa_'!AD297</f>
        <v>0</v>
      </c>
      <c r="AB291" s="26">
        <v>2576.1143999999999</v>
      </c>
      <c r="AC291" s="26">
        <v>0</v>
      </c>
      <c r="AD291">
        <f>SUMIFS([1]Master!$J$2:$J$100,[1]Master!$A$2:$A$100,"="&amp;$I$12,[1]Master!$E$2:$E$100,"="&amp;C291,[1]Master!$J$2:$J$100,"&gt;"&amp;0)</f>
        <v>0</v>
      </c>
      <c r="AE291">
        <v>0</v>
      </c>
      <c r="AF291" s="26">
        <v>0</v>
      </c>
      <c r="AG291" s="26">
        <v>0</v>
      </c>
      <c r="AH291" s="26">
        <v>0</v>
      </c>
      <c r="AI291" s="26">
        <v>0</v>
      </c>
      <c r="AJ291" s="26">
        <v>-126445.414682534</v>
      </c>
      <c r="AK291" s="68">
        <v>4.8819433999999999</v>
      </c>
      <c r="AL291" s="15">
        <f>-SUMIFS([1]Master!$J$1:$J$200,[1]Master!$A$1:$A$200,"="&amp;$I$12,[1]Master!$G$1:$G$200,"&gt;"&amp;C291,[1]Master!$E$1:$E$200,"&lt;="&amp;C291)</f>
        <v>0</v>
      </c>
      <c r="AM291" s="26">
        <v>0</v>
      </c>
      <c r="AN291" s="26">
        <v>0</v>
      </c>
    </row>
    <row r="292" spans="3:40">
      <c r="C292" s="1">
        <f>WORKDAY(C291,1,Feriados!A99:A939)</f>
        <v>45281</v>
      </c>
      <c r="D292" s="39">
        <v>10790594.955800001</v>
      </c>
      <c r="E292" s="32">
        <v>4.8486164</v>
      </c>
      <c r="F292" s="88">
        <f>SUMIF([1]HSF!$H$2:$H$30,"="&amp;"APLICAÇÃO",[1]HSF!$K$2:$K$30)</f>
        <v>2283952.1146078166</v>
      </c>
      <c r="G292" s="15">
        <f t="shared" ref="G292" si="1361">H292*I292</f>
        <v>10897163.509928126</v>
      </c>
      <c r="H292" s="32">
        <v>1.2186996000000001</v>
      </c>
      <c r="I292" s="15">
        <f>SUMIFS([1]Master!$K$2:$K$10000,[1]Master!$A$2:$A$10000,$I$12,[1]Master!$F$2:$F$10000,"&lt;="&amp;$C292)</f>
        <v>8941632.1380003113</v>
      </c>
      <c r="J292" s="15">
        <f t="shared" ref="J292" si="1362">K292*L292</f>
        <v>0</v>
      </c>
      <c r="K292" s="43">
        <v>0</v>
      </c>
      <c r="L292" s="40">
        <v>0</v>
      </c>
      <c r="M292" s="15">
        <f t="shared" ref="M292" si="1363">N292*O292</f>
        <v>0</v>
      </c>
      <c r="N292" s="32">
        <v>0</v>
      </c>
      <c r="O292" s="40">
        <v>0</v>
      </c>
      <c r="P292" s="15">
        <f t="shared" si="1127"/>
        <v>32332.942490866451</v>
      </c>
      <c r="Q292" s="32">
        <v>4.0885756000000004</v>
      </c>
      <c r="R292" s="40">
        <v>7908.1190258207398</v>
      </c>
      <c r="S292" s="15">
        <f t="shared" ref="S292" si="1364">(((1+1.35%)^(1/252))-1)*D291+SUM(S291)</f>
        <v>8422.1053135562215</v>
      </c>
      <c r="T292" s="15">
        <f>IF((NETWORKDAYS(DATE(YEAR(C292),MONTH(C292),1),C292,Feriados!$A$2:$A$842))&gt;=5,0,IF(NETWORKDAYS(DATE(YEAR(C292),MONTH(C292),1),C292,Feriados!$A$2:$A$842)=1,S291,T291))</f>
        <v>0</v>
      </c>
      <c r="U292" s="26">
        <v>0</v>
      </c>
      <c r="V292" s="26">
        <v>0</v>
      </c>
      <c r="W292" s="15">
        <f t="shared" ref="W292" si="1365">SUM(G292+J292+M292+P292)</f>
        <v>10929496.452418992</v>
      </c>
      <c r="X292" s="50">
        <f>'Fluxo de Caixa_'!AD298</f>
        <v>0</v>
      </c>
      <c r="AB292" s="26">
        <v>2547.0358000000001</v>
      </c>
      <c r="AC292" s="26">
        <v>0</v>
      </c>
      <c r="AD292">
        <f>SUMIFS([1]Master!$J$2:$J$100,[1]Master!$A$2:$A$100,"="&amp;$I$12,[1]Master!$E$2:$E$100,"="&amp;C292,[1]Master!$J$2:$J$100,"&gt;"&amp;0)</f>
        <v>0</v>
      </c>
      <c r="AE292">
        <v>0</v>
      </c>
      <c r="AF292" s="26">
        <v>0</v>
      </c>
      <c r="AG292" s="26">
        <v>0</v>
      </c>
      <c r="AH292" s="26">
        <v>0</v>
      </c>
      <c r="AI292" s="26">
        <v>0</v>
      </c>
      <c r="AJ292" s="26">
        <v>-133026.53563449299</v>
      </c>
      <c r="AK292" s="68">
        <v>4.9083902000000004</v>
      </c>
      <c r="AL292" s="15">
        <f>-SUMIFS([1]Master!$J$1:$J$200,[1]Master!$A$1:$A$200,"="&amp;$I$12,[1]Master!$G$1:$G$200,"&gt;"&amp;C292,[1]Master!$E$1:$E$200,"&lt;="&amp;C292)</f>
        <v>0</v>
      </c>
      <c r="AM292" s="26">
        <v>0</v>
      </c>
      <c r="AN292" s="26">
        <v>0</v>
      </c>
    </row>
    <row r="293" spans="3:40">
      <c r="C293" s="1">
        <f>WORKDAY(C292,1,Feriados!A100:A940)</f>
        <v>45282</v>
      </c>
      <c r="D293" s="39">
        <v>10849303.5272</v>
      </c>
      <c r="E293" s="32">
        <v>4.8749963000000003</v>
      </c>
      <c r="F293" s="88">
        <f>SUMIF([1]HSF!$H$2:$H$30,"="&amp;"APLICAÇÃO",[1]HSF!$K$2:$K$30)</f>
        <v>2283952.1146078166</v>
      </c>
      <c r="G293" s="15">
        <f t="shared" ref="G293" si="1366">H293*I293</f>
        <v>10963920.841307221</v>
      </c>
      <c r="H293" s="32">
        <v>1.2261655</v>
      </c>
      <c r="I293" s="15">
        <f>SUMIFS([1]Master!$K$2:$K$10000,[1]Master!$A$2:$A$10000,$I$12,[1]Master!$F$2:$F$10000,"&lt;="&amp;$C293)</f>
        <v>8941632.1380003113</v>
      </c>
      <c r="J293" s="15">
        <f t="shared" ref="J293" si="1367">K293*L293</f>
        <v>0</v>
      </c>
      <c r="K293" s="43">
        <v>0</v>
      </c>
      <c r="L293" s="40">
        <v>0</v>
      </c>
      <c r="M293" s="15">
        <f t="shared" ref="M293" si="1368">N293*O293</f>
        <v>0</v>
      </c>
      <c r="N293" s="32">
        <v>0</v>
      </c>
      <c r="O293" s="40">
        <v>0</v>
      </c>
      <c r="P293" s="15">
        <f t="shared" si="1127"/>
        <v>32346.643307078677</v>
      </c>
      <c r="Q293" s="32">
        <v>4.0903080999999997</v>
      </c>
      <c r="R293" s="40">
        <v>7908.1190258207398</v>
      </c>
      <c r="S293" s="15">
        <f t="shared" ref="S293" si="1369">(((1+1.35%)^(1/252))-1)*D292+SUM(S292)</f>
        <v>8996.3209878473626</v>
      </c>
      <c r="T293" s="15">
        <f>IF((NETWORKDAYS(DATE(YEAR(C293),MONTH(C293),1),C293,Feriados!$A$2:$A$842))&gt;=5,0,IF(NETWORKDAYS(DATE(YEAR(C293),MONTH(C293),1),C293,Feriados!$A$2:$A$842)=1,S292,T292))</f>
        <v>0</v>
      </c>
      <c r="U293" s="26">
        <v>0</v>
      </c>
      <c r="V293" s="26">
        <v>0</v>
      </c>
      <c r="W293" s="15">
        <f t="shared" ref="W293" si="1370">SUM(G293+J293+M293+P293)</f>
        <v>10996267.4846143</v>
      </c>
      <c r="X293" s="50">
        <f>'Fluxo de Caixa_'!AD299</f>
        <v>0</v>
      </c>
      <c r="AB293" s="26">
        <v>2517.9571999999998</v>
      </c>
      <c r="AC293" s="26">
        <v>0</v>
      </c>
      <c r="AD293">
        <f>SUMIFS([1]Master!$J$2:$J$100,[1]Master!$A$2:$A$100,"="&amp;$I$12,[1]Master!$E$2:$E$100,"="&amp;C293,[1]Master!$J$2:$J$100,"&gt;"&amp;0)</f>
        <v>0</v>
      </c>
      <c r="AE293">
        <v>0</v>
      </c>
      <c r="AF293" s="26">
        <v>0</v>
      </c>
      <c r="AG293" s="26">
        <v>0</v>
      </c>
      <c r="AH293" s="26">
        <v>0</v>
      </c>
      <c r="AI293" s="26">
        <v>0</v>
      </c>
      <c r="AJ293" s="26">
        <v>-140485.678382604</v>
      </c>
      <c r="AK293" s="68">
        <v>4.9381218000000002</v>
      </c>
      <c r="AL293" s="15">
        <f>-SUMIFS([1]Master!$J$1:$J$200,[1]Master!$A$1:$A$200,"="&amp;$I$12,[1]Master!$G$1:$G$200,"&gt;"&amp;C293,[1]Master!$E$1:$E$200,"&lt;="&amp;C293)</f>
        <v>0</v>
      </c>
      <c r="AM293" s="26">
        <v>0</v>
      </c>
      <c r="AN293" s="26">
        <v>0</v>
      </c>
    </row>
    <row r="294" spans="3:40">
      <c r="C294" s="1">
        <f>WORKDAY(C293,1,Feriados!A101:A941)</f>
        <v>45286</v>
      </c>
      <c r="D294" s="39">
        <v>10869255.808599999</v>
      </c>
      <c r="E294" s="32">
        <v>4.8839616000000001</v>
      </c>
      <c r="F294" s="88">
        <f>SUMIF([1]HSF!$H$2:$H$30,"="&amp;"APLICAÇÃO",[1]HSF!$K$2:$K$30)</f>
        <v>2283952.1146078166</v>
      </c>
      <c r="G294" s="15">
        <f t="shared" ref="G294" si="1371">H294*I294</f>
        <v>10986638.846080238</v>
      </c>
      <c r="H294" s="32">
        <v>1.2287062</v>
      </c>
      <c r="I294" s="15">
        <f>SUMIFS([1]Master!$K$2:$K$10000,[1]Master!$A$2:$A$10000,$I$12,[1]Master!$F$2:$F$10000,"&lt;="&amp;$C294)</f>
        <v>8941632.1380003113</v>
      </c>
      <c r="J294" s="15">
        <f t="shared" ref="J294" si="1372">K294*L294</f>
        <v>0</v>
      </c>
      <c r="K294" s="43">
        <v>0</v>
      </c>
      <c r="L294" s="40">
        <v>0</v>
      </c>
      <c r="M294" s="15">
        <f t="shared" ref="M294" si="1373">N294*O294</f>
        <v>0</v>
      </c>
      <c r="N294" s="32">
        <v>0</v>
      </c>
      <c r="O294" s="40">
        <v>0</v>
      </c>
      <c r="P294" s="15">
        <f t="shared" si="1127"/>
        <v>32164.67072275918</v>
      </c>
      <c r="Q294" s="32">
        <v>4.0920819000000002</v>
      </c>
      <c r="R294" s="40">
        <v>7860.22164482074</v>
      </c>
      <c r="S294" s="15">
        <f t="shared" ref="S294" si="1374">(((1+1.35%)^(1/252))-1)*D293+SUM(S293)</f>
        <v>9573.6608070119983</v>
      </c>
      <c r="T294" s="15">
        <f>IF((NETWORKDAYS(DATE(YEAR(C294),MONTH(C294),1),C294,Feriados!$A$2:$A$842))&gt;=5,0,IF(NETWORKDAYS(DATE(YEAR(C294),MONTH(C294),1),C294,Feriados!$A$2:$A$842)=1,S293,T293))</f>
        <v>0</v>
      </c>
      <c r="U294" s="26">
        <v>0</v>
      </c>
      <c r="V294" s="26">
        <v>0</v>
      </c>
      <c r="W294" s="15">
        <f t="shared" ref="W294" si="1375">SUM(G294+J294+M294+P294)</f>
        <v>11018803.516802996</v>
      </c>
      <c r="X294" s="50">
        <f>'Fluxo de Caixa_'!AD300</f>
        <v>5.8475029618421104E-6</v>
      </c>
      <c r="AB294" s="26">
        <v>2684.8786</v>
      </c>
      <c r="AC294" s="26">
        <v>0</v>
      </c>
      <c r="AD294">
        <f>SUMIFS([1]Master!$J$2:$J$100,[1]Master!$A$2:$A$100,"="&amp;$I$12,[1]Master!$E$2:$E$100,"="&amp;C294,[1]Master!$J$2:$J$100,"&gt;"&amp;0)</f>
        <v>0</v>
      </c>
      <c r="AE294">
        <v>0</v>
      </c>
      <c r="AF294" s="26">
        <v>0</v>
      </c>
      <c r="AG294" s="26">
        <v>0</v>
      </c>
      <c r="AH294" s="26">
        <v>0</v>
      </c>
      <c r="AI294" s="26">
        <v>0</v>
      </c>
      <c r="AJ294" s="26">
        <v>-142659.03751989099</v>
      </c>
      <c r="AK294" s="68">
        <v>4.9480636999999996</v>
      </c>
      <c r="AL294" s="15">
        <f>-SUMIFS([1]Master!$J$1:$J$200,[1]Master!$A$1:$A$200,"="&amp;$I$12,[1]Master!$G$1:$G$200,"&gt;"&amp;C294,[1]Master!$E$1:$E$200,"&lt;="&amp;C294)</f>
        <v>0</v>
      </c>
      <c r="AM294" s="26">
        <v>0</v>
      </c>
      <c r="AN294" s="26">
        <v>0</v>
      </c>
    </row>
    <row r="295" spans="3:40">
      <c r="C295" s="1">
        <f>WORKDAY(C294,1,Feriados!A102:A942)</f>
        <v>45287</v>
      </c>
      <c r="D295" s="39">
        <v>10913713.0733</v>
      </c>
      <c r="E295" s="32">
        <v>4.9039378999999998</v>
      </c>
      <c r="F295" s="88">
        <f>SUMIF([1]HSF!$H$2:$H$30,"="&amp;"APLICAÇÃO",[1]HSF!$K$2:$K$30)</f>
        <v>2283952.1146078166</v>
      </c>
      <c r="G295" s="15">
        <f t="shared" ref="G295" si="1376">H295*I295</f>
        <v>11037209.140799914</v>
      </c>
      <c r="H295" s="32">
        <v>1.2343618000000001</v>
      </c>
      <c r="I295" s="15">
        <f>SUMIFS([1]Master!$K$2:$K$10000,[1]Master!$A$2:$A$10000,$I$12,[1]Master!$F$2:$F$10000,"&lt;="&amp;$C295)</f>
        <v>8941632.1380003113</v>
      </c>
      <c r="J295" s="15">
        <f t="shared" ref="J295" si="1377">K295*L295</f>
        <v>0</v>
      </c>
      <c r="K295" s="43">
        <v>0</v>
      </c>
      <c r="L295" s="40">
        <v>0</v>
      </c>
      <c r="M295" s="15">
        <f t="shared" ref="M295" si="1378">N295*O295</f>
        <v>0</v>
      </c>
      <c r="N295" s="32">
        <v>0</v>
      </c>
      <c r="O295" s="40">
        <v>0</v>
      </c>
      <c r="P295" s="15">
        <f t="shared" si="1127"/>
        <v>32178.883575537347</v>
      </c>
      <c r="Q295" s="32">
        <v>4.0938901000000003</v>
      </c>
      <c r="R295" s="40">
        <v>7860.22164482074</v>
      </c>
      <c r="S295" s="15">
        <f t="shared" ref="S295" si="1379">(((1+1.35%)^(1/252))-1)*D294+SUM(S294)</f>
        <v>10152.062376039794</v>
      </c>
      <c r="T295" s="15">
        <f>IF((NETWORKDAYS(DATE(YEAR(C295),MONTH(C295),1),C295,Feriados!$A$2:$A$842))&gt;=5,0,IF(NETWORKDAYS(DATE(YEAR(C295),MONTH(C295),1),C295,Feriados!$A$2:$A$842)=1,S294,T294))</f>
        <v>0</v>
      </c>
      <c r="U295" s="26">
        <v>0</v>
      </c>
      <c r="V295" s="26">
        <v>0</v>
      </c>
      <c r="W295" s="15">
        <f t="shared" ref="W295" si="1380">SUM(G295+J295+M295+P295)</f>
        <v>11069388.024375452</v>
      </c>
      <c r="X295" s="50">
        <f>'Fluxo de Caixa_'!AD301</f>
        <v>0</v>
      </c>
      <c r="AB295" s="26">
        <v>2651.1333</v>
      </c>
      <c r="AC295" s="26">
        <v>0</v>
      </c>
      <c r="AD295">
        <f>SUMIFS([1]Master!$J$2:$J$100,[1]Master!$A$2:$A$100,"="&amp;$I$12,[1]Master!$E$2:$E$100,"="&amp;C295,[1]Master!$J$2:$J$100,"&gt;"&amp;0)</f>
        <v>0</v>
      </c>
      <c r="AE295">
        <v>0</v>
      </c>
      <c r="AF295" s="26">
        <v>0</v>
      </c>
      <c r="AG295" s="26">
        <v>0</v>
      </c>
      <c r="AH295" s="26">
        <v>0</v>
      </c>
      <c r="AI295" s="26">
        <v>0</v>
      </c>
      <c r="AJ295" s="26">
        <v>-148174.15176666799</v>
      </c>
      <c r="AK295" s="68">
        <v>4.9705180999999996</v>
      </c>
      <c r="AL295" s="15">
        <f>-SUMIFS([1]Master!$J$1:$J$200,[1]Master!$A$1:$A$200,"="&amp;$I$12,[1]Master!$G$1:$G$200,"&gt;"&amp;C295,[1]Master!$E$1:$E$200,"&lt;="&amp;C295)</f>
        <v>0</v>
      </c>
      <c r="AM295" s="26">
        <v>0</v>
      </c>
      <c r="AN295" s="26">
        <v>0</v>
      </c>
    </row>
    <row r="296" spans="3:40">
      <c r="C296" s="1">
        <f>WORKDAY(C295,1,Feriados!A103:A943)</f>
        <v>45288</v>
      </c>
      <c r="D296" s="39">
        <v>10922997.468</v>
      </c>
      <c r="E296" s="32">
        <v>4.9081098000000001</v>
      </c>
      <c r="F296" s="88">
        <f>SUMIF([1]HSF!$H$2:$H$30,"="&amp;"APLICAÇÃO",[1]HSF!$K$2:$K$30)</f>
        <v>2283952.1146078166</v>
      </c>
      <c r="G296" s="15">
        <f t="shared" ref="G296" si="1381">H296*I296</f>
        <v>11047813.022352366</v>
      </c>
      <c r="H296" s="32">
        <v>1.2355476999999999</v>
      </c>
      <c r="I296" s="15">
        <f>SUMIFS([1]Master!$K$2:$K$10000,[1]Master!$A$2:$A$10000,$I$12,[1]Master!$F$2:$F$10000,"&lt;="&amp;$C296)</f>
        <v>8941632.1380003113</v>
      </c>
      <c r="J296" s="15">
        <f t="shared" ref="J296" si="1382">K296*L296</f>
        <v>0</v>
      </c>
      <c r="K296" s="43">
        <v>0</v>
      </c>
      <c r="L296" s="40">
        <v>0</v>
      </c>
      <c r="M296" s="15">
        <f t="shared" ref="M296" si="1383">N296*O296</f>
        <v>0</v>
      </c>
      <c r="N296" s="32">
        <v>0</v>
      </c>
      <c r="O296" s="40">
        <v>0</v>
      </c>
      <c r="P296" s="15">
        <f t="shared" ref="P296:P319" si="1384">R296*Q296</f>
        <v>32192.808744203307</v>
      </c>
      <c r="Q296" s="32">
        <v>4.0956617</v>
      </c>
      <c r="R296" s="40">
        <v>7860.22164482074</v>
      </c>
      <c r="S296" s="15">
        <f t="shared" ref="S296" si="1385">(((1+1.35%)^(1/252))-1)*D295+SUM(S295)</f>
        <v>10732.829714363112</v>
      </c>
      <c r="T296" s="15">
        <f>IF((NETWORKDAYS(DATE(YEAR(C296),MONTH(C296),1),C296,Feriados!$A$2:$A$842))&gt;=5,0,IF(NETWORKDAYS(DATE(YEAR(C296),MONTH(C296),1),C296,Feriados!$A$2:$A$842)=1,S295,T295))</f>
        <v>0</v>
      </c>
      <c r="U296" s="26">
        <v>0</v>
      </c>
      <c r="V296" s="26">
        <v>0</v>
      </c>
      <c r="W296" s="15">
        <f t="shared" ref="W296" si="1386">SUM(G296+J296+M296+P296)</f>
        <v>11080005.831096569</v>
      </c>
      <c r="X296" s="50">
        <f>'Fluxo de Caixa_'!AD302</f>
        <v>0</v>
      </c>
      <c r="AB296" s="26">
        <v>2617.3879999999999</v>
      </c>
      <c r="AC296" s="26">
        <v>0</v>
      </c>
      <c r="AD296">
        <f>SUMIFS([1]Master!$J$2:$J$100,[1]Master!$A$2:$A$100,"="&amp;$I$12,[1]Master!$E$2:$E$100,"="&amp;C296,[1]Master!$J$2:$J$100,"&gt;"&amp;0)</f>
        <v>0</v>
      </c>
      <c r="AE296">
        <v>0</v>
      </c>
      <c r="AF296" s="26">
        <v>0</v>
      </c>
      <c r="AG296" s="26">
        <v>0</v>
      </c>
      <c r="AH296" s="26">
        <v>0</v>
      </c>
      <c r="AI296" s="26">
        <v>0</v>
      </c>
      <c r="AJ296" s="26">
        <v>-148893.05428382699</v>
      </c>
      <c r="AK296" s="68">
        <v>4.9750129999999997</v>
      </c>
      <c r="AL296" s="15">
        <f>-SUMIFS([1]Master!$J$1:$J$200,[1]Master!$A$1:$A$200,"="&amp;$I$12,[1]Master!$G$1:$G$200,"&gt;"&amp;C296,[1]Master!$E$1:$E$200,"&lt;="&amp;C296)</f>
        <v>0</v>
      </c>
      <c r="AM296" s="26">
        <v>0</v>
      </c>
      <c r="AN296" s="26">
        <v>0</v>
      </c>
    </row>
    <row r="297" spans="3:40">
      <c r="C297" s="1">
        <f>WORKDAY(C296,1,Feriados!A104:A944)</f>
        <v>45289</v>
      </c>
      <c r="D297" s="39">
        <v>10924295.772700001</v>
      </c>
      <c r="E297" s="32">
        <v>4.9086930999999998</v>
      </c>
      <c r="F297" s="88">
        <f>SUMIF([1]HSF!$H$2:$H$30,"="&amp;"APLICAÇÃO",[1]HSF!$K$2:$K$30)</f>
        <v>2283952.1146078166</v>
      </c>
      <c r="G297" s="15">
        <f t="shared" ref="G297" si="1387">H297*I297</f>
        <v>11048582.896879449</v>
      </c>
      <c r="H297" s="32">
        <v>1.2356338</v>
      </c>
      <c r="I297" s="15">
        <f>SUMIFS([1]Master!$K$2:$K$10000,[1]Master!$A$2:$A$10000,$I$12,[1]Master!$F$2:$F$10000,"&lt;="&amp;$C297)</f>
        <v>8941632.1380003113</v>
      </c>
      <c r="J297" s="15">
        <f t="shared" ref="J297" si="1388">K297*L297</f>
        <v>0</v>
      </c>
      <c r="K297" s="43">
        <v>0</v>
      </c>
      <c r="L297" s="40">
        <v>0</v>
      </c>
      <c r="M297" s="15">
        <f t="shared" ref="M297" si="1389">N297*O297</f>
        <v>0</v>
      </c>
      <c r="N297" s="32">
        <v>0</v>
      </c>
      <c r="O297" s="40">
        <v>0</v>
      </c>
      <c r="P297" s="15">
        <f t="shared" si="1384"/>
        <v>32206.681249384255</v>
      </c>
      <c r="Q297" s="32">
        <v>4.0974266000000004</v>
      </c>
      <c r="R297" s="40">
        <v>7860.22164482074</v>
      </c>
      <c r="S297" s="15">
        <f t="shared" ref="S297" si="1390">(((1+1.35%)^(1/252))-1)*D296+SUM(S296)</f>
        <v>11314.091116728763</v>
      </c>
      <c r="T297" s="15">
        <f>IF((NETWORKDAYS(DATE(YEAR(C297),MONTH(C297),1),C297,Feriados!$A$2:$A$842))&gt;=5,0,IF(NETWORKDAYS(DATE(YEAR(C297),MONTH(C297),1),C297,Feriados!$A$2:$A$842)=1,S296,T296))</f>
        <v>0</v>
      </c>
      <c r="U297" s="26">
        <v>0</v>
      </c>
      <c r="V297" s="26">
        <v>0</v>
      </c>
      <c r="W297" s="15">
        <f t="shared" ref="W297" si="1391">SUM(G297+J297+M297+P297)</f>
        <v>11080789.578128833</v>
      </c>
      <c r="X297" s="50">
        <f>'Fluxo de Caixa_'!AD303</f>
        <v>0</v>
      </c>
      <c r="AB297" s="26">
        <v>2583.6426999999999</v>
      </c>
      <c r="AC297" s="26">
        <v>0</v>
      </c>
      <c r="AD297">
        <f>SUMIFS([1]Master!$J$2:$J$100,[1]Master!$A$2:$A$100,"="&amp;$I$12,[1]Master!$E$2:$E$100,"="&amp;C297,[1]Master!$J$2:$J$100,"&gt;"&amp;0)</f>
        <v>0</v>
      </c>
      <c r="AE297">
        <v>0</v>
      </c>
      <c r="AF297" s="26">
        <v>0</v>
      </c>
      <c r="AG297" s="26">
        <v>0</v>
      </c>
      <c r="AH297" s="26">
        <v>0</v>
      </c>
      <c r="AI297" s="26">
        <v>0</v>
      </c>
      <c r="AJ297" s="26">
        <v>-147763.48581775901</v>
      </c>
      <c r="AK297" s="68">
        <v>4.9750888</v>
      </c>
      <c r="AL297" s="15">
        <f>-SUMIFS([1]Master!$J$1:$J$200,[1]Master!$A$1:$A$200,"="&amp;$I$12,[1]Master!$G$1:$G$200,"&gt;"&amp;C297,[1]Master!$E$1:$E$200,"&lt;="&amp;C297)</f>
        <v>0</v>
      </c>
      <c r="AM297" s="26">
        <v>0</v>
      </c>
      <c r="AN297" s="26">
        <v>0</v>
      </c>
    </row>
    <row r="298" spans="3:40">
      <c r="C298" s="1">
        <f>WORKDAY(C297,1,Feriados!A105:A945)</f>
        <v>45293</v>
      </c>
      <c r="D298" s="39">
        <v>10714870.7969</v>
      </c>
      <c r="E298" s="32">
        <v>4.8145907000000001</v>
      </c>
      <c r="F298" s="88">
        <f>SUMIF([1]HSF!$H$2:$H$30,"="&amp;"APLICAÇÃO",[1]HSF!$K$2:$K$30)</f>
        <v>2283952.1146078166</v>
      </c>
      <c r="G298" s="15">
        <f t="shared" ref="G298" si="1392">H298*I298</f>
        <v>10827759.125765378</v>
      </c>
      <c r="H298" s="32">
        <v>1.2122797000000001</v>
      </c>
      <c r="I298" s="15">
        <f>SUMIFS([1]Master!$K$2:$K$10000,[1]Master!$A$2:$A$10000,$I$12,[1]Master!$F$2:$F$10000,"&lt;="&amp;$C298)</f>
        <v>8931733.432280831</v>
      </c>
      <c r="J298" s="15">
        <f t="shared" ref="J298" si="1393">K298*L298</f>
        <v>0</v>
      </c>
      <c r="K298" s="43">
        <v>0</v>
      </c>
      <c r="L298" s="40">
        <v>0</v>
      </c>
      <c r="M298" s="15">
        <f t="shared" ref="M298" si="1394">N298*O298</f>
        <v>0</v>
      </c>
      <c r="N298" s="32">
        <v>0</v>
      </c>
      <c r="O298" s="40">
        <v>0</v>
      </c>
      <c r="P298" s="15">
        <f t="shared" si="1384"/>
        <v>32220.547466387881</v>
      </c>
      <c r="Q298" s="32">
        <v>4.0991907000000003</v>
      </c>
      <c r="R298" s="40">
        <v>7860.22164482074</v>
      </c>
      <c r="S298" s="15">
        <f>(((1+1.35%)^(1/252))-1)*D297</f>
        <v>581.33049094805176</v>
      </c>
      <c r="T298" s="15">
        <f>IF((NETWORKDAYS(DATE(YEAR(C298),MONTH(C298),1),C298,Feriados!$A$2:$A$842))&gt;=5,0,IF(NETWORKDAYS(DATE(YEAR(C298),MONTH(C298),1),C298,Feriados!$A$2:$A$842)=1,S297,T297))</f>
        <v>11314.091116728763</v>
      </c>
      <c r="U298" s="26">
        <v>0</v>
      </c>
      <c r="V298" s="26">
        <v>0</v>
      </c>
      <c r="W298" s="15">
        <f t="shared" ref="W298" si="1395">SUM(G298+J298+M298+P298)</f>
        <v>10859979.673231766</v>
      </c>
      <c r="X298" s="50">
        <f>'Fluxo de Caixa_'!AD304</f>
        <v>0</v>
      </c>
      <c r="AB298" s="26">
        <v>2549.9069</v>
      </c>
      <c r="AC298" s="26">
        <v>0</v>
      </c>
      <c r="AD298">
        <f>SUMIFS([1]Master!$J$2:$J$100,[1]Master!$A$2:$A$100,"="&amp;$I$12,[1]Master!$E$2:$E$100,"="&amp;C298,[1]Master!$J$2:$J$100,"&gt;"&amp;0)</f>
        <v>0</v>
      </c>
      <c r="AE298">
        <v>0</v>
      </c>
      <c r="AF298" s="26">
        <v>0</v>
      </c>
      <c r="AG298" s="26">
        <v>0</v>
      </c>
      <c r="AH298" s="26">
        <v>0</v>
      </c>
      <c r="AI298" s="26">
        <v>0</v>
      </c>
      <c r="AJ298" s="26">
        <v>0</v>
      </c>
      <c r="AK298" s="68">
        <v>4.8145907000000001</v>
      </c>
      <c r="AL298" s="15">
        <f>-SUMIFS([1]Master!$J$1:$J$200,[1]Master!$A$1:$A$200,"="&amp;$I$12,[1]Master!$G$1:$G$200,"&gt;"&amp;C298,[1]Master!$E$1:$E$200,"&lt;="&amp;C298)</f>
        <v>12000</v>
      </c>
      <c r="AM298" s="26">
        <v>0</v>
      </c>
      <c r="AN298" s="26">
        <v>-147763.48581775901</v>
      </c>
    </row>
    <row r="299" spans="3:40">
      <c r="C299" s="1">
        <f>WORKDAY(C298,1,Feriados!A106:A946)</f>
        <v>45294</v>
      </c>
      <c r="D299" s="39">
        <v>10703628.031099999</v>
      </c>
      <c r="E299" s="32">
        <v>4.8095388999999997</v>
      </c>
      <c r="F299" s="88">
        <f>SUMIF([1]HSF!$H$2:$H$30,"="&amp;"APLICAÇÃO",[1]HSF!$K$2:$K$30)</f>
        <v>2283952.1146078166</v>
      </c>
      <c r="G299" s="15">
        <f t="shared" ref="G299" si="1396">H299*I299</f>
        <v>10817106.247300696</v>
      </c>
      <c r="H299" s="32">
        <v>1.211087</v>
      </c>
      <c r="I299" s="15">
        <f>SUMIFS([1]Master!$K$2:$K$10000,[1]Master!$A$2:$A$10000,$I$12,[1]Master!$F$2:$F$10000,"&lt;="&amp;$C299)</f>
        <v>8931733.432280831</v>
      </c>
      <c r="J299" s="15">
        <f t="shared" ref="J299" si="1397">K299*L299</f>
        <v>0</v>
      </c>
      <c r="K299" s="43">
        <v>0</v>
      </c>
      <c r="L299" s="40">
        <v>0</v>
      </c>
      <c r="M299" s="15">
        <f t="shared" ref="M299" si="1398">N299*O299</f>
        <v>0</v>
      </c>
      <c r="N299" s="32">
        <v>0</v>
      </c>
      <c r="O299" s="40">
        <v>0</v>
      </c>
      <c r="P299" s="15">
        <f t="shared" si="1384"/>
        <v>32234.57717600172</v>
      </c>
      <c r="Q299" s="32">
        <v>4.1009755999999999</v>
      </c>
      <c r="R299" s="40">
        <v>7860.22164482074</v>
      </c>
      <c r="S299" s="15">
        <f t="shared" ref="S299:S304" si="1399">(((1+1.35%)^(1/252))-1)*D298+SUM(S298)</f>
        <v>1151.5165450800628</v>
      </c>
      <c r="T299" s="15">
        <f>IF((NETWORKDAYS(DATE(YEAR(C299),MONTH(C299),1),C299,Feriados!$A$2:$A$842))&gt;=5,0,IF(NETWORKDAYS(DATE(YEAR(C299),MONTH(C299),1),C299,Feriados!$A$2:$A$842)=1,S298,T298))</f>
        <v>11314.091116728763</v>
      </c>
      <c r="U299" s="26">
        <v>0</v>
      </c>
      <c r="V299" s="26">
        <v>0</v>
      </c>
      <c r="W299" s="15">
        <f t="shared" ref="W299" si="1400">SUM(G299+J299+M299+P299)</f>
        <v>10849340.824476697</v>
      </c>
      <c r="X299" s="50">
        <f>'Fluxo de Caixa_'!AD305</f>
        <v>0</v>
      </c>
      <c r="AB299" s="26">
        <v>2516.1711</v>
      </c>
      <c r="AC299" s="26">
        <v>0</v>
      </c>
      <c r="AD299">
        <f>SUMIFS([1]Master!$J$2:$J$100,[1]Master!$A$2:$A$100,"="&amp;$I$12,[1]Master!$E$2:$E$100,"="&amp;C299,[1]Master!$J$2:$J$100,"&gt;"&amp;0)</f>
        <v>0</v>
      </c>
      <c r="AE299">
        <v>0</v>
      </c>
      <c r="AF299" s="26">
        <v>0</v>
      </c>
      <c r="AG299" s="26">
        <v>0</v>
      </c>
      <c r="AH299" s="26">
        <v>0</v>
      </c>
      <c r="AI299" s="26">
        <v>0</v>
      </c>
      <c r="AJ299" s="26">
        <v>0</v>
      </c>
      <c r="AK299" s="68">
        <v>4.8095388999999997</v>
      </c>
      <c r="AL299" s="15">
        <f>-SUMIFS([1]Master!$J$1:$J$200,[1]Master!$A$1:$A$200,"="&amp;$I$12,[1]Master!$G$1:$G$200,"&gt;"&amp;C299,[1]Master!$E$1:$E$200,"&lt;="&amp;C299)</f>
        <v>12000</v>
      </c>
      <c r="AM299" s="26">
        <v>0</v>
      </c>
      <c r="AN299" s="26">
        <v>-147763.48581775901</v>
      </c>
    </row>
    <row r="300" spans="3:40">
      <c r="C300" s="1">
        <f>WORKDAY(C299,1,Feriados!A107:A947)</f>
        <v>45295</v>
      </c>
      <c r="D300" s="39">
        <v>10580728.735300001</v>
      </c>
      <c r="E300" s="32">
        <v>4.7543157000000003</v>
      </c>
      <c r="F300" s="88">
        <f>SUMIF([1]HSF!$H$2:$H$30,"="&amp;"APLICAÇÃO",[1]HSF!$K$2:$K$30)</f>
        <v>2283952.1146078166</v>
      </c>
      <c r="G300" s="15">
        <f t="shared" ref="G300" si="1401">H300*I300</f>
        <v>10694795.982852384</v>
      </c>
      <c r="H300" s="32">
        <v>1.1973931</v>
      </c>
      <c r="I300" s="15">
        <f>SUMIFS([1]Master!$K$2:$K$10000,[1]Master!$A$2:$A$10000,$I$12,[1]Master!$F$2:$F$10000,"&lt;="&amp;$C300)</f>
        <v>8931733.432280831</v>
      </c>
      <c r="J300" s="15">
        <f t="shared" ref="J300" si="1402">K300*L300</f>
        <v>0</v>
      </c>
      <c r="K300" s="43">
        <v>0</v>
      </c>
      <c r="L300" s="40">
        <v>0</v>
      </c>
      <c r="M300" s="15">
        <f t="shared" ref="M300" si="1403">N300*O300</f>
        <v>0</v>
      </c>
      <c r="N300" s="32">
        <v>0</v>
      </c>
      <c r="O300" s="40">
        <v>0</v>
      </c>
      <c r="P300" s="15">
        <f t="shared" si="1384"/>
        <v>44248.859983714872</v>
      </c>
      <c r="Q300" s="32">
        <v>4.1027927000000002</v>
      </c>
      <c r="R300" s="40">
        <v>10785.058670820699</v>
      </c>
      <c r="S300" s="15">
        <f t="shared" si="1399"/>
        <v>1721.104321510873</v>
      </c>
      <c r="T300" s="15">
        <f>IF((NETWORKDAYS(DATE(YEAR(C300),MONTH(C300),1),C300,Feriados!$A$2:$A$842))&gt;=5,0,IF(NETWORKDAYS(DATE(YEAR(C300),MONTH(C300),1),C300,Feriados!$A$2:$A$842)=1,S299,T299))</f>
        <v>11314.091116728763</v>
      </c>
      <c r="U300" s="26">
        <v>0</v>
      </c>
      <c r="V300" s="26">
        <v>0</v>
      </c>
      <c r="W300" s="15">
        <f t="shared" ref="W300" si="1404">SUM(G300+J300+M300+P300)</f>
        <v>10739044.842836099</v>
      </c>
      <c r="X300" s="50">
        <f>'Fluxo de Caixa_'!AD306</f>
        <v>1.0376570571679622E-6</v>
      </c>
      <c r="AB300" s="26">
        <v>2482.4353000000001</v>
      </c>
      <c r="AC300" s="26">
        <v>0</v>
      </c>
      <c r="AD300">
        <f>SUMIFS([1]Master!$J$2:$J$100,[1]Master!$A$2:$A$100,"="&amp;$I$12,[1]Master!$E$2:$E$100,"="&amp;C300,[1]Master!$J$2:$J$100,"&gt;"&amp;0)</f>
        <v>0</v>
      </c>
      <c r="AE300">
        <v>0</v>
      </c>
      <c r="AF300" s="26">
        <v>0</v>
      </c>
      <c r="AG300" s="26">
        <v>0</v>
      </c>
      <c r="AH300" s="26">
        <v>0</v>
      </c>
      <c r="AI300" s="26">
        <v>0</v>
      </c>
      <c r="AJ300" s="26">
        <v>0</v>
      </c>
      <c r="AK300" s="68">
        <v>4.7543157000000003</v>
      </c>
      <c r="AL300" s="15">
        <f>-SUMIFS([1]Master!$J$1:$J$200,[1]Master!$A$1:$A$200,"="&amp;$I$12,[1]Master!$G$1:$G$200,"&gt;"&amp;C300,[1]Master!$E$1:$E$200,"&lt;="&amp;C300)</f>
        <v>0</v>
      </c>
      <c r="AM300" s="26">
        <v>0</v>
      </c>
      <c r="AN300" s="26">
        <v>-147763.48581775901</v>
      </c>
    </row>
    <row r="301" spans="3:40">
      <c r="C301" s="1">
        <f>WORKDAY(C300,1,Feriados!A108:A948)</f>
        <v>45296</v>
      </c>
      <c r="D301" s="39">
        <v>10711597.149499999</v>
      </c>
      <c r="E301" s="32">
        <v>4.8131196999999997</v>
      </c>
      <c r="F301" s="88">
        <f>SUMIF([1]HSF!$H$2:$H$30,"="&amp;"APLICAÇÃO",[1]HSF!$K$2:$K$30)</f>
        <v>2283952.1146078166</v>
      </c>
      <c r="G301" s="15">
        <f t="shared" ref="G301" si="1405">H301*I301</f>
        <v>10826242.517428575</v>
      </c>
      <c r="H301" s="32">
        <v>1.2121099</v>
      </c>
      <c r="I301" s="15">
        <f>SUMIFS([1]Master!$K$2:$K$10000,[1]Master!$A$2:$A$10000,$I$12,[1]Master!$F$2:$F$10000,"&lt;="&amp;$C301)</f>
        <v>8931733.432280831</v>
      </c>
      <c r="J301" s="15">
        <f t="shared" ref="J301" si="1406">K301*L301</f>
        <v>0</v>
      </c>
      <c r="K301" s="43">
        <v>0</v>
      </c>
      <c r="L301" s="40">
        <v>0</v>
      </c>
      <c r="M301" s="15">
        <f t="shared" ref="M301" si="1407">N301*O301</f>
        <v>0</v>
      </c>
      <c r="N301" s="32">
        <v>0</v>
      </c>
      <c r="O301" s="40">
        <v>0</v>
      </c>
      <c r="P301" s="15">
        <f t="shared" si="1384"/>
        <v>44267.509507168448</v>
      </c>
      <c r="Q301" s="32">
        <v>4.1045218999999999</v>
      </c>
      <c r="R301" s="40">
        <v>10785.058670820699</v>
      </c>
      <c r="S301" s="15">
        <f t="shared" si="1399"/>
        <v>2284.1520783879168</v>
      </c>
      <c r="T301" s="15">
        <f>IF((NETWORKDAYS(DATE(YEAR(C301),MONTH(C301),1),C301,Feriados!$A$2:$A$842))&gt;=5,0,IF(NETWORKDAYS(DATE(YEAR(C301),MONTH(C301),1),C301,Feriados!$A$2:$A$842)=1,S300,T300))</f>
        <v>11314.091116728763</v>
      </c>
      <c r="U301" s="26">
        <v>0</v>
      </c>
      <c r="V301" s="26">
        <v>0</v>
      </c>
      <c r="W301" s="15">
        <f t="shared" ref="W301" si="1408">SUM(G301+J301+M301+P301)</f>
        <v>10870510.026935743</v>
      </c>
      <c r="X301" s="50">
        <f>'Fluxo de Caixa_'!AD307</f>
        <v>0</v>
      </c>
      <c r="AB301" s="26">
        <v>2448.6995000000002</v>
      </c>
      <c r="AC301" s="26">
        <v>0</v>
      </c>
      <c r="AD301">
        <f>SUMIFS([1]Master!$J$2:$J$100,[1]Master!$A$2:$A$100,"="&amp;$I$12,[1]Master!$E$2:$E$100,"="&amp;C301,[1]Master!$J$2:$J$100,"&gt;"&amp;0)</f>
        <v>0</v>
      </c>
      <c r="AE301">
        <v>0</v>
      </c>
      <c r="AF301" s="26">
        <v>0</v>
      </c>
      <c r="AG301" s="26">
        <v>0</v>
      </c>
      <c r="AH301" s="26">
        <v>0</v>
      </c>
      <c r="AI301" s="26">
        <v>0</v>
      </c>
      <c r="AJ301" s="26">
        <v>0</v>
      </c>
      <c r="AK301" s="68">
        <v>4.8131196999999997</v>
      </c>
      <c r="AL301" s="15">
        <f>-SUMIFS([1]Master!$J$1:$J$200,[1]Master!$A$1:$A$200,"="&amp;$I$12,[1]Master!$G$1:$G$200,"&gt;"&amp;C301,[1]Master!$E$1:$E$200,"&lt;="&amp;C301)</f>
        <v>0</v>
      </c>
      <c r="AM301" s="26">
        <v>0</v>
      </c>
      <c r="AN301" s="26">
        <v>-147763.48581775901</v>
      </c>
    </row>
    <row r="302" spans="3:40">
      <c r="C302" s="1">
        <f>WORKDAY(C301,1,Feriados!A109:A949)</f>
        <v>45299</v>
      </c>
      <c r="D302" s="39">
        <v>10854965.093699999</v>
      </c>
      <c r="E302" s="32">
        <v>4.8775402999999997</v>
      </c>
      <c r="F302" s="88">
        <f>SUMIF([1]HSF!$H$2:$H$30,"="&amp;"APLICAÇÃO",[1]HSF!$K$2:$K$30)</f>
        <v>2283952.1146078166</v>
      </c>
      <c r="G302" s="15">
        <f t="shared" ref="G302" si="1409">H302*I302</f>
        <v>10822195.265156643</v>
      </c>
      <c r="H302" s="32">
        <v>1.2282268999999999</v>
      </c>
      <c r="I302" s="15">
        <f>SUMIFS([1]Master!$K$2:$K$10000,[1]Master!$A$2:$A$10000,$I$12,[1]Master!$F$2:$F$10000,"&lt;="&amp;$C302)</f>
        <v>8811234.5244650189</v>
      </c>
      <c r="J302" s="15">
        <f t="shared" ref="J302" si="1410">K302*L302</f>
        <v>0</v>
      </c>
      <c r="K302" s="43">
        <v>0</v>
      </c>
      <c r="L302" s="40">
        <v>0</v>
      </c>
      <c r="M302" s="15">
        <f t="shared" ref="M302" si="1411">N302*O302</f>
        <v>0</v>
      </c>
      <c r="N302" s="32">
        <v>0</v>
      </c>
      <c r="O302" s="40">
        <v>0</v>
      </c>
      <c r="P302" s="15">
        <f t="shared" si="1384"/>
        <v>32972.469999263929</v>
      </c>
      <c r="Q302" s="32">
        <v>4.1062772000000001</v>
      </c>
      <c r="R302" s="40">
        <v>8029.7720765816603</v>
      </c>
      <c r="S302" s="15">
        <f t="shared" si="1399"/>
        <v>2854.1639271441459</v>
      </c>
      <c r="T302" s="15">
        <f>IF((NETWORKDAYS(DATE(YEAR(C302),MONTH(C302),1),C302,Feriados!$A$2:$A$842))&gt;=5,0,IF(NETWORKDAYS(DATE(YEAR(C302),MONTH(C302),1),C302,Feriados!$A$2:$A$842)=1,S301,T301))</f>
        <v>0</v>
      </c>
      <c r="U302" s="26">
        <v>0</v>
      </c>
      <c r="V302" s="26">
        <v>0</v>
      </c>
      <c r="W302" s="15">
        <f t="shared" ref="W302" si="1412">SUM(G302+J302+M302+P302)</f>
        <v>10855167.735155907</v>
      </c>
      <c r="X302" s="50">
        <f>'Fluxo de Caixa_'!AD308</f>
        <v>-9.4786105819366639E-3</v>
      </c>
      <c r="AB302" s="26">
        <v>2414.9636999999998</v>
      </c>
      <c r="AC302" s="26">
        <v>0</v>
      </c>
      <c r="AD302">
        <f>SUMIFS([1]Master!$J$2:$J$100,[1]Master!$A$2:$A$100,"="&amp;$I$12,[1]Master!$E$2:$E$100,"="&amp;C302,[1]Master!$J$2:$J$100,"&gt;"&amp;0)</f>
        <v>0</v>
      </c>
      <c r="AE302">
        <v>0</v>
      </c>
      <c r="AF302" s="26">
        <v>0</v>
      </c>
      <c r="AG302" s="26">
        <v>0</v>
      </c>
      <c r="AH302" s="26">
        <v>0</v>
      </c>
      <c r="AI302" s="26">
        <v>0</v>
      </c>
      <c r="AJ302" s="26">
        <v>0</v>
      </c>
      <c r="AK302" s="68">
        <v>4.8775402999999997</v>
      </c>
      <c r="AL302" s="15">
        <f>-SUMIFS([1]Master!$J$1:$J$200,[1]Master!$A$1:$A$200,"="&amp;$I$12,[1]Master!$G$1:$G$200,"&gt;"&amp;C302,[1]Master!$E$1:$E$200,"&lt;="&amp;C302)</f>
        <v>148000</v>
      </c>
      <c r="AM302" s="26">
        <v>0</v>
      </c>
      <c r="AN302" s="26">
        <v>-147763.48581775901</v>
      </c>
    </row>
    <row r="303" spans="3:40">
      <c r="C303" s="1">
        <f>WORKDAY(C302,1,Feriados!A110:A950)</f>
        <v>45300</v>
      </c>
      <c r="D303" s="39">
        <v>10813522.6479</v>
      </c>
      <c r="E303" s="32">
        <v>4.8589187000000003</v>
      </c>
      <c r="F303" s="88">
        <f>SUMIF([1]HSF!$H$2:$H$30,"="&amp;"APLICAÇÃO",[1]HSF!$K$2:$K$30)</f>
        <v>2283952.1146078166</v>
      </c>
      <c r="G303" s="15">
        <f t="shared" ref="G303" si="1413">H303*I303</f>
        <v>10781349.906395035</v>
      </c>
      <c r="H303" s="32">
        <v>1.2235913</v>
      </c>
      <c r="I303" s="15">
        <f>SUMIFS([1]Master!$K$2:$K$10000,[1]Master!$A$2:$A$10000,$I$12,[1]Master!$F$2:$F$10000,"&lt;="&amp;$C303)</f>
        <v>8811234.5244650189</v>
      </c>
      <c r="J303" s="15">
        <f t="shared" ref="J303" si="1414">K303*L303</f>
        <v>0</v>
      </c>
      <c r="K303" s="43">
        <v>0</v>
      </c>
      <c r="L303" s="40">
        <v>0</v>
      </c>
      <c r="M303" s="15">
        <f t="shared" ref="M303" si="1415">N303*O303</f>
        <v>0</v>
      </c>
      <c r="N303" s="32">
        <v>0</v>
      </c>
      <c r="O303" s="40">
        <v>0</v>
      </c>
      <c r="P303" s="15">
        <f t="shared" si="1384"/>
        <v>32986.760585365031</v>
      </c>
      <c r="Q303" s="32">
        <v>4.1080569000000002</v>
      </c>
      <c r="R303" s="40">
        <v>8029.7720767609198</v>
      </c>
      <c r="S303" s="15">
        <f t="shared" si="1399"/>
        <v>3431.8050235079213</v>
      </c>
      <c r="T303" s="15">
        <f>IF((NETWORKDAYS(DATE(YEAR(C303),MONTH(C303),1),C303,Feriados!$A$2:$A$842))&gt;=5,0,IF(NETWORKDAYS(DATE(YEAR(C303),MONTH(C303),1),C303,Feriados!$A$2:$A$842)=1,S302,T302))</f>
        <v>0</v>
      </c>
      <c r="U303" s="26">
        <v>0</v>
      </c>
      <c r="V303" s="26">
        <v>0</v>
      </c>
      <c r="W303" s="15">
        <f t="shared" ref="W303" si="1416">SUM(G303+J303+M303+P303)</f>
        <v>10814336.666980401</v>
      </c>
      <c r="X303" s="50">
        <f>'Fluxo de Caixa_'!AD309</f>
        <v>-7.3640858215749186E-7</v>
      </c>
      <c r="AB303" s="26">
        <v>2381.2278999999999</v>
      </c>
      <c r="AC303" s="26">
        <v>0</v>
      </c>
      <c r="AD303">
        <f>SUMIFS([1]Master!$J$2:$J$100,[1]Master!$A$2:$A$100,"="&amp;$I$12,[1]Master!$E$2:$E$100,"="&amp;C303,[1]Master!$J$2:$J$100,"&gt;"&amp;0)</f>
        <v>0</v>
      </c>
      <c r="AE303">
        <v>0</v>
      </c>
      <c r="AF303" s="26">
        <v>0</v>
      </c>
      <c r="AG303" s="26">
        <v>0</v>
      </c>
      <c r="AH303" s="26">
        <v>0</v>
      </c>
      <c r="AI303" s="26">
        <v>0</v>
      </c>
      <c r="AJ303" s="26">
        <v>0</v>
      </c>
      <c r="AK303" s="68">
        <v>4.8589187000000003</v>
      </c>
      <c r="AL303" s="15">
        <f>-SUMIFS([1]Master!$J$1:$J$200,[1]Master!$A$1:$A$200,"="&amp;$I$12,[1]Master!$G$1:$G$200,"&gt;"&amp;C303,[1]Master!$E$1:$E$200,"&lt;="&amp;C303)</f>
        <v>148000</v>
      </c>
      <c r="AM303" s="26">
        <v>0</v>
      </c>
      <c r="AN303" s="26">
        <v>-147763.48581775901</v>
      </c>
    </row>
    <row r="304" spans="3:40">
      <c r="C304" s="1">
        <f>WORKDAY(C303,1,Feriados!A111:A951)</f>
        <v>45301</v>
      </c>
      <c r="D304" s="39">
        <v>10787913.382099999</v>
      </c>
      <c r="E304" s="32">
        <v>4.8474114999999998</v>
      </c>
      <c r="F304" s="88">
        <f>SUMIF([1]HSF!$H$2:$H$30,"="&amp;"APLICAÇÃO",[1]HSF!$K$2:$K$30)</f>
        <v>2283952.1146078166</v>
      </c>
      <c r="G304" s="15">
        <f t="shared" ref="G304" si="1417">H304*I304</f>
        <v>10756335.692703532</v>
      </c>
      <c r="H304" s="32">
        <v>1.2207524000000001</v>
      </c>
      <c r="I304" s="15">
        <f>SUMIFS([1]Master!$K$2:$K$10000,[1]Master!$A$2:$A$10000,$I$12,[1]Master!$F$2:$F$10000,"&lt;="&amp;$C304)</f>
        <v>8811234.5244650189</v>
      </c>
      <c r="J304" s="15">
        <f t="shared" ref="J304" si="1418">K304*L304</f>
        <v>0</v>
      </c>
      <c r="K304" s="43">
        <v>0</v>
      </c>
      <c r="L304" s="40">
        <v>0</v>
      </c>
      <c r="M304" s="15">
        <f t="shared" ref="M304" si="1419">N304*O304</f>
        <v>0</v>
      </c>
      <c r="N304" s="32">
        <v>0</v>
      </c>
      <c r="O304" s="40">
        <v>0</v>
      </c>
      <c r="P304" s="15">
        <f t="shared" si="1384"/>
        <v>33237.41174292998</v>
      </c>
      <c r="Q304" s="32">
        <v>4.1098154999999998</v>
      </c>
      <c r="R304" s="40">
        <v>8087.3245387609204</v>
      </c>
      <c r="S304" s="15">
        <f t="shared" si="1399"/>
        <v>4007.2407825333203</v>
      </c>
      <c r="T304" s="15">
        <f>IF((NETWORKDAYS(DATE(YEAR(C304),MONTH(C304),1),C304,Feriados!$A$2:$A$842))&gt;=5,0,IF(NETWORKDAYS(DATE(YEAR(C304),MONTH(C304),1),C304,Feriados!$A$2:$A$842)=1,S303,T303))</f>
        <v>0</v>
      </c>
      <c r="U304" s="26">
        <v>0</v>
      </c>
      <c r="V304" s="26">
        <v>0</v>
      </c>
      <c r="W304" s="15">
        <f t="shared" ref="W304" si="1420">SUM(G304+J304+M304+P304)</f>
        <v>10789573.104446461</v>
      </c>
      <c r="X304" s="50">
        <f>'Fluxo de Caixa_'!AD310</f>
        <v>-3.9077713154256344E-7</v>
      </c>
      <c r="AB304" s="26">
        <v>2347.4920999999999</v>
      </c>
      <c r="AC304" s="26">
        <v>0</v>
      </c>
      <c r="AD304">
        <f>SUMIFS([1]Master!$J$2:$J$100,[1]Master!$A$2:$A$100,"="&amp;$I$12,[1]Master!$E$2:$E$100,"="&amp;C304,[1]Master!$J$2:$J$100,"&gt;"&amp;0)</f>
        <v>0</v>
      </c>
      <c r="AE304">
        <v>0</v>
      </c>
      <c r="AF304" s="26">
        <v>0</v>
      </c>
      <c r="AG304" s="26">
        <v>0</v>
      </c>
      <c r="AH304" s="26">
        <v>0</v>
      </c>
      <c r="AI304" s="26">
        <v>0</v>
      </c>
      <c r="AJ304" s="26">
        <v>0</v>
      </c>
      <c r="AK304" s="68">
        <v>4.8474114999999998</v>
      </c>
      <c r="AL304" s="15">
        <f>-SUMIFS([1]Master!$J$1:$J$200,[1]Master!$A$1:$A$200,"="&amp;$I$12,[1]Master!$G$1:$G$200,"&gt;"&amp;C304,[1]Master!$E$1:$E$200,"&lt;="&amp;C304)</f>
        <v>0</v>
      </c>
      <c r="AM304" s="26">
        <v>0</v>
      </c>
      <c r="AN304" s="26">
        <v>0</v>
      </c>
    </row>
    <row r="305" spans="3:40">
      <c r="C305" s="1">
        <f>WORKDAY(C304,1,Feriados!A112:A952)</f>
        <v>45302</v>
      </c>
      <c r="D305" s="39">
        <v>10758285.986300001</v>
      </c>
      <c r="E305" s="32">
        <v>4.8340987999999996</v>
      </c>
      <c r="F305" s="88">
        <f>SUMIF([1]HSF!$H$2:$H$30,"="&amp;"APLICAÇÃO",[1]HSF!$K$2:$K$30)</f>
        <v>2283952.1146078166</v>
      </c>
      <c r="G305" s="15">
        <f t="shared" ref="G305" si="1421">H305*I305</f>
        <v>10727301.793821966</v>
      </c>
      <c r="H305" s="32">
        <v>1.2174573</v>
      </c>
      <c r="I305" s="15">
        <f>SUMIFS([1]Master!$K$2:$K$10000,[1]Master!$A$2:$A$10000,$I$12,[1]Master!$F$2:$F$10000,"&lt;="&amp;$C305)</f>
        <v>8811234.5244650189</v>
      </c>
      <c r="J305" s="15">
        <f t="shared" ref="J305" si="1422">K305*L305</f>
        <v>0</v>
      </c>
      <c r="K305" s="43">
        <v>0</v>
      </c>
      <c r="L305" s="40">
        <v>0</v>
      </c>
      <c r="M305" s="15">
        <f t="shared" ref="M305" si="1423">N305*O305</f>
        <v>0</v>
      </c>
      <c r="N305" s="32">
        <v>0</v>
      </c>
      <c r="O305" s="40">
        <v>0</v>
      </c>
      <c r="P305" s="15">
        <f t="shared" si="1384"/>
        <v>33251.720646236412</v>
      </c>
      <c r="Q305" s="32">
        <v>4.1115848000000002</v>
      </c>
      <c r="R305" s="40">
        <v>8087.3245387609204</v>
      </c>
      <c r="S305" s="15">
        <f t="shared" ref="S305" si="1424">(((1+1.35%)^(1/252))-1)*D304+SUM(S304)</f>
        <v>4581.3137583303906</v>
      </c>
      <c r="T305" s="15">
        <f>IF((NETWORKDAYS(DATE(YEAR(C305),MONTH(C305),1),C305,Feriados!$A$2:$A$842))&gt;=5,0,IF(NETWORKDAYS(DATE(YEAR(C305),MONTH(C305),1),C305,Feriados!$A$2:$A$842)=1,S304,T304))</f>
        <v>0</v>
      </c>
      <c r="U305" s="26">
        <v>0</v>
      </c>
      <c r="V305" s="26">
        <v>0</v>
      </c>
      <c r="W305" s="15">
        <f t="shared" ref="W305" si="1425">SUM(G305+J305+M305+P305)</f>
        <v>10760553.514468202</v>
      </c>
      <c r="X305" s="50">
        <f>'Fluxo de Caixa_'!AD311</f>
        <v>0</v>
      </c>
      <c r="AB305" s="26">
        <v>2313.7563</v>
      </c>
      <c r="AC305" s="26">
        <v>0</v>
      </c>
      <c r="AD305">
        <f>SUMIFS([1]Master!$J$2:$J$100,[1]Master!$A$2:$A$100,"="&amp;$I$12,[1]Master!$E$2:$E$100,"="&amp;C305,[1]Master!$J$2:$J$100,"&gt;"&amp;0)</f>
        <v>0</v>
      </c>
      <c r="AE305">
        <v>0</v>
      </c>
      <c r="AF305" s="26">
        <v>0</v>
      </c>
      <c r="AG305" s="26">
        <v>0</v>
      </c>
      <c r="AH305" s="26">
        <v>0</v>
      </c>
      <c r="AI305" s="26">
        <v>0</v>
      </c>
      <c r="AJ305" s="26">
        <v>0</v>
      </c>
      <c r="AK305" s="68">
        <v>4.8340987999999996</v>
      </c>
      <c r="AL305" s="15">
        <f>-SUMIFS([1]Master!$J$1:$J$200,[1]Master!$A$1:$A$200,"="&amp;$I$12,[1]Master!$G$1:$G$200,"&gt;"&amp;C305,[1]Master!$E$1:$E$200,"&lt;="&amp;C305)</f>
        <v>0</v>
      </c>
      <c r="AM305" s="26">
        <v>0</v>
      </c>
      <c r="AN305" s="26">
        <v>0</v>
      </c>
    </row>
    <row r="306" spans="3:40">
      <c r="C306" s="1">
        <f>WORKDAY(C305,1,Feriados!A113:A953)</f>
        <v>45303</v>
      </c>
      <c r="D306" s="39">
        <v>10830850.350500001</v>
      </c>
      <c r="E306" s="32">
        <v>4.8667046000000003</v>
      </c>
      <c r="F306" s="88">
        <f>SUMIF([1]HSF!$H$2:$H$30,"="&amp;"APLICAÇÃO",[1]HSF!$K$2:$K$30)</f>
        <v>2283952.1146078166</v>
      </c>
      <c r="G306" s="15">
        <f t="shared" ref="G306" si="1426">H306*I306</f>
        <v>10800457.949584788</v>
      </c>
      <c r="H306" s="32">
        <v>1.2257598999999999</v>
      </c>
      <c r="I306" s="15">
        <f>SUMIFS([1]Master!$K$2:$K$10000,[1]Master!$A$2:$A$10000,$I$12,[1]Master!$F$2:$F$10000,"&lt;="&amp;$C306)</f>
        <v>8811234.5244650189</v>
      </c>
      <c r="J306" s="15">
        <f t="shared" ref="J306" si="1427">K306*L306</f>
        <v>0</v>
      </c>
      <c r="K306" s="43">
        <v>0</v>
      </c>
      <c r="L306" s="40">
        <v>0</v>
      </c>
      <c r="M306" s="15">
        <f t="shared" ref="M306" si="1428">N306*O306</f>
        <v>0</v>
      </c>
      <c r="N306" s="32">
        <v>0</v>
      </c>
      <c r="O306" s="40">
        <v>0</v>
      </c>
      <c r="P306" s="15">
        <f t="shared" si="1384"/>
        <v>33266.154094340738</v>
      </c>
      <c r="Q306" s="32">
        <v>4.1133695000000001</v>
      </c>
      <c r="R306" s="40">
        <v>8087.3245387609204</v>
      </c>
      <c r="S306" s="15">
        <f t="shared" ref="S306" si="1429">(((1+1.35%)^(1/252))-1)*D305+SUM(S305)</f>
        <v>5153.8101282844591</v>
      </c>
      <c r="T306" s="15">
        <f>IF((NETWORKDAYS(DATE(YEAR(C306),MONTH(C306),1),C306,Feriados!$A$2:$A$842))&gt;=5,0,IF(NETWORKDAYS(DATE(YEAR(C306),MONTH(C306),1),C306,Feriados!$A$2:$A$842)=1,S305,T305))</f>
        <v>0</v>
      </c>
      <c r="U306" s="26">
        <v>0</v>
      </c>
      <c r="V306" s="26">
        <v>0</v>
      </c>
      <c r="W306" s="15">
        <f t="shared" ref="W306" si="1430">SUM(G306+J306+M306+P306)</f>
        <v>10833724.103679128</v>
      </c>
      <c r="X306" s="50">
        <f>'Fluxo de Caixa_'!AD312</f>
        <v>0</v>
      </c>
      <c r="AB306" s="26">
        <v>2280.0205000000001</v>
      </c>
      <c r="AC306" s="26">
        <v>0</v>
      </c>
      <c r="AD306">
        <f>SUMIFS([1]Master!$J$2:$J$100,[1]Master!$A$2:$A$100,"="&amp;$I$12,[1]Master!$E$2:$E$100,"="&amp;C306,[1]Master!$J$2:$J$100,"&gt;"&amp;0)</f>
        <v>0</v>
      </c>
      <c r="AE306">
        <v>0</v>
      </c>
      <c r="AF306" s="26">
        <v>0</v>
      </c>
      <c r="AG306" s="26">
        <v>0</v>
      </c>
      <c r="AH306" s="26">
        <v>0</v>
      </c>
      <c r="AI306" s="26">
        <v>0</v>
      </c>
      <c r="AJ306" s="26">
        <v>0</v>
      </c>
      <c r="AK306" s="68">
        <v>4.8667046000000003</v>
      </c>
      <c r="AL306" s="15">
        <f>-SUMIFS([1]Master!$J$1:$J$200,[1]Master!$A$1:$A$200,"="&amp;$I$12,[1]Master!$G$1:$G$200,"&gt;"&amp;C306,[1]Master!$E$1:$E$200,"&lt;="&amp;C306)</f>
        <v>0</v>
      </c>
      <c r="AM306" s="26">
        <v>0</v>
      </c>
      <c r="AN306" s="26">
        <v>0</v>
      </c>
    </row>
    <row r="307" spans="3:40">
      <c r="C307" s="1">
        <f>WORKDAY(C306,1,Feriados!A114:A954)</f>
        <v>45306</v>
      </c>
      <c r="D307" s="39">
        <v>10863587.5547</v>
      </c>
      <c r="E307" s="32">
        <v>4.8814146999999997</v>
      </c>
      <c r="F307" s="88">
        <f>SUMIF([1]HSF!$H$2:$H$30,"="&amp;"APLICAÇÃO",[1]HSF!$K$2:$K$30)</f>
        <v>2283952.1146078166</v>
      </c>
      <c r="G307" s="15">
        <f t="shared" ref="G307" si="1431">H307*I307</f>
        <v>10833790.849790839</v>
      </c>
      <c r="H307" s="32">
        <v>1.2295429</v>
      </c>
      <c r="I307" s="15">
        <f>SUMIFS([1]Master!$K$2:$K$10000,[1]Master!$A$2:$A$10000,$I$12,[1]Master!$F$2:$F$10000,"&lt;="&amp;$C307)</f>
        <v>8811234.5244650189</v>
      </c>
      <c r="J307" s="15">
        <f t="shared" ref="J307" si="1432">K307*L307</f>
        <v>0</v>
      </c>
      <c r="K307" s="43">
        <v>0</v>
      </c>
      <c r="L307" s="40">
        <v>0</v>
      </c>
      <c r="M307" s="15">
        <f t="shared" ref="M307" si="1433">N307*O307</f>
        <v>0</v>
      </c>
      <c r="N307" s="32">
        <v>0</v>
      </c>
      <c r="O307" s="40">
        <v>0</v>
      </c>
      <c r="P307" s="15">
        <f t="shared" si="1384"/>
        <v>33280.542253427651</v>
      </c>
      <c r="Q307" s="32">
        <v>4.1151486000000004</v>
      </c>
      <c r="R307" s="40">
        <v>8087.3245387609204</v>
      </c>
      <c r="S307" s="15">
        <f t="shared" ref="S307" si="1434">(((1+1.35%)^(1/252))-1)*D306+SUM(S306)</f>
        <v>5730.1679716317267</v>
      </c>
      <c r="T307" s="15">
        <f>IF((NETWORKDAYS(DATE(YEAR(C307),MONTH(C307),1),C307,Feriados!$A$2:$A$842))&gt;=5,0,IF(NETWORKDAYS(DATE(YEAR(C307),MONTH(C307),1),C307,Feriados!$A$2:$A$842)=1,S306,T306))</f>
        <v>0</v>
      </c>
      <c r="U307" s="26">
        <v>0</v>
      </c>
      <c r="V307" s="26">
        <v>0</v>
      </c>
      <c r="W307" s="15">
        <f t="shared" ref="W307" si="1435">SUM(G307+J307+M307+P307)</f>
        <v>10867071.392044267</v>
      </c>
      <c r="X307" s="50">
        <f>'Fluxo de Caixa_'!AD313</f>
        <v>0</v>
      </c>
      <c r="AB307" s="26">
        <v>2246.2847000000002</v>
      </c>
      <c r="AC307" s="26">
        <v>0</v>
      </c>
      <c r="AD307">
        <f>SUMIFS([1]Master!$J$2:$J$100,[1]Master!$A$2:$A$100,"="&amp;$I$12,[1]Master!$E$2:$E$100,"="&amp;C307,[1]Master!$J$2:$J$100,"&gt;"&amp;0)</f>
        <v>0</v>
      </c>
      <c r="AE307">
        <v>0</v>
      </c>
      <c r="AF307" s="26">
        <v>0</v>
      </c>
      <c r="AG307" s="26">
        <v>0</v>
      </c>
      <c r="AH307" s="26">
        <v>0</v>
      </c>
      <c r="AI307" s="26">
        <v>0</v>
      </c>
      <c r="AJ307" s="26">
        <v>0</v>
      </c>
      <c r="AK307" s="68">
        <v>4.8814146999999997</v>
      </c>
      <c r="AL307" s="15">
        <f>-SUMIFS([1]Master!$J$1:$J$200,[1]Master!$A$1:$A$200,"="&amp;$I$12,[1]Master!$G$1:$G$200,"&gt;"&amp;C307,[1]Master!$E$1:$E$200,"&lt;="&amp;C307)</f>
        <v>0</v>
      </c>
      <c r="AM307" s="26">
        <v>0</v>
      </c>
      <c r="AN307" s="26">
        <v>0</v>
      </c>
    </row>
    <row r="308" spans="3:40">
      <c r="C308" s="1">
        <f>WORKDAY(C307,1,Feriados!A115:A955)</f>
        <v>45307</v>
      </c>
      <c r="D308" s="39">
        <v>10697953.1689</v>
      </c>
      <c r="E308" s="32">
        <v>4.8069889999999997</v>
      </c>
      <c r="F308" s="88">
        <f>SUMIF([1]HSF!$H$2:$H$30,"="&amp;"APLICAÇÃO",[1]HSF!$K$2:$K$30)</f>
        <v>2283952.1146078166</v>
      </c>
      <c r="G308" s="15">
        <f t="shared" ref="G308" si="1436">H308*I308</f>
        <v>10668753.783777252</v>
      </c>
      <c r="H308" s="32">
        <v>1.2108125999999999</v>
      </c>
      <c r="I308" s="15">
        <f>SUMIFS([1]Master!$K$2:$K$10000,[1]Master!$A$2:$A$10000,$I$12,[1]Master!$F$2:$F$10000,"&lt;="&amp;$C308)</f>
        <v>8811234.5244650189</v>
      </c>
      <c r="J308" s="15">
        <f t="shared" ref="J308" si="1437">K308*L308</f>
        <v>0</v>
      </c>
      <c r="K308" s="43">
        <v>0</v>
      </c>
      <c r="L308" s="40">
        <v>0</v>
      </c>
      <c r="M308" s="15">
        <f t="shared" ref="M308" si="1438">N308*O308</f>
        <v>0</v>
      </c>
      <c r="N308" s="32">
        <v>0</v>
      </c>
      <c r="O308" s="40">
        <v>0</v>
      </c>
      <c r="P308" s="15">
        <f t="shared" si="1384"/>
        <v>33295.044443790553</v>
      </c>
      <c r="Q308" s="32">
        <v>4.1169418000000002</v>
      </c>
      <c r="R308" s="40">
        <v>8087.3245387609204</v>
      </c>
      <c r="S308" s="15">
        <f t="shared" ref="S308" si="1439">(((1+1.35%)^(1/252))-1)*D307+SUM(S307)</f>
        <v>6308.2679075940086</v>
      </c>
      <c r="T308" s="15">
        <f>IF((NETWORKDAYS(DATE(YEAR(C308),MONTH(C308),1),C308,Feriados!$A$2:$A$842))&gt;=5,0,IF(NETWORKDAYS(DATE(YEAR(C308),MONTH(C308),1),C308,Feriados!$A$2:$A$842)=1,S307,T307))</f>
        <v>0</v>
      </c>
      <c r="U308" s="26">
        <v>0</v>
      </c>
      <c r="V308" s="26">
        <v>0</v>
      </c>
      <c r="W308" s="15">
        <f t="shared" ref="W308" si="1440">SUM(G308+J308+M308+P308)</f>
        <v>10702048.828221042</v>
      </c>
      <c r="X308" s="50">
        <f>'Fluxo de Caixa_'!AD314</f>
        <v>0</v>
      </c>
      <c r="AB308" s="26">
        <v>2212.5488999999998</v>
      </c>
      <c r="AC308" s="26">
        <v>0</v>
      </c>
      <c r="AD308">
        <f>SUMIFS([1]Master!$J$2:$J$100,[1]Master!$A$2:$A$100,"="&amp;$I$12,[1]Master!$E$2:$E$100,"="&amp;C308,[1]Master!$J$2:$J$100,"&gt;"&amp;0)</f>
        <v>0</v>
      </c>
      <c r="AE308">
        <v>0</v>
      </c>
      <c r="AF308" s="26">
        <v>0</v>
      </c>
      <c r="AG308" s="26">
        <v>0</v>
      </c>
      <c r="AH308" s="26">
        <v>0</v>
      </c>
      <c r="AI308" s="26">
        <v>0</v>
      </c>
      <c r="AJ308" s="26">
        <v>0</v>
      </c>
      <c r="AK308" s="68">
        <v>4.8069889999999997</v>
      </c>
      <c r="AL308" s="15">
        <f>-SUMIFS([1]Master!$J$1:$J$200,[1]Master!$A$1:$A$200,"="&amp;$I$12,[1]Master!$G$1:$G$200,"&gt;"&amp;C308,[1]Master!$E$1:$E$200,"&lt;="&amp;C308)</f>
        <v>0</v>
      </c>
      <c r="AM308" s="26">
        <v>0</v>
      </c>
      <c r="AN308" s="26">
        <v>0</v>
      </c>
    </row>
    <row r="309" spans="3:40">
      <c r="C309" s="1">
        <f>WORKDAY(C308,1,Feriados!A116:A956)</f>
        <v>45308</v>
      </c>
      <c r="D309" s="39">
        <v>10643432.713099999</v>
      </c>
      <c r="E309" s="32">
        <v>4.7824909</v>
      </c>
      <c r="F309" s="88">
        <f>SUMIF([1]HSF!$H$2:$H$30,"="&amp;"APLICAÇÃO",[1]HSF!$K$2:$K$30)</f>
        <v>2283952.1146078166</v>
      </c>
      <c r="G309" s="15">
        <f t="shared" ref="G309" si="1441">H309*I309</f>
        <v>10614821.979499908</v>
      </c>
      <c r="H309" s="32">
        <v>1.2046918</v>
      </c>
      <c r="I309" s="15">
        <f>SUMIFS([1]Master!$K$2:$K$10000,[1]Master!$A$2:$A$10000,$I$12,[1]Master!$F$2:$F$10000,"&lt;="&amp;$C309)</f>
        <v>8811234.5244650189</v>
      </c>
      <c r="J309" s="15">
        <f t="shared" ref="J309" si="1442">K309*L309</f>
        <v>0</v>
      </c>
      <c r="K309" s="43">
        <v>0</v>
      </c>
      <c r="L309" s="40">
        <v>0</v>
      </c>
      <c r="M309" s="15">
        <f t="shared" ref="M309" si="1443">N309*O309</f>
        <v>0</v>
      </c>
      <c r="N309" s="32">
        <v>0</v>
      </c>
      <c r="O309" s="40">
        <v>0</v>
      </c>
      <c r="P309" s="15">
        <f t="shared" si="1384"/>
        <v>33309.40753217139</v>
      </c>
      <c r="Q309" s="32">
        <v>4.1187177999999998</v>
      </c>
      <c r="R309" s="40">
        <v>8087.3245387609204</v>
      </c>
      <c r="S309" s="15">
        <f t="shared" ref="S309" si="1444">(((1+1.35%)^(1/252))-1)*D308+SUM(S308)</f>
        <v>6877.5536993021942</v>
      </c>
      <c r="T309" s="15">
        <f>IF((NETWORKDAYS(DATE(YEAR(C309),MONTH(C309),1),C309,Feriados!$A$2:$A$842))&gt;=5,0,IF(NETWORKDAYS(DATE(YEAR(C309),MONTH(C309),1),C309,Feriados!$A$2:$A$842)=1,S308,T308))</f>
        <v>0</v>
      </c>
      <c r="U309" s="26">
        <v>0</v>
      </c>
      <c r="V309" s="26">
        <v>0</v>
      </c>
      <c r="W309" s="15">
        <f t="shared" ref="W309" si="1445">SUM(G309+J309+M309+P309)</f>
        <v>10648131.38703208</v>
      </c>
      <c r="X309" s="50">
        <f>'Fluxo de Caixa_'!AD315</f>
        <v>0</v>
      </c>
      <c r="AB309" s="26">
        <v>2178.8130999999998</v>
      </c>
      <c r="AC309" s="26">
        <v>0</v>
      </c>
      <c r="AD309">
        <f>SUMIFS([1]Master!$J$2:$J$100,[1]Master!$A$2:$A$100,"="&amp;$I$12,[1]Master!$E$2:$E$100,"="&amp;C309,[1]Master!$J$2:$J$100,"&gt;"&amp;0)</f>
        <v>0</v>
      </c>
      <c r="AE309">
        <v>0</v>
      </c>
      <c r="AF309" s="26">
        <v>0</v>
      </c>
      <c r="AG309" s="26">
        <v>0</v>
      </c>
      <c r="AH309" s="26">
        <v>0</v>
      </c>
      <c r="AI309" s="26">
        <v>0</v>
      </c>
      <c r="AJ309" s="26">
        <v>0</v>
      </c>
      <c r="AK309" s="68">
        <v>4.7824909</v>
      </c>
      <c r="AL309" s="15">
        <f>-SUMIFS([1]Master!$J$1:$J$200,[1]Master!$A$1:$A$200,"="&amp;$I$12,[1]Master!$G$1:$G$200,"&gt;"&amp;C309,[1]Master!$E$1:$E$200,"&lt;="&amp;C309)</f>
        <v>0</v>
      </c>
      <c r="AM309" s="26">
        <v>0</v>
      </c>
      <c r="AN309" s="26">
        <v>0</v>
      </c>
    </row>
    <row r="310" spans="3:40">
      <c r="C310" s="1">
        <f>WORKDAY(C309,1,Feriados!A117:A957)</f>
        <v>45309</v>
      </c>
      <c r="D310" s="39">
        <v>10504251.647299999</v>
      </c>
      <c r="E310" s="32">
        <v>4.7199517000000002</v>
      </c>
      <c r="F310" s="88">
        <f>SUMIF([1]HSF!$H$2:$H$30,"="&amp;"APLICAÇÃO",[1]HSF!$K$2:$K$30)</f>
        <v>2283952.1146078166</v>
      </c>
      <c r="G310" s="15">
        <f t="shared" ref="G310" si="1446">H310*I310</f>
        <v>10476226.547170788</v>
      </c>
      <c r="H310" s="32">
        <v>1.1889624000000001</v>
      </c>
      <c r="I310" s="15">
        <f>SUMIFS([1]Master!$K$2:$K$10000,[1]Master!$A$2:$A$10000,$I$12,[1]Master!$F$2:$F$10000,"&lt;="&amp;$C310)</f>
        <v>8811234.5244650189</v>
      </c>
      <c r="J310" s="15">
        <f t="shared" ref="J310" si="1447">K310*L310</f>
        <v>0</v>
      </c>
      <c r="K310" s="43">
        <v>0</v>
      </c>
      <c r="L310" s="40">
        <v>0</v>
      </c>
      <c r="M310" s="15">
        <f t="shared" ref="M310" si="1448">N310*O310</f>
        <v>0</v>
      </c>
      <c r="N310" s="32">
        <v>0</v>
      </c>
      <c r="O310" s="40">
        <v>0</v>
      </c>
      <c r="P310" s="15">
        <f t="shared" si="1384"/>
        <v>33323.887886758042</v>
      </c>
      <c r="Q310" s="32">
        <v>4.1205083</v>
      </c>
      <c r="R310" s="40">
        <v>8087.3245387609204</v>
      </c>
      <c r="S310" s="15">
        <f t="shared" ref="S310" si="1449">(((1+1.35%)^(1/252))-1)*D309+SUM(S309)</f>
        <v>7443.9382144433239</v>
      </c>
      <c r="T310" s="15">
        <f>IF((NETWORKDAYS(DATE(YEAR(C310),MONTH(C310),1),C310,Feriados!$A$2:$A$842))&gt;=5,0,IF(NETWORKDAYS(DATE(YEAR(C310),MONTH(C310),1),C310,Feriados!$A$2:$A$842)=1,S309,T309))</f>
        <v>0</v>
      </c>
      <c r="U310" s="26">
        <v>0</v>
      </c>
      <c r="V310" s="26">
        <v>0</v>
      </c>
      <c r="W310" s="15">
        <f t="shared" ref="W310" si="1450">SUM(G310+J310+M310+P310)</f>
        <v>10509550.435057547</v>
      </c>
      <c r="X310" s="50">
        <f>'Fluxo de Caixa_'!AD316</f>
        <v>0</v>
      </c>
      <c r="AB310" s="26">
        <v>2145.0772999999999</v>
      </c>
      <c r="AC310" s="26">
        <v>0</v>
      </c>
      <c r="AD310">
        <f>SUMIFS([1]Master!$J$2:$J$100,[1]Master!$A$2:$A$100,"="&amp;$I$12,[1]Master!$E$2:$E$100,"="&amp;C310,[1]Master!$J$2:$J$100,"&gt;"&amp;0)</f>
        <v>0</v>
      </c>
      <c r="AE310">
        <v>0</v>
      </c>
      <c r="AF310" s="26">
        <v>0</v>
      </c>
      <c r="AG310" s="26">
        <v>0</v>
      </c>
      <c r="AH310" s="26">
        <v>0</v>
      </c>
      <c r="AI310" s="26">
        <v>0</v>
      </c>
      <c r="AJ310" s="26">
        <v>0</v>
      </c>
      <c r="AK310" s="68">
        <v>4.7199517000000002</v>
      </c>
      <c r="AL310" s="15">
        <f>-SUMIFS([1]Master!$J$1:$J$200,[1]Master!$A$1:$A$200,"="&amp;$I$12,[1]Master!$G$1:$G$200,"&gt;"&amp;C310,[1]Master!$E$1:$E$200,"&lt;="&amp;C310)</f>
        <v>0</v>
      </c>
      <c r="AM310" s="26">
        <v>0</v>
      </c>
      <c r="AN310" s="26">
        <v>0</v>
      </c>
    </row>
    <row r="311" spans="3:40">
      <c r="C311" s="1">
        <f>WORKDAY(C310,1,Feriados!A118:A958)</f>
        <v>45310</v>
      </c>
      <c r="D311" s="39">
        <v>10573807.351500001</v>
      </c>
      <c r="E311" s="32">
        <v>4.7512055999999996</v>
      </c>
      <c r="F311" s="88">
        <f>SUMIF([1]HSF!$H$2:$H$30,"="&amp;"APLICAÇÃO",[1]HSF!$K$2:$K$30)</f>
        <v>2283952.1146078166</v>
      </c>
      <c r="G311" s="15">
        <f t="shared" ref="G311" si="1451">H311*I311</f>
        <v>10546360.449491719</v>
      </c>
      <c r="H311" s="32">
        <v>1.196922</v>
      </c>
      <c r="I311" s="15">
        <f>SUMIFS([1]Master!$K$2:$K$10000,[1]Master!$A$2:$A$10000,$I$12,[1]Master!$F$2:$F$10000,"&lt;="&amp;$C311)</f>
        <v>8811234.5244650189</v>
      </c>
      <c r="J311" s="15">
        <f t="shared" ref="J311" si="1452">K311*L311</f>
        <v>0</v>
      </c>
      <c r="K311" s="43">
        <v>0</v>
      </c>
      <c r="L311" s="40">
        <v>0</v>
      </c>
      <c r="M311" s="15">
        <f t="shared" ref="M311" si="1453">N311*O311</f>
        <v>0</v>
      </c>
      <c r="N311" s="32">
        <v>0</v>
      </c>
      <c r="O311" s="40">
        <v>0</v>
      </c>
      <c r="P311" s="15">
        <f t="shared" si="1384"/>
        <v>33338.404634305116</v>
      </c>
      <c r="Q311" s="32">
        <v>4.1223032999999996</v>
      </c>
      <c r="R311" s="40">
        <v>8087.3245387609204</v>
      </c>
      <c r="S311" s="15">
        <f t="shared" ref="S311" si="1454">(((1+1.35%)^(1/252))-1)*D310+SUM(S310)</f>
        <v>8002.9162844464163</v>
      </c>
      <c r="T311" s="15">
        <f>IF((NETWORKDAYS(DATE(YEAR(C311),MONTH(C311),1),C311,Feriados!$A$2:$A$842))&gt;=5,0,IF(NETWORKDAYS(DATE(YEAR(C311),MONTH(C311),1),C311,Feriados!$A$2:$A$842)=1,S310,T310))</f>
        <v>0</v>
      </c>
      <c r="U311" s="26">
        <v>0</v>
      </c>
      <c r="V311" s="26">
        <v>0</v>
      </c>
      <c r="W311" s="15">
        <f t="shared" ref="W311" si="1455">SUM(G311+J311+M311+P311)</f>
        <v>10579698.854126023</v>
      </c>
      <c r="X311" s="50">
        <f>'Fluxo de Caixa_'!AD317</f>
        <v>0</v>
      </c>
      <c r="AB311" s="26">
        <v>2111.3415</v>
      </c>
      <c r="AC311" s="26">
        <v>0</v>
      </c>
      <c r="AD311">
        <f>SUMIFS([1]Master!$J$2:$J$100,[1]Master!$A$2:$A$100,"="&amp;$I$12,[1]Master!$E$2:$E$100,"="&amp;C311,[1]Master!$J$2:$J$100,"&gt;"&amp;0)</f>
        <v>0</v>
      </c>
      <c r="AE311">
        <v>0</v>
      </c>
      <c r="AF311" s="26">
        <v>0</v>
      </c>
      <c r="AG311" s="26">
        <v>0</v>
      </c>
      <c r="AH311" s="26">
        <v>0</v>
      </c>
      <c r="AI311" s="26">
        <v>0</v>
      </c>
      <c r="AJ311" s="26">
        <v>0</v>
      </c>
      <c r="AK311" s="68">
        <v>4.7512055999999996</v>
      </c>
      <c r="AL311" s="15">
        <f>-SUMIFS([1]Master!$J$1:$J$200,[1]Master!$A$1:$A$200,"="&amp;$I$12,[1]Master!$G$1:$G$200,"&gt;"&amp;C311,[1]Master!$E$1:$E$200,"&lt;="&amp;C311)</f>
        <v>0</v>
      </c>
      <c r="AM311" s="26">
        <v>0</v>
      </c>
      <c r="AN311" s="26">
        <v>0</v>
      </c>
    </row>
    <row r="312" spans="3:40">
      <c r="C312" s="1">
        <f>WORKDAY(C311,1,Feriados!A119:A959)</f>
        <v>45313</v>
      </c>
      <c r="D312" s="39">
        <v>10398901.3957</v>
      </c>
      <c r="E312" s="32">
        <v>4.6726139</v>
      </c>
      <c r="F312" s="88">
        <f>SUMIF([1]HSF!$H$2:$H$30,"="&amp;"APLICAÇÃO",[1]HSF!$K$2:$K$30)</f>
        <v>2283952.1146078166</v>
      </c>
      <c r="G312" s="15">
        <f t="shared" ref="G312" si="1456">H312*I312</f>
        <v>10372036.342289347</v>
      </c>
      <c r="H312" s="32">
        <v>1.1771377000000001</v>
      </c>
      <c r="I312" s="15">
        <f>SUMIFS([1]Master!$K$2:$K$10000,[1]Master!$A$2:$A$10000,$I$12,[1]Master!$F$2:$F$10000,"&lt;="&amp;$C312)</f>
        <v>8811234.5244650189</v>
      </c>
      <c r="J312" s="15">
        <f t="shared" ref="J312" si="1457">K312*L312</f>
        <v>0</v>
      </c>
      <c r="K312" s="43">
        <v>0</v>
      </c>
      <c r="L312" s="40">
        <v>0</v>
      </c>
      <c r="M312" s="15">
        <f t="shared" ref="M312" si="1458">N312*O312</f>
        <v>0</v>
      </c>
      <c r="N312" s="32">
        <v>0</v>
      </c>
      <c r="O312" s="40">
        <v>0</v>
      </c>
      <c r="P312" s="15">
        <f t="shared" si="1384"/>
        <v>33352.958583545071</v>
      </c>
      <c r="Q312" s="32">
        <v>4.1241028999999996</v>
      </c>
      <c r="R312" s="40">
        <v>8087.3245387609204</v>
      </c>
      <c r="S312" s="15">
        <f t="shared" ref="S312" si="1459">(((1+1.35%)^(1/252))-1)*D311+SUM(S311)</f>
        <v>8565.5957236280938</v>
      </c>
      <c r="T312" s="15">
        <f>IF((NETWORKDAYS(DATE(YEAR(C312),MONTH(C312),1),C312,Feriados!$A$2:$A$842))&gt;=5,0,IF(NETWORKDAYS(DATE(YEAR(C312),MONTH(C312),1),C312,Feriados!$A$2:$A$842)=1,S311,T311))</f>
        <v>0</v>
      </c>
      <c r="U312" s="26">
        <v>0</v>
      </c>
      <c r="V312" s="26">
        <v>0</v>
      </c>
      <c r="W312" s="15">
        <f t="shared" ref="W312" si="1460">SUM(G312+J312+M312+P312)</f>
        <v>10405389.300872892</v>
      </c>
      <c r="X312" s="50">
        <f>'Fluxo de Caixa_'!AD318</f>
        <v>0</v>
      </c>
      <c r="AB312" s="26">
        <v>2077.6057000000001</v>
      </c>
      <c r="AC312" s="26">
        <v>0</v>
      </c>
      <c r="AD312">
        <f>SUMIFS([1]Master!$J$2:$J$100,[1]Master!$A$2:$A$100,"="&amp;$I$12,[1]Master!$E$2:$E$100,"="&amp;C312,[1]Master!$J$2:$J$100,"&gt;"&amp;0)</f>
        <v>0</v>
      </c>
      <c r="AE312">
        <v>0</v>
      </c>
      <c r="AF312" s="26">
        <v>0</v>
      </c>
      <c r="AG312" s="26">
        <v>0</v>
      </c>
      <c r="AH312" s="26">
        <v>0</v>
      </c>
      <c r="AI312" s="26">
        <v>0</v>
      </c>
      <c r="AJ312" s="26">
        <v>0</v>
      </c>
      <c r="AK312" s="68">
        <v>4.6726139</v>
      </c>
      <c r="AL312" s="15">
        <f>-SUMIFS([1]Master!$J$1:$J$200,[1]Master!$A$1:$A$200,"="&amp;$I$12,[1]Master!$G$1:$G$200,"&gt;"&amp;C312,[1]Master!$E$1:$E$200,"&lt;="&amp;C312)</f>
        <v>0</v>
      </c>
      <c r="AM312" s="26">
        <v>0</v>
      </c>
      <c r="AN312" s="26">
        <v>0</v>
      </c>
    </row>
    <row r="313" spans="3:40">
      <c r="C313" s="1">
        <f>WORKDAY(C312,1,Feriados!A120:A960)</f>
        <v>45314</v>
      </c>
      <c r="D313" s="39">
        <v>10558952.539899999</v>
      </c>
      <c r="E313" s="32">
        <v>4.7445307999999997</v>
      </c>
      <c r="F313" s="88">
        <f>SUMIF([1]HSF!$H$2:$H$30,"="&amp;"APLICAÇÃO",[1]HSF!$K$2:$K$30)</f>
        <v>2283952.1146078166</v>
      </c>
      <c r="G313" s="15">
        <f t="shared" ref="G313" si="1461">H313*I313</f>
        <v>10532659.860929627</v>
      </c>
      <c r="H313" s="32">
        <v>1.1953670999999999</v>
      </c>
      <c r="I313" s="15">
        <f>SUMIFS([1]Master!$K$2:$K$10000,[1]Master!$A$2:$A$10000,$I$12,[1]Master!$F$2:$F$10000,"&lt;="&amp;$C313)</f>
        <v>8811234.5244650189</v>
      </c>
      <c r="J313" s="15">
        <f t="shared" ref="J313" si="1462">K313*L313</f>
        <v>0</v>
      </c>
      <c r="K313" s="43">
        <v>0</v>
      </c>
      <c r="L313" s="40">
        <v>0</v>
      </c>
      <c r="M313" s="15">
        <f t="shared" ref="M313" si="1463">N313*O313</f>
        <v>0</v>
      </c>
      <c r="N313" s="32">
        <v>0</v>
      </c>
      <c r="O313" s="40">
        <v>0</v>
      </c>
      <c r="P313" s="15">
        <f t="shared" si="1384"/>
        <v>32867.693690270367</v>
      </c>
      <c r="Q313" s="32">
        <v>4.1259249000000002</v>
      </c>
      <c r="R313" s="40">
        <v>7966.13958976092</v>
      </c>
      <c r="S313" s="15">
        <f t="shared" ref="S313" si="1464">(((1+1.35%)^(1/252))-1)*D312+SUM(S312)</f>
        <v>9118.9676369728168</v>
      </c>
      <c r="T313" s="15">
        <f>IF((NETWORKDAYS(DATE(YEAR(C313),MONTH(C313),1),C313,Feriados!$A$2:$A$842))&gt;=5,0,IF(NETWORKDAYS(DATE(YEAR(C313),MONTH(C313),1),C313,Feriados!$A$2:$A$842)=1,S312,T312))</f>
        <v>0</v>
      </c>
      <c r="U313" s="26">
        <v>0</v>
      </c>
      <c r="V313" s="26">
        <v>0</v>
      </c>
      <c r="W313" s="15">
        <f t="shared" ref="W313" si="1465">SUM(G313+J313+M313+P313)</f>
        <v>10565527.554619897</v>
      </c>
      <c r="X313" s="50">
        <f>'Fluxo de Caixa_'!AD319</f>
        <v>-1.4156681800159276E-6</v>
      </c>
      <c r="AB313" s="26">
        <v>2543.8699000000001</v>
      </c>
      <c r="AC313" s="26">
        <v>0</v>
      </c>
      <c r="AD313">
        <f>SUMIFS([1]Master!$J$2:$J$100,[1]Master!$A$2:$A$100,"="&amp;$I$12,[1]Master!$E$2:$E$100,"="&amp;C313,[1]Master!$J$2:$J$100,"&gt;"&amp;0)</f>
        <v>0</v>
      </c>
      <c r="AE313">
        <v>0</v>
      </c>
      <c r="AF313" s="26">
        <v>0</v>
      </c>
      <c r="AG313" s="26">
        <v>0</v>
      </c>
      <c r="AH313" s="26">
        <v>0</v>
      </c>
      <c r="AI313" s="26">
        <v>0</v>
      </c>
      <c r="AJ313" s="26">
        <v>0</v>
      </c>
      <c r="AK313" s="68">
        <v>4.7445307999999997</v>
      </c>
      <c r="AL313" s="15">
        <f>-SUMIFS([1]Master!$J$1:$J$200,[1]Master!$A$1:$A$200,"="&amp;$I$12,[1]Master!$G$1:$G$200,"&gt;"&amp;C313,[1]Master!$E$1:$E$200,"&lt;="&amp;C313)</f>
        <v>0</v>
      </c>
      <c r="AM313" s="26">
        <v>0</v>
      </c>
      <c r="AN313" s="26">
        <v>0</v>
      </c>
    </row>
    <row r="314" spans="3:40">
      <c r="C314" s="1">
        <f>WORKDAY(C313,1,Feriados!A121:A961)</f>
        <v>45315</v>
      </c>
      <c r="D314" s="39">
        <v>10557039.5956</v>
      </c>
      <c r="E314" s="32">
        <v>4.7436712999999999</v>
      </c>
      <c r="F314" s="88">
        <f>SUMIF([1]HSF!$H$2:$H$30,"="&amp;"APLICAÇÃO",[1]HSF!$K$2:$K$30)</f>
        <v>2283952.1146078166</v>
      </c>
      <c r="G314" s="15">
        <f t="shared" ref="G314" si="1466">H314*I314</f>
        <v>10531330.245639887</v>
      </c>
      <c r="H314" s="32">
        <v>1.1952162</v>
      </c>
      <c r="I314" s="15">
        <f>SUMIFS([1]Master!$K$2:$K$10000,[1]Master!$A$2:$A$10000,$I$12,[1]Master!$F$2:$F$10000,"&lt;="&amp;$C314)</f>
        <v>8811234.5244650189</v>
      </c>
      <c r="J314" s="15">
        <f t="shared" ref="J314" si="1467">K314*L314</f>
        <v>0</v>
      </c>
      <c r="K314" s="43">
        <v>0</v>
      </c>
      <c r="L314" s="40">
        <v>0</v>
      </c>
      <c r="M314" s="15">
        <f t="shared" ref="M314" si="1468">N314*O314</f>
        <v>0</v>
      </c>
      <c r="N314" s="32">
        <v>0</v>
      </c>
      <c r="O314" s="40">
        <v>0</v>
      </c>
      <c r="P314" s="15">
        <f t="shared" si="1384"/>
        <v>32881.945113996444</v>
      </c>
      <c r="Q314" s="32">
        <v>4.1277138999999998</v>
      </c>
      <c r="R314" s="40">
        <v>7966.13958976092</v>
      </c>
      <c r="S314" s="15">
        <f t="shared" ref="S314" si="1469">(((1+1.35%)^(1/252))-1)*D313+SUM(S313)</f>
        <v>9680.8565853896853</v>
      </c>
      <c r="T314" s="15">
        <f>IF((NETWORKDAYS(DATE(YEAR(C314),MONTH(C314),1),C314,Feriados!$A$2:$A$842))&gt;=5,0,IF(NETWORKDAYS(DATE(YEAR(C314),MONTH(C314),1),C314,Feriados!$A$2:$A$842)=1,S313,T313))</f>
        <v>0</v>
      </c>
      <c r="U314" s="26">
        <v>0</v>
      </c>
      <c r="V314" s="26">
        <v>0</v>
      </c>
      <c r="W314" s="15">
        <f t="shared" ref="W314" si="1470">SUM(G314+J314+M314+P314)</f>
        <v>10564212.190753883</v>
      </c>
      <c r="X314" s="50">
        <f>'Fluxo de Caixa_'!AD320</f>
        <v>0</v>
      </c>
      <c r="AB314" s="26">
        <v>2508.1655999999998</v>
      </c>
      <c r="AC314" s="26">
        <v>0</v>
      </c>
      <c r="AD314">
        <f>SUMIFS([1]Master!$J$2:$J$100,[1]Master!$A$2:$A$100,"="&amp;$I$12,[1]Master!$E$2:$E$100,"="&amp;C314,[1]Master!$J$2:$J$100,"&gt;"&amp;0)</f>
        <v>0</v>
      </c>
      <c r="AE314">
        <v>0</v>
      </c>
      <c r="AF314" s="26">
        <v>0</v>
      </c>
      <c r="AG314" s="26">
        <v>0</v>
      </c>
      <c r="AH314" s="26">
        <v>0</v>
      </c>
      <c r="AI314" s="26">
        <v>0</v>
      </c>
      <c r="AJ314" s="26">
        <v>0</v>
      </c>
      <c r="AK314" s="68">
        <v>4.7436712999999999</v>
      </c>
      <c r="AL314" s="15">
        <f>-SUMIFS([1]Master!$J$1:$J$200,[1]Master!$A$1:$A$200,"="&amp;$I$12,[1]Master!$G$1:$G$200,"&gt;"&amp;C314,[1]Master!$E$1:$E$200,"&lt;="&amp;C314)</f>
        <v>0</v>
      </c>
      <c r="AM314" s="26">
        <v>0</v>
      </c>
      <c r="AN314" s="26">
        <v>0</v>
      </c>
    </row>
    <row r="315" spans="3:40">
      <c r="C315" s="1">
        <f>WORKDAY(C314,1,Feriados!A122:A962)</f>
        <v>45316</v>
      </c>
      <c r="D315" s="39">
        <v>10613923.2513</v>
      </c>
      <c r="E315" s="32">
        <v>4.7692312000000001</v>
      </c>
      <c r="F315" s="88">
        <f>SUMIF([1]HSF!$H$2:$H$30,"="&amp;"APLICAÇÃO",[1]HSF!$K$2:$K$30)</f>
        <v>2283952.1146078166</v>
      </c>
      <c r="G315" s="15">
        <f t="shared" ref="G315" si="1471">H315*I315</f>
        <v>10588797.117208449</v>
      </c>
      <c r="H315" s="32">
        <v>1.2017382000000001</v>
      </c>
      <c r="I315" s="15">
        <f>SUMIFS([1]Master!$K$2:$K$10000,[1]Master!$A$2:$A$10000,$I$12,[1]Master!$F$2:$F$10000,"&lt;="&amp;$C315)</f>
        <v>8811234.5244650189</v>
      </c>
      <c r="J315" s="15">
        <f t="shared" ref="J315" si="1472">K315*L315</f>
        <v>0</v>
      </c>
      <c r="K315" s="43">
        <v>0</v>
      </c>
      <c r="L315" s="40">
        <v>0</v>
      </c>
      <c r="M315" s="15">
        <f t="shared" ref="M315" si="1473">N315*O315</f>
        <v>0</v>
      </c>
      <c r="N315" s="32">
        <v>0</v>
      </c>
      <c r="O315" s="40">
        <v>0</v>
      </c>
      <c r="P315" s="15">
        <f t="shared" si="1384"/>
        <v>32896.216453071509</v>
      </c>
      <c r="Q315" s="32">
        <v>4.1295054000000002</v>
      </c>
      <c r="R315" s="40">
        <v>7966.13958976092</v>
      </c>
      <c r="S315" s="15">
        <f t="shared" ref="S315" si="1474">(((1+1.35%)^(1/252))-1)*D314+SUM(S314)</f>
        <v>10242.643737510278</v>
      </c>
      <c r="T315" s="15">
        <f>IF((NETWORKDAYS(DATE(YEAR(C315),MONTH(C315),1),C315,Feriados!$A$2:$A$842))&gt;=5,0,IF(NETWORKDAYS(DATE(YEAR(C315),MONTH(C315),1),C315,Feriados!$A$2:$A$842)=1,S314,T314))</f>
        <v>0</v>
      </c>
      <c r="U315" s="26">
        <v>0</v>
      </c>
      <c r="V315" s="26">
        <v>0</v>
      </c>
      <c r="W315" s="15">
        <f t="shared" ref="W315" si="1475">SUM(G315+J315+M315+P315)</f>
        <v>10621693.333661521</v>
      </c>
      <c r="X315" s="50">
        <f>'Fluxo de Caixa_'!AD321</f>
        <v>0</v>
      </c>
      <c r="AB315" s="26">
        <v>2472.4612999999999</v>
      </c>
      <c r="AC315" s="26">
        <v>0</v>
      </c>
      <c r="AD315">
        <f>SUMIFS([1]Master!$J$2:$J$100,[1]Master!$A$2:$A$100,"="&amp;$I$12,[1]Master!$E$2:$E$100,"="&amp;C315,[1]Master!$J$2:$J$100,"&gt;"&amp;0)</f>
        <v>0</v>
      </c>
      <c r="AE315">
        <v>0</v>
      </c>
      <c r="AF315" s="26">
        <v>0</v>
      </c>
      <c r="AG315" s="26">
        <v>0</v>
      </c>
      <c r="AH315" s="26">
        <v>0</v>
      </c>
      <c r="AI315" s="26">
        <v>0</v>
      </c>
      <c r="AJ315" s="26">
        <v>0</v>
      </c>
      <c r="AK315" s="68">
        <v>4.7692312000000001</v>
      </c>
      <c r="AL315" s="15">
        <f>-SUMIFS([1]Master!$J$1:$J$200,[1]Master!$A$1:$A$200,"="&amp;$I$12,[1]Master!$G$1:$G$200,"&gt;"&amp;C315,[1]Master!$E$1:$E$200,"&lt;="&amp;C315)</f>
        <v>0</v>
      </c>
      <c r="AM315" s="26">
        <v>0</v>
      </c>
      <c r="AN315" s="26">
        <v>0</v>
      </c>
    </row>
    <row r="316" spans="3:40">
      <c r="C316" s="1">
        <f>WORKDAY(C315,1,Feriados!A123:A963)</f>
        <v>45317</v>
      </c>
      <c r="D316" s="39">
        <v>10537621.037</v>
      </c>
      <c r="E316" s="32">
        <v>4.7349458000000002</v>
      </c>
      <c r="F316" s="88">
        <f>SUMIF([1]HSF!$H$2:$H$30,"="&amp;"APLICAÇÃO",[1]HSF!$K$2:$K$30)</f>
        <v>2283952.1146078166</v>
      </c>
      <c r="G316" s="15">
        <f t="shared" ref="G316" si="1476">H316*I316</f>
        <v>10513081.297816267</v>
      </c>
      <c r="H316" s="32">
        <v>1.1931451</v>
      </c>
      <c r="I316" s="15">
        <f>SUMIFS([1]Master!$K$2:$K$10000,[1]Master!$A$2:$A$10000,$I$12,[1]Master!$F$2:$F$10000,"&lt;="&amp;$C316)</f>
        <v>8811234.5244650189</v>
      </c>
      <c r="J316" s="15">
        <f t="shared" ref="J316" si="1477">K316*L316</f>
        <v>0</v>
      </c>
      <c r="K316" s="43">
        <v>0</v>
      </c>
      <c r="L316" s="40">
        <v>0</v>
      </c>
      <c r="M316" s="15">
        <f t="shared" ref="M316" si="1478">N316*O316</f>
        <v>0</v>
      </c>
      <c r="N316" s="32">
        <v>0</v>
      </c>
      <c r="O316" s="40">
        <v>0</v>
      </c>
      <c r="P316" s="15">
        <f t="shared" si="1384"/>
        <v>32910.336435494355</v>
      </c>
      <c r="Q316" s="32">
        <v>4.1312778999999997</v>
      </c>
      <c r="R316" s="40">
        <v>7966.13958976092</v>
      </c>
      <c r="S316" s="15">
        <f t="shared" ref="S316" si="1479">(((1+1.35%)^(1/252))-1)*D315+SUM(S315)</f>
        <v>10807.457922602427</v>
      </c>
      <c r="T316" s="15">
        <f>IF((NETWORKDAYS(DATE(YEAR(C316),MONTH(C316),1),C316,Feriados!$A$2:$A$842))&gt;=5,0,IF(NETWORKDAYS(DATE(YEAR(C316),MONTH(C316),1),C316,Feriados!$A$2:$A$842)=1,S315,T315))</f>
        <v>0</v>
      </c>
      <c r="U316" s="26">
        <v>0</v>
      </c>
      <c r="V316" s="26">
        <v>0</v>
      </c>
      <c r="W316" s="15">
        <f t="shared" ref="W316" si="1480">SUM(G316+J316+M316+P316)</f>
        <v>10545991.634251762</v>
      </c>
      <c r="X316" s="50">
        <f>'Fluxo de Caixa_'!AD322</f>
        <v>0</v>
      </c>
      <c r="AB316" s="26">
        <v>2436.7570000000001</v>
      </c>
      <c r="AC316" s="26">
        <v>0</v>
      </c>
      <c r="AD316">
        <f>SUMIFS([1]Master!$J$2:$J$100,[1]Master!$A$2:$A$100,"="&amp;$I$12,[1]Master!$E$2:$E$100,"="&amp;C316,[1]Master!$J$2:$J$100,"&gt;"&amp;0)</f>
        <v>0</v>
      </c>
      <c r="AE316">
        <v>0</v>
      </c>
      <c r="AF316" s="26">
        <v>0</v>
      </c>
      <c r="AG316" s="26">
        <v>0</v>
      </c>
      <c r="AH316" s="26">
        <v>0</v>
      </c>
      <c r="AI316" s="26">
        <v>0</v>
      </c>
      <c r="AJ316" s="26">
        <v>0</v>
      </c>
      <c r="AK316" s="68">
        <v>4.7349458000000002</v>
      </c>
      <c r="AL316" s="15">
        <f>-SUMIFS([1]Master!$J$1:$J$200,[1]Master!$A$1:$A$200,"="&amp;$I$12,[1]Master!$G$1:$G$200,"&gt;"&amp;C316,[1]Master!$E$1:$E$200,"&lt;="&amp;C316)</f>
        <v>0</v>
      </c>
      <c r="AM316" s="26">
        <v>0</v>
      </c>
      <c r="AN316" s="26">
        <v>0</v>
      </c>
    </row>
    <row r="317" spans="3:40">
      <c r="C317" s="1">
        <f>WORKDAY(C316,1,Feriados!A124:A964)</f>
        <v>45320</v>
      </c>
      <c r="D317" s="39">
        <v>10542578.2927</v>
      </c>
      <c r="E317" s="32">
        <v>4.7371733000000003</v>
      </c>
      <c r="F317" s="88">
        <f>SUMIF([1]HSF!$H$2:$H$30,"="&amp;"APLICAÇÃO",[1]HSF!$K$2:$K$30)</f>
        <v>2283952.1146078166</v>
      </c>
      <c r="G317" s="15">
        <f t="shared" ref="G317" si="1481">H317*I317</f>
        <v>10518620.920961799</v>
      </c>
      <c r="H317" s="32">
        <v>1.1937738</v>
      </c>
      <c r="I317" s="15">
        <f>SUMIFS([1]Master!$K$2:$K$10000,[1]Master!$A$2:$A$10000,$I$12,[1]Master!$F$2:$F$10000,"&lt;="&amp;$C317)</f>
        <v>8811234.5244650189</v>
      </c>
      <c r="J317" s="15">
        <f t="shared" ref="J317" si="1482">K317*L317</f>
        <v>0</v>
      </c>
      <c r="K317" s="43">
        <v>0</v>
      </c>
      <c r="L317" s="40">
        <v>0</v>
      </c>
      <c r="M317" s="15">
        <f t="shared" ref="M317" si="1483">N317*O317</f>
        <v>0</v>
      </c>
      <c r="N317" s="32">
        <v>0</v>
      </c>
      <c r="O317" s="40">
        <v>0</v>
      </c>
      <c r="P317" s="15">
        <f t="shared" si="1384"/>
        <v>32924.416587219261</v>
      </c>
      <c r="Q317" s="32">
        <v>4.1330454000000003</v>
      </c>
      <c r="R317" s="40">
        <v>7966.13958976092</v>
      </c>
      <c r="S317" s="15">
        <f t="shared" ref="S317" si="1484">(((1+1.35%)^(1/252))-1)*D316+SUM(S316)</f>
        <v>11368.211726629988</v>
      </c>
      <c r="T317" s="15">
        <f>IF((NETWORKDAYS(DATE(YEAR(C317),MONTH(C317),1),C317,Feriados!$A$2:$A$842))&gt;=5,0,IF(NETWORKDAYS(DATE(YEAR(C317),MONTH(C317),1),C317,Feriados!$A$2:$A$842)=1,S316,T316))</f>
        <v>0</v>
      </c>
      <c r="U317" s="26">
        <v>0</v>
      </c>
      <c r="V317" s="26">
        <v>0</v>
      </c>
      <c r="W317" s="15">
        <f t="shared" ref="W317" si="1485">SUM(G317+J317+M317+P317)</f>
        <v>10551545.337549018</v>
      </c>
      <c r="X317" s="50">
        <f>'Fluxo de Caixa_'!AD323</f>
        <v>0</v>
      </c>
      <c r="AB317" s="26">
        <v>2401.0527000000002</v>
      </c>
      <c r="AC317" s="26">
        <v>0</v>
      </c>
      <c r="AD317">
        <f>SUMIFS([1]Master!$J$2:$J$100,[1]Master!$A$2:$A$100,"="&amp;$I$12,[1]Master!$E$2:$E$100,"="&amp;C317,[1]Master!$J$2:$J$100,"&gt;"&amp;0)</f>
        <v>0</v>
      </c>
      <c r="AE317">
        <v>0</v>
      </c>
      <c r="AF317" s="26">
        <v>0</v>
      </c>
      <c r="AG317" s="26">
        <v>0</v>
      </c>
      <c r="AH317" s="26">
        <v>0</v>
      </c>
      <c r="AI317" s="26">
        <v>0</v>
      </c>
      <c r="AJ317" s="26">
        <v>0</v>
      </c>
      <c r="AK317" s="68">
        <v>4.7371733000000003</v>
      </c>
      <c r="AL317" s="15">
        <f>-SUMIFS([1]Master!$J$1:$J$200,[1]Master!$A$1:$A$200,"="&amp;$I$12,[1]Master!$G$1:$G$200,"&gt;"&amp;C317,[1]Master!$E$1:$E$200,"&lt;="&amp;C317)</f>
        <v>0</v>
      </c>
      <c r="AM317" s="26">
        <v>0</v>
      </c>
      <c r="AN317" s="26">
        <v>0</v>
      </c>
    </row>
    <row r="318" spans="3:40">
      <c r="C318" s="1">
        <f>WORKDAY(C317,1,Feriados!A125:A965)</f>
        <v>45321</v>
      </c>
      <c r="D318" s="39">
        <v>10428707.8584</v>
      </c>
      <c r="E318" s="32">
        <v>4.686007</v>
      </c>
      <c r="F318" s="88">
        <f>SUMIF([1]HSF!$H$2:$H$30,"="&amp;"APLICAÇÃO",[1]HSF!$K$2:$K$30)</f>
        <v>2283952.1146078166</v>
      </c>
      <c r="G318" s="15">
        <f t="shared" ref="G318" si="1486">H318*I318</f>
        <v>10405333.116433848</v>
      </c>
      <c r="H318" s="32">
        <v>1.1809166</v>
      </c>
      <c r="I318" s="15">
        <f>SUMIFS([1]Master!$K$2:$K$10000,[1]Master!$A$2:$A$10000,$I$12,[1]Master!$F$2:$F$10000,"&lt;="&amp;$C318)</f>
        <v>8811234.5244650189</v>
      </c>
      <c r="J318" s="15">
        <f t="shared" ref="J318" si="1487">K318*L318</f>
        <v>0</v>
      </c>
      <c r="K318" s="43">
        <v>0</v>
      </c>
      <c r="L318" s="40">
        <v>0</v>
      </c>
      <c r="M318" s="15">
        <f t="shared" ref="M318" si="1488">N318*O318</f>
        <v>0</v>
      </c>
      <c r="N318" s="32">
        <v>0</v>
      </c>
      <c r="O318" s="40">
        <v>0</v>
      </c>
      <c r="P318" s="15">
        <f t="shared" si="1384"/>
        <v>32938.499128786039</v>
      </c>
      <c r="Q318" s="32">
        <v>4.1348132</v>
      </c>
      <c r="R318" s="40">
        <v>7966.13958976092</v>
      </c>
      <c r="S318" s="15">
        <f t="shared" ref="S318" si="1489">(((1+1.35%)^(1/252))-1)*D317+SUM(S317)</f>
        <v>11929.229328338406</v>
      </c>
      <c r="T318" s="15">
        <f>IF((NETWORKDAYS(DATE(YEAR(C318),MONTH(C318),1),C318,Feriados!$A$2:$A$842))&gt;=5,0,IF(NETWORKDAYS(DATE(YEAR(C318),MONTH(C318),1),C318,Feriados!$A$2:$A$842)=1,S317,T317))</f>
        <v>0</v>
      </c>
      <c r="U318" s="26">
        <v>0</v>
      </c>
      <c r="V318" s="26">
        <v>0</v>
      </c>
      <c r="W318" s="15">
        <f t="shared" ref="W318" si="1490">SUM(G318+J318+M318+P318)</f>
        <v>10438271.615562635</v>
      </c>
      <c r="X318" s="50">
        <f>'Fluxo de Caixa_'!AD324</f>
        <v>0</v>
      </c>
      <c r="AB318" s="26">
        <v>2365.3483999999999</v>
      </c>
      <c r="AC318" s="26">
        <v>0</v>
      </c>
      <c r="AD318">
        <f>SUMIFS([1]Master!$J$2:$J$100,[1]Master!$A$2:$A$100,"="&amp;$I$12,[1]Master!$E$2:$E$100,"="&amp;C318,[1]Master!$J$2:$J$100,"&gt;"&amp;0)</f>
        <v>0</v>
      </c>
      <c r="AE318">
        <v>0</v>
      </c>
      <c r="AF318" s="26">
        <v>0</v>
      </c>
      <c r="AG318" s="26">
        <v>0</v>
      </c>
      <c r="AH318" s="26">
        <v>0</v>
      </c>
      <c r="AI318" s="26">
        <v>0</v>
      </c>
      <c r="AJ318" s="26">
        <v>0</v>
      </c>
      <c r="AK318" s="68">
        <v>4.686007</v>
      </c>
      <c r="AL318" s="15">
        <f>-SUMIFS([1]Master!$J$1:$J$200,[1]Master!$A$1:$A$200,"="&amp;$I$12,[1]Master!$G$1:$G$200,"&gt;"&amp;C318,[1]Master!$E$1:$E$200,"&lt;="&amp;C318)</f>
        <v>0</v>
      </c>
      <c r="AM318" s="26">
        <v>0</v>
      </c>
      <c r="AN318" s="26">
        <v>0</v>
      </c>
    </row>
    <row r="319" spans="3:40">
      <c r="C319" s="1">
        <f>WORKDAY(C318,1,Feriados!A126:A966)</f>
        <v>45322</v>
      </c>
      <c r="D319" s="39">
        <v>10498346.4541</v>
      </c>
      <c r="E319" s="32">
        <v>4.7172982000000001</v>
      </c>
      <c r="F319" s="88">
        <f>SUMIF([1]HSF!$H$2:$H$30,"="&amp;"APLICAÇÃO",[1]HSF!$K$2:$K$30)</f>
        <v>2283952.1146078166</v>
      </c>
      <c r="G319" s="15">
        <f t="shared" ref="G319" si="1491">H319*I319</f>
        <v>10475541.914248237</v>
      </c>
      <c r="H319" s="32">
        <v>1.1888847</v>
      </c>
      <c r="I319" s="15">
        <f>SUMIFS([1]Master!$K$2:$K$10000,[1]Master!$A$2:$A$10000,$I$12,[1]Master!$F$2:$F$10000,"&lt;="&amp;$C319)</f>
        <v>8811234.5244650189</v>
      </c>
      <c r="J319" s="15">
        <f t="shared" ref="J319" si="1492">K319*L319</f>
        <v>0</v>
      </c>
      <c r="K319" s="43">
        <v>0</v>
      </c>
      <c r="L319" s="40">
        <v>0</v>
      </c>
      <c r="M319" s="15">
        <f t="shared" ref="M319" si="1493">N319*O319</f>
        <v>0</v>
      </c>
      <c r="N319" s="32">
        <v>0</v>
      </c>
      <c r="O319" s="40">
        <v>0</v>
      </c>
      <c r="P319" s="15">
        <f t="shared" si="1384"/>
        <v>32952.650975767247</v>
      </c>
      <c r="Q319" s="32">
        <v>4.1365897</v>
      </c>
      <c r="R319" s="40">
        <v>7966.13958976092</v>
      </c>
      <c r="S319" s="15">
        <f t="shared" ref="S319" si="1494">(((1+1.35%)^(1/252))-1)*D318+SUM(S318)</f>
        <v>12484.187376474363</v>
      </c>
      <c r="T319" s="15">
        <f>IF((NETWORKDAYS(DATE(YEAR(C319),MONTH(C319),1),C319,Feriados!$A$2:$A$842))&gt;=5,0,IF(NETWORKDAYS(DATE(YEAR(C319),MONTH(C319),1),C319,Feriados!$A$2:$A$842)=1,S318,T318))</f>
        <v>0</v>
      </c>
      <c r="U319" s="26">
        <v>0</v>
      </c>
      <c r="V319" s="26">
        <v>0</v>
      </c>
      <c r="W319" s="15">
        <f t="shared" ref="W319" si="1495">SUM(G319+J319+M319+P319)</f>
        <v>10508494.565224005</v>
      </c>
      <c r="X319" s="50">
        <f>'Fluxo de Caixa_'!AD325</f>
        <v>0</v>
      </c>
      <c r="AB319" s="26">
        <v>2335.9441000000002</v>
      </c>
      <c r="AC319" s="26">
        <v>0</v>
      </c>
      <c r="AD319">
        <f>SUMIFS([1]Master!$J$2:$J$100,[1]Master!$A$2:$A$100,"="&amp;$I$12,[1]Master!$E$2:$E$100,"="&amp;C319,[1]Master!$J$2:$J$100,"&gt;"&amp;0)</f>
        <v>0</v>
      </c>
      <c r="AE319">
        <v>0</v>
      </c>
      <c r="AF319" s="26">
        <v>0</v>
      </c>
      <c r="AG319" s="26">
        <v>0</v>
      </c>
      <c r="AH319" s="26">
        <v>0</v>
      </c>
      <c r="AI319" s="26">
        <v>0</v>
      </c>
      <c r="AJ319" s="26">
        <v>0</v>
      </c>
      <c r="AK319" s="68">
        <v>4.7172982000000001</v>
      </c>
      <c r="AL319" s="15">
        <f>-SUMIFS([1]Master!$J$1:$J$200,[1]Master!$A$1:$A$200,"="&amp;$I$12,[1]Master!$G$1:$G$200,"&gt;"&amp;C319,[1]Master!$E$1:$E$200,"&lt;="&amp;C319)</f>
        <v>0</v>
      </c>
      <c r="AM319" s="26">
        <v>0</v>
      </c>
      <c r="AN319" s="26">
        <v>0</v>
      </c>
    </row>
    <row r="320" spans="3:40">
      <c r="C320" s="1">
        <f>WORKDAY(C319,1,Feriados!A127:A967)</f>
        <v>45323</v>
      </c>
      <c r="D320" s="39">
        <v>10532221.504799999</v>
      </c>
      <c r="E320" s="32">
        <v>4.7325195999999998</v>
      </c>
      <c r="F320" s="88">
        <f>SUMIF([1]HSF!$H$2:$H$30,"="&amp;"APLICAÇÃO",[1]HSF!$K$2:$K$30)</f>
        <v>2283952.1146078166</v>
      </c>
      <c r="G320" s="15">
        <f t="shared" ref="G320" si="1496">H320*I320</f>
        <v>10509997.365732705</v>
      </c>
      <c r="H320" s="32">
        <v>1.1927951000000001</v>
      </c>
      <c r="I320" s="15">
        <f>SUMIFS([1]Master!$K$2:$K$10000,[1]Master!$A$2:$A$10000,$I$12,[1]Master!$F$2:$F$10000,"&lt;="&amp;$C320)</f>
        <v>8811234.5244650189</v>
      </c>
      <c r="J320" s="15">
        <f t="shared" ref="J320" si="1497">K320*L320</f>
        <v>0</v>
      </c>
      <c r="K320" s="43">
        <v>0</v>
      </c>
      <c r="L320" s="40">
        <v>0</v>
      </c>
      <c r="M320" s="15">
        <f t="shared" ref="M320" si="1498">N320*O320</f>
        <v>0</v>
      </c>
      <c r="N320" s="32">
        <v>0</v>
      </c>
      <c r="O320" s="40">
        <v>0</v>
      </c>
      <c r="P320" s="15">
        <f t="shared" ref="P320:P326" si="1499">Q320*R320</f>
        <v>32966.638720272909</v>
      </c>
      <c r="Q320" s="32">
        <v>4.1383456000000001</v>
      </c>
      <c r="R320" s="40">
        <v>7966.13958976092</v>
      </c>
      <c r="S320" s="15">
        <f>(((1+1.35%)^(1/252))-1)*D319</f>
        <v>558.66382834088154</v>
      </c>
      <c r="T320" s="15">
        <f>IF((NETWORKDAYS(DATE(YEAR(C320),MONTH(C320),1),C320,Feriados!$A$2:$A$842))&gt;=5,0,IF(NETWORKDAYS(DATE(YEAR(C320),MONTH(C320),1),C320,Feriados!$A$2:$A$842)=1,S319,T319))</f>
        <v>12484.187376474363</v>
      </c>
      <c r="U320" s="26">
        <v>0</v>
      </c>
      <c r="V320" s="26">
        <v>0</v>
      </c>
      <c r="W320" s="15">
        <f t="shared" ref="W320" si="1500">SUM(G320+J320+M320+P320)</f>
        <v>10542964.004452977</v>
      </c>
      <c r="X320" s="50">
        <f>'Fluxo de Caixa_'!AD326</f>
        <v>0</v>
      </c>
      <c r="AB320" s="26">
        <v>2300.2248</v>
      </c>
      <c r="AC320" s="26">
        <v>0</v>
      </c>
      <c r="AD320">
        <f>SUMIFS([1]Master!$J$2:$J$100,[1]Master!$A$2:$A$100,"="&amp;$I$12,[1]Master!$E$2:$E$100,"="&amp;C320,[1]Master!$J$2:$J$100,"&gt;"&amp;0)</f>
        <v>0</v>
      </c>
      <c r="AE320">
        <v>0</v>
      </c>
      <c r="AF320" s="26">
        <v>0</v>
      </c>
      <c r="AG320" s="26">
        <v>0</v>
      </c>
      <c r="AH320" s="26">
        <v>0</v>
      </c>
      <c r="AI320" s="26">
        <v>0</v>
      </c>
      <c r="AJ320" s="26">
        <v>0</v>
      </c>
      <c r="AK320" s="68">
        <v>4.7325195999999998</v>
      </c>
      <c r="AL320" s="15">
        <f>-SUMIFS([1]Master!$J$1:$J$200,[1]Master!$A$1:$A$200,"="&amp;$I$12,[1]Master!$G$1:$G$200,"&gt;"&amp;C320,[1]Master!$E$1:$E$200,"&lt;="&amp;C320)</f>
        <v>0</v>
      </c>
      <c r="AM320" s="26">
        <v>0</v>
      </c>
      <c r="AN320" s="26">
        <v>0</v>
      </c>
    </row>
    <row r="321" spans="3:40">
      <c r="C321" s="1">
        <f>WORKDAY(C320,1,Feriados!A128:A968)</f>
        <v>45324</v>
      </c>
      <c r="D321" s="39">
        <v>10427518.1855</v>
      </c>
      <c r="E321" s="32">
        <v>4.6854725000000004</v>
      </c>
      <c r="F321" s="88">
        <f>SUMIF([1]HSF!$H$2:$H$30,"="&amp;"APLICAÇÃO",[1]HSF!$K$2:$K$30)</f>
        <v>2283952.1146078166</v>
      </c>
      <c r="G321" s="15">
        <f t="shared" ref="G321" si="1501">H321*I321</f>
        <v>10392876.769604007</v>
      </c>
      <c r="H321" s="32">
        <v>1.1809783</v>
      </c>
      <c r="I321" s="15">
        <f>SUMIFS([1]Master!$K$2:$K$10000,[1]Master!$A$2:$A$10000,$I$12,[1]Master!$F$2:$F$10000,"&lt;="&amp;$C321)</f>
        <v>8800226.7015439719</v>
      </c>
      <c r="J321" s="15">
        <f t="shared" ref="J321" si="1502">K321*L321</f>
        <v>0</v>
      </c>
      <c r="K321" s="43">
        <v>0</v>
      </c>
      <c r="L321" s="40">
        <v>0</v>
      </c>
      <c r="M321" s="15">
        <f t="shared" ref="M321" si="1503">N321*O321</f>
        <v>0</v>
      </c>
      <c r="N321" s="32">
        <v>0</v>
      </c>
      <c r="O321" s="40">
        <v>0</v>
      </c>
      <c r="P321" s="15">
        <f t="shared" si="1499"/>
        <v>32980.087953742302</v>
      </c>
      <c r="Q321" s="32">
        <v>4.1400338999999997</v>
      </c>
      <c r="R321" s="40">
        <v>7966.13958976092</v>
      </c>
      <c r="S321" s="15">
        <f t="shared" ref="S321:S326" si="1504">(((1+1.35%)^(1/252))-1)*D320+SUM(S320)</f>
        <v>1119.1302991828506</v>
      </c>
      <c r="T321" s="15">
        <f>IF((NETWORKDAYS(DATE(YEAR(C321),MONTH(C321),1),C321,Feriados!$A$2:$A$842))&gt;=5,0,IF(NETWORKDAYS(DATE(YEAR(C321),MONTH(C321),1),C321,Feriados!$A$2:$A$842)=1,S320,T320))</f>
        <v>12484.187376474363</v>
      </c>
      <c r="U321" s="26">
        <v>0</v>
      </c>
      <c r="V321" s="26">
        <v>0</v>
      </c>
      <c r="W321" s="15">
        <f t="shared" ref="W321" si="1505">SUM(G321+J321+M321+P321)</f>
        <v>10425856.857557749</v>
      </c>
      <c r="X321" s="50">
        <f>'Fluxo de Caixa_'!AD327</f>
        <v>0</v>
      </c>
      <c r="AB321" s="26">
        <v>2264.5055000000002</v>
      </c>
      <c r="AC321" s="26">
        <v>0</v>
      </c>
      <c r="AD321">
        <f>SUMIFS([1]Master!$J$2:$J$100,[1]Master!$A$2:$A$100,"="&amp;$I$12,[1]Master!$E$2:$E$100,"="&amp;C321,[1]Master!$J$2:$J$100,"&gt;"&amp;0)</f>
        <v>0</v>
      </c>
      <c r="AE321">
        <v>0</v>
      </c>
      <c r="AF321" s="26">
        <v>0</v>
      </c>
      <c r="AG321" s="26">
        <v>0</v>
      </c>
      <c r="AH321" s="26">
        <v>0</v>
      </c>
      <c r="AI321" s="26">
        <v>0</v>
      </c>
      <c r="AJ321" s="26">
        <v>0</v>
      </c>
      <c r="AK321" s="68">
        <v>4.6854725000000004</v>
      </c>
      <c r="AL321" s="15">
        <f>-SUMIFS([1]Master!$J$1:$J$200,[1]Master!$A$1:$A$200,"="&amp;$I$12,[1]Master!$G$1:$G$200,"&gt;"&amp;C321,[1]Master!$E$1:$E$200,"&lt;="&amp;C321)</f>
        <v>13000</v>
      </c>
      <c r="AM321" s="26">
        <v>0</v>
      </c>
      <c r="AN321" s="26">
        <v>0</v>
      </c>
    </row>
    <row r="322" spans="3:40">
      <c r="C322" s="1">
        <f>WORKDAY(C321,1,Feriados!A129:A969)</f>
        <v>45327</v>
      </c>
      <c r="D322" s="39">
        <v>10433485.836200001</v>
      </c>
      <c r="E322" s="32">
        <v>4.6881539999999999</v>
      </c>
      <c r="F322" s="88">
        <f>SUMIF([1]HSF!$H$2:$H$30,"="&amp;"APLICAÇÃO",[1]HSF!$K$2:$K$30)</f>
        <v>2283952.1146078166</v>
      </c>
      <c r="G322" s="15">
        <f t="shared" ref="G322" si="1506">H322*I322</f>
        <v>10399421.498201946</v>
      </c>
      <c r="H322" s="32">
        <v>1.1817219999999999</v>
      </c>
      <c r="I322" s="15">
        <f>SUMIFS([1]Master!$K$2:$K$10000,[1]Master!$A$2:$A$10000,$I$12,[1]Master!$F$2:$F$10000,"&lt;="&amp;$C322)</f>
        <v>8800226.7015439719</v>
      </c>
      <c r="J322" s="15">
        <f t="shared" ref="J322" si="1507">K322*L322</f>
        <v>0</v>
      </c>
      <c r="K322" s="43">
        <v>0</v>
      </c>
      <c r="L322" s="40">
        <v>0</v>
      </c>
      <c r="M322" s="15">
        <f t="shared" ref="M322" si="1508">N322*O322</f>
        <v>0</v>
      </c>
      <c r="N322" s="32">
        <v>0</v>
      </c>
      <c r="O322" s="40">
        <v>0</v>
      </c>
      <c r="P322" s="15">
        <f t="shared" si="1499"/>
        <v>32993.626407975098</v>
      </c>
      <c r="Q322" s="32">
        <v>4.1417333999999997</v>
      </c>
      <c r="R322" s="40">
        <v>7966.13958976092</v>
      </c>
      <c r="S322" s="15">
        <f t="shared" si="1504"/>
        <v>1674.0250395188896</v>
      </c>
      <c r="T322" s="15">
        <f>IF((NETWORKDAYS(DATE(YEAR(C322),MONTH(C322),1),C322,Feriados!$A$2:$A$842))&gt;=5,0,IF(NETWORKDAYS(DATE(YEAR(C322),MONTH(C322),1),C322,Feriados!$A$2:$A$842)=1,S321,T321))</f>
        <v>12484.187376474363</v>
      </c>
      <c r="U322" s="26">
        <v>0</v>
      </c>
      <c r="V322" s="26">
        <v>0</v>
      </c>
      <c r="W322" s="15">
        <f t="shared" ref="W322" si="1509">SUM(G322+J322+M322+P322)</f>
        <v>10432415.124609921</v>
      </c>
      <c r="X322" s="50">
        <f>'Fluxo de Caixa_'!AD328</f>
        <v>0</v>
      </c>
      <c r="AB322" s="26">
        <v>2228.7862</v>
      </c>
      <c r="AC322" s="26">
        <v>0</v>
      </c>
      <c r="AD322">
        <f>SUMIFS([1]Master!$J$2:$J$100,[1]Master!$A$2:$A$100,"="&amp;$I$12,[1]Master!$E$2:$E$100,"="&amp;C322,[1]Master!$J$2:$J$100,"&gt;"&amp;0)</f>
        <v>0</v>
      </c>
      <c r="AE322">
        <v>0</v>
      </c>
      <c r="AF322" s="26">
        <v>0</v>
      </c>
      <c r="AG322" s="26">
        <v>0</v>
      </c>
      <c r="AH322" s="26">
        <v>0</v>
      </c>
      <c r="AI322" s="26">
        <v>0</v>
      </c>
      <c r="AJ322" s="26">
        <v>0</v>
      </c>
      <c r="AK322" s="68">
        <v>4.6881539999999999</v>
      </c>
      <c r="AL322" s="15">
        <f>-SUMIFS([1]Master!$J$1:$J$200,[1]Master!$A$1:$A$200,"="&amp;$I$12,[1]Master!$G$1:$G$200,"&gt;"&amp;C322,[1]Master!$E$1:$E$200,"&lt;="&amp;C322)</f>
        <v>13000</v>
      </c>
      <c r="AM322" s="26">
        <v>0</v>
      </c>
      <c r="AN322" s="26">
        <v>0</v>
      </c>
    </row>
    <row r="323" spans="3:40">
      <c r="C323" s="1">
        <f>WORKDAY(C322,1,Feriados!A130:A970)</f>
        <v>45328</v>
      </c>
      <c r="D323" s="39">
        <v>10575458.9669</v>
      </c>
      <c r="E323" s="32">
        <v>4.7519477999999999</v>
      </c>
      <c r="F323" s="88">
        <f>SUMIF([1]HSF!$H$2:$H$30,"="&amp;"APLICAÇÃO",[1]HSF!$K$2:$K$30)</f>
        <v>2283952.1146078166</v>
      </c>
      <c r="G323" s="15">
        <f t="shared" ref="G323" si="1510">H323*I323</f>
        <v>10541971.970426906</v>
      </c>
      <c r="H323" s="32">
        <v>1.1979204999999999</v>
      </c>
      <c r="I323" s="15">
        <f>SUMIFS([1]Master!$K$2:$K$10000,[1]Master!$A$2:$A$10000,$I$12,[1]Master!$F$2:$F$10000,"&lt;="&amp;$C323)</f>
        <v>8800226.7015439719</v>
      </c>
      <c r="J323" s="15">
        <f t="shared" ref="J323" si="1511">K323*L323</f>
        <v>0</v>
      </c>
      <c r="K323" s="43">
        <v>0</v>
      </c>
      <c r="L323" s="40">
        <v>0</v>
      </c>
      <c r="M323" s="15">
        <f t="shared" ref="M323" si="1512">N323*O323</f>
        <v>0</v>
      </c>
      <c r="N323" s="32">
        <v>0</v>
      </c>
      <c r="O323" s="40">
        <v>0</v>
      </c>
      <c r="P323" s="15">
        <f t="shared" si="1499"/>
        <v>46007.207082152272</v>
      </c>
      <c r="Q323" s="32">
        <v>4.1434382000000003</v>
      </c>
      <c r="R323" s="40">
        <v>11103.6305747609</v>
      </c>
      <c r="S323" s="15">
        <f t="shared" si="1504"/>
        <v>2229.2373451592207</v>
      </c>
      <c r="T323" s="15">
        <f>IF((NETWORKDAYS(DATE(YEAR(C323),MONTH(C323),1),C323,Feriados!$A$2:$A$842))&gt;=5,0,IF(NETWORKDAYS(DATE(YEAR(C323),MONTH(C323),1),C323,Feriados!$A$2:$A$842)=1,S322,T322))</f>
        <v>12484.187376474363</v>
      </c>
      <c r="U323" s="26">
        <v>0</v>
      </c>
      <c r="V323" s="26">
        <v>0</v>
      </c>
      <c r="W323" s="15">
        <f t="shared" ref="W323" si="1513">SUM(G323+J323+M323+P323)</f>
        <v>10587979.177509058</v>
      </c>
      <c r="X323" s="50">
        <f>'Fluxo de Caixa_'!AD329</f>
        <v>5.954534572083503E-7</v>
      </c>
      <c r="AB323" s="26">
        <v>2193.0668999999998</v>
      </c>
      <c r="AC323" s="26">
        <v>0</v>
      </c>
      <c r="AD323">
        <f>SUMIFS([1]Master!$J$2:$J$100,[1]Master!$A$2:$A$100,"="&amp;$I$12,[1]Master!$E$2:$E$100,"="&amp;C323,[1]Master!$J$2:$J$100,"&gt;"&amp;0)</f>
        <v>0</v>
      </c>
      <c r="AE323">
        <v>0</v>
      </c>
      <c r="AF323" s="26">
        <v>0</v>
      </c>
      <c r="AG323" s="26">
        <v>0</v>
      </c>
      <c r="AH323" s="26">
        <v>0</v>
      </c>
      <c r="AI323" s="26">
        <v>0</v>
      </c>
      <c r="AJ323" s="26">
        <v>0</v>
      </c>
      <c r="AK323" s="68">
        <v>4.7519477999999999</v>
      </c>
      <c r="AL323" s="15">
        <f>-SUMIFS([1]Master!$J$1:$J$200,[1]Master!$A$1:$A$200,"="&amp;$I$12,[1]Master!$G$1:$G$200,"&gt;"&amp;C323,[1]Master!$E$1:$E$200,"&lt;="&amp;C323)</f>
        <v>0</v>
      </c>
      <c r="AM323" s="26">
        <v>0</v>
      </c>
      <c r="AN323" s="26">
        <v>0</v>
      </c>
    </row>
    <row r="324" spans="3:40">
      <c r="C324" s="1">
        <f>WORKDAY(C323,1,Feriados!A131:A971)</f>
        <v>45329</v>
      </c>
      <c r="D324" s="39">
        <v>10557683.6876</v>
      </c>
      <c r="E324" s="32">
        <v>4.7439606999999997</v>
      </c>
      <c r="F324" s="88">
        <f>SUMIF([1]HSF!$H$2:$H$30,"="&amp;"APLICAÇÃO",[1]HSF!$K$2:$K$30)</f>
        <v>2283952.1146078166</v>
      </c>
      <c r="G324" s="15">
        <f t="shared" ref="G324" si="1514">H324*I324</f>
        <v>10524776.327452088</v>
      </c>
      <c r="H324" s="32">
        <v>1.1959664999999999</v>
      </c>
      <c r="I324" s="15">
        <f>SUMIFS([1]Master!$K$2:$K$10000,[1]Master!$A$2:$A$10000,$I$12,[1]Master!$F$2:$F$10000,"&lt;="&amp;$C324)</f>
        <v>8800226.7015439719</v>
      </c>
      <c r="J324" s="15">
        <f t="shared" ref="J324" si="1515">K324*L324</f>
        <v>0</v>
      </c>
      <c r="K324" s="43">
        <v>0</v>
      </c>
      <c r="L324" s="40">
        <v>0</v>
      </c>
      <c r="M324" s="15">
        <f t="shared" ref="M324" si="1516">N324*O324</f>
        <v>0</v>
      </c>
      <c r="N324" s="32">
        <v>0</v>
      </c>
      <c r="O324" s="40">
        <v>0</v>
      </c>
      <c r="P324" s="15">
        <f t="shared" si="1499"/>
        <v>33541.992163627401</v>
      </c>
      <c r="Q324" s="32">
        <v>4.1451354</v>
      </c>
      <c r="R324" s="40">
        <v>8091.8930087609197</v>
      </c>
      <c r="S324" s="15">
        <f t="shared" si="1504"/>
        <v>2792.004674161105</v>
      </c>
      <c r="T324" s="15">
        <f>IF((NETWORKDAYS(DATE(YEAR(C324),MONTH(C324),1),C324,Feriados!$A$2:$A$842))&gt;=5,0,IF(NETWORKDAYS(DATE(YEAR(C324),MONTH(C324),1),C324,Feriados!$A$2:$A$842)=1,S323,T323))</f>
        <v>0</v>
      </c>
      <c r="U324" s="26">
        <v>0</v>
      </c>
      <c r="V324" s="26">
        <v>0</v>
      </c>
      <c r="W324" s="15">
        <f t="shared" ref="W324" si="1517">SUM(G324+J324+M324+P324)</f>
        <v>10558318.319615714</v>
      </c>
      <c r="X324" s="50">
        <f>'Fluxo de Caixa_'!AD330</f>
        <v>3.363566065672785E-7</v>
      </c>
      <c r="AB324" s="26">
        <v>2157.3476000000001</v>
      </c>
      <c r="AC324" s="26">
        <v>0</v>
      </c>
      <c r="AD324">
        <f>SUMIFS([1]Master!$J$2:$J$100,[1]Master!$A$2:$A$100,"="&amp;$I$12,[1]Master!$E$2:$E$100,"="&amp;C324,[1]Master!$J$2:$J$100,"&gt;"&amp;0)</f>
        <v>0</v>
      </c>
      <c r="AE324">
        <v>0</v>
      </c>
      <c r="AF324" s="26">
        <v>0</v>
      </c>
      <c r="AG324" s="26">
        <v>0</v>
      </c>
      <c r="AH324" s="26">
        <v>0</v>
      </c>
      <c r="AI324" s="26">
        <v>0</v>
      </c>
      <c r="AJ324" s="26">
        <v>0</v>
      </c>
      <c r="AK324" s="68">
        <v>4.7439606999999997</v>
      </c>
      <c r="AL324" s="15">
        <f>-SUMIFS([1]Master!$J$1:$J$200,[1]Master!$A$1:$A$200,"="&amp;$I$12,[1]Master!$G$1:$G$200,"&gt;"&amp;C324,[1]Master!$E$1:$E$200,"&lt;="&amp;C324)</f>
        <v>0</v>
      </c>
      <c r="AM324" s="26">
        <v>0</v>
      </c>
      <c r="AN324" s="26">
        <v>0</v>
      </c>
    </row>
    <row r="325" spans="3:40">
      <c r="C325" s="1">
        <f>WORKDAY(C324,1,Feriados!A132:A972)</f>
        <v>45330</v>
      </c>
      <c r="D325" s="39">
        <v>10340618.828299999</v>
      </c>
      <c r="E325" s="32">
        <v>4.6464252999999998</v>
      </c>
      <c r="F325" s="88">
        <f>SUMIF([1]HSF!$H$2:$H$30,"="&amp;"APLICAÇÃO",[1]HSF!$K$2:$K$30)</f>
        <v>2283952.1146078166</v>
      </c>
      <c r="G325" s="15">
        <f t="shared" ref="G325" si="1518">H325*I325</f>
        <v>10308295.150707457</v>
      </c>
      <c r="H325" s="32">
        <v>1.171367</v>
      </c>
      <c r="I325" s="15">
        <f>SUMIFS([1]Master!$K$2:$K$10000,[1]Master!$A$2:$A$10000,$I$12,[1]Master!$F$2:$F$10000,"&lt;="&amp;$C325)</f>
        <v>8800226.7015439719</v>
      </c>
      <c r="J325" s="15">
        <f t="shared" ref="J325" si="1519">K325*L325</f>
        <v>0</v>
      </c>
      <c r="K325" s="43">
        <v>0</v>
      </c>
      <c r="L325" s="40">
        <v>0</v>
      </c>
      <c r="M325" s="15">
        <f t="shared" ref="M325" si="1520">N325*O325</f>
        <v>0</v>
      </c>
      <c r="N325" s="32">
        <v>0</v>
      </c>
      <c r="O325" s="40">
        <v>0</v>
      </c>
      <c r="P325" s="15">
        <f t="shared" si="1499"/>
        <v>33555.853576351401</v>
      </c>
      <c r="Q325" s="32">
        <v>4.1468483999999997</v>
      </c>
      <c r="R325" s="40">
        <v>8091.8930087609197</v>
      </c>
      <c r="S325" s="15">
        <f t="shared" si="1504"/>
        <v>3353.8261012891098</v>
      </c>
      <c r="T325" s="15">
        <f>IF((NETWORKDAYS(DATE(YEAR(C325),MONTH(C325),1),C325,Feriados!$A$2:$A$842))&gt;=5,0,IF(NETWORKDAYS(DATE(YEAR(C325),MONTH(C325),1),C325,Feriados!$A$2:$A$842)=1,S324,T324))</f>
        <v>0</v>
      </c>
      <c r="U325" s="26">
        <v>0</v>
      </c>
      <c r="V325" s="26">
        <v>0</v>
      </c>
      <c r="W325" s="15">
        <f t="shared" ref="W325" si="1521">SUM(G325+J325+M325+P325)</f>
        <v>10341851.004283808</v>
      </c>
      <c r="X325" s="50">
        <f>'Fluxo de Caixa_'!AD331</f>
        <v>0</v>
      </c>
      <c r="AB325" s="26">
        <v>2121.6282999999999</v>
      </c>
      <c r="AC325" s="26">
        <v>0</v>
      </c>
      <c r="AD325">
        <f>SUMIFS([1]Master!$J$2:$J$100,[1]Master!$A$2:$A$100,"="&amp;$I$12,[1]Master!$E$2:$E$100,"="&amp;C325,[1]Master!$J$2:$J$100,"&gt;"&amp;0)</f>
        <v>0</v>
      </c>
      <c r="AE325">
        <v>0</v>
      </c>
      <c r="AF325" s="26">
        <v>0</v>
      </c>
      <c r="AG325" s="26">
        <v>0</v>
      </c>
      <c r="AH325" s="26">
        <v>0</v>
      </c>
      <c r="AI325" s="26">
        <v>0</v>
      </c>
      <c r="AJ325" s="26">
        <v>0</v>
      </c>
      <c r="AK325" s="68">
        <v>4.6464252999999998</v>
      </c>
      <c r="AL325" s="15">
        <f>-SUMIFS([1]Master!$J$1:$J$200,[1]Master!$A$1:$A$200,"="&amp;$I$12,[1]Master!$G$1:$G$200,"&gt;"&amp;C325,[1]Master!$E$1:$E$200,"&lt;="&amp;C325)</f>
        <v>0</v>
      </c>
      <c r="AM325" s="26">
        <v>0</v>
      </c>
      <c r="AN325" s="26">
        <v>0</v>
      </c>
    </row>
    <row r="326" spans="3:40">
      <c r="C326" s="1">
        <f>WORKDAY(C325,1,Feriados!A133:A973)</f>
        <v>45331</v>
      </c>
      <c r="D326" s="39">
        <v>10366152.799000001</v>
      </c>
      <c r="E326" s="32">
        <v>4.6578986999999996</v>
      </c>
      <c r="F326" s="88">
        <f>SUMIF([1]HSF!$H$2:$H$30,"="&amp;"APLICAÇÃO",[1]HSF!$K$2:$K$30)</f>
        <v>2283952.1146078166</v>
      </c>
      <c r="G326" s="15">
        <f t="shared" ref="G326" si="1522">H326*I326</f>
        <v>10334401.023217587</v>
      </c>
      <c r="H326" s="32">
        <v>1.1743334999999999</v>
      </c>
      <c r="I326" s="15">
        <f>SUMIFS([1]Master!$K$2:$K$10000,[1]Master!$A$2:$A$10000,$I$12,[1]Master!$F$2:$F$10000,"&lt;="&amp;$C326)</f>
        <v>8800226.7015439719</v>
      </c>
      <c r="J326" s="15">
        <f t="shared" ref="J326" si="1523">K326*L326</f>
        <v>0</v>
      </c>
      <c r="K326" s="43">
        <v>0</v>
      </c>
      <c r="L326" s="40">
        <v>0</v>
      </c>
      <c r="M326" s="15">
        <f t="shared" ref="M326" si="1524">N326*O326</f>
        <v>0</v>
      </c>
      <c r="N326" s="32">
        <v>0</v>
      </c>
      <c r="O326" s="40">
        <v>0</v>
      </c>
      <c r="P326" s="15">
        <f t="shared" si="1499"/>
        <v>33569.937516133155</v>
      </c>
      <c r="Q326" s="32">
        <v>4.1485889</v>
      </c>
      <c r="R326" s="40">
        <v>8091.8930087609197</v>
      </c>
      <c r="S326" s="15">
        <f t="shared" si="1504"/>
        <v>3904.0965393327856</v>
      </c>
      <c r="T326" s="15">
        <f>IF((NETWORKDAYS(DATE(YEAR(C326),MONTH(C326),1),C326,Feriados!$A$2:$A$842))&gt;=5,0,IF(NETWORKDAYS(DATE(YEAR(C326),MONTH(C326),1),C326,Feriados!$A$2:$A$842)=1,S325,T325))</f>
        <v>0</v>
      </c>
      <c r="U326" s="26">
        <v>0</v>
      </c>
      <c r="V326" s="26">
        <v>0</v>
      </c>
      <c r="W326" s="15">
        <f t="shared" ref="W326" si="1525">SUM(G326+J326+M326+P326)</f>
        <v>10367970.960733719</v>
      </c>
      <c r="X326" s="50">
        <f>'Fluxo de Caixa_'!AD332</f>
        <v>0</v>
      </c>
      <c r="AB326" s="26">
        <v>2085.9090000000001</v>
      </c>
      <c r="AC326" s="26">
        <v>0</v>
      </c>
      <c r="AD326">
        <f>SUMIFS([1]Master!$J$2:$J$100,[1]Master!$A$2:$A$100,"="&amp;$I$12,[1]Master!$E$2:$E$100,"="&amp;C326,[1]Master!$J$2:$J$100,"&gt;"&amp;0)</f>
        <v>0</v>
      </c>
      <c r="AE326">
        <v>0</v>
      </c>
      <c r="AF326" s="26">
        <v>0</v>
      </c>
      <c r="AG326" s="26">
        <v>0</v>
      </c>
      <c r="AH326" s="26">
        <v>0</v>
      </c>
      <c r="AI326" s="26">
        <v>0</v>
      </c>
      <c r="AJ326" s="26">
        <v>0</v>
      </c>
      <c r="AK326" s="68">
        <v>4.6578986999999996</v>
      </c>
      <c r="AL326" s="15">
        <f>-SUMIFS([1]Master!$J$1:$J$200,[1]Master!$A$1:$A$200,"="&amp;$I$12,[1]Master!$G$1:$G$200,"&gt;"&amp;C326,[1]Master!$E$1:$E$200,"&lt;="&amp;C326)</f>
        <v>0</v>
      </c>
      <c r="AM326" s="26">
        <v>0</v>
      </c>
      <c r="AN326" s="26">
        <v>0</v>
      </c>
    </row>
    <row r="327" spans="3:40">
      <c r="C327" s="1">
        <f>WORKDAY(C326,1,Feriados!A134:A974)</f>
        <v>45336</v>
      </c>
      <c r="D327" s="39">
        <v>10217852.9197</v>
      </c>
      <c r="E327" s="32">
        <v>4.5912620000000004</v>
      </c>
      <c r="F327" s="88">
        <f>SUMIF([1]HSF!$H$2:$H$30,"="&amp;"APLICAÇÃO",[1]HSF!$K$2:$K$30)</f>
        <v>2283952.1146078166</v>
      </c>
      <c r="G327" s="15">
        <f t="shared" ref="G327" si="1526">H327*I327</f>
        <v>10186674.25764678</v>
      </c>
      <c r="H327" s="32">
        <v>1.1575468</v>
      </c>
      <c r="I327" s="15">
        <f>SUMIFS([1]Master!$K$2:$K$10000,[1]Master!$A$2:$A$10000,$I$12,[1]Master!$F$2:$F$10000,"&lt;="&amp;$C327)</f>
        <v>8800226.7015439719</v>
      </c>
      <c r="J327" s="15">
        <f t="shared" ref="J327" si="1527">K327*L327</f>
        <v>0</v>
      </c>
      <c r="K327" s="43">
        <v>0</v>
      </c>
      <c r="L327" s="40">
        <v>0</v>
      </c>
      <c r="M327" s="15">
        <f t="shared" ref="M327" si="1528">N327*O327</f>
        <v>0</v>
      </c>
      <c r="N327" s="32">
        <v>0</v>
      </c>
      <c r="O327" s="40">
        <v>0</v>
      </c>
      <c r="P327" s="15">
        <f t="shared" ref="P327:P355" si="1529">R327*Q327</f>
        <v>33584.166300799756</v>
      </c>
      <c r="Q327" s="32">
        <v>4.1503473</v>
      </c>
      <c r="R327" s="40">
        <v>8091.8930087609197</v>
      </c>
      <c r="S327" s="15">
        <f t="shared" ref="S327" si="1530">(((1+1.35%)^(1/252))-1)*D326+SUM(S326)</f>
        <v>4455.7257538167678</v>
      </c>
      <c r="T327" s="15">
        <f>IF((NETWORKDAYS(DATE(YEAR(C327),MONTH(C327),1),C327,Feriados!$A$2:$A$842))&gt;=5,0,IF(NETWORKDAYS(DATE(YEAR(C327),MONTH(C327),1),C327,Feriados!$A$2:$A$842)=1,S326,T326))</f>
        <v>0</v>
      </c>
      <c r="U327" s="26">
        <v>0</v>
      </c>
      <c r="V327" s="26">
        <v>0</v>
      </c>
      <c r="W327" s="15">
        <f t="shared" ref="W327" si="1531">SUM(G327+J327+M327+P327)</f>
        <v>10220258.42394758</v>
      </c>
      <c r="X327" s="50">
        <f>'Fluxo de Caixa_'!AD333</f>
        <v>0</v>
      </c>
      <c r="AB327" s="26">
        <v>2050.1896999999999</v>
      </c>
      <c r="AC327" s="26">
        <v>0</v>
      </c>
      <c r="AD327">
        <f>SUMIFS([1]Master!$J$2:$J$100,[1]Master!$A$2:$A$100,"="&amp;$I$12,[1]Master!$E$2:$E$100,"="&amp;C327,[1]Master!$J$2:$J$100,"&gt;"&amp;0)</f>
        <v>0</v>
      </c>
      <c r="AE327">
        <v>0</v>
      </c>
      <c r="AF327" s="26">
        <v>0</v>
      </c>
      <c r="AG327" s="26">
        <v>0</v>
      </c>
      <c r="AH327" s="26">
        <v>0</v>
      </c>
      <c r="AI327" s="26">
        <v>0</v>
      </c>
      <c r="AJ327" s="26">
        <v>0</v>
      </c>
      <c r="AK327" s="68">
        <v>4.5912620000000004</v>
      </c>
      <c r="AL327" s="15">
        <f>-SUMIFS([1]Master!$J$1:$J$200,[1]Master!$A$1:$A$200,"="&amp;$I$12,[1]Master!$G$1:$G$200,"&gt;"&amp;C327,[1]Master!$E$1:$E$200,"&lt;="&amp;C327)</f>
        <v>0</v>
      </c>
      <c r="AM327" s="26">
        <v>0</v>
      </c>
      <c r="AN327" s="26">
        <v>0</v>
      </c>
    </row>
    <row r="328" spans="3:40">
      <c r="C328" s="1">
        <f>WORKDAY(C327,1,Feriados!A135:A975)</f>
        <v>45337</v>
      </c>
      <c r="D328" s="39">
        <v>10248530.0404</v>
      </c>
      <c r="E328" s="32">
        <v>4.6050464</v>
      </c>
      <c r="F328" s="88">
        <f>SUMIF([1]HSF!$H$2:$H$30,"="&amp;"APLICAÇÃO",[1]HSF!$K$2:$K$30)</f>
        <v>2283952.1146078166</v>
      </c>
      <c r="G328" s="15">
        <f t="shared" ref="G328" si="1532">H328*I328</f>
        <v>10217916.822482601</v>
      </c>
      <c r="H328" s="32">
        <v>1.161097</v>
      </c>
      <c r="I328" s="15">
        <f>SUMIFS([1]Master!$K$2:$K$10000,[1]Master!$A$2:$A$10000,$I$12,[1]Master!$F$2:$F$10000,"&lt;="&amp;$C328)</f>
        <v>8800226.7015439719</v>
      </c>
      <c r="J328" s="15">
        <f t="shared" ref="J328" si="1533">K328*L328</f>
        <v>0</v>
      </c>
      <c r="K328" s="43">
        <v>0</v>
      </c>
      <c r="L328" s="40">
        <v>0</v>
      </c>
      <c r="M328" s="15">
        <f t="shared" ref="M328" si="1534">N328*O328</f>
        <v>0</v>
      </c>
      <c r="N328" s="32">
        <v>0</v>
      </c>
      <c r="O328" s="40">
        <v>0</v>
      </c>
      <c r="P328" s="15">
        <f t="shared" si="1529"/>
        <v>33598.165275704916</v>
      </c>
      <c r="Q328" s="32">
        <v>4.1520773000000002</v>
      </c>
      <c r="R328" s="40">
        <v>8091.8930087609197</v>
      </c>
      <c r="S328" s="15">
        <f t="shared" ref="S328" si="1535">(((1+1.35%)^(1/252))-1)*D327+SUM(S327)</f>
        <v>4999.4632704343803</v>
      </c>
      <c r="T328" s="15">
        <f>IF((NETWORKDAYS(DATE(YEAR(C328),MONTH(C328),1),C328,Feriados!$A$2:$A$842))&gt;=5,0,IF(NETWORKDAYS(DATE(YEAR(C328),MONTH(C328),1),C328,Feriados!$A$2:$A$842)=1,S327,T327))</f>
        <v>0</v>
      </c>
      <c r="U328" s="26">
        <v>0</v>
      </c>
      <c r="V328" s="26">
        <v>0</v>
      </c>
      <c r="W328" s="15">
        <f t="shared" ref="W328" si="1536">SUM(G328+J328+M328+P328)</f>
        <v>10251514.987758305</v>
      </c>
      <c r="X328" s="50">
        <f>'Fluxo de Caixa_'!AD334</f>
        <v>0</v>
      </c>
      <c r="AB328" s="26">
        <v>2014.4703999999999</v>
      </c>
      <c r="AC328" s="26">
        <v>0</v>
      </c>
      <c r="AD328">
        <f>SUMIFS([1]Master!$J$2:$J$100,[1]Master!$A$2:$A$100,"="&amp;$I$12,[1]Master!$E$2:$E$100,"="&amp;C328,[1]Master!$J$2:$J$100,"&gt;"&amp;0)</f>
        <v>0</v>
      </c>
      <c r="AE328">
        <v>0</v>
      </c>
      <c r="AF328" s="26">
        <v>0</v>
      </c>
      <c r="AG328" s="26">
        <v>0</v>
      </c>
      <c r="AH328" s="26">
        <v>0</v>
      </c>
      <c r="AI328" s="26">
        <v>0</v>
      </c>
      <c r="AJ328" s="26">
        <v>0</v>
      </c>
      <c r="AK328" s="68">
        <v>4.6050464</v>
      </c>
      <c r="AL328" s="15">
        <f>-SUMIFS([1]Master!$J$1:$J$200,[1]Master!$A$1:$A$200,"="&amp;$I$12,[1]Master!$G$1:$G$200,"&gt;"&amp;C328,[1]Master!$E$1:$E$200,"&lt;="&amp;C328)</f>
        <v>0</v>
      </c>
      <c r="AM328" s="26">
        <v>0</v>
      </c>
      <c r="AN328" s="26">
        <v>0</v>
      </c>
    </row>
    <row r="329" spans="3:40">
      <c r="C329" s="1">
        <f>WORKDAY(C328,1,Feriados!A136:A976)</f>
        <v>45338</v>
      </c>
      <c r="D329" s="39">
        <v>10310888.131100001</v>
      </c>
      <c r="E329" s="32">
        <v>4.6330662</v>
      </c>
      <c r="F329" s="88">
        <f>SUMIF([1]HSF!$H$2:$H$30,"="&amp;"APLICAÇÃO",[1]HSF!$K$2:$K$30)</f>
        <v>2283952.1146078166</v>
      </c>
      <c r="G329" s="15">
        <f t="shared" ref="G329" si="1537">H329*I329</f>
        <v>10280841.963489322</v>
      </c>
      <c r="H329" s="32">
        <v>1.1682474</v>
      </c>
      <c r="I329" s="15">
        <f>SUMIFS([1]Master!$K$2:$K$10000,[1]Master!$A$2:$A$10000,$I$12,[1]Master!$F$2:$F$10000,"&lt;="&amp;$C329)</f>
        <v>8800226.7015439719</v>
      </c>
      <c r="J329" s="15">
        <f t="shared" ref="J329" si="1538">K329*L329</f>
        <v>0</v>
      </c>
      <c r="K329" s="43">
        <v>0</v>
      </c>
      <c r="L329" s="40">
        <v>0</v>
      </c>
      <c r="M329" s="15">
        <f t="shared" ref="M329" si="1539">N329*O329</f>
        <v>0</v>
      </c>
      <c r="N329" s="32">
        <v>0</v>
      </c>
      <c r="O329" s="40">
        <v>0</v>
      </c>
      <c r="P329" s="15">
        <f t="shared" si="1529"/>
        <v>33612.197427371408</v>
      </c>
      <c r="Q329" s="32">
        <v>4.1538114000000004</v>
      </c>
      <c r="R329" s="40">
        <v>8091.8930087609197</v>
      </c>
      <c r="S329" s="15">
        <f t="shared" ref="S329" si="1540">(((1+1.35%)^(1/252))-1)*D328+SUM(S328)</f>
        <v>5544.8332534377869</v>
      </c>
      <c r="T329" s="15">
        <f>IF((NETWORKDAYS(DATE(YEAR(C329),MONTH(C329),1),C329,Feriados!$A$2:$A$842))&gt;=5,0,IF(NETWORKDAYS(DATE(YEAR(C329),MONTH(C329),1),C329,Feriados!$A$2:$A$842)=1,S328,T328))</f>
        <v>0</v>
      </c>
      <c r="U329" s="26">
        <v>0</v>
      </c>
      <c r="V329" s="26">
        <v>0</v>
      </c>
      <c r="W329" s="15">
        <f t="shared" ref="W329" si="1541">SUM(G329+J329+M329+P329)</f>
        <v>10314454.160916694</v>
      </c>
      <c r="X329" s="50">
        <f>'Fluxo de Caixa_'!AD335</f>
        <v>0</v>
      </c>
      <c r="AB329" s="26">
        <v>1978.7511</v>
      </c>
      <c r="AC329" s="26">
        <v>0</v>
      </c>
      <c r="AD329">
        <f>SUMIFS([1]Master!$J$2:$J$100,[1]Master!$A$2:$A$100,"="&amp;$I$12,[1]Master!$E$2:$E$100,"="&amp;C329,[1]Master!$J$2:$J$100,"&gt;"&amp;0)</f>
        <v>0</v>
      </c>
      <c r="AE329">
        <v>0</v>
      </c>
      <c r="AF329" s="26">
        <v>0</v>
      </c>
      <c r="AG329" s="26">
        <v>0</v>
      </c>
      <c r="AH329" s="26">
        <v>0</v>
      </c>
      <c r="AI329" s="26">
        <v>0</v>
      </c>
      <c r="AJ329" s="26">
        <v>0</v>
      </c>
      <c r="AK329" s="68">
        <v>4.6330662</v>
      </c>
      <c r="AL329" s="15">
        <f>-SUMIFS([1]Master!$J$1:$J$200,[1]Master!$A$1:$A$200,"="&amp;$I$12,[1]Master!$G$1:$G$200,"&gt;"&amp;C329,[1]Master!$E$1:$E$200,"&lt;="&amp;C329)</f>
        <v>0</v>
      </c>
      <c r="AM329" s="26">
        <v>0</v>
      </c>
      <c r="AN329" s="26">
        <v>0</v>
      </c>
    </row>
    <row r="330" spans="3:40">
      <c r="C330" s="1">
        <f>WORKDAY(C329,1,Feriados!A137:A977)</f>
        <v>45341</v>
      </c>
      <c r="D330" s="39">
        <v>10338917.4318</v>
      </c>
      <c r="E330" s="32">
        <v>4.6456607999999999</v>
      </c>
      <c r="F330" s="88">
        <f>SUMIF([1]HSF!$H$2:$H$30,"="&amp;"APLICAÇÃO",[1]HSF!$K$2:$K$30)</f>
        <v>2283952.1146078166</v>
      </c>
      <c r="G330" s="15">
        <f t="shared" ref="G330" si="1542">H330*I330</f>
        <v>10309441.820246669</v>
      </c>
      <c r="H330" s="32">
        <v>1.1714973</v>
      </c>
      <c r="I330" s="15">
        <f>SUMIFS([1]Master!$K$2:$K$10000,[1]Master!$A$2:$A$10000,$I$12,[1]Master!$F$2:$F$10000,"&lt;="&amp;$C330)</f>
        <v>8800226.7015439719</v>
      </c>
      <c r="J330" s="15">
        <f t="shared" ref="J330" si="1543">K330*L330</f>
        <v>0</v>
      </c>
      <c r="K330" s="43">
        <v>0</v>
      </c>
      <c r="L330" s="40">
        <v>0</v>
      </c>
      <c r="M330" s="15">
        <f t="shared" ref="M330" si="1544">N330*O330</f>
        <v>0</v>
      </c>
      <c r="N330" s="32">
        <v>0</v>
      </c>
      <c r="O330" s="40">
        <v>0</v>
      </c>
      <c r="P330" s="15">
        <f t="shared" si="1529"/>
        <v>33430.041037895178</v>
      </c>
      <c r="Q330" s="32">
        <v>4.1555222000000001</v>
      </c>
      <c r="R330" s="40">
        <v>8044.7268547609201</v>
      </c>
      <c r="S330" s="15">
        <f t="shared" ref="S330" si="1545">(((1+1.35%)^(1/252))-1)*D329+SUM(S329)</f>
        <v>6093.5215885103316</v>
      </c>
      <c r="T330" s="15">
        <f>IF((NETWORKDAYS(DATE(YEAR(C330),MONTH(C330),1),C330,Feriados!$A$2:$A$842))&gt;=5,0,IF(NETWORKDAYS(DATE(YEAR(C330),MONTH(C330),1),C330,Feriados!$A$2:$A$842)=1,S329,T329))</f>
        <v>0</v>
      </c>
      <c r="U330" s="26">
        <v>0</v>
      </c>
      <c r="V330" s="26">
        <v>0</v>
      </c>
      <c r="W330" s="15">
        <f t="shared" ref="W330" si="1546">SUM(G330+J330+M330+P330)</f>
        <v>10342871.861284563</v>
      </c>
      <c r="X330" s="50">
        <f>'Fluxo de Caixa_'!AD336</f>
        <v>3.5616949389805086E-8</v>
      </c>
      <c r="AB330" s="26">
        <v>2139.0318000000002</v>
      </c>
      <c r="AC330" s="26">
        <v>0</v>
      </c>
      <c r="AD330">
        <f>SUMIFS([1]Master!$J$2:$J$100,[1]Master!$A$2:$A$100,"="&amp;$I$12,[1]Master!$E$2:$E$100,"="&amp;C330,[1]Master!$J$2:$J$100,"&gt;"&amp;0)</f>
        <v>0</v>
      </c>
      <c r="AE330">
        <v>0</v>
      </c>
      <c r="AF330" s="26">
        <v>0</v>
      </c>
      <c r="AG330" s="26">
        <v>0</v>
      </c>
      <c r="AH330" s="26">
        <v>0</v>
      </c>
      <c r="AI330" s="26">
        <v>0</v>
      </c>
      <c r="AJ330" s="26">
        <v>0</v>
      </c>
      <c r="AK330" s="68">
        <v>4.6456607999999999</v>
      </c>
      <c r="AL330" s="15">
        <f>-SUMIFS([1]Master!$J$1:$J$200,[1]Master!$A$1:$A$200,"="&amp;$I$12,[1]Master!$G$1:$G$200,"&gt;"&amp;C330,[1]Master!$E$1:$E$200,"&lt;="&amp;C330)</f>
        <v>0</v>
      </c>
      <c r="AM330" s="26">
        <v>0</v>
      </c>
      <c r="AN330" s="26">
        <v>0</v>
      </c>
    </row>
    <row r="331" spans="3:40">
      <c r="C331" s="1">
        <f>WORKDAY(C330,1,Feriados!A138:A978)</f>
        <v>45342</v>
      </c>
      <c r="D331" s="39">
        <v>10530977.128</v>
      </c>
      <c r="E331" s="32">
        <v>4.7319604000000002</v>
      </c>
      <c r="F331" s="88">
        <f>SUMIF([1]HSF!$H$2:$H$30,"="&amp;"APLICAÇÃO",[1]HSF!$K$2:$K$30)</f>
        <v>2283952.1146078166</v>
      </c>
      <c r="G331" s="15">
        <f t="shared" ref="G331" si="1547">H331*I331</f>
        <v>10502077.902720798</v>
      </c>
      <c r="H331" s="32">
        <v>1.1933872000000001</v>
      </c>
      <c r="I331" s="15">
        <f>SUMIFS([1]Master!$K$2:$K$10000,[1]Master!$A$2:$A$10000,$I$12,[1]Master!$F$2:$F$10000,"&lt;="&amp;$C331)</f>
        <v>8800226.7015439719</v>
      </c>
      <c r="J331" s="15">
        <f t="shared" ref="J331" si="1548">K331*L331</f>
        <v>0</v>
      </c>
      <c r="K331" s="43">
        <v>0</v>
      </c>
      <c r="L331" s="40">
        <v>0</v>
      </c>
      <c r="M331" s="15">
        <f t="shared" ref="M331" si="1549">N331*O331</f>
        <v>0</v>
      </c>
      <c r="N331" s="32">
        <v>0</v>
      </c>
      <c r="O331" s="40">
        <v>0</v>
      </c>
      <c r="P331" s="15">
        <f t="shared" si="1529"/>
        <v>33443.994616624761</v>
      </c>
      <c r="Q331" s="32">
        <v>4.1572566999999996</v>
      </c>
      <c r="R331" s="40">
        <v>8044.7268547609201</v>
      </c>
      <c r="S331" s="15">
        <f t="shared" ref="S331" si="1550">(((1+1.35%)^(1/252))-1)*D330+SUM(S330)</f>
        <v>6643.7014876594903</v>
      </c>
      <c r="T331" s="15">
        <f>IF((NETWORKDAYS(DATE(YEAR(C331),MONTH(C331),1),C331,Feriados!$A$2:$A$842))&gt;=5,0,IF(NETWORKDAYS(DATE(YEAR(C331),MONTH(C331),1),C331,Feriados!$A$2:$A$842)=1,S330,T330))</f>
        <v>0</v>
      </c>
      <c r="U331" s="26">
        <v>0</v>
      </c>
      <c r="V331" s="26">
        <v>0</v>
      </c>
      <c r="W331" s="15">
        <f t="shared" ref="W331" si="1551">SUM(G331+J331+M331+P331)</f>
        <v>10535521.897337422</v>
      </c>
      <c r="X331" s="50">
        <f>'Fluxo de Caixa_'!AD337</f>
        <v>0</v>
      </c>
      <c r="AB331" s="26">
        <v>2098.8580000000002</v>
      </c>
      <c r="AC331" s="26">
        <v>0</v>
      </c>
      <c r="AD331">
        <f>SUMIFS([1]Master!$J$2:$J$100,[1]Master!$A$2:$A$100,"="&amp;$I$12,[1]Master!$E$2:$E$100,"="&amp;C331,[1]Master!$J$2:$J$100,"&gt;"&amp;0)</f>
        <v>0</v>
      </c>
      <c r="AE331">
        <v>0</v>
      </c>
      <c r="AF331" s="26">
        <v>0</v>
      </c>
      <c r="AG331" s="26">
        <v>0</v>
      </c>
      <c r="AH331" s="26">
        <v>0</v>
      </c>
      <c r="AI331" s="26">
        <v>0</v>
      </c>
      <c r="AJ331" s="26">
        <v>0</v>
      </c>
      <c r="AK331" s="68">
        <v>4.7319604000000002</v>
      </c>
      <c r="AL331" s="15">
        <f>-SUMIFS([1]Master!$J$1:$J$200,[1]Master!$A$1:$A$200,"="&amp;$I$12,[1]Master!$G$1:$G$200,"&gt;"&amp;C331,[1]Master!$E$1:$E$200,"&lt;="&amp;C331)</f>
        <v>0</v>
      </c>
      <c r="AM331" s="26">
        <v>0</v>
      </c>
      <c r="AN331" s="26">
        <v>0</v>
      </c>
    </row>
    <row r="332" spans="3:40">
      <c r="C332" s="1">
        <f>WORKDAY(C331,1,Feriados!A139:A979)</f>
        <v>45343</v>
      </c>
      <c r="D332" s="39">
        <v>10484862.964199999</v>
      </c>
      <c r="E332" s="32">
        <v>4.7112395999999999</v>
      </c>
      <c r="F332" s="88">
        <f>SUMIF([1]HSF!$H$2:$H$30,"="&amp;"APLICAÇÃO",[1]HSF!$K$2:$K$30)</f>
        <v>2283952.1146078166</v>
      </c>
      <c r="G332" s="15">
        <f t="shared" ref="G332" si="1552">H332*I332</f>
        <v>10456549.929880358</v>
      </c>
      <c r="H332" s="32">
        <v>1.1882136999999999</v>
      </c>
      <c r="I332" s="15">
        <f>SUMIFS([1]Master!$K$2:$K$10000,[1]Master!$A$2:$A$10000,$I$12,[1]Master!$F$2:$F$10000,"&lt;="&amp;$C332)</f>
        <v>8800226.7015439719</v>
      </c>
      <c r="J332" s="15">
        <f t="shared" ref="J332" si="1553">K332*L332</f>
        <v>0</v>
      </c>
      <c r="K332" s="43">
        <v>0</v>
      </c>
      <c r="L332" s="40">
        <v>0</v>
      </c>
      <c r="M332" s="15">
        <f t="shared" ref="M332" si="1554">N332*O332</f>
        <v>0</v>
      </c>
      <c r="N332" s="32">
        <v>0</v>
      </c>
      <c r="O332" s="40">
        <v>0</v>
      </c>
      <c r="P332" s="15">
        <f t="shared" si="1529"/>
        <v>33458.383415077187</v>
      </c>
      <c r="Q332" s="32">
        <v>4.1590452999999998</v>
      </c>
      <c r="R332" s="40">
        <v>8044.7268547609201</v>
      </c>
      <c r="S332" s="15">
        <f t="shared" ref="S332" si="1555">(((1+1.35%)^(1/252))-1)*D331+SUM(S331)</f>
        <v>7204.1017396630905</v>
      </c>
      <c r="T332" s="15">
        <f>IF((NETWORKDAYS(DATE(YEAR(C332),MONTH(C332),1),C332,Feriados!$A$2:$A$842))&gt;=5,0,IF(NETWORKDAYS(DATE(YEAR(C332),MONTH(C332),1),C332,Feriados!$A$2:$A$842)=1,S331,T331))</f>
        <v>0</v>
      </c>
      <c r="U332" s="26">
        <v>0</v>
      </c>
      <c r="V332" s="26">
        <v>0</v>
      </c>
      <c r="W332" s="15">
        <f t="shared" ref="W332" si="1556">SUM(G332+J332+M332+P332)</f>
        <v>10490008.313295435</v>
      </c>
      <c r="X332" s="50">
        <f>'Fluxo de Caixa_'!AD338</f>
        <v>0</v>
      </c>
      <c r="AB332" s="26">
        <v>2058.6842000000001</v>
      </c>
      <c r="AC332" s="26">
        <v>0</v>
      </c>
      <c r="AD332">
        <f>SUMIFS([1]Master!$J$2:$J$100,[1]Master!$A$2:$A$100,"="&amp;$I$12,[1]Master!$E$2:$E$100,"="&amp;C332,[1]Master!$J$2:$J$100,"&gt;"&amp;0)</f>
        <v>0</v>
      </c>
      <c r="AE332">
        <v>0</v>
      </c>
      <c r="AF332" s="26">
        <v>0</v>
      </c>
      <c r="AG332" s="26">
        <v>0</v>
      </c>
      <c r="AH332" s="26">
        <v>0</v>
      </c>
      <c r="AI332" s="26">
        <v>0</v>
      </c>
      <c r="AJ332" s="26">
        <v>0</v>
      </c>
      <c r="AK332" s="68">
        <v>4.7112395999999999</v>
      </c>
      <c r="AL332" s="15">
        <f>-SUMIFS([1]Master!$J$1:$J$200,[1]Master!$A$1:$A$200,"="&amp;$I$12,[1]Master!$G$1:$G$200,"&gt;"&amp;C332,[1]Master!$E$1:$E$200,"&lt;="&amp;C332)</f>
        <v>0</v>
      </c>
      <c r="AM332" s="26">
        <v>0</v>
      </c>
      <c r="AN332" s="26">
        <v>0</v>
      </c>
    </row>
    <row r="333" spans="3:40">
      <c r="C333" s="1">
        <f>WORKDAY(C332,1,Feriados!A140:A980)</f>
        <v>45344</v>
      </c>
      <c r="D333" s="39">
        <v>10595979.9804</v>
      </c>
      <c r="E333" s="32">
        <v>4.7611686000000004</v>
      </c>
      <c r="F333" s="88">
        <f>SUMIF([1]HSF!$H$2:$H$30,"="&amp;"APLICAÇÃO",[1]HSF!$K$2:$K$30)</f>
        <v>2283952.1146078166</v>
      </c>
      <c r="G333" s="15">
        <f t="shared" ref="G333" si="1557">H333*I333</f>
        <v>10568252.087425727</v>
      </c>
      <c r="H333" s="32">
        <v>1.2009068000000001</v>
      </c>
      <c r="I333" s="15">
        <f>SUMIFS([1]Master!$K$2:$K$10000,[1]Master!$A$2:$A$10000,$I$12,[1]Master!$F$2:$F$10000,"&lt;="&amp;$C333)</f>
        <v>8800226.7015439719</v>
      </c>
      <c r="J333" s="15">
        <f t="shared" ref="J333" si="1558">K333*L333</f>
        <v>0</v>
      </c>
      <c r="K333" s="43">
        <v>0</v>
      </c>
      <c r="L333" s="40">
        <v>0</v>
      </c>
      <c r="M333" s="15">
        <f t="shared" ref="M333" si="1559">N333*O333</f>
        <v>0</v>
      </c>
      <c r="N333" s="32">
        <v>0</v>
      </c>
      <c r="O333" s="40">
        <v>0</v>
      </c>
      <c r="P333" s="15">
        <f t="shared" si="1529"/>
        <v>33471.352319239748</v>
      </c>
      <c r="Q333" s="32">
        <v>4.1606573999999998</v>
      </c>
      <c r="R333" s="40">
        <v>8044.7268547609201</v>
      </c>
      <c r="S333" s="15">
        <f t="shared" ref="S333" si="1560">(((1+1.35%)^(1/252))-1)*D332+SUM(S332)</f>
        <v>7762.0480513817247</v>
      </c>
      <c r="T333" s="15">
        <f>IF((NETWORKDAYS(DATE(YEAR(C333),MONTH(C333),1),C333,Feriados!$A$2:$A$842))&gt;=5,0,IF(NETWORKDAYS(DATE(YEAR(C333),MONTH(C333),1),C333,Feriados!$A$2:$A$842)=1,S332,T332))</f>
        <v>0</v>
      </c>
      <c r="U333" s="26">
        <v>0</v>
      </c>
      <c r="V333" s="26">
        <v>0</v>
      </c>
      <c r="W333" s="15">
        <f t="shared" ref="W333" si="1561">SUM(G333+J333+M333+P333)</f>
        <v>10601723.439744968</v>
      </c>
      <c r="X333" s="50">
        <f>'Fluxo de Caixa_'!AD339</f>
        <v>0</v>
      </c>
      <c r="AB333" s="26">
        <v>2018.5103999999999</v>
      </c>
      <c r="AC333" s="26">
        <v>0</v>
      </c>
      <c r="AD333">
        <f>SUMIFS([1]Master!$J$2:$J$100,[1]Master!$A$2:$A$100,"="&amp;$I$12,[1]Master!$E$2:$E$100,"="&amp;C333,[1]Master!$J$2:$J$100,"&gt;"&amp;0)</f>
        <v>50000</v>
      </c>
      <c r="AE333">
        <f ca="1">-SUMIF('[1]Fluxo de Movimentações'!$A$5:$F$10001,"="&amp;$C333,'[1]Fluxo de Movimentações'!$H$5:$H$10001)</f>
        <v>0</v>
      </c>
      <c r="AF333" s="26">
        <v>0</v>
      </c>
      <c r="AG333" s="26">
        <v>0</v>
      </c>
      <c r="AH333" s="26">
        <v>0</v>
      </c>
      <c r="AI333" s="26">
        <v>0</v>
      </c>
      <c r="AJ333" s="26">
        <v>0</v>
      </c>
      <c r="AK333" s="68">
        <v>4.7611686000000004</v>
      </c>
      <c r="AL333" s="15">
        <f>-SUMIFS([1]Master!$J$1:$J$200,[1]Master!$A$1:$A$200,"="&amp;$I$12,[1]Master!$G$1:$G$200,"&gt;"&amp;C333,[1]Master!$E$1:$E$200,"&lt;="&amp;C333)</f>
        <v>0</v>
      </c>
      <c r="AM333" s="26">
        <v>50000</v>
      </c>
      <c r="AN333" s="26">
        <v>0</v>
      </c>
    </row>
    <row r="334" spans="3:40">
      <c r="C334" s="1">
        <f>WORKDAY(C333,1,Feriados!A141:A981)</f>
        <v>45345</v>
      </c>
      <c r="D334" s="39">
        <v>10548890.9066</v>
      </c>
      <c r="E334" s="32">
        <v>4.7175428999999998</v>
      </c>
      <c r="F334" s="88">
        <f>SUMIF([1]HSF!$H$2:$H$30,"="&amp;"APLICAÇÃO",[1]HSF!$K$2:$K$30)</f>
        <v>2283952.1146078166</v>
      </c>
      <c r="G334" s="15">
        <f t="shared" ref="G334" si="1562">H334*I334</f>
        <v>10521753.201529946</v>
      </c>
      <c r="H334" s="32">
        <v>1.1899413000000001</v>
      </c>
      <c r="I334" s="15">
        <f>SUMIFS([1]Master!$K$2:$K$10000,[1]Master!$A$2:$A$10000,$I$12,[1]Master!$F$2:$F$10000,"&lt;="&amp;$C334)</f>
        <v>8842245.5809626449</v>
      </c>
      <c r="J334" s="15">
        <f t="shared" ref="J334" si="1563">K334*L334</f>
        <v>0</v>
      </c>
      <c r="K334" s="43">
        <v>0</v>
      </c>
      <c r="L334" s="40">
        <v>0</v>
      </c>
      <c r="M334" s="15">
        <f t="shared" ref="M334" si="1564">N334*O334</f>
        <v>0</v>
      </c>
      <c r="N334" s="32">
        <v>0</v>
      </c>
      <c r="O334" s="40">
        <v>0</v>
      </c>
      <c r="P334" s="15">
        <f t="shared" si="1529"/>
        <v>33485.185227066511</v>
      </c>
      <c r="Q334" s="32">
        <v>4.1623768999999999</v>
      </c>
      <c r="R334" s="40">
        <v>8044.7268547609201</v>
      </c>
      <c r="S334" s="15">
        <f t="shared" ref="S334" si="1565">(((1+1.35%)^(1/252))-1)*D333+SUM(S333)</f>
        <v>8325.9073950178627</v>
      </c>
      <c r="T334" s="15">
        <f>IF((NETWORKDAYS(DATE(YEAR(C334),MONTH(C334),1),C334,Feriados!$A$2:$A$842))&gt;=5,0,IF(NETWORKDAYS(DATE(YEAR(C334),MONTH(C334),1),C334,Feriados!$A$2:$A$842)=1,S333,T333))</f>
        <v>0</v>
      </c>
      <c r="U334" s="26">
        <v>0</v>
      </c>
      <c r="V334" s="26">
        <v>0</v>
      </c>
      <c r="W334" s="15">
        <f t="shared" ref="W334" si="1566">SUM(G334+J334+M334+P334)</f>
        <v>10555238.386757012</v>
      </c>
      <c r="X334" s="50">
        <f>'Fluxo de Caixa_'!AD340</f>
        <v>0</v>
      </c>
      <c r="AB334" s="26">
        <v>1978.3366000000001</v>
      </c>
      <c r="AC334" s="26">
        <v>0</v>
      </c>
      <c r="AD334">
        <f>SUMIFS([1]Master!$J$2:$J$100,[1]Master!$A$2:$A$100,"="&amp;$I$12,[1]Master!$E$2:$E$100,"="&amp;C334,[1]Master!$J$2:$J$100,"&gt;"&amp;0)</f>
        <v>0</v>
      </c>
      <c r="AE334">
        <f ca="1">-SUMIF('[1]Fluxo de Movimentações'!$A$5:$F$10001,"="&amp;$C334,'[1]Fluxo de Movimentações'!$H$5:$H$10001)</f>
        <v>-50000</v>
      </c>
      <c r="AF334" s="26">
        <v>0</v>
      </c>
      <c r="AG334" s="26">
        <v>0</v>
      </c>
      <c r="AH334" s="26">
        <v>0</v>
      </c>
      <c r="AI334" s="26">
        <v>0</v>
      </c>
      <c r="AJ334" s="26">
        <v>0</v>
      </c>
      <c r="AK334" s="68">
        <v>4.7175428999999998</v>
      </c>
      <c r="AL334" s="15">
        <f>-SUMIFS([1]Master!$J$1:$J$200,[1]Master!$A$1:$A$200,"="&amp;$I$12,[1]Master!$G$1:$G$200,"&gt;"&amp;C334,[1]Master!$E$1:$E$200,"&lt;="&amp;C334)</f>
        <v>0</v>
      </c>
      <c r="AM334" s="26">
        <v>0</v>
      </c>
      <c r="AN334" s="26">
        <v>0</v>
      </c>
    </row>
    <row r="335" spans="3:40">
      <c r="C335" s="1">
        <f>WORKDAY(C334,1,Feriados!A142:A982)</f>
        <v>45348</v>
      </c>
      <c r="D335" s="39">
        <v>10554898.7028</v>
      </c>
      <c r="E335" s="32">
        <v>4.7202295999999997</v>
      </c>
      <c r="F335" s="88">
        <f>SUMIF([1]HSF!$H$2:$H$30,"="&amp;"APLICAÇÃO",[1]HSF!$K$2:$K$30)</f>
        <v>2283952.1146078166</v>
      </c>
      <c r="G335" s="15">
        <f t="shared" ref="G335" si="1567">H335*I335</f>
        <v>10528348.632508785</v>
      </c>
      <c r="H335" s="32">
        <v>1.1906871999999999</v>
      </c>
      <c r="I335" s="15">
        <f>SUMIFS([1]Master!$K$2:$K$10000,[1]Master!$A$2:$A$10000,$I$12,[1]Master!$F$2:$F$10000,"&lt;="&amp;$C335)</f>
        <v>8842245.5809626449</v>
      </c>
      <c r="J335" s="15">
        <f t="shared" ref="J335" si="1568">K335*L335</f>
        <v>0</v>
      </c>
      <c r="K335" s="43">
        <v>0</v>
      </c>
      <c r="L335" s="40">
        <v>0</v>
      </c>
      <c r="M335" s="15">
        <f t="shared" ref="M335" si="1569">N335*O335</f>
        <v>0</v>
      </c>
      <c r="N335" s="32">
        <v>0</v>
      </c>
      <c r="O335" s="40">
        <v>0</v>
      </c>
      <c r="P335" s="15">
        <f t="shared" si="1529"/>
        <v>33499.074447981257</v>
      </c>
      <c r="Q335" s="32">
        <v>4.1641034000000001</v>
      </c>
      <c r="R335" s="40">
        <v>8044.7268547609201</v>
      </c>
      <c r="S335" s="15">
        <f t="shared" ref="S335" si="1570">(((1+1.35%)^(1/252))-1)*D334+SUM(S334)</f>
        <v>8887.2609190606818</v>
      </c>
      <c r="T335" s="15">
        <f>IF((NETWORKDAYS(DATE(YEAR(C335),MONTH(C335),1),C335,Feriados!$A$2:$A$842))&gt;=5,0,IF(NETWORKDAYS(DATE(YEAR(C335),MONTH(C335),1),C335,Feriados!$A$2:$A$842)=1,S334,T334))</f>
        <v>0</v>
      </c>
      <c r="U335" s="26">
        <v>0</v>
      </c>
      <c r="V335" s="26">
        <v>0</v>
      </c>
      <c r="W335" s="15">
        <f t="shared" ref="W335" si="1571">SUM(G335+J335+M335+P335)</f>
        <v>10561847.706956767</v>
      </c>
      <c r="X335" s="50">
        <f>'Fluxo de Caixa_'!AD341</f>
        <v>0</v>
      </c>
      <c r="AB335" s="26">
        <v>1938.1628000000001</v>
      </c>
      <c r="AC335" s="26">
        <v>0</v>
      </c>
      <c r="AD335">
        <f>SUMIFS([1]Master!$J$2:$J$100,[1]Master!$A$2:$A$100,"="&amp;$I$12,[1]Master!$E$2:$E$100,"="&amp;C335,[1]Master!$J$2:$J$100,"&gt;"&amp;0)</f>
        <v>0</v>
      </c>
      <c r="AE335">
        <f ca="1">-SUMIF('[1]Fluxo de Movimentações'!$A$5:$F$10001,"="&amp;$C335,'[1]Fluxo de Movimentações'!$H$5:$H$10001)</f>
        <v>0</v>
      </c>
      <c r="AF335" s="26">
        <v>0</v>
      </c>
      <c r="AG335" s="26">
        <v>0</v>
      </c>
      <c r="AH335" s="26">
        <v>0</v>
      </c>
      <c r="AI335" s="26">
        <v>0</v>
      </c>
      <c r="AJ335" s="26">
        <v>0</v>
      </c>
      <c r="AK335" s="68">
        <v>4.7202295999999997</v>
      </c>
      <c r="AL335" s="15">
        <f>-SUMIFS([1]Master!$J$1:$J$200,[1]Master!$A$1:$A$200,"="&amp;$I$12,[1]Master!$G$1:$G$200,"&gt;"&amp;C335,[1]Master!$E$1:$E$200,"&lt;="&amp;C335)</f>
        <v>0</v>
      </c>
      <c r="AM335" s="26">
        <v>0</v>
      </c>
      <c r="AN335" s="26">
        <v>0</v>
      </c>
    </row>
    <row r="336" spans="3:40">
      <c r="C336" s="1">
        <f>WORKDAY(C335,1,Feriados!A143:A983)</f>
        <v>45349</v>
      </c>
      <c r="D336" s="39">
        <v>10705983.020400001</v>
      </c>
      <c r="E336" s="32">
        <v>4.7877957000000002</v>
      </c>
      <c r="F336" s="88">
        <f>SUMIF([1]HSF!$H$2:$H$30,"="&amp;"APLICAÇÃO",[1]HSF!$K$2:$K$30)</f>
        <v>2283952.1146078166</v>
      </c>
      <c r="G336" s="15">
        <f t="shared" ref="G336" si="1572">H336*I336</f>
        <v>10680103.672292056</v>
      </c>
      <c r="H336" s="32">
        <v>1.2078496999999999</v>
      </c>
      <c r="I336" s="15">
        <f>SUMIFS([1]Master!$K$2:$K$10000,[1]Master!$A$2:$A$10000,$I$12,[1]Master!$F$2:$F$10000,"&lt;="&amp;$C336)</f>
        <v>8842245.5809626449</v>
      </c>
      <c r="J336" s="15">
        <f t="shared" ref="J336" si="1573">K336*L336</f>
        <v>0</v>
      </c>
      <c r="K336" s="43">
        <v>0</v>
      </c>
      <c r="L336" s="40">
        <v>0</v>
      </c>
      <c r="M336" s="15">
        <f t="shared" ref="M336" si="1574">N336*O336</f>
        <v>0</v>
      </c>
      <c r="N336" s="32">
        <v>0</v>
      </c>
      <c r="O336" s="40">
        <v>0</v>
      </c>
      <c r="P336" s="15">
        <f t="shared" si="1529"/>
        <v>33512.679690038021</v>
      </c>
      <c r="Q336" s="32">
        <v>4.1657945999999999</v>
      </c>
      <c r="R336" s="40">
        <v>8044.7268547609201</v>
      </c>
      <c r="S336" s="15">
        <f t="shared" ref="S336" si="1575">(((1+1.35%)^(1/252))-1)*D335+SUM(S335)</f>
        <v>9448.9341447288625</v>
      </c>
      <c r="T336" s="15">
        <f>IF((NETWORKDAYS(DATE(YEAR(C336),MONTH(C336),1),C336,Feriados!$A$2:$A$842))&gt;=5,0,IF(NETWORKDAYS(DATE(YEAR(C336),MONTH(C336),1),C336,Feriados!$A$2:$A$842)=1,S335,T335))</f>
        <v>0</v>
      </c>
      <c r="U336" s="26">
        <v>0</v>
      </c>
      <c r="V336" s="26">
        <v>0</v>
      </c>
      <c r="W336" s="15">
        <f t="shared" ref="W336" si="1576">SUM(G336+J336+M336+P336)</f>
        <v>10713616.351982094</v>
      </c>
      <c r="X336" s="50">
        <f>'Fluxo de Caixa_'!AD342</f>
        <v>0</v>
      </c>
      <c r="AB336" s="26">
        <v>1897.9903999999999</v>
      </c>
      <c r="AC336" s="26">
        <v>0</v>
      </c>
      <c r="AD336">
        <f>SUMIFS([1]Master!$J$2:$J$100,[1]Master!$A$2:$A$100,"="&amp;$I$12,[1]Master!$E$2:$E$100,"="&amp;C336,[1]Master!$J$2:$J$100,"&gt;"&amp;0)</f>
        <v>0</v>
      </c>
      <c r="AE336">
        <f ca="1">-SUMIF('[1]Fluxo de Movimentações'!$A$5:$F$10001,"="&amp;$C336,'[1]Fluxo de Movimentações'!$H$5:$H$10001)</f>
        <v>0</v>
      </c>
      <c r="AF336" s="26">
        <v>0</v>
      </c>
      <c r="AG336" s="26">
        <v>0</v>
      </c>
      <c r="AH336" s="26">
        <v>0</v>
      </c>
      <c r="AI336" s="26">
        <v>0</v>
      </c>
      <c r="AJ336" s="26">
        <v>-82.196544535392505</v>
      </c>
      <c r="AK336" s="68">
        <v>4.7878325000000004</v>
      </c>
      <c r="AL336" s="15">
        <f>-SUMIFS([1]Master!$J$1:$J$200,[1]Master!$A$1:$A$200,"="&amp;$I$12,[1]Master!$G$1:$G$200,"&gt;"&amp;C336,[1]Master!$E$1:$E$200,"&lt;="&amp;C336)</f>
        <v>0</v>
      </c>
      <c r="AM336" s="26">
        <v>0</v>
      </c>
      <c r="AN336" s="26">
        <v>0</v>
      </c>
    </row>
    <row r="337" spans="3:40">
      <c r="C337" s="1">
        <f>WORKDAY(C336,1,Feriados!A144:A984)</f>
        <v>45350</v>
      </c>
      <c r="D337" s="39">
        <v>10584646.0133</v>
      </c>
      <c r="E337" s="32">
        <v>4.7335327999999999</v>
      </c>
      <c r="F337" s="88">
        <f>SUMIF([1]HSF!$H$2:$H$30,"="&amp;"APLICAÇÃO",[1]HSF!$K$2:$K$30)</f>
        <v>2283952.1146078166</v>
      </c>
      <c r="G337" s="15">
        <f t="shared" ref="G337" si="1577">H337*I337</f>
        <v>10559284.997122899</v>
      </c>
      <c r="H337" s="32">
        <v>1.1941858999999999</v>
      </c>
      <c r="I337" s="15">
        <f>SUMIFS([1]Master!$K$2:$K$10000,[1]Master!$A$2:$A$10000,$I$12,[1]Master!$F$2:$F$10000,"&lt;="&amp;$C337)</f>
        <v>8842245.5809626449</v>
      </c>
      <c r="J337" s="15">
        <f t="shared" ref="J337" si="1578">K337*L337</f>
        <v>0</v>
      </c>
      <c r="K337" s="43">
        <v>0</v>
      </c>
      <c r="L337" s="40">
        <v>0</v>
      </c>
      <c r="M337" s="15">
        <f t="shared" ref="M337" si="1579">N337*O337</f>
        <v>0</v>
      </c>
      <c r="N337" s="32">
        <v>0</v>
      </c>
      <c r="O337" s="40">
        <v>0</v>
      </c>
      <c r="P337" s="15">
        <f t="shared" si="1529"/>
        <v>31360.38039863134</v>
      </c>
      <c r="Q337" s="32">
        <v>4.1675275000000003</v>
      </c>
      <c r="R337" s="40">
        <v>7524.9366437609197</v>
      </c>
      <c r="S337" s="15">
        <f t="shared" ref="S337" si="1580">(((1+1.35%)^(1/252))-1)*D336+SUM(S336)</f>
        <v>10018.647240641534</v>
      </c>
      <c r="T337" s="15">
        <f>IF((NETWORKDAYS(DATE(YEAR(C337),MONTH(C337),1),C337,Feriados!$A$2:$A$842))&gt;=5,0,IF(NETWORKDAYS(DATE(YEAR(C337),MONTH(C337),1),C337,Feriados!$A$2:$A$842)=1,S336,T336))</f>
        <v>0</v>
      </c>
      <c r="U337" s="26">
        <v>0</v>
      </c>
      <c r="V337" s="26">
        <v>0</v>
      </c>
      <c r="W337" s="15">
        <f t="shared" ref="W337" si="1581">SUM(G337+J337+M337+P337)</f>
        <v>10590645.37752153</v>
      </c>
      <c r="X337" s="50">
        <f>'Fluxo de Caixa_'!AD343</f>
        <v>-1.4266952348407358E-6</v>
      </c>
      <c r="AB337" s="26">
        <v>4028.7233000000001</v>
      </c>
      <c r="AC337" s="26">
        <v>0</v>
      </c>
      <c r="AD337">
        <f>SUMIFS([1]Master!$J$2:$J$100,[1]Master!$A$2:$A$100,"="&amp;$I$12,[1]Master!$E$2:$E$100,"="&amp;C337,[1]Master!$J$2:$J$100,"&gt;"&amp;0)</f>
        <v>0</v>
      </c>
      <c r="AE337">
        <f ca="1">-SUMIF('[1]Fluxo de Movimentações'!$A$5:$F$10001,"="&amp;$C337,'[1]Fluxo de Movimentações'!$H$5:$H$10001)</f>
        <v>0</v>
      </c>
      <c r="AF337" s="26">
        <v>0</v>
      </c>
      <c r="AG337" s="26">
        <v>0</v>
      </c>
      <c r="AH337" s="26">
        <v>0</v>
      </c>
      <c r="AI337" s="26">
        <v>0</v>
      </c>
      <c r="AJ337" s="26">
        <v>-9.5385659629694306</v>
      </c>
      <c r="AK337" s="68">
        <v>4.7335371000000004</v>
      </c>
      <c r="AL337" s="15">
        <f>-SUMIFS([1]Master!$J$1:$J$200,[1]Master!$A$1:$A$200,"="&amp;$I$12,[1]Master!$G$1:$G$200,"&gt;"&amp;C337,[1]Master!$E$1:$E$200,"&lt;="&amp;C337)</f>
        <v>0</v>
      </c>
      <c r="AM337" s="26">
        <v>0</v>
      </c>
      <c r="AN337" s="26">
        <v>0</v>
      </c>
    </row>
    <row r="338" spans="3:40">
      <c r="C338" s="1">
        <f>WORKDAY(C337,1,Feriados!A145:A985)</f>
        <v>45351</v>
      </c>
      <c r="D338" s="39">
        <v>10567087.7443</v>
      </c>
      <c r="E338" s="32">
        <v>4.7256805999999996</v>
      </c>
      <c r="F338" s="88">
        <f>SUMIF([1]HSF!$H$2:$H$30,"="&amp;"APLICAÇÃO",[1]HSF!$K$2:$K$30)</f>
        <v>2283952.1146078166</v>
      </c>
      <c r="G338" s="15">
        <f t="shared" ref="G338" si="1582">H338*I338</f>
        <v>10542311.422505682</v>
      </c>
      <c r="H338" s="32">
        <v>1.1922663</v>
      </c>
      <c r="I338" s="15">
        <f>SUMIFS([1]Master!$K$2:$K$10000,[1]Master!$A$2:$A$10000,$I$12,[1]Master!$F$2:$F$10000,"&lt;="&amp;$C338)</f>
        <v>8842245.5809626449</v>
      </c>
      <c r="J338" s="15">
        <f t="shared" ref="J338" si="1583">K338*L338</f>
        <v>0</v>
      </c>
      <c r="K338" s="43">
        <v>0</v>
      </c>
      <c r="L338" s="40">
        <v>0</v>
      </c>
      <c r="M338" s="15">
        <f t="shared" ref="M338" si="1584">N338*O338</f>
        <v>0</v>
      </c>
      <c r="N338" s="32">
        <v>0</v>
      </c>
      <c r="O338" s="40">
        <v>0</v>
      </c>
      <c r="P338" s="15">
        <f t="shared" si="1529"/>
        <v>31373.365429303809</v>
      </c>
      <c r="Q338" s="32">
        <v>4.1692530999999997</v>
      </c>
      <c r="R338" s="40">
        <v>7524.9366437609197</v>
      </c>
      <c r="S338" s="15">
        <f t="shared" ref="S338:S340" si="1585">(((1+1.35%)^(1/252))-1)*D337+SUM(S337)</f>
        <v>10581.903453348619</v>
      </c>
      <c r="T338" s="15">
        <f>IF((NETWORKDAYS(DATE(YEAR(C338),MONTH(C338),1),C338,Feriados!$A$2:$A$842))&gt;=5,0,IF(NETWORKDAYS(DATE(YEAR(C338),MONTH(C338),1),C338,Feriados!$A$2:$A$842)=1,S337,T337))</f>
        <v>0</v>
      </c>
      <c r="U338" s="26">
        <v>0</v>
      </c>
      <c r="V338" s="26">
        <v>0</v>
      </c>
      <c r="W338" s="15">
        <f t="shared" ref="W338" si="1586">SUM(G338+J338+M338+P338)</f>
        <v>10573684.787934987</v>
      </c>
      <c r="X338" s="50">
        <f>'Fluxo de Caixa_'!AD344</f>
        <v>0</v>
      </c>
      <c r="AB338" s="26">
        <v>3984.7543000000001</v>
      </c>
      <c r="AC338" s="26">
        <v>0</v>
      </c>
      <c r="AD338">
        <f>SUMIFS([1]Master!$J$2:$J$100,[1]Master!$A$2:$A$100,"="&amp;$I$12,[1]Master!$E$2:$E$100,"="&amp;C338,[1]Master!$J$2:$J$100,"&gt;"&amp;0)</f>
        <v>0</v>
      </c>
      <c r="AE338">
        <f ca="1">-SUMIF('[1]Fluxo de Movimentações'!$A$5:$F$10001,"="&amp;$C338,'[1]Fluxo de Movimentações'!$H$5:$H$10001)</f>
        <v>0</v>
      </c>
      <c r="AF338" s="26">
        <v>0</v>
      </c>
      <c r="AG338" s="26">
        <v>0</v>
      </c>
      <c r="AH338" s="26">
        <v>0</v>
      </c>
      <c r="AI338" s="26">
        <v>0</v>
      </c>
      <c r="AJ338" s="26">
        <v>0</v>
      </c>
      <c r="AK338" s="68">
        <v>4.7256805999999996</v>
      </c>
      <c r="AL338" s="15">
        <f>-SUMIFS([1]Master!$J$1:$J$200,[1]Master!$A$1:$A$200,"="&amp;$I$12,[1]Master!$G$1:$G$200,"&gt;"&amp;C338,[1]Master!$E$1:$E$200,"&lt;="&amp;C338)</f>
        <v>0</v>
      </c>
      <c r="AM338" s="26">
        <v>0</v>
      </c>
      <c r="AN338" s="26">
        <v>0</v>
      </c>
    </row>
    <row r="339" spans="3:40">
      <c r="C339" s="1">
        <f>WORKDAY(C338,1,Feriados!A146:A986)</f>
        <v>45352</v>
      </c>
      <c r="D339" s="39">
        <v>10578209.820800001</v>
      </c>
      <c r="E339" s="32">
        <v>4.7306545</v>
      </c>
      <c r="F339" s="88">
        <f>SUMIF([1]HSF!$H$2:$H$30,"="&amp;"APLICAÇÃO",[1]HSF!$K$2:$K$30)</f>
        <v>2283952.1146078166</v>
      </c>
      <c r="G339" s="15">
        <f t="shared" ref="G339" si="1587">H339*I339</f>
        <v>10554026.5136759</v>
      </c>
      <c r="H339" s="32">
        <v>1.1935912</v>
      </c>
      <c r="I339" s="15">
        <f>SUMIFS([1]Master!$K$2:$K$10000,[1]Master!$A$2:$A$10000,$I$12,[1]Master!$F$2:$F$10000,"&lt;="&amp;$C339)</f>
        <v>8842245.5809626449</v>
      </c>
      <c r="J339" s="15">
        <f t="shared" ref="J339" si="1588">K339*L339</f>
        <v>0</v>
      </c>
      <c r="K339" s="43">
        <v>0</v>
      </c>
      <c r="L339" s="40">
        <v>0</v>
      </c>
      <c r="M339" s="15">
        <f t="shared" ref="M339" si="1589">N339*O339</f>
        <v>0</v>
      </c>
      <c r="N339" s="32">
        <v>0</v>
      </c>
      <c r="O339" s="40">
        <v>0</v>
      </c>
      <c r="P339" s="15">
        <f t="shared" si="1529"/>
        <v>31386.638665049741</v>
      </c>
      <c r="Q339" s="32">
        <v>4.171017</v>
      </c>
      <c r="R339" s="40">
        <v>7524.9366437609197</v>
      </c>
      <c r="S339" s="54">
        <f>(((1+1.35%)^(1/252))-1)*D338</f>
        <v>562.3218589189471</v>
      </c>
      <c r="T339" s="15">
        <f>IF((NETWORKDAYS(DATE(YEAR(C339),MONTH(C339),1),C339,Feriados!$A$2:$A$842))&gt;=5,0,IF(NETWORKDAYS(DATE(YEAR(C339),MONTH(C339),1),C339,Feriados!$A$2:$A$842)=1,S338,T338))</f>
        <v>10581.903453348619</v>
      </c>
      <c r="U339" s="26">
        <v>0</v>
      </c>
      <c r="V339" s="26">
        <v>0</v>
      </c>
      <c r="W339" s="15">
        <f t="shared" ref="W339" si="1590">SUM(G339+J339+M339+P339)</f>
        <v>10585413.15234095</v>
      </c>
      <c r="X339" s="50">
        <f>'Fluxo de Caixa_'!AD345</f>
        <v>0</v>
      </c>
      <c r="AB339" s="26">
        <v>3940.7908000000002</v>
      </c>
      <c r="AC339" s="26">
        <v>0</v>
      </c>
      <c r="AD339">
        <f>SUMIFS([1]Master!$J$2:$J$100,[1]Master!$A$2:$A$100,"="&amp;$I$12,[1]Master!$E$2:$E$100,"="&amp;C339,[1]Master!$J$2:$J$100,"&gt;"&amp;0)</f>
        <v>0</v>
      </c>
      <c r="AE339">
        <f ca="1">-SUMIF('[1]Fluxo de Movimentações'!$A$5:$F$10001,"="&amp;$C339,'[1]Fluxo de Movimentações'!$H$5:$H$10001)</f>
        <v>0</v>
      </c>
      <c r="AF339" s="26">
        <v>0</v>
      </c>
      <c r="AG339" s="26">
        <v>0</v>
      </c>
      <c r="AH339" s="26">
        <v>0</v>
      </c>
      <c r="AI339" s="26">
        <v>0</v>
      </c>
      <c r="AJ339" s="26">
        <v>0</v>
      </c>
      <c r="AK339" s="68">
        <v>4.7306545</v>
      </c>
      <c r="AL339" s="15">
        <f>-SUMIFS([1]Master!$J$1:$J$200,[1]Master!$A$1:$A$200,"="&amp;$I$12,[1]Master!$G$1:$G$200,"&gt;"&amp;C339,[1]Master!$E$1:$E$200,"&lt;="&amp;C339)</f>
        <v>0</v>
      </c>
      <c r="AM339" s="26">
        <v>0</v>
      </c>
      <c r="AN339" s="26">
        <v>0</v>
      </c>
    </row>
    <row r="340" spans="3:40">
      <c r="C340" s="1">
        <f>WORKDAY(C339,1,Feriados!A147:A987)</f>
        <v>45355</v>
      </c>
      <c r="D340" s="39">
        <v>10501442.1293</v>
      </c>
      <c r="E340" s="32">
        <v>4.6963233999999998</v>
      </c>
      <c r="F340" s="88">
        <f>SUMIF([1]HSF!$H$2:$H$30,"="&amp;"APLICAÇÃO",[1]HSF!$K$2:$K$30)</f>
        <v>2283952.1146078166</v>
      </c>
      <c r="G340" s="15">
        <f t="shared" ref="G340" si="1591">H340*I340</f>
        <v>10477851.452220466</v>
      </c>
      <c r="H340" s="32">
        <v>1.1849763</v>
      </c>
      <c r="I340" s="15">
        <f>SUMIFS([1]Master!$K$2:$K$10000,[1]Master!$A$2:$A$10000,$I$12,[1]Master!$F$2:$F$10000,"&lt;="&amp;$C340)</f>
        <v>8842245.5809626449</v>
      </c>
      <c r="J340" s="15">
        <f t="shared" ref="J340" si="1592">K340*L340</f>
        <v>0</v>
      </c>
      <c r="K340" s="43">
        <v>0</v>
      </c>
      <c r="L340" s="40">
        <v>0</v>
      </c>
      <c r="M340" s="15">
        <f t="shared" ref="M340" si="1593">N340*O340</f>
        <v>0</v>
      </c>
      <c r="N340" s="32">
        <v>0</v>
      </c>
      <c r="O340" s="40">
        <v>0</v>
      </c>
      <c r="P340" s="15">
        <f t="shared" si="1529"/>
        <v>31400.888637572032</v>
      </c>
      <c r="Q340" s="32">
        <v>4.1729107000000001</v>
      </c>
      <c r="R340" s="40">
        <v>7524.9366437609197</v>
      </c>
      <c r="S340" s="15">
        <f t="shared" si="1585"/>
        <v>1125.2355731232724</v>
      </c>
      <c r="T340" s="15">
        <f>IF((NETWORKDAYS(DATE(YEAR(C340),MONTH(C340),1),C340,Feriados!$A$2:$A$842))&gt;=5,0,IF(NETWORKDAYS(DATE(YEAR(C340),MONTH(C340),1),C340,Feriados!$A$2:$A$842)=1,S339,T339))</f>
        <v>10581.903453348619</v>
      </c>
      <c r="U340" s="26">
        <v>0</v>
      </c>
      <c r="V340" s="26">
        <v>0</v>
      </c>
      <c r="W340" s="15">
        <f t="shared" ref="W340" si="1594">SUM(G340+J340+M340+P340)</f>
        <v>10509252.340858039</v>
      </c>
      <c r="X340" s="50">
        <f>'Fluxo de Caixa_'!AD346</f>
        <v>0</v>
      </c>
      <c r="AB340" s="26">
        <v>3896.8193000000001</v>
      </c>
      <c r="AC340" s="26">
        <v>0</v>
      </c>
      <c r="AD340">
        <f>SUMIFS([1]Master!$J$2:$J$100,[1]Master!$A$2:$A$100,"="&amp;$I$12,[1]Master!$E$2:$E$100,"="&amp;C340,[1]Master!$J$2:$J$100,"&gt;"&amp;0)</f>
        <v>0</v>
      </c>
      <c r="AE340">
        <f ca="1">-SUMIF('[1]Fluxo de Movimentações'!$A$5:$F$10001,"="&amp;$C340,'[1]Fluxo de Movimentações'!$H$5:$H$10001)</f>
        <v>0</v>
      </c>
      <c r="AF340" s="26">
        <v>0</v>
      </c>
      <c r="AG340" s="26">
        <v>0</v>
      </c>
      <c r="AH340" s="26">
        <v>0</v>
      </c>
      <c r="AI340" s="26">
        <v>0</v>
      </c>
      <c r="AJ340" s="26">
        <v>0</v>
      </c>
      <c r="AK340" s="68">
        <v>4.6963233999999998</v>
      </c>
      <c r="AL340" s="15">
        <f>-SUMIFS([1]Master!$J$1:$J$200,[1]Master!$A$1:$A$200,"="&amp;$I$12,[1]Master!$G$1:$G$200,"&gt;"&amp;C340,[1]Master!$E$1:$E$200,"&lt;="&amp;C340)</f>
        <v>0</v>
      </c>
      <c r="AM340" s="26">
        <v>0</v>
      </c>
      <c r="AN340" s="26">
        <v>0</v>
      </c>
    </row>
    <row r="341" spans="3:40">
      <c r="C341" s="1">
        <f>WORKDAY(C340,1,Feriados!A148:A988)</f>
        <v>45356</v>
      </c>
      <c r="D341" s="39">
        <v>10514699.3478</v>
      </c>
      <c r="E341" s="32">
        <v>4.7022522000000002</v>
      </c>
      <c r="F341" s="88">
        <f>SUMIF([1]HSF!$H$2:$H$30,"="&amp;"APLICAÇÃO",[1]HSF!$K$2:$K$30)</f>
        <v>2283952.1146078166</v>
      </c>
      <c r="G341" s="15">
        <f t="shared" ref="G341" si="1595">H341*I341</f>
        <v>10480697.524575695</v>
      </c>
      <c r="H341" s="32">
        <v>1.1865422000000001</v>
      </c>
      <c r="I341" s="15">
        <f>SUMIFS([1]Master!$K$2:$K$10000,[1]Master!$A$2:$A$10000,$I$12,[1]Master!$F$2:$F$10000,"&lt;="&amp;$C341)</f>
        <v>8832974.9456662349</v>
      </c>
      <c r="J341" s="15">
        <f t="shared" ref="J341" si="1596">K341*L341</f>
        <v>0</v>
      </c>
      <c r="K341" s="43">
        <v>0</v>
      </c>
      <c r="L341" s="40">
        <v>0</v>
      </c>
      <c r="M341" s="15">
        <f t="shared" ref="M341" si="1597">N341*O341</f>
        <v>0</v>
      </c>
      <c r="N341" s="32">
        <v>0</v>
      </c>
      <c r="O341" s="40">
        <v>0</v>
      </c>
      <c r="P341" s="15">
        <f t="shared" si="1529"/>
        <v>31412.8239395827</v>
      </c>
      <c r="Q341" s="32">
        <v>4.1744968</v>
      </c>
      <c r="R341" s="40">
        <v>7524.9366437609197</v>
      </c>
      <c r="S341" s="15">
        <f t="shared" ref="S341" si="1598">(((1+1.35%)^(1/252))-1)*D340+SUM(S340)</f>
        <v>1684.0641361455719</v>
      </c>
      <c r="T341" s="15">
        <f>IF((NETWORKDAYS(DATE(YEAR(C341),MONTH(C341),1),C341,Feriados!$A$2:$A$842))&gt;=5,0,IF(NETWORKDAYS(DATE(YEAR(C341),MONTH(C341),1),C341,Feriados!$A$2:$A$842)=1,S340,T340))</f>
        <v>10581.903453348619</v>
      </c>
      <c r="U341" s="26">
        <v>0</v>
      </c>
      <c r="V341" s="26">
        <v>0</v>
      </c>
      <c r="W341" s="15">
        <f t="shared" ref="W341" si="1599">SUM(G341+J341+M341+P341)</f>
        <v>10512110.348515278</v>
      </c>
      <c r="X341" s="50">
        <f>'Fluxo de Caixa_'!AD347</f>
        <v>0</v>
      </c>
      <c r="AB341" s="26">
        <v>3854.8478</v>
      </c>
      <c r="AC341" s="26">
        <v>0</v>
      </c>
      <c r="AD341">
        <f>SUMIFS([1]Master!$J$2:$J$100,[1]Master!$A$2:$A$100,"="&amp;$I$12,[1]Master!$E$2:$E$100,"="&amp;C341,[1]Master!$J$2:$J$100,"&gt;"&amp;0)</f>
        <v>0</v>
      </c>
      <c r="AE341">
        <f ca="1">-SUMIF('[1]Fluxo de Movimentações'!$A$5:$F$10001,"="&amp;$C341,'[1]Fluxo de Movimentações'!$H$5:$H$10001)</f>
        <v>0</v>
      </c>
      <c r="AF341" s="26">
        <v>0</v>
      </c>
      <c r="AG341" s="26">
        <v>0</v>
      </c>
      <c r="AH341" s="26">
        <v>0</v>
      </c>
      <c r="AI341" s="26">
        <v>0</v>
      </c>
      <c r="AJ341" s="26">
        <v>0</v>
      </c>
      <c r="AK341" s="68">
        <v>4.7022522000000002</v>
      </c>
      <c r="AL341" s="15">
        <f>-SUMIFS([1]Master!$J$1:$J$200,[1]Master!$A$1:$A$200,"="&amp;$I$12,[1]Master!$G$1:$G$200,"&gt;"&amp;C341,[1]Master!$E$1:$E$200,"&lt;="&amp;C341)</f>
        <v>11000</v>
      </c>
      <c r="AM341" s="26">
        <v>0</v>
      </c>
      <c r="AN341" s="26">
        <v>0</v>
      </c>
    </row>
    <row r="342" spans="3:40">
      <c r="C342" s="1">
        <f>WORKDAY(C341,1,Feriados!A149:A989)</f>
        <v>45357</v>
      </c>
      <c r="D342" s="39">
        <v>10531380.4363</v>
      </c>
      <c r="E342" s="32">
        <v>4.7097121</v>
      </c>
      <c r="F342" s="88">
        <f>SUMIF([1]HSF!$H$2:$H$30,"="&amp;"APLICAÇÃO",[1]HSF!$K$2:$K$30)</f>
        <v>2283952.1146078166</v>
      </c>
      <c r="G342" s="15">
        <f t="shared" ref="G342" si="1600">H342*I342</f>
        <v>10497966.873891968</v>
      </c>
      <c r="H342" s="32">
        <v>1.1884973000000001</v>
      </c>
      <c r="I342" s="15">
        <f>SUMIFS([1]Master!$K$2:$K$10000,[1]Master!$A$2:$A$10000,$I$12,[1]Master!$F$2:$F$10000,"&lt;="&amp;$C342)</f>
        <v>8832974.9456662349</v>
      </c>
      <c r="J342" s="15">
        <f t="shared" ref="J342" si="1601">K342*L342</f>
        <v>0</v>
      </c>
      <c r="K342" s="43">
        <v>0</v>
      </c>
      <c r="L342" s="40">
        <v>0</v>
      </c>
      <c r="M342" s="15">
        <f t="shared" ref="M342" si="1602">N342*O342</f>
        <v>0</v>
      </c>
      <c r="N342" s="32">
        <v>0</v>
      </c>
      <c r="O342" s="40">
        <v>0</v>
      </c>
      <c r="P342" s="15">
        <f t="shared" si="1529"/>
        <v>31426.065570594725</v>
      </c>
      <c r="Q342" s="32">
        <v>4.1762565</v>
      </c>
      <c r="R342" s="40">
        <v>7524.9366437609197</v>
      </c>
      <c r="S342" s="15">
        <f t="shared" ref="S342" si="1603">(((1+1.35%)^(1/252))-1)*D341+SUM(S341)</f>
        <v>2243.5981748799509</v>
      </c>
      <c r="T342" s="15">
        <f>IF((NETWORKDAYS(DATE(YEAR(C342),MONTH(C342),1),C342,Feriados!$A$2:$A$842))&gt;=5,0,IF(NETWORKDAYS(DATE(YEAR(C342),MONTH(C342),1),C342,Feriados!$A$2:$A$842)=1,S341,T341))</f>
        <v>10581.903453348619</v>
      </c>
      <c r="U342" s="26">
        <v>0</v>
      </c>
      <c r="V342" s="26">
        <v>0</v>
      </c>
      <c r="W342" s="15">
        <f t="shared" ref="W342" si="1604">SUM(G342+J342+M342+P342)</f>
        <v>10529392.939462563</v>
      </c>
      <c r="X342" s="50">
        <f>'Fluxo de Caixa_'!AD348</f>
        <v>0</v>
      </c>
      <c r="AB342" s="26">
        <v>3812.8762999999999</v>
      </c>
      <c r="AC342" s="26">
        <v>0</v>
      </c>
      <c r="AD342">
        <f>SUMIFS([1]Master!$J$2:$J$100,[1]Master!$A$2:$A$100,"="&amp;$I$12,[1]Master!$E$2:$E$100,"="&amp;C342,[1]Master!$J$2:$J$100,"&gt;"&amp;0)</f>
        <v>0</v>
      </c>
      <c r="AE342">
        <f ca="1">-SUMIF('[1]Fluxo de Movimentações'!$A$5:$F$10001,"="&amp;$C342,'[1]Fluxo de Movimentações'!$H$5:$H$10001)</f>
        <v>0</v>
      </c>
      <c r="AF342" s="26">
        <v>0</v>
      </c>
      <c r="AG342" s="26">
        <v>0</v>
      </c>
      <c r="AH342" s="26">
        <v>0</v>
      </c>
      <c r="AI342" s="26">
        <v>0</v>
      </c>
      <c r="AJ342" s="26">
        <v>0</v>
      </c>
      <c r="AK342" s="68">
        <v>4.7097121</v>
      </c>
      <c r="AL342" s="15">
        <f>-SUMIFS([1]Master!$J$1:$J$200,[1]Master!$A$1:$A$200,"="&amp;$I$12,[1]Master!$G$1:$G$200,"&gt;"&amp;C342,[1]Master!$E$1:$E$200,"&lt;="&amp;C342)</f>
        <v>11000</v>
      </c>
      <c r="AM342" s="26">
        <v>0</v>
      </c>
      <c r="AN342" s="26">
        <v>0</v>
      </c>
    </row>
    <row r="343" spans="3:40">
      <c r="C343" s="1">
        <f>WORKDAY(C342,1,Feriados!A150:A990)</f>
        <v>45358</v>
      </c>
      <c r="D343" s="39">
        <v>10577224.7048</v>
      </c>
      <c r="E343" s="32">
        <v>4.7302140000000001</v>
      </c>
      <c r="F343" s="88">
        <f>SUMIF([1]HSF!$H$2:$H$30,"="&amp;"APLICAÇÃO",[1]HSF!$K$2:$K$30)</f>
        <v>2283952.1146078166</v>
      </c>
      <c r="G343" s="15">
        <f t="shared" ref="G343" si="1605">H343*I343</f>
        <v>10544400.056586346</v>
      </c>
      <c r="H343" s="32">
        <v>1.1937541</v>
      </c>
      <c r="I343" s="15">
        <f>SUMIFS([1]Master!$K$2:$K$10000,[1]Master!$A$2:$A$10000,$I$12,[1]Master!$F$2:$F$10000,"&lt;="&amp;$C343)</f>
        <v>8832974.9456662349</v>
      </c>
      <c r="J343" s="15">
        <f t="shared" ref="J343" si="1606">K343*L343</f>
        <v>0</v>
      </c>
      <c r="K343" s="43">
        <v>0</v>
      </c>
      <c r="L343" s="40">
        <v>0</v>
      </c>
      <c r="M343" s="15">
        <f t="shared" ref="M343" si="1607">N343*O343</f>
        <v>0</v>
      </c>
      <c r="N343" s="32">
        <v>0</v>
      </c>
      <c r="O343" s="40">
        <v>0</v>
      </c>
      <c r="P343" s="15">
        <f t="shared" si="1529"/>
        <v>31857.744987858288</v>
      </c>
      <c r="Q343" s="32">
        <v>4.1780477999999999</v>
      </c>
      <c r="R343" s="40">
        <v>7625.0312377609198</v>
      </c>
      <c r="S343" s="15">
        <f t="shared" ref="S343" si="1608">(((1+1.35%)^(1/252))-1)*D342+SUM(S342)</f>
        <v>2804.0198887165993</v>
      </c>
      <c r="T343" s="15">
        <f>IF((NETWORKDAYS(DATE(YEAR(C343),MONTH(C343),1),C343,Feriados!$A$2:$A$842))&gt;=5,0,IF(NETWORKDAYS(DATE(YEAR(C343),MONTH(C343),1),C343,Feriados!$A$2:$A$842)=1,S342,T342))</f>
        <v>0</v>
      </c>
      <c r="U343" s="26">
        <v>0</v>
      </c>
      <c r="V343" s="26">
        <v>0</v>
      </c>
      <c r="W343" s="15">
        <f t="shared" ref="W343" si="1609">SUM(G343+J343+M343+P343)</f>
        <v>10576257.801574204</v>
      </c>
      <c r="X343" s="50">
        <f>'Fluxo de Caixa_'!AD349</f>
        <v>1.7464069514971925E-6</v>
      </c>
      <c r="AB343" s="26">
        <v>3770.9047999999998</v>
      </c>
      <c r="AC343" s="26">
        <v>0</v>
      </c>
      <c r="AD343">
        <f>SUMIFS([1]Master!$J$2:$J$100,[1]Master!$A$2:$A$100,"="&amp;$I$12,[1]Master!$E$2:$E$100,"="&amp;C343,[1]Master!$J$2:$J$100,"&gt;"&amp;0)</f>
        <v>0</v>
      </c>
      <c r="AE343">
        <f ca="1">-SUMIF('[1]Fluxo de Movimentações'!$A$5:$F$10001,"="&amp;$C343,'[1]Fluxo de Movimentações'!$H$5:$H$10001)</f>
        <v>0</v>
      </c>
      <c r="AF343" s="26">
        <v>0</v>
      </c>
      <c r="AG343" s="26">
        <v>0</v>
      </c>
      <c r="AH343" s="26">
        <v>0</v>
      </c>
      <c r="AI343" s="26">
        <v>0</v>
      </c>
      <c r="AJ343" s="26">
        <v>0</v>
      </c>
      <c r="AK343" s="68">
        <v>4.7302140000000001</v>
      </c>
      <c r="AL343" s="15">
        <f>-SUMIFS([1]Master!$J$1:$J$200,[1]Master!$A$1:$A$200,"="&amp;$I$12,[1]Master!$G$1:$G$200,"&gt;"&amp;C343,[1]Master!$E$1:$E$200,"&lt;="&amp;C343)</f>
        <v>0</v>
      </c>
      <c r="AM343" s="26">
        <v>0</v>
      </c>
      <c r="AN343" s="26">
        <v>0</v>
      </c>
    </row>
    <row r="344" spans="3:40">
      <c r="C344" s="1">
        <f>WORKDAY(C343,1,Feriados!A151:A991)</f>
        <v>45359</v>
      </c>
      <c r="D344" s="39">
        <v>10526720.9133</v>
      </c>
      <c r="E344" s="32">
        <v>4.7076282999999997</v>
      </c>
      <c r="F344" s="88">
        <f>SUMIF([1]HSF!$H$2:$H$30,"="&amp;"APLICAÇÃO",[1]HSF!$K$2:$K$30)</f>
        <v>2283952.1146078166</v>
      </c>
      <c r="G344" s="15">
        <f t="shared" ref="G344" si="1610">H344*I344</f>
        <v>10494487.565060869</v>
      </c>
      <c r="H344" s="32">
        <v>1.1881033999999999</v>
      </c>
      <c r="I344" s="15">
        <f>SUMIFS([1]Master!$K$2:$K$10000,[1]Master!$A$2:$A$10000,$I$12,[1]Master!$F$2:$F$10000,"&lt;="&amp;$C344)</f>
        <v>8832974.9456662349</v>
      </c>
      <c r="J344" s="15">
        <f t="shared" ref="J344" si="1611">K344*L344</f>
        <v>0</v>
      </c>
      <c r="K344" s="43">
        <v>0</v>
      </c>
      <c r="L344" s="40">
        <v>0</v>
      </c>
      <c r="M344" s="15">
        <f t="shared" ref="M344" si="1612">N344*O344</f>
        <v>0</v>
      </c>
      <c r="N344" s="32">
        <v>0</v>
      </c>
      <c r="O344" s="40">
        <v>0</v>
      </c>
      <c r="P344" s="15">
        <f t="shared" si="1529"/>
        <v>31871.275605789691</v>
      </c>
      <c r="Q344" s="32">
        <v>4.1798222999999997</v>
      </c>
      <c r="R344" s="40">
        <v>7625.0312377609198</v>
      </c>
      <c r="S344" s="15">
        <f t="shared" ref="S344" si="1613">(((1+1.35%)^(1/252))-1)*D343+SUM(S343)</f>
        <v>3366.8811805058017</v>
      </c>
      <c r="T344" s="15">
        <f>IF((NETWORKDAYS(DATE(YEAR(C344),MONTH(C344),1),C344,Feriados!$A$2:$A$842))&gt;=5,0,IF(NETWORKDAYS(DATE(YEAR(C344),MONTH(C344),1),C344,Feriados!$A$2:$A$842)=1,S343,T343))</f>
        <v>0</v>
      </c>
      <c r="U344" s="26">
        <v>0</v>
      </c>
      <c r="V344" s="26">
        <v>0</v>
      </c>
      <c r="W344" s="15">
        <f t="shared" ref="W344" si="1614">SUM(G344+J344+M344+P344)</f>
        <v>10526358.840666659</v>
      </c>
      <c r="X344" s="50">
        <f>'Fluxo de Caixa_'!AD350</f>
        <v>0</v>
      </c>
      <c r="AB344" s="26">
        <v>3728.9333000000001</v>
      </c>
      <c r="AC344" s="26">
        <v>0</v>
      </c>
      <c r="AD344">
        <f>SUMIFS([1]Master!$J$2:$J$100,[1]Master!$A$2:$A$100,"="&amp;$I$12,[1]Master!$E$2:$E$100,"="&amp;C344,[1]Master!$J$2:$J$100,"&gt;"&amp;0)</f>
        <v>0</v>
      </c>
      <c r="AE344">
        <f ca="1">-SUMIF('[1]Fluxo de Movimentações'!$A$5:$F$10001,"="&amp;$C344,'[1]Fluxo de Movimentações'!$H$5:$H$10001)</f>
        <v>0</v>
      </c>
      <c r="AF344" s="26">
        <v>0</v>
      </c>
      <c r="AG344" s="26">
        <v>0</v>
      </c>
      <c r="AH344" s="26">
        <v>0</v>
      </c>
      <c r="AI344" s="26">
        <v>0</v>
      </c>
      <c r="AJ344" s="26">
        <v>0</v>
      </c>
      <c r="AK344" s="68">
        <v>4.7076282999999997</v>
      </c>
      <c r="AL344" s="15">
        <f>-SUMIFS([1]Master!$J$1:$J$200,[1]Master!$A$1:$A$200,"="&amp;$I$12,[1]Master!$G$1:$G$200,"&gt;"&amp;C344,[1]Master!$E$1:$E$200,"&lt;="&amp;C344)</f>
        <v>0</v>
      </c>
      <c r="AM344" s="26">
        <v>0</v>
      </c>
      <c r="AN344" s="26">
        <v>0</v>
      </c>
    </row>
    <row r="345" spans="3:40">
      <c r="C345" s="1">
        <f>WORKDAY(C344,1,Feriados!A152:A992)</f>
        <v>45362</v>
      </c>
      <c r="D345" s="39">
        <v>10505365.5518</v>
      </c>
      <c r="E345" s="32">
        <v>4.6980779999999998</v>
      </c>
      <c r="F345" s="88">
        <f>SUMIF([1]HSF!$H$2:$H$30,"="&amp;"APLICAÇÃO",[1]HSF!$K$2:$K$30)</f>
        <v>2283952.1146078166</v>
      </c>
      <c r="G345" s="15">
        <f t="shared" ref="G345" si="1615">H345*I345</f>
        <v>10473721.240963606</v>
      </c>
      <c r="H345" s="32">
        <v>1.1857523999999999</v>
      </c>
      <c r="I345" s="15">
        <f>SUMIFS([1]Master!$K$2:$K$10000,[1]Master!$A$2:$A$10000,$I$12,[1]Master!$F$2:$F$10000,"&lt;="&amp;$C345)</f>
        <v>8832974.9456662349</v>
      </c>
      <c r="J345" s="15">
        <f t="shared" ref="J345" si="1616">K345*L345</f>
        <v>0</v>
      </c>
      <c r="K345" s="43">
        <v>0</v>
      </c>
      <c r="L345" s="40">
        <v>0</v>
      </c>
      <c r="M345" s="15">
        <f t="shared" ref="M345" si="1617">N345*O345</f>
        <v>0</v>
      </c>
      <c r="N345" s="32">
        <v>0</v>
      </c>
      <c r="O345" s="40">
        <v>0</v>
      </c>
      <c r="P345" s="15">
        <f t="shared" si="1529"/>
        <v>31884.383796990533</v>
      </c>
      <c r="Q345" s="32">
        <v>4.1815414000000004</v>
      </c>
      <c r="R345" s="40">
        <v>7625.0312377609198</v>
      </c>
      <c r="S345" s="15">
        <f t="shared" ref="S345" si="1618">(((1+1.35%)^(1/252))-1)*D344+SUM(S344)</f>
        <v>3927.0549403461896</v>
      </c>
      <c r="T345" s="15">
        <f>IF((NETWORKDAYS(DATE(YEAR(C345),MONTH(C345),1),C345,Feriados!$A$2:$A$842))&gt;=5,0,IF(NETWORKDAYS(DATE(YEAR(C345),MONTH(C345),1),C345,Feriados!$A$2:$A$842)=1,S344,T344))</f>
        <v>0</v>
      </c>
      <c r="U345" s="26">
        <v>0</v>
      </c>
      <c r="V345" s="26">
        <v>0</v>
      </c>
      <c r="W345" s="15">
        <f t="shared" ref="W345" si="1619">SUM(G345+J345+M345+P345)</f>
        <v>10505605.624760596</v>
      </c>
      <c r="X345" s="50">
        <f>'Fluxo de Caixa_'!AD351</f>
        <v>0</v>
      </c>
      <c r="AB345" s="26">
        <v>3686.9618</v>
      </c>
      <c r="AC345" s="26">
        <v>0</v>
      </c>
      <c r="AD345">
        <f>SUMIFS([1]Master!$J$2:$J$100,[1]Master!$A$2:$A$100,"="&amp;$I$12,[1]Master!$E$2:$E$100,"="&amp;C345,[1]Master!$J$2:$J$100,"&gt;"&amp;0)</f>
        <v>0</v>
      </c>
      <c r="AE345">
        <f ca="1">-SUMIF('[1]Fluxo de Movimentações'!$A$5:$F$10001,"="&amp;$C345,'[1]Fluxo de Movimentações'!$H$5:$H$10001)</f>
        <v>0</v>
      </c>
      <c r="AF345" s="26">
        <v>0</v>
      </c>
      <c r="AG345" s="26">
        <v>0</v>
      </c>
      <c r="AH345" s="26">
        <v>0</v>
      </c>
      <c r="AI345" s="26">
        <v>0</v>
      </c>
      <c r="AJ345" s="26">
        <v>0</v>
      </c>
      <c r="AK345" s="68">
        <v>4.6980779999999998</v>
      </c>
      <c r="AL345" s="15">
        <f>-SUMIFS([1]Master!$J$1:$J$200,[1]Master!$A$1:$A$200,"="&amp;$I$12,[1]Master!$G$1:$G$200,"&gt;"&amp;C345,[1]Master!$E$1:$E$200,"&lt;="&amp;C345)</f>
        <v>0</v>
      </c>
      <c r="AM345" s="26">
        <v>0</v>
      </c>
      <c r="AN345" s="26">
        <v>0</v>
      </c>
    </row>
    <row r="346" spans="3:40">
      <c r="C346" s="1">
        <f>WORKDAY(C345,1,Feriados!A153:A993)</f>
        <v>45363</v>
      </c>
      <c r="D346" s="39">
        <v>10606076.9803</v>
      </c>
      <c r="E346" s="32">
        <v>4.7431169000000004</v>
      </c>
      <c r="F346" s="88">
        <f>SUMIF([1]HSF!$H$2:$H$30,"="&amp;"APLICAÇÃO",[1]HSF!$K$2:$K$30)</f>
        <v>2283952.1146078166</v>
      </c>
      <c r="G346" s="15">
        <f t="shared" ref="G346" si="1620">H346*I346</f>
        <v>10575020.447532991</v>
      </c>
      <c r="H346" s="32">
        <v>1.1972206999999999</v>
      </c>
      <c r="I346" s="15">
        <f>SUMIFS([1]Master!$K$2:$K$10000,[1]Master!$A$2:$A$10000,$I$12,[1]Master!$F$2:$F$10000,"&lt;="&amp;$C346)</f>
        <v>8832974.9456662349</v>
      </c>
      <c r="J346" s="15">
        <f t="shared" ref="J346" si="1621">K346*L346</f>
        <v>0</v>
      </c>
      <c r="K346" s="43">
        <v>0</v>
      </c>
      <c r="L346" s="40">
        <v>0</v>
      </c>
      <c r="M346" s="15">
        <f t="shared" ref="M346" si="1622">N346*O346</f>
        <v>0</v>
      </c>
      <c r="N346" s="32">
        <v>0</v>
      </c>
      <c r="O346" s="40">
        <v>0</v>
      </c>
      <c r="P346" s="15">
        <f t="shared" si="1529"/>
        <v>31897.598738628691</v>
      </c>
      <c r="Q346" s="32">
        <v>4.1832744999999996</v>
      </c>
      <c r="R346" s="40">
        <v>7625.0312377609198</v>
      </c>
      <c r="S346" s="15">
        <f t="shared" ref="S346" si="1623">(((1+1.35%)^(1/252))-1)*D345+SUM(S345)</f>
        <v>4486.0922861747749</v>
      </c>
      <c r="T346" s="15">
        <f>IF((NETWORKDAYS(DATE(YEAR(C346),MONTH(C346),1),C346,Feriados!$A$2:$A$842))&gt;=5,0,IF(NETWORKDAYS(DATE(YEAR(C346),MONTH(C346),1),C346,Feriados!$A$2:$A$842)=1,S345,T345))</f>
        <v>0</v>
      </c>
      <c r="U346" s="26">
        <v>0</v>
      </c>
      <c r="V346" s="26">
        <v>0</v>
      </c>
      <c r="W346" s="15">
        <f t="shared" ref="W346" si="1624">SUM(G346+J346+M346+P346)</f>
        <v>10606918.04627162</v>
      </c>
      <c r="X346" s="50">
        <f>'Fluxo de Caixa_'!AD352</f>
        <v>0</v>
      </c>
      <c r="AB346" s="26">
        <v>3644.9902999999999</v>
      </c>
      <c r="AC346" s="26">
        <v>0</v>
      </c>
      <c r="AD346">
        <f>SUMIFS([1]Master!$J$2:$J$100,[1]Master!$A$2:$A$100,"="&amp;$I$12,[1]Master!$E$2:$E$100,"="&amp;C346,[1]Master!$J$2:$J$100,"&gt;"&amp;0)</f>
        <v>0</v>
      </c>
      <c r="AE346">
        <f ca="1">-SUMIF('[1]Fluxo de Movimentações'!$A$5:$F$10001,"="&amp;$C346,'[1]Fluxo de Movimentações'!$H$5:$H$10001)</f>
        <v>0</v>
      </c>
      <c r="AF346" s="26">
        <v>0</v>
      </c>
      <c r="AG346" s="26">
        <v>0</v>
      </c>
      <c r="AH346" s="26">
        <v>0</v>
      </c>
      <c r="AI346" s="26">
        <v>0</v>
      </c>
      <c r="AJ346" s="26">
        <v>0</v>
      </c>
      <c r="AK346" s="68">
        <v>4.7431169000000004</v>
      </c>
      <c r="AL346" s="15">
        <f>-SUMIFS([1]Master!$J$1:$J$200,[1]Master!$A$1:$A$200,"="&amp;$I$12,[1]Master!$G$1:$G$200,"&gt;"&amp;C346,[1]Master!$E$1:$E$200,"&lt;="&amp;C346)</f>
        <v>0</v>
      </c>
      <c r="AM346" s="26">
        <v>0</v>
      </c>
      <c r="AN346" s="26">
        <v>0</v>
      </c>
    </row>
    <row r="347" spans="3:40">
      <c r="C347" s="1">
        <f>WORKDAY(C346,1,Feriados!A154:A994)</f>
        <v>45364</v>
      </c>
      <c r="D347" s="39">
        <v>10644249.388800001</v>
      </c>
      <c r="E347" s="32">
        <v>4.7601879</v>
      </c>
      <c r="F347" s="88">
        <f>SUMIF([1]HSF!$H$2:$H$30,"="&amp;"APLICAÇÃO",[1]HSF!$K$2:$K$30)</f>
        <v>2283952.1146078166</v>
      </c>
      <c r="G347" s="15">
        <f t="shared" ref="G347" si="1625">H347*I347</f>
        <v>10613791.907759499</v>
      </c>
      <c r="H347" s="32">
        <v>1.2016100999999999</v>
      </c>
      <c r="I347" s="15">
        <f>SUMIFS([1]Master!$K$2:$K$10000,[1]Master!$A$2:$A$10000,$I$12,[1]Master!$F$2:$F$10000,"&lt;="&amp;$C347)</f>
        <v>8832974.9456662349</v>
      </c>
      <c r="J347" s="15">
        <f t="shared" ref="J347" si="1626">K347*L347</f>
        <v>0</v>
      </c>
      <c r="K347" s="43">
        <v>0</v>
      </c>
      <c r="L347" s="40">
        <v>0</v>
      </c>
      <c r="M347" s="15">
        <f t="shared" ref="M347" si="1627">N347*O347</f>
        <v>0</v>
      </c>
      <c r="N347" s="32">
        <v>0</v>
      </c>
      <c r="O347" s="40">
        <v>0</v>
      </c>
      <c r="P347" s="15">
        <f t="shared" si="1529"/>
        <v>31911.064543794582</v>
      </c>
      <c r="Q347" s="32">
        <v>4.1850405000000004</v>
      </c>
      <c r="R347" s="40">
        <v>7625.0312377609198</v>
      </c>
      <c r="S347" s="15">
        <f t="shared" ref="S347" si="1628">(((1+1.35%)^(1/252))-1)*D346+SUM(S346)</f>
        <v>5050.4889361994528</v>
      </c>
      <c r="T347" s="15">
        <f>IF((NETWORKDAYS(DATE(YEAR(C347),MONTH(C347),1),C347,Feriados!$A$2:$A$842))&gt;=5,0,IF(NETWORKDAYS(DATE(YEAR(C347),MONTH(C347),1),C347,Feriados!$A$2:$A$842)=1,S346,T346))</f>
        <v>0</v>
      </c>
      <c r="U347" s="26">
        <v>0</v>
      </c>
      <c r="V347" s="26">
        <v>0</v>
      </c>
      <c r="W347" s="15">
        <f t="shared" ref="W347" si="1629">SUM(G347+J347+M347+P347)</f>
        <v>10645702.972303294</v>
      </c>
      <c r="X347" s="50">
        <f>'Fluxo de Caixa_'!AD353</f>
        <v>0</v>
      </c>
      <c r="AB347" s="26">
        <v>3603.0187999999998</v>
      </c>
      <c r="AC347" s="26">
        <v>0</v>
      </c>
      <c r="AD347">
        <f>SUMIFS([1]Master!$J$2:$J$100,[1]Master!$A$2:$A$100,"="&amp;$I$12,[1]Master!$E$2:$E$100,"="&amp;C347,[1]Master!$J$2:$J$100,"&gt;"&amp;0)</f>
        <v>0</v>
      </c>
      <c r="AE347">
        <f ca="1">-SUMIF('[1]Fluxo de Movimentações'!$A$5:$F$10001,"="&amp;$C347,'[1]Fluxo de Movimentações'!$H$5:$H$10001)</f>
        <v>0</v>
      </c>
      <c r="AF347" s="26">
        <v>0</v>
      </c>
      <c r="AG347" s="26">
        <v>0</v>
      </c>
      <c r="AH347" s="26">
        <v>0</v>
      </c>
      <c r="AI347" s="26">
        <v>0</v>
      </c>
      <c r="AJ347" s="26">
        <v>-6.1465248409051698</v>
      </c>
      <c r="AK347" s="68">
        <v>4.7601906999999999</v>
      </c>
      <c r="AL347" s="15">
        <f>-SUMIFS([1]Master!$J$1:$J$200,[1]Master!$A$1:$A$200,"="&amp;$I$12,[1]Master!$G$1:$G$200,"&gt;"&amp;C347,[1]Master!$E$1:$E$200,"&lt;="&amp;C347)</f>
        <v>0</v>
      </c>
      <c r="AM347" s="26">
        <v>0</v>
      </c>
      <c r="AN347" s="26">
        <v>0</v>
      </c>
    </row>
    <row r="348" spans="3:40">
      <c r="C348" s="1">
        <f>WORKDAY(C347,1,Feriados!A155:A995)</f>
        <v>45365</v>
      </c>
      <c r="D348" s="39">
        <v>10640494.5473</v>
      </c>
      <c r="E348" s="32">
        <v>4.7585087000000001</v>
      </c>
      <c r="F348" s="88">
        <f>SUMIF([1]HSF!$H$2:$H$30,"="&amp;"APLICAÇÃO",[1]HSF!$K$2:$K$30)</f>
        <v>2283952.1146078166</v>
      </c>
      <c r="G348" s="15">
        <f t="shared" ref="G348" si="1630">H348*I348</f>
        <v>10610626.169538973</v>
      </c>
      <c r="H348" s="32">
        <v>1.2012517</v>
      </c>
      <c r="I348" s="15">
        <f>SUMIFS([1]Master!$K$2:$K$10000,[1]Master!$A$2:$A$10000,$I$12,[1]Master!$F$2:$F$10000,"&lt;="&amp;$C348)</f>
        <v>8832974.9456662349</v>
      </c>
      <c r="J348" s="15">
        <f t="shared" ref="J348" si="1631">K348*L348</f>
        <v>0</v>
      </c>
      <c r="K348" s="43">
        <v>0</v>
      </c>
      <c r="L348" s="40">
        <v>0</v>
      </c>
      <c r="M348" s="15">
        <f t="shared" ref="M348" si="1632">N348*O348</f>
        <v>0</v>
      </c>
      <c r="N348" s="32">
        <v>0</v>
      </c>
      <c r="O348" s="40">
        <v>0</v>
      </c>
      <c r="P348" s="15">
        <f t="shared" si="1529"/>
        <v>31924.48231126367</v>
      </c>
      <c r="Q348" s="32">
        <v>4.1868002000000004</v>
      </c>
      <c r="R348" s="40">
        <v>7625.0312377609198</v>
      </c>
      <c r="S348" s="15">
        <f t="shared" ref="S348" si="1633">(((1+1.35%)^(1/252))-1)*D347+SUM(S347)</f>
        <v>5616.9169102962442</v>
      </c>
      <c r="T348" s="15">
        <f>IF((NETWORKDAYS(DATE(YEAR(C348),MONTH(C348),1),C348,Feriados!$A$2:$A$842))&gt;=5,0,IF(NETWORKDAYS(DATE(YEAR(C348),MONTH(C348),1),C348,Feriados!$A$2:$A$842)=1,S347,T347))</f>
        <v>0</v>
      </c>
      <c r="U348" s="26">
        <v>0</v>
      </c>
      <c r="V348" s="26">
        <v>0</v>
      </c>
      <c r="W348" s="15">
        <f t="shared" ref="W348" si="1634">SUM(G348+J348+M348+P348)</f>
        <v>10642550.651850237</v>
      </c>
      <c r="X348" s="50">
        <f>'Fluxo de Caixa_'!AD354</f>
        <v>0</v>
      </c>
      <c r="AB348" s="26">
        <v>3561.0473000000002</v>
      </c>
      <c r="AC348" s="26">
        <v>0</v>
      </c>
      <c r="AD348">
        <f>SUMIFS([1]Master!$J$2:$J$100,[1]Master!$A$2:$A$100,"="&amp;$I$12,[1]Master!$E$2:$E$100,"="&amp;C348,[1]Master!$J$2:$J$100,"&gt;"&amp;0)</f>
        <v>0</v>
      </c>
      <c r="AE348">
        <f ca="1">-SUMIF('[1]Fluxo de Movimentações'!$A$5:$F$10001,"="&amp;$C348,'[1]Fluxo de Movimentações'!$H$5:$H$10001)</f>
        <v>0</v>
      </c>
      <c r="AF348" s="26">
        <v>0</v>
      </c>
      <c r="AG348" s="26">
        <v>0</v>
      </c>
      <c r="AH348" s="26">
        <v>0</v>
      </c>
      <c r="AI348" s="26">
        <v>0</v>
      </c>
      <c r="AJ348" s="26">
        <v>-0.28000000000000003</v>
      </c>
      <c r="AK348" s="68">
        <v>4.7585088000000004</v>
      </c>
      <c r="AL348" s="15">
        <f>-SUMIFS([1]Master!$J$1:$J$200,[1]Master!$A$1:$A$200,"="&amp;$I$12,[1]Master!$G$1:$G$200,"&gt;"&amp;C348,[1]Master!$E$1:$E$200,"&lt;="&amp;C348)</f>
        <v>0</v>
      </c>
      <c r="AM348" s="26">
        <v>0</v>
      </c>
      <c r="AN348" s="26">
        <v>0</v>
      </c>
    </row>
    <row r="349" spans="3:40">
      <c r="C349" s="1">
        <f>WORKDAY(C348,1,Feriados!A156:A996)</f>
        <v>45366</v>
      </c>
      <c r="D349" s="39">
        <v>10601583.775800001</v>
      </c>
      <c r="E349" s="32">
        <v>4.7411075</v>
      </c>
      <c r="F349" s="88">
        <f>SUMIF([1]HSF!$H$2:$H$30,"="&amp;"APLICAÇÃO",[1]HSF!$K$2:$K$30)</f>
        <v>2283952.1146078166</v>
      </c>
      <c r="G349" s="15">
        <f t="shared" ref="G349" si="1635">H349*I349</f>
        <v>10572309.607522165</v>
      </c>
      <c r="H349" s="32">
        <v>1.1969137999999999</v>
      </c>
      <c r="I349" s="15">
        <f>SUMIFS([1]Master!$K$2:$K$10000,[1]Master!$A$2:$A$10000,$I$12,[1]Master!$F$2:$F$10000,"&lt;="&amp;$C349)</f>
        <v>8832974.9456662349</v>
      </c>
      <c r="J349" s="15">
        <f t="shared" ref="J349" si="1636">K349*L349</f>
        <v>0</v>
      </c>
      <c r="K349" s="43">
        <v>0</v>
      </c>
      <c r="L349" s="40">
        <v>0</v>
      </c>
      <c r="M349" s="15">
        <f t="shared" ref="M349" si="1637">N349*O349</f>
        <v>0</v>
      </c>
      <c r="N349" s="32">
        <v>0</v>
      </c>
      <c r="O349" s="40">
        <v>0</v>
      </c>
      <c r="P349" s="15">
        <f t="shared" si="1529"/>
        <v>31938.181442385427</v>
      </c>
      <c r="Q349" s="32">
        <v>4.1885968</v>
      </c>
      <c r="R349" s="40">
        <v>7625.0312377609198</v>
      </c>
      <c r="S349" s="15">
        <f t="shared" ref="S349" si="1638">(((1+1.35%)^(1/252))-1)*D348+SUM(S348)</f>
        <v>6183.1450725334844</v>
      </c>
      <c r="T349" s="15">
        <f>IF((NETWORKDAYS(DATE(YEAR(C349),MONTH(C349),1),C349,Feriados!$A$2:$A$842))&gt;=5,0,IF(NETWORKDAYS(DATE(YEAR(C349),MONTH(C349),1),C349,Feriados!$A$2:$A$842)=1,S348,T348))</f>
        <v>0</v>
      </c>
      <c r="U349" s="26">
        <v>0</v>
      </c>
      <c r="V349" s="26">
        <v>0</v>
      </c>
      <c r="W349" s="15">
        <f t="shared" ref="W349" si="1639">SUM(G349+J349+M349+P349)</f>
        <v>10604247.788964551</v>
      </c>
      <c r="X349" s="50">
        <f>'Fluxo de Caixa_'!AD355</f>
        <v>0</v>
      </c>
      <c r="AB349" s="26">
        <v>3519.0758000000001</v>
      </c>
      <c r="AC349" s="26">
        <v>0</v>
      </c>
      <c r="AD349">
        <f>SUMIFS([1]Master!$J$2:$J$100,[1]Master!$A$2:$A$100,"="&amp;$I$12,[1]Master!$E$2:$E$100,"="&amp;C349,[1]Master!$J$2:$J$100,"&gt;"&amp;0)</f>
        <v>0</v>
      </c>
      <c r="AE349">
        <f ca="1">-SUMIF('[1]Fluxo de Movimentações'!$A$5:$F$10001,"="&amp;$C349,'[1]Fluxo de Movimentações'!$H$5:$H$10001)</f>
        <v>0</v>
      </c>
      <c r="AF349" s="26">
        <v>0</v>
      </c>
      <c r="AG349" s="26">
        <v>0</v>
      </c>
      <c r="AH349" s="26">
        <v>0</v>
      </c>
      <c r="AI349" s="26">
        <v>0</v>
      </c>
      <c r="AJ349" s="26">
        <v>0</v>
      </c>
      <c r="AK349" s="68">
        <v>4.7411075</v>
      </c>
      <c r="AL349" s="15">
        <f>-SUMIFS([1]Master!$J$1:$J$200,[1]Master!$A$1:$A$200,"="&amp;$I$12,[1]Master!$G$1:$G$200,"&gt;"&amp;C349,[1]Master!$E$1:$E$200,"&lt;="&amp;C349)</f>
        <v>0</v>
      </c>
      <c r="AM349" s="26">
        <v>0</v>
      </c>
      <c r="AN349" s="26">
        <v>0</v>
      </c>
    </row>
    <row r="350" spans="3:40">
      <c r="C350" s="1">
        <f>WORKDAY(C349,1,Feriados!A157:A997)</f>
        <v>45369</v>
      </c>
      <c r="D350" s="39">
        <v>10559752.134299999</v>
      </c>
      <c r="E350" s="32">
        <v>4.7224000999999998</v>
      </c>
      <c r="F350" s="88">
        <f>SUMIF([1]HSF!$H$2:$H$30,"="&amp;"APLICAÇÃO",[1]HSF!$K$2:$K$30)</f>
        <v>2283952.1146078166</v>
      </c>
      <c r="G350" s="15">
        <f t="shared" ref="G350" si="1640">H350*I350</f>
        <v>10531071.097393336</v>
      </c>
      <c r="H350" s="32">
        <v>1.1922451000000001</v>
      </c>
      <c r="I350" s="15">
        <f>SUMIFS([1]Master!$K$2:$K$10000,[1]Master!$A$2:$A$10000,$I$12,[1]Master!$F$2:$F$10000,"&lt;="&amp;$C350)</f>
        <v>8832974.9456662349</v>
      </c>
      <c r="J350" s="15">
        <f t="shared" ref="J350" si="1641">K350*L350</f>
        <v>0</v>
      </c>
      <c r="K350" s="43">
        <v>0</v>
      </c>
      <c r="L350" s="40">
        <v>0</v>
      </c>
      <c r="M350" s="15">
        <f t="shared" ref="M350" si="1642">N350*O350</f>
        <v>0</v>
      </c>
      <c r="N350" s="32">
        <v>0</v>
      </c>
      <c r="O350" s="40">
        <v>0</v>
      </c>
      <c r="P350" s="15">
        <f t="shared" si="1529"/>
        <v>31951.172208105203</v>
      </c>
      <c r="Q350" s="32">
        <v>4.1903005000000002</v>
      </c>
      <c r="R350" s="40">
        <v>7625.0312377609198</v>
      </c>
      <c r="S350" s="15">
        <f t="shared" ref="S350" si="1643">(((1+1.35%)^(1/252))-1)*D349+SUM(S349)</f>
        <v>6747.3026191109229</v>
      </c>
      <c r="T350" s="15">
        <f>IF((NETWORKDAYS(DATE(YEAR(C350),MONTH(C350),1),C350,Feriados!$A$2:$A$842))&gt;=5,0,IF(NETWORKDAYS(DATE(YEAR(C350),MONTH(C350),1),C350,Feriados!$A$2:$A$842)=1,S349,T349))</f>
        <v>0</v>
      </c>
      <c r="U350" s="26">
        <v>0</v>
      </c>
      <c r="V350" s="26">
        <v>0</v>
      </c>
      <c r="W350" s="15">
        <f t="shared" ref="W350" si="1644">SUM(G350+J350+M350+P350)</f>
        <v>10563022.26960144</v>
      </c>
      <c r="X350" s="50">
        <f>'Fluxo de Caixa_'!AD356</f>
        <v>0</v>
      </c>
      <c r="AB350" s="26">
        <v>3477.1043</v>
      </c>
      <c r="AC350" s="26">
        <v>0</v>
      </c>
      <c r="AD350">
        <f>SUMIFS([1]Master!$J$2:$J$100,[1]Master!$A$2:$A$100,"="&amp;$I$12,[1]Master!$E$2:$E$100,"="&amp;C350,[1]Master!$J$2:$J$100,"&gt;"&amp;0)</f>
        <v>0</v>
      </c>
      <c r="AE350">
        <f ca="1">-SUMIF('[1]Fluxo de Movimentações'!$A$5:$F$10001,"="&amp;$C350,'[1]Fluxo de Movimentações'!$H$5:$H$10001)</f>
        <v>0</v>
      </c>
      <c r="AF350" s="26">
        <v>0</v>
      </c>
      <c r="AG350" s="26">
        <v>0</v>
      </c>
      <c r="AH350" s="26">
        <v>0</v>
      </c>
      <c r="AI350" s="26">
        <v>0</v>
      </c>
      <c r="AJ350" s="26">
        <v>0</v>
      </c>
      <c r="AK350" s="68">
        <v>4.7224000999999998</v>
      </c>
      <c r="AL350" s="15">
        <f>-SUMIFS([1]Master!$J$1:$J$200,[1]Master!$A$1:$A$200,"="&amp;$I$12,[1]Master!$G$1:$G$200,"&gt;"&amp;C350,[1]Master!$E$1:$E$200,"&lt;="&amp;C350)</f>
        <v>0</v>
      </c>
      <c r="AM350" s="26">
        <v>0</v>
      </c>
      <c r="AN350" s="26">
        <v>0</v>
      </c>
    </row>
    <row r="351" spans="3:40">
      <c r="C351" s="1">
        <f>WORKDAY(C350,1,Feriados!A158:A998)</f>
        <v>45370</v>
      </c>
      <c r="D351" s="39">
        <v>10605256.8828</v>
      </c>
      <c r="E351" s="32">
        <v>4.7427501999999997</v>
      </c>
      <c r="F351" s="88">
        <f>SUMIF([1]HSF!$H$2:$H$30,"="&amp;"APLICAÇÃO",[1]HSF!$K$2:$K$30)</f>
        <v>2283952.1146078166</v>
      </c>
      <c r="G351" s="15">
        <f t="shared" ref="G351" si="1645">H351*I351</f>
        <v>10577165.977147294</v>
      </c>
      <c r="H351" s="32">
        <v>1.1974636000000001</v>
      </c>
      <c r="I351" s="15">
        <f>SUMIFS([1]Master!$K$2:$K$10000,[1]Master!$A$2:$A$10000,$I$12,[1]Master!$F$2:$F$10000,"&lt;="&amp;$C351)</f>
        <v>8832974.9456662349</v>
      </c>
      <c r="J351" s="15">
        <f t="shared" ref="J351" si="1646">K351*L351</f>
        <v>0</v>
      </c>
      <c r="K351" s="43">
        <v>0</v>
      </c>
      <c r="L351" s="40">
        <v>0</v>
      </c>
      <c r="M351" s="15">
        <f t="shared" ref="M351" si="1647">N351*O351</f>
        <v>0</v>
      </c>
      <c r="N351" s="32">
        <v>0</v>
      </c>
      <c r="O351" s="40">
        <v>0</v>
      </c>
      <c r="P351" s="15">
        <f t="shared" si="1529"/>
        <v>31964.946827036216</v>
      </c>
      <c r="Q351" s="32">
        <v>4.192107</v>
      </c>
      <c r="R351" s="40">
        <v>7625.0312377609198</v>
      </c>
      <c r="S351" s="15">
        <f t="shared" ref="S351" si="1648">(((1+1.35%)^(1/252))-1)*D350+SUM(S350)</f>
        <v>7309.2341175113124</v>
      </c>
      <c r="T351" s="15">
        <f>IF((NETWORKDAYS(DATE(YEAR(C351),MONTH(C351),1),C351,Feriados!$A$2:$A$842))&gt;=5,0,IF(NETWORKDAYS(DATE(YEAR(C351),MONTH(C351),1),C351,Feriados!$A$2:$A$842)=1,S350,T350))</f>
        <v>0</v>
      </c>
      <c r="U351" s="26">
        <v>0</v>
      </c>
      <c r="V351" s="26">
        <v>0</v>
      </c>
      <c r="W351" s="15">
        <f t="shared" ref="W351" si="1649">SUM(G351+J351+M351+P351)</f>
        <v>10609130.92397433</v>
      </c>
      <c r="X351" s="50">
        <f>'Fluxo de Caixa_'!AD357</f>
        <v>0</v>
      </c>
      <c r="AB351" s="26">
        <v>3435.1327999999999</v>
      </c>
      <c r="AC351" s="26">
        <v>0</v>
      </c>
      <c r="AD351">
        <f>SUMIFS([1]Master!$J$2:$J$100,[1]Master!$A$2:$A$100,"="&amp;$I$12,[1]Master!$E$2:$E$100,"="&amp;C351,[1]Master!$J$2:$J$100,"&gt;"&amp;0)</f>
        <v>0</v>
      </c>
      <c r="AE351">
        <f ca="1">-SUMIF('[1]Fluxo de Movimentações'!$A$5:$F$10001,"="&amp;$C351,'[1]Fluxo de Movimentações'!$H$5:$H$10001)</f>
        <v>0</v>
      </c>
      <c r="AF351" s="26">
        <v>0</v>
      </c>
      <c r="AG351" s="26">
        <v>0</v>
      </c>
      <c r="AH351" s="26">
        <v>0</v>
      </c>
      <c r="AI351" s="26">
        <v>0</v>
      </c>
      <c r="AJ351" s="26">
        <v>0</v>
      </c>
      <c r="AK351" s="68">
        <v>4.7427501999999997</v>
      </c>
      <c r="AL351" s="15">
        <f>-SUMIFS([1]Master!$J$1:$J$200,[1]Master!$A$1:$A$200,"="&amp;$I$12,[1]Master!$G$1:$G$200,"&gt;"&amp;C351,[1]Master!$E$1:$E$200,"&lt;="&amp;C351)</f>
        <v>0</v>
      </c>
      <c r="AM351" s="26">
        <v>0</v>
      </c>
      <c r="AN351" s="26">
        <v>0</v>
      </c>
    </row>
    <row r="352" spans="3:40">
      <c r="C352" s="1">
        <f>WORKDAY(C351,1,Feriados!A159:A999)</f>
        <v>45371</v>
      </c>
      <c r="D352" s="39">
        <v>10799151.371300001</v>
      </c>
      <c r="E352" s="32">
        <v>4.8294611999999999</v>
      </c>
      <c r="F352" s="88">
        <f>SUMIF([1]HSF!$H$2:$H$30,"="&amp;"APLICAÇÃO",[1]HSF!$K$2:$K$30)</f>
        <v>2283952.1146078166</v>
      </c>
      <c r="G352" s="15">
        <f t="shared" ref="G352" si="1650">H352*I352</f>
        <v>10771734.332762957</v>
      </c>
      <c r="H352" s="32">
        <v>1.2194910999999999</v>
      </c>
      <c r="I352" s="15">
        <f>SUMIFS([1]Master!$K$2:$K$10000,[1]Master!$A$2:$A$10000,$I$12,[1]Master!$F$2:$F$10000,"&lt;="&amp;$C352)</f>
        <v>8832974.9456662349</v>
      </c>
      <c r="J352" s="15">
        <f t="shared" ref="J352" si="1651">K352*L352</f>
        <v>0</v>
      </c>
      <c r="K352" s="43">
        <v>0</v>
      </c>
      <c r="L352" s="40">
        <v>0</v>
      </c>
      <c r="M352" s="15">
        <f t="shared" ref="M352" si="1652">N352*O352</f>
        <v>0</v>
      </c>
      <c r="N352" s="32">
        <v>0</v>
      </c>
      <c r="O352" s="40">
        <v>0</v>
      </c>
      <c r="P352" s="15">
        <f t="shared" si="1529"/>
        <v>31978.326469349118</v>
      </c>
      <c r="Q352" s="32">
        <v>4.1938617000000002</v>
      </c>
      <c r="R352" s="40">
        <v>7625.0312377609198</v>
      </c>
      <c r="S352" s="15">
        <f t="shared" ref="S352" si="1653">(((1+1.35%)^(1/252))-1)*D351+SUM(S351)</f>
        <v>7873.587126491092</v>
      </c>
      <c r="T352" s="15">
        <f>IF((NETWORKDAYS(DATE(YEAR(C352),MONTH(C352),1),C352,Feriados!$A$2:$A$842))&gt;=5,0,IF(NETWORKDAYS(DATE(YEAR(C352),MONTH(C352),1),C352,Feriados!$A$2:$A$842)=1,S351,T351))</f>
        <v>0</v>
      </c>
      <c r="U352" s="26">
        <v>0</v>
      </c>
      <c r="V352" s="26">
        <v>0</v>
      </c>
      <c r="W352" s="15">
        <f t="shared" ref="W352" si="1654">SUM(G352+J352+M352+P352)</f>
        <v>10803712.659232305</v>
      </c>
      <c r="X352" s="50">
        <f>'Fluxo de Caixa_'!AD358</f>
        <v>0</v>
      </c>
      <c r="AB352" s="26">
        <v>3393.1613000000002</v>
      </c>
      <c r="AC352" s="26">
        <v>0</v>
      </c>
      <c r="AD352">
        <f>SUMIFS([1]Master!$J$2:$J$100,[1]Master!$A$2:$A$100,"="&amp;$I$12,[1]Master!$E$2:$E$100,"="&amp;C352,[1]Master!$J$2:$J$100,"&gt;"&amp;0)</f>
        <v>0</v>
      </c>
      <c r="AE352">
        <f ca="1">-SUMIF('[1]Fluxo de Movimentações'!$A$5:$F$10001,"="&amp;$C352,'[1]Fluxo de Movimentações'!$H$5:$H$10001)</f>
        <v>0</v>
      </c>
      <c r="AF352" s="26">
        <v>0</v>
      </c>
      <c r="AG352" s="26">
        <v>0</v>
      </c>
      <c r="AH352" s="26">
        <v>0</v>
      </c>
      <c r="AI352" s="26">
        <v>0</v>
      </c>
      <c r="AJ352" s="26">
        <v>-80.931212934721898</v>
      </c>
      <c r="AK352" s="68">
        <v>4.8294974000000002</v>
      </c>
      <c r="AL352" s="15">
        <f>-SUMIFS([1]Master!$J$1:$J$200,[1]Master!$A$1:$A$200,"="&amp;$I$12,[1]Master!$G$1:$G$200,"&gt;"&amp;C352,[1]Master!$E$1:$E$200,"&lt;="&amp;C352)</f>
        <v>0</v>
      </c>
      <c r="AM352" s="26">
        <v>0</v>
      </c>
      <c r="AN352" s="26">
        <v>0</v>
      </c>
    </row>
    <row r="353" spans="3:40">
      <c r="C353" s="1">
        <f>WORKDAY(C352,1,Feriados!A160:A1000)</f>
        <v>45372</v>
      </c>
      <c r="D353" s="39">
        <v>10763649.2798</v>
      </c>
      <c r="E353" s="32">
        <v>4.8135843999999999</v>
      </c>
      <c r="F353" s="88">
        <f>SUMIF([1]HSF!$H$2:$H$30,"="&amp;"APLICAÇÃO",[1]HSF!$K$2:$K$30)</f>
        <v>2283952.1146078166</v>
      </c>
      <c r="G353" s="15">
        <f t="shared" ref="G353" si="1655">H353*I353</f>
        <v>10736813.166315265</v>
      </c>
      <c r="H353" s="32">
        <v>1.2155376</v>
      </c>
      <c r="I353" s="15">
        <f>SUMIFS([1]Master!$K$2:$K$10000,[1]Master!$A$2:$A$10000,$I$12,[1]Master!$F$2:$F$10000,"&lt;="&amp;$C353)</f>
        <v>8832974.9456662349</v>
      </c>
      <c r="J353" s="15">
        <f t="shared" ref="J353" si="1656">K353*L353</f>
        <v>0</v>
      </c>
      <c r="K353" s="43">
        <v>0</v>
      </c>
      <c r="L353" s="40">
        <v>0</v>
      </c>
      <c r="M353" s="15">
        <f t="shared" ref="M353" si="1657">N353*O353</f>
        <v>0</v>
      </c>
      <c r="N353" s="32">
        <v>0</v>
      </c>
      <c r="O353" s="40">
        <v>0</v>
      </c>
      <c r="P353" s="15">
        <f t="shared" si="1529"/>
        <v>31991.861662299263</v>
      </c>
      <c r="Q353" s="32">
        <v>4.1956367999999999</v>
      </c>
      <c r="R353" s="40">
        <v>7625.0312377609198</v>
      </c>
      <c r="S353" s="15">
        <f t="shared" ref="S353" si="1658">(((1+1.35%)^(1/252))-1)*D352+SUM(S352)</f>
        <v>8448.2581258051778</v>
      </c>
      <c r="T353" s="15">
        <f>IF((NETWORKDAYS(DATE(YEAR(C353),MONTH(C353),1),C353,Feriados!$A$2:$A$842))&gt;=5,0,IF(NETWORKDAYS(DATE(YEAR(C353),MONTH(C353),1),C353,Feriados!$A$2:$A$842)=1,S352,T352))</f>
        <v>0</v>
      </c>
      <c r="U353" s="26">
        <v>0</v>
      </c>
      <c r="V353" s="26">
        <v>0</v>
      </c>
      <c r="W353" s="15">
        <f t="shared" ref="W353" si="1659">SUM(G353+J353+M353+P353)</f>
        <v>10768805.027977563</v>
      </c>
      <c r="X353" s="50">
        <f>'Fluxo de Caixa_'!AD359</f>
        <v>0</v>
      </c>
      <c r="AB353" s="26">
        <v>3351.1898000000001</v>
      </c>
      <c r="AC353" s="26">
        <v>0</v>
      </c>
      <c r="AD353">
        <f>SUMIFS([1]Master!$J$2:$J$100,[1]Master!$A$2:$A$100,"="&amp;$I$12,[1]Master!$E$2:$E$100,"="&amp;C353,[1]Master!$J$2:$J$100,"&gt;"&amp;0)</f>
        <v>0</v>
      </c>
      <c r="AE353">
        <f ca="1">-SUMIF('[1]Fluxo de Movimentações'!$A$5:$F$10001,"="&amp;$C353,'[1]Fluxo de Movimentações'!$H$5:$H$10001)</f>
        <v>0</v>
      </c>
      <c r="AF353" s="26">
        <v>0</v>
      </c>
      <c r="AG353" s="26">
        <v>0</v>
      </c>
      <c r="AH353" s="26">
        <v>0</v>
      </c>
      <c r="AI353" s="26">
        <v>0</v>
      </c>
      <c r="AJ353" s="26">
        <v>-58.750439516941398</v>
      </c>
      <c r="AK353" s="68">
        <v>4.8136106999999999</v>
      </c>
      <c r="AL353" s="15">
        <f>-SUMIFS([1]Master!$J$1:$J$200,[1]Master!$A$1:$A$200,"="&amp;$I$12,[1]Master!$G$1:$G$200,"&gt;"&amp;C353,[1]Master!$E$1:$E$200,"&lt;="&amp;C353)</f>
        <v>0</v>
      </c>
      <c r="AM353" s="26">
        <v>0</v>
      </c>
      <c r="AN353" s="26">
        <v>0</v>
      </c>
    </row>
    <row r="354" spans="3:40">
      <c r="C354" s="1">
        <f>WORKDAY(C353,1,Feriados!A161:A1001)</f>
        <v>45373</v>
      </c>
      <c r="D354" s="39">
        <v>10551309.158299999</v>
      </c>
      <c r="E354" s="32">
        <v>4.7186243000000001</v>
      </c>
      <c r="F354" s="88">
        <f>SUMIF([1]HSF!$H$2:$H$30,"="&amp;"APLICAÇÃO",[1]HSF!$K$2:$K$30)</f>
        <v>2283952.1146078166</v>
      </c>
      <c r="G354" s="15">
        <f t="shared" ref="G354" si="1660">H354*I354</f>
        <v>10525016.09306808</v>
      </c>
      <c r="H354" s="32">
        <v>1.1915595999999999</v>
      </c>
      <c r="I354" s="15">
        <f>SUMIFS([1]Master!$K$2:$K$10000,[1]Master!$A$2:$A$10000,$I$12,[1]Master!$F$2:$F$10000,"&lt;="&amp;$C354)</f>
        <v>8832974.9456662349</v>
      </c>
      <c r="J354" s="15">
        <f t="shared" ref="J354" si="1661">K354*L354</f>
        <v>0</v>
      </c>
      <c r="K354" s="43">
        <v>0</v>
      </c>
      <c r="L354" s="40">
        <v>0</v>
      </c>
      <c r="M354" s="15">
        <f t="shared" ref="M354" si="1662">N354*O354</f>
        <v>0</v>
      </c>
      <c r="N354" s="32">
        <v>0</v>
      </c>
      <c r="O354" s="40">
        <v>0</v>
      </c>
      <c r="P354" s="15">
        <f t="shared" si="1529"/>
        <v>32004.820402887839</v>
      </c>
      <c r="Q354" s="32">
        <v>4.1973362999999999</v>
      </c>
      <c r="R354" s="40">
        <v>7625.0312377609198</v>
      </c>
      <c r="S354" s="15">
        <f t="shared" ref="S354" si="1663">(((1+1.35%)^(1/252))-1)*D353+SUM(S353)</f>
        <v>9021.039900522017</v>
      </c>
      <c r="T354" s="15">
        <f>IF((NETWORKDAYS(DATE(YEAR(C354),MONTH(C354),1),C354,Feriados!$A$2:$A$842))&gt;=5,0,IF(NETWORKDAYS(DATE(YEAR(C354),MONTH(C354),1),C354,Feriados!$A$2:$A$842)=1,S353,T353))</f>
        <v>0</v>
      </c>
      <c r="U354" s="26">
        <v>0</v>
      </c>
      <c r="V354" s="26">
        <v>0</v>
      </c>
      <c r="W354" s="15">
        <f t="shared" ref="W354" si="1664">SUM(G354+J354+M354+P354)</f>
        <v>10557020.913470969</v>
      </c>
      <c r="X354" s="50">
        <f>'Fluxo de Caixa_'!AD360</f>
        <v>0</v>
      </c>
      <c r="AB354" s="26">
        <v>3309.2183</v>
      </c>
      <c r="AC354" s="26">
        <v>0</v>
      </c>
      <c r="AD354">
        <f>SUMIFS([1]Master!$J$2:$J$100,[1]Master!$A$2:$A$100,"="&amp;$I$12,[1]Master!$E$2:$E$100,"="&amp;C354,[1]Master!$J$2:$J$100,"&gt;"&amp;0)</f>
        <v>0</v>
      </c>
      <c r="AE354">
        <f ca="1">-SUMIF('[1]Fluxo de Movimentações'!$A$5:$F$10001,"="&amp;$C354,'[1]Fluxo de Movimentações'!$H$5:$H$10001)</f>
        <v>0</v>
      </c>
      <c r="AF354" s="26">
        <v>0</v>
      </c>
      <c r="AG354" s="26">
        <v>0</v>
      </c>
      <c r="AH354" s="26">
        <v>0</v>
      </c>
      <c r="AI354" s="26">
        <v>0</v>
      </c>
      <c r="AJ354" s="26">
        <v>0</v>
      </c>
      <c r="AK354" s="68">
        <v>4.7186243000000001</v>
      </c>
      <c r="AL354" s="15">
        <f>-SUMIFS([1]Master!$J$1:$J$200,[1]Master!$A$1:$A$200,"="&amp;$I$12,[1]Master!$G$1:$G$200,"&gt;"&amp;C354,[1]Master!$E$1:$E$200,"&lt;="&amp;C354)</f>
        <v>0</v>
      </c>
      <c r="AM354" s="26">
        <v>0</v>
      </c>
      <c r="AN354" s="26">
        <v>0</v>
      </c>
    </row>
    <row r="355" spans="3:40">
      <c r="C355" s="1">
        <f>WORKDAY(C354,1,Feriados!A162:A1002)</f>
        <v>45376</v>
      </c>
      <c r="D355" s="39">
        <v>10493110.8168</v>
      </c>
      <c r="E355" s="32">
        <v>4.6925976</v>
      </c>
      <c r="F355" s="88">
        <f>SUMIF([1]HSF!$H$2:$H$30,"="&amp;"APLICAÇÃO",[1]HSF!$K$2:$K$30)</f>
        <v>2283952.1146078166</v>
      </c>
      <c r="G355" s="15">
        <f t="shared" ref="G355" si="1665">H355*I355</f>
        <v>10467408.31376994</v>
      </c>
      <c r="H355" s="32">
        <v>1.1850377000000001</v>
      </c>
      <c r="I355" s="15">
        <f>SUMIFS([1]Master!$K$2:$K$10000,[1]Master!$A$2:$A$10000,$I$12,[1]Master!$F$2:$F$10000,"&lt;="&amp;$C355)</f>
        <v>8832974.9456662349</v>
      </c>
      <c r="J355" s="15">
        <f t="shared" ref="J355" si="1666">K355*L355</f>
        <v>0</v>
      </c>
      <c r="K355" s="43">
        <v>0</v>
      </c>
      <c r="L355" s="40">
        <v>0</v>
      </c>
      <c r="M355" s="15">
        <f t="shared" ref="M355" si="1667">N355*O355</f>
        <v>0</v>
      </c>
      <c r="N355" s="32">
        <v>0</v>
      </c>
      <c r="O355" s="40">
        <v>0</v>
      </c>
      <c r="P355" s="15">
        <f t="shared" si="1529"/>
        <v>32017.708993189026</v>
      </c>
      <c r="Q355" s="32">
        <v>4.1990265999999998</v>
      </c>
      <c r="R355" s="40">
        <v>7625.0312377609198</v>
      </c>
      <c r="S355" s="15">
        <f t="shared" ref="S355" si="1668">(((1+1.35%)^(1/252))-1)*D354+SUM(S354)</f>
        <v>9582.5221105210985</v>
      </c>
      <c r="T355" s="15">
        <f>IF((NETWORKDAYS(DATE(YEAR(C355),MONTH(C355),1),C355,Feriados!$A$2:$A$842))&gt;=5,0,IF(NETWORKDAYS(DATE(YEAR(C355),MONTH(C355),1),C355,Feriados!$A$2:$A$842)=1,S354,T354))</f>
        <v>0</v>
      </c>
      <c r="U355" s="26">
        <v>0</v>
      </c>
      <c r="V355" s="26">
        <v>0</v>
      </c>
      <c r="W355" s="15">
        <f t="shared" ref="W355" si="1669">SUM(G355+J355+M355+P355)</f>
        <v>10499426.022763129</v>
      </c>
      <c r="X355" s="50">
        <f>'Fluxo de Caixa_'!AD361</f>
        <v>0</v>
      </c>
      <c r="AB355" s="26">
        <v>3267.2467999999999</v>
      </c>
      <c r="AC355" s="26">
        <v>0</v>
      </c>
      <c r="AD355">
        <f>SUMIFS([1]Master!$J$2:$J$100,[1]Master!$A$2:$A$100,"="&amp;$I$12,[1]Master!$E$2:$E$100,"="&amp;C355,[1]Master!$J$2:$J$100,"&gt;"&amp;0)</f>
        <v>0</v>
      </c>
      <c r="AE355">
        <f ca="1">-SUMIF('[1]Fluxo de Movimentações'!$A$5:$F$10001,"="&amp;$C355,'[1]Fluxo de Movimentações'!$H$5:$H$10001)</f>
        <v>0</v>
      </c>
      <c r="AF355" s="26">
        <v>0</v>
      </c>
      <c r="AG355" s="26">
        <v>0</v>
      </c>
      <c r="AH355" s="26">
        <v>0</v>
      </c>
      <c r="AI355" s="26">
        <v>0</v>
      </c>
      <c r="AJ355" s="26">
        <v>0</v>
      </c>
      <c r="AK355" s="68">
        <v>4.6925976</v>
      </c>
      <c r="AL355" s="15">
        <f>-SUMIFS([1]Master!$J$1:$J$200,[1]Master!$A$1:$A$200,"="&amp;$I$12,[1]Master!$G$1:$G$200,"&gt;"&amp;C355,[1]Master!$E$1:$E$200,"&lt;="&amp;C355)</f>
        <v>0</v>
      </c>
      <c r="AM355" s="26">
        <v>0</v>
      </c>
      <c r="AN355" s="26">
        <v>0</v>
      </c>
    </row>
    <row r="356" spans="3:40">
      <c r="C356" s="1">
        <f>WORKDAY(C355,1,Feriados!A163:A1003)</f>
        <v>45377</v>
      </c>
      <c r="D356" s="39">
        <v>10417304.155300001</v>
      </c>
      <c r="E356" s="32">
        <v>4.6586962999999999</v>
      </c>
      <c r="F356" s="88">
        <f>SUMIF([1]HSF!$H$2:$H$30,"="&amp;"APLICAÇÃO",[1]HSF!$K$2:$K$30)</f>
        <v>2283952.1146078166</v>
      </c>
      <c r="G356" s="15">
        <f t="shared" ref="G356:G357" si="1670">H356*I356</f>
        <v>10392189.34902513</v>
      </c>
      <c r="H356" s="32">
        <v>1.1765220000000001</v>
      </c>
      <c r="I356" s="15">
        <f>SUMIFS([1]Master!$K$2:$K$10000,[1]Master!$A$2:$A$10000,$I$12,[1]Master!$F$2:$F$10000,"&lt;="&amp;$C356)</f>
        <v>8832974.9456662349</v>
      </c>
      <c r="J356" s="15">
        <f t="shared" ref="J356" si="1671">K356*L356</f>
        <v>0</v>
      </c>
      <c r="K356" s="43">
        <v>0</v>
      </c>
      <c r="L356" s="40">
        <v>0</v>
      </c>
      <c r="M356" s="15">
        <f t="shared" ref="M356:M357" si="1672">N356*O356</f>
        <v>0</v>
      </c>
      <c r="N356" s="32">
        <v>0</v>
      </c>
      <c r="O356" s="40">
        <v>0</v>
      </c>
      <c r="P356" s="15">
        <f t="shared" ref="P356" si="1673">R356*Q356</f>
        <v>32030.365020037465</v>
      </c>
      <c r="Q356" s="32">
        <v>4.2006864000000004</v>
      </c>
      <c r="R356" s="40">
        <v>7625.0312377609198</v>
      </c>
      <c r="S356" s="15">
        <f t="shared" ref="S356" si="1674">(((1+1.35%)^(1/252))-1)*D355+SUM(S355)</f>
        <v>10140.907327254847</v>
      </c>
      <c r="T356" s="15">
        <f>IF((NETWORKDAYS(DATE(YEAR(C356),MONTH(C356),1),C356,Feriados!$A$2:$A$842))&gt;=5,0,IF(NETWORKDAYS(DATE(YEAR(C356),MONTH(C356),1),C356,Feriados!$A$2:$A$842)=1,S355,T355))</f>
        <v>0</v>
      </c>
      <c r="U356" s="26">
        <v>0</v>
      </c>
      <c r="V356" s="26">
        <v>0</v>
      </c>
      <c r="W356" s="15">
        <f t="shared" ref="W356" si="1675">SUM(G356+J356+M356+P356)</f>
        <v>10424219.714045167</v>
      </c>
      <c r="X356" s="50">
        <f>'Fluxo de Caixa_'!AD362</f>
        <v>0</v>
      </c>
      <c r="AB356" s="26">
        <v>3225.2752999999998</v>
      </c>
      <c r="AC356" s="26">
        <v>0</v>
      </c>
      <c r="AD356">
        <f>SUMIFS([1]Master!$J$2:$J$100,[1]Master!$A$2:$A$100,"="&amp;$I$12,[1]Master!$E$2:$E$100,"="&amp;C356,[1]Master!$J$2:$J$100,"&gt;"&amp;0)</f>
        <v>0</v>
      </c>
      <c r="AE356">
        <f ca="1">-SUMIF('[1]Fluxo de Movimentações'!$A$5:$F$10001,"="&amp;$C356,'[1]Fluxo de Movimentações'!$H$5:$H$10001)</f>
        <v>0</v>
      </c>
      <c r="AF356" s="26">
        <v>0</v>
      </c>
      <c r="AG356" s="26">
        <v>0</v>
      </c>
      <c r="AH356" s="26">
        <v>0</v>
      </c>
      <c r="AI356" s="26">
        <v>0</v>
      </c>
      <c r="AJ356" s="26">
        <v>0</v>
      </c>
      <c r="AK356" s="68">
        <v>4.6586962999999999</v>
      </c>
      <c r="AL356" s="15">
        <f>-SUMIFS([1]Master!$J$1:$J$200,[1]Master!$A$1:$A$200,"="&amp;$I$12,[1]Master!$G$1:$G$200,"&gt;"&amp;C356,[1]Master!$E$1:$E$200,"&lt;="&amp;C356)</f>
        <v>0</v>
      </c>
      <c r="AM356" s="26">
        <v>0</v>
      </c>
      <c r="AN356" s="26">
        <v>0</v>
      </c>
    </row>
    <row r="357" spans="3:40">
      <c r="C357" s="1">
        <f>WORKDAY(C356,1,Feriados!A164:A1004)</f>
        <v>45378</v>
      </c>
      <c r="D357" s="39">
        <v>10550416.4538</v>
      </c>
      <c r="E357" s="32">
        <v>4.7182250999999997</v>
      </c>
      <c r="F357" s="88">
        <f>SUMIF([1]HSF!$H$2:$H$30,"="&amp;"APLICAÇÃO",[1]HSF!$K$2:$K$30)</f>
        <v>2283952.1146078166</v>
      </c>
      <c r="G357" s="15">
        <f t="shared" si="1670"/>
        <v>10525885.257802736</v>
      </c>
      <c r="H357" s="32">
        <v>1.1916580000000001</v>
      </c>
      <c r="I357" s="15">
        <f>SUMIFS([1]Master!$K$2:$K$10000,[1]Master!$A$2:$A$10000,$I$12,[1]Master!$F$2:$F$10000,"&lt;="&amp;$C357)</f>
        <v>8832974.9456662349</v>
      </c>
      <c r="J357" s="15">
        <f t="shared" ref="J357" si="1676">K357*L357</f>
        <v>0</v>
      </c>
      <c r="K357" s="43">
        <v>0</v>
      </c>
      <c r="L357" s="40">
        <v>0</v>
      </c>
      <c r="M357" s="15">
        <f t="shared" si="1672"/>
        <v>0</v>
      </c>
      <c r="N357" s="32">
        <v>0</v>
      </c>
      <c r="O357" s="40">
        <v>0</v>
      </c>
      <c r="P357" s="15">
        <f t="shared" ref="P357:P360" si="1677">R357*Q357</f>
        <v>32043.076709613935</v>
      </c>
      <c r="Q357" s="32">
        <v>4.2023535000000001</v>
      </c>
      <c r="R357" s="40">
        <v>7625.0312377609198</v>
      </c>
      <c r="S357" s="15">
        <f t="shared" ref="S357" si="1678">(((1+1.35%)^(1/252))-1)*D356+SUM(S356)</f>
        <v>10695.258533498229</v>
      </c>
      <c r="T357" s="15">
        <f>IF((NETWORKDAYS(DATE(YEAR(C357),MONTH(C357),1),C357,Feriados!$A$2:$A$842))&gt;=5,0,IF(NETWORKDAYS(DATE(YEAR(C357),MONTH(C357),1),C357,Feriados!$A$2:$A$842)=1,S356,T356))</f>
        <v>0</v>
      </c>
      <c r="U357" s="26">
        <v>0</v>
      </c>
      <c r="V357" s="26">
        <v>0</v>
      </c>
      <c r="W357" s="15">
        <f t="shared" ref="W357:W362" si="1679">SUM(G357+J357+M357+P357)</f>
        <v>10557928.334512349</v>
      </c>
      <c r="X357" s="50">
        <f>'Fluxo de Caixa_'!AD363</f>
        <v>0</v>
      </c>
      <c r="AB357" s="26">
        <v>3183.3038000000001</v>
      </c>
      <c r="AC357" s="26">
        <v>0</v>
      </c>
      <c r="AD357">
        <f>SUMIFS([1]Master!$J$2:$J$100,[1]Master!$A$2:$A$100,"="&amp;$I$12,[1]Master!$E$2:$E$100,"="&amp;C357,[1]Master!$J$2:$J$100,"&gt;"&amp;0)</f>
        <v>0</v>
      </c>
      <c r="AE357">
        <f ca="1">-SUMIF('[1]Fluxo de Movimentações'!$A$5:$F$10001,"="&amp;$C357,'[1]Fluxo de Movimentações'!$H$5:$H$10001)</f>
        <v>0</v>
      </c>
      <c r="AF357" s="26">
        <v>0</v>
      </c>
      <c r="AG357" s="26">
        <v>0</v>
      </c>
      <c r="AH357" s="26">
        <v>0</v>
      </c>
      <c r="AI357" s="26">
        <v>0</v>
      </c>
      <c r="AJ357" s="26">
        <v>0</v>
      </c>
      <c r="AK357" s="68">
        <v>4.7182250999999997</v>
      </c>
      <c r="AL357" s="15">
        <f>-SUMIFS([1]Master!$J$1:$J$200,[1]Master!$A$1:$A$200,"="&amp;$I$12,[1]Master!$G$1:$G$200,"&gt;"&amp;C357,[1]Master!$E$1:$E$200,"&lt;="&amp;C357)</f>
        <v>0</v>
      </c>
      <c r="AM357" s="26">
        <v>0</v>
      </c>
      <c r="AN357" s="26">
        <v>0</v>
      </c>
    </row>
    <row r="358" spans="3:40">
      <c r="C358" s="1">
        <f>WORKDAY(C357,1,Feriados!A165:A1005)</f>
        <v>45379</v>
      </c>
      <c r="D358" s="39">
        <v>10489489.4823</v>
      </c>
      <c r="E358" s="32">
        <v>4.6909780999999997</v>
      </c>
      <c r="F358" s="88">
        <f>SUMIF([1]HSF!$H$2:$H$30,"="&amp;"APLICAÇÃO",[1]HSF!$K$2:$K$30)</f>
        <v>2283952.1146078166</v>
      </c>
      <c r="G358" s="15">
        <f t="shared" ref="G358" si="1680">H358*I358</f>
        <v>10465548.972543877</v>
      </c>
      <c r="H358" s="32">
        <v>1.1848272</v>
      </c>
      <c r="I358" s="15">
        <f>SUMIFS([1]Master!$K$2:$K$10000,[1]Master!$A$2:$A$10000,$I$12,[1]Master!$F$2:$F$10000,"&lt;="&amp;$C358)</f>
        <v>8832974.9456662349</v>
      </c>
      <c r="J358" s="15">
        <f t="shared" ref="J358" si="1681">K358*L358</f>
        <v>0</v>
      </c>
      <c r="K358" s="43">
        <v>0</v>
      </c>
      <c r="L358" s="40">
        <v>0</v>
      </c>
      <c r="M358" s="15">
        <f t="shared" ref="M358" si="1682">N358*O358</f>
        <v>0</v>
      </c>
      <c r="N358" s="32">
        <v>0</v>
      </c>
      <c r="O358" s="40">
        <v>0</v>
      </c>
      <c r="P358" s="15">
        <f t="shared" si="1677"/>
        <v>32055.788399190402</v>
      </c>
      <c r="Q358" s="32">
        <v>4.2040205999999998</v>
      </c>
      <c r="R358" s="40">
        <v>7625.0312377609198</v>
      </c>
      <c r="S358" s="15">
        <f t="shared" ref="S358:S360" si="1683">(((1+1.35%)^(1/252))-1)*D357+SUM(S357)</f>
        <v>11256.693238710177</v>
      </c>
      <c r="T358" s="15">
        <f>IF((NETWORKDAYS(DATE(YEAR(C358),MONTH(C358),1),C358,Feriados!$A$2:$A$842))&gt;=5,0,IF(NETWORKDAYS(DATE(YEAR(C358),MONTH(C358),1),C358,Feriados!$A$2:$A$842)=1,S357,T357))</f>
        <v>0</v>
      </c>
      <c r="U358" s="26">
        <v>0</v>
      </c>
      <c r="V358" s="26">
        <v>0</v>
      </c>
      <c r="W358" s="15">
        <f t="shared" si="1679"/>
        <v>10497604.760943066</v>
      </c>
      <c r="X358" s="50">
        <f>'Fluxo de Caixa_'!AD364</f>
        <v>0</v>
      </c>
      <c r="AB358" s="26">
        <v>3141.3323</v>
      </c>
      <c r="AC358" s="26">
        <v>0</v>
      </c>
      <c r="AD358">
        <f>SUMIFS([1]Master!$J$2:$J$100,[1]Master!$A$2:$A$100,"="&amp;$I$12,[1]Master!$E$2:$E$100,"="&amp;C358,[1]Master!$J$2:$J$100,"&gt;"&amp;0)</f>
        <v>0</v>
      </c>
      <c r="AE358">
        <f ca="1">-SUMIF('[1]Fluxo de Movimentações'!$A$5:$F$10001,"="&amp;$C358,'[1]Fluxo de Movimentações'!$H$5:$H$10001)</f>
        <v>0</v>
      </c>
      <c r="AF358" s="26">
        <v>0</v>
      </c>
      <c r="AG358" s="26">
        <v>0</v>
      </c>
      <c r="AH358" s="26">
        <v>0</v>
      </c>
      <c r="AI358" s="26">
        <v>0</v>
      </c>
      <c r="AJ358" s="26">
        <v>0</v>
      </c>
      <c r="AK358" s="68">
        <v>4.6909780999999997</v>
      </c>
      <c r="AL358" s="15">
        <f>-SUMIFS([1]Master!$J$1:$J$200,[1]Master!$A$1:$A$200,"="&amp;$I$12,[1]Master!$G$1:$G$200,"&gt;"&amp;C358,[1]Master!$E$1:$E$200,"&lt;="&amp;C358)</f>
        <v>0</v>
      </c>
      <c r="AM358" s="26">
        <v>0</v>
      </c>
      <c r="AN358" s="26">
        <v>0</v>
      </c>
    </row>
    <row r="359" spans="3:40">
      <c r="C359" s="1">
        <f>WORKDAY(C358,1,Feriados!A166:A1006)</f>
        <v>45383</v>
      </c>
      <c r="D359" s="39">
        <v>10353544.670299999</v>
      </c>
      <c r="E359" s="32">
        <v>4.6301826000000004</v>
      </c>
      <c r="F359" s="88">
        <f>SUMIF([1]HSF!$H$2:$H$30,"="&amp;"APLICAÇÃO",[1]HSF!$K$2:$K$30)</f>
        <v>2283952.1146078166</v>
      </c>
      <c r="G359" s="15">
        <f t="shared" ref="G359:G361" si="1684">H359*I359</f>
        <v>10330191.581178993</v>
      </c>
      <c r="H359" s="32">
        <v>1.1695031</v>
      </c>
      <c r="I359" s="15">
        <f>SUMIFS([1]Master!$K$2:$K$10000,[1]Master!$A$2:$A$10000,$I$12,[1]Master!$F$2:$F$10000,"&lt;="&amp;$C359)</f>
        <v>8832974.9456662349</v>
      </c>
      <c r="J359" s="15">
        <f t="shared" ref="J359" si="1685">K359*L359</f>
        <v>0</v>
      </c>
      <c r="K359" s="43">
        <v>0</v>
      </c>
      <c r="L359" s="40">
        <v>0</v>
      </c>
      <c r="M359" s="15">
        <f t="shared" ref="M359" si="1686">N359*O359</f>
        <v>0</v>
      </c>
      <c r="N359" s="32">
        <v>0</v>
      </c>
      <c r="O359" s="40">
        <v>0</v>
      </c>
      <c r="P359" s="15">
        <f t="shared" si="1677"/>
        <v>32068.523726363714</v>
      </c>
      <c r="Q359" s="32">
        <v>4.2056908000000002</v>
      </c>
      <c r="R359" s="40">
        <v>7625.0312377609198</v>
      </c>
      <c r="S359" s="76">
        <f>(((1+1.35%)^(1/252))-1)*D358</f>
        <v>558.19250937699246</v>
      </c>
      <c r="T359" s="15">
        <f>IF((NETWORKDAYS(DATE(YEAR(C359),MONTH(C359),1),C359,Feriados!$A$2:$A$842))&gt;=5,0,IF(NETWORKDAYS(DATE(YEAR(C359),MONTH(C359),1),C359,Feriados!$A$2:$A$842)=1,S358,T358))</f>
        <v>11256.693238710177</v>
      </c>
      <c r="U359" s="26">
        <v>0</v>
      </c>
      <c r="V359" s="26">
        <v>0</v>
      </c>
      <c r="W359" s="15">
        <f t="shared" si="1679"/>
        <v>10362260.104905358</v>
      </c>
      <c r="X359" s="50">
        <f>'Fluxo de Caixa_'!AD365</f>
        <v>0</v>
      </c>
      <c r="AB359" s="26">
        <v>3099.3703</v>
      </c>
      <c r="AC359" s="26">
        <v>0</v>
      </c>
      <c r="AD359">
        <f>SUMIFS([1]Master!$J$2:$J$100,[1]Master!$A$2:$A$100,"="&amp;$I$12,[1]Master!$E$2:$E$100,"="&amp;C359,[1]Master!$J$2:$J$100,"&gt;"&amp;0)</f>
        <v>0</v>
      </c>
      <c r="AE359">
        <f ca="1">-SUMIF('[1]Fluxo de Movimentações'!$A$5:$F$10001,"="&amp;$C359,'[1]Fluxo de Movimentações'!$H$5:$H$10001)</f>
        <v>0</v>
      </c>
      <c r="AF359" s="26">
        <v>0</v>
      </c>
      <c r="AG359" s="26">
        <v>0</v>
      </c>
      <c r="AH359" s="26">
        <v>0</v>
      </c>
      <c r="AI359" s="26">
        <v>0</v>
      </c>
      <c r="AJ359" s="26">
        <v>0</v>
      </c>
      <c r="AK359" s="68">
        <v>4.6301826000000004</v>
      </c>
      <c r="AL359" s="15">
        <f>-SUMIFS([1]Master!$J$1:$J$200,[1]Master!$A$1:$A$200,"="&amp;$I$12,[1]Master!$G$1:$G$200,"&gt;"&amp;C359,[1]Master!$E$1:$E$200,"&lt;="&amp;C359)</f>
        <v>0</v>
      </c>
      <c r="AM359" s="26">
        <v>0</v>
      </c>
      <c r="AN359" s="26">
        <v>0</v>
      </c>
    </row>
    <row r="360" spans="3:40">
      <c r="C360" s="1">
        <f>WORKDAY(C359,1,Feriados!A167:A1007)</f>
        <v>45384</v>
      </c>
      <c r="D360" s="39">
        <v>10378850.328299999</v>
      </c>
      <c r="E360" s="32">
        <v>4.6414995000000001</v>
      </c>
      <c r="F360" s="88">
        <f>SUMIF([1]HSF!$H$2:$H$30,"="&amp;"APLICAÇÃO",[1]HSF!$K$2:$K$30)</f>
        <v>2283952.1146078166</v>
      </c>
      <c r="G360" s="15">
        <f t="shared" si="1684"/>
        <v>10356077.497554762</v>
      </c>
      <c r="H360" s="32">
        <v>1.1724337</v>
      </c>
      <c r="I360" s="15">
        <f>SUMIFS([1]Master!$K$2:$K$10000,[1]Master!$A$2:$A$10000,$I$12,[1]Master!$F$2:$F$10000,"&lt;="&amp;$C360)</f>
        <v>8832974.9456662349</v>
      </c>
      <c r="J360" s="15">
        <f t="shared" ref="J360" si="1687">K360*L360</f>
        <v>0</v>
      </c>
      <c r="K360" s="43">
        <v>0</v>
      </c>
      <c r="L360" s="40">
        <v>0</v>
      </c>
      <c r="M360" s="15">
        <f t="shared" ref="M360" si="1688">N360*O360</f>
        <v>0</v>
      </c>
      <c r="N360" s="32">
        <v>0</v>
      </c>
      <c r="O360" s="40">
        <v>0</v>
      </c>
      <c r="P360" s="15">
        <f t="shared" si="1677"/>
        <v>32081.172890684033</v>
      </c>
      <c r="Q360" s="32">
        <v>4.2073497</v>
      </c>
      <c r="R360" s="40">
        <v>7625.0312377609198</v>
      </c>
      <c r="S360" s="15">
        <f t="shared" si="1683"/>
        <v>1109.1507891115311</v>
      </c>
      <c r="T360" s="15">
        <f>IF((NETWORKDAYS(DATE(YEAR(C360),MONTH(C360),1),C360,Feriados!$A$2:$A$842))&gt;=5,0,IF(NETWORKDAYS(DATE(YEAR(C360),MONTH(C360),1),C360,Feriados!$A$2:$A$842)=1,S359,T359))</f>
        <v>11256.693238710177</v>
      </c>
      <c r="U360" s="26">
        <v>0</v>
      </c>
      <c r="V360" s="26">
        <v>0</v>
      </c>
      <c r="W360" s="15">
        <f t="shared" si="1679"/>
        <v>10388158.670445446</v>
      </c>
      <c r="X360" s="50">
        <f>'Fluxo de Caixa_'!AD366</f>
        <v>0</v>
      </c>
      <c r="AB360" s="26">
        <v>3057.4083000000001</v>
      </c>
      <c r="AC360" s="26">
        <v>0</v>
      </c>
      <c r="AD360">
        <f>SUMIFS([1]Master!$J$2:$J$100,[1]Master!$A$2:$A$100,"="&amp;$I$12,[1]Master!$E$2:$E$100,"="&amp;C360,[1]Master!$J$2:$J$100,"&gt;"&amp;0)</f>
        <v>0</v>
      </c>
      <c r="AE360">
        <f ca="1">-SUMIF('[1]Fluxo de Movimentações'!$A$5:$F$10001,"="&amp;$C360,'[1]Fluxo de Movimentações'!$H$5:$H$10001)</f>
        <v>0</v>
      </c>
      <c r="AF360" s="26">
        <v>0</v>
      </c>
      <c r="AG360" s="26">
        <v>0</v>
      </c>
      <c r="AH360" s="26">
        <v>0</v>
      </c>
      <c r="AI360" s="26">
        <v>0</v>
      </c>
      <c r="AJ360" s="26">
        <v>0</v>
      </c>
      <c r="AK360" s="68">
        <v>4.6414995000000001</v>
      </c>
      <c r="AL360" s="15">
        <f>-SUMIFS([1]Master!$J$1:$J$200,[1]Master!$A$1:$A$200,"="&amp;$I$12,[1]Master!$G$1:$G$200,"&gt;"&amp;C360,[1]Master!$E$1:$E$200,"&lt;="&amp;C360)</f>
        <v>0</v>
      </c>
      <c r="AM360" s="26">
        <v>0</v>
      </c>
      <c r="AN360" s="26">
        <v>0</v>
      </c>
    </row>
    <row r="361" spans="3:40">
      <c r="C361" s="1">
        <f>WORKDAY(C360,1,Feriados!A168:A1008)</f>
        <v>45385</v>
      </c>
      <c r="D361" s="39">
        <v>10352956.6863</v>
      </c>
      <c r="E361" s="32">
        <v>4.6299196</v>
      </c>
      <c r="F361" s="88">
        <f>SUMIF([1]HSF!$H$2:$H$30,"="&amp;"APLICAÇÃO",[1]HSF!$K$2:$K$30)</f>
        <v>2283952.1146078166</v>
      </c>
      <c r="G361" s="15">
        <f t="shared" si="1684"/>
        <v>10318765.724550461</v>
      </c>
      <c r="H361" s="32">
        <v>1.1695681</v>
      </c>
      <c r="I361" s="15">
        <f>SUMIFS([1]Master!$K$2:$K$10000,[1]Master!$A$2:$A$10000,$I$12,[1]Master!$F$2:$F$10000,"&lt;="&amp;$C361)</f>
        <v>8822714.7479060534</v>
      </c>
      <c r="J361" s="15">
        <f t="shared" ref="J361" si="1689">K361*L361</f>
        <v>0</v>
      </c>
      <c r="K361" s="43">
        <v>0</v>
      </c>
      <c r="L361" s="40">
        <v>0</v>
      </c>
      <c r="M361" s="15">
        <f t="shared" ref="M361" si="1690">N361*O361</f>
        <v>0</v>
      </c>
      <c r="N361" s="32">
        <v>0</v>
      </c>
      <c r="O361" s="40">
        <v>0</v>
      </c>
      <c r="P361" s="15">
        <f t="shared" ref="P361:P383" si="1691">R361*Q361</f>
        <v>32093.567378961015</v>
      </c>
      <c r="Q361" s="32">
        <v>4.2089752000000002</v>
      </c>
      <c r="R361" s="40">
        <v>7625.0312377609198</v>
      </c>
      <c r="S361" s="15">
        <f t="shared" ref="S361" si="1692">(((1+1.35%)^(1/252))-1)*D360+SUM(S360)</f>
        <v>1661.4556957495324</v>
      </c>
      <c r="T361" s="15">
        <f>IF((NETWORKDAYS(DATE(YEAR(C361),MONTH(C361),1),C361,Feriados!$A$2:$A$842))&gt;=5,0,IF(NETWORKDAYS(DATE(YEAR(C361),MONTH(C361),1),C361,Feriados!$A$2:$A$842)=1,S360,T360))</f>
        <v>11256.693238710177</v>
      </c>
      <c r="U361" s="26">
        <v>0</v>
      </c>
      <c r="V361" s="26">
        <v>0</v>
      </c>
      <c r="W361" s="15">
        <f t="shared" si="1679"/>
        <v>10350859.291929422</v>
      </c>
      <c r="X361" s="50">
        <f>'Fluxo de Caixa_'!AD367</f>
        <v>0</v>
      </c>
      <c r="AB361" s="26">
        <v>3015.4463000000001</v>
      </c>
      <c r="AC361" s="26">
        <v>0</v>
      </c>
      <c r="AD361">
        <f>SUMIFS([1]Master!$J$2:$J$100,[1]Master!$A$2:$A$100,"="&amp;$I$12,[1]Master!$E$2:$E$100,"="&amp;C361,[1]Master!$J$2:$J$100,"&gt;"&amp;0)</f>
        <v>0</v>
      </c>
      <c r="AE361">
        <f ca="1">-SUMIF('[1]Fluxo de Movimentações'!$A$5:$F$10001,"="&amp;$C361,'[1]Fluxo de Movimentações'!$H$5:$H$10001)</f>
        <v>0</v>
      </c>
      <c r="AF361" s="26">
        <v>0</v>
      </c>
      <c r="AG361" s="26">
        <v>0</v>
      </c>
      <c r="AH361" s="26">
        <v>0</v>
      </c>
      <c r="AI361" s="26">
        <v>0</v>
      </c>
      <c r="AJ361" s="26">
        <v>0</v>
      </c>
      <c r="AK361" s="68">
        <v>4.6414995000000001</v>
      </c>
      <c r="AL361" s="15">
        <f>-SUMIFS([1]Master!$J$1:$J$200,[1]Master!$A$1:$A$200,"="&amp;$I$12,[1]Master!$G$1:$G$200,"&gt;"&amp;C361,[1]Master!$E$1:$E$200,"&lt;="&amp;C361)</f>
        <v>12000</v>
      </c>
      <c r="AM361" s="26">
        <v>0</v>
      </c>
      <c r="AN361" s="26">
        <v>0</v>
      </c>
    </row>
    <row r="362" spans="3:40">
      <c r="C362" s="1">
        <f>WORKDAY(C361,1,Feriados!A169:A1009)</f>
        <v>45386</v>
      </c>
      <c r="D362" s="39">
        <v>10387570.284299999</v>
      </c>
      <c r="E362" s="32">
        <v>4.6453990999999997</v>
      </c>
      <c r="F362" s="88">
        <f>SUMIF([1]HSF!$H$2:$H$30,"="&amp;"APLICAÇÃO",[1]HSF!$K$2:$K$30)</f>
        <v>2283952.1146078166</v>
      </c>
      <c r="G362" s="15">
        <f t="shared" ref="G362" si="1693">H362*I362</f>
        <v>10353959.53367986</v>
      </c>
      <c r="H362" s="32">
        <v>1.1735571</v>
      </c>
      <c r="I362" s="15">
        <f>SUMIFS([1]Master!$K$2:$K$10000,[1]Master!$A$2:$A$10000,$I$12,[1]Master!$F$2:$F$10000,"&lt;="&amp;$C362)</f>
        <v>8822714.7479060534</v>
      </c>
      <c r="J362" s="15">
        <f t="shared" ref="J362" si="1694">K362*L362</f>
        <v>0</v>
      </c>
      <c r="K362" s="43">
        <v>0</v>
      </c>
      <c r="L362" s="40">
        <v>0</v>
      </c>
      <c r="M362" s="15">
        <f t="shared" ref="M362" si="1695">N362*O362</f>
        <v>0</v>
      </c>
      <c r="N362" s="32">
        <v>0</v>
      </c>
      <c r="O362" s="40">
        <v>0</v>
      </c>
      <c r="P362" s="15">
        <f t="shared" si="1691"/>
        <v>32106.236368362555</v>
      </c>
      <c r="Q362" s="32">
        <v>4.2106367000000002</v>
      </c>
      <c r="R362" s="40">
        <v>7625.0312377609198</v>
      </c>
      <c r="S362" s="15">
        <f t="shared" ref="S362" si="1696">(((1+1.35%)^(1/252))-1)*D361+SUM(S361)</f>
        <v>2212.3826862335322</v>
      </c>
      <c r="T362" s="15">
        <f>IF((NETWORKDAYS(DATE(YEAR(C362),MONTH(C362),1),C362,Feriados!$A$2:$A$842))&gt;=5,0,IF(NETWORKDAYS(DATE(YEAR(C362),MONTH(C362),1),C362,Feriados!$A$2:$A$842)=1,S361,T361))</f>
        <v>11256.693238710177</v>
      </c>
      <c r="U362" s="26">
        <v>0</v>
      </c>
      <c r="V362" s="26">
        <v>0</v>
      </c>
      <c r="W362" s="15">
        <f t="shared" si="1679"/>
        <v>10386065.770048222</v>
      </c>
      <c r="X362" s="50">
        <f>'Fluxo de Caixa_'!AD368</f>
        <v>0</v>
      </c>
      <c r="AB362" s="26">
        <v>2973.4843000000001</v>
      </c>
      <c r="AC362" s="26">
        <v>0</v>
      </c>
      <c r="AD362">
        <f>SUMIFS([1]Master!$J$2:$J$100,[1]Master!$A$2:$A$100,"="&amp;$I$12,[1]Master!$E$2:$E$100,"="&amp;C362,[1]Master!$J$2:$J$100,"&gt;"&amp;0)</f>
        <v>0</v>
      </c>
      <c r="AE362">
        <f ca="1">-SUMIF('[1]Fluxo de Movimentações'!$A$5:$F$10001,"="&amp;$C362,'[1]Fluxo de Movimentações'!$H$5:$H$10001)</f>
        <v>0</v>
      </c>
      <c r="AF362" s="26">
        <v>0</v>
      </c>
      <c r="AG362" s="26">
        <v>0</v>
      </c>
      <c r="AH362" s="26">
        <v>0</v>
      </c>
      <c r="AI362" s="26">
        <v>0</v>
      </c>
      <c r="AJ362" s="26">
        <v>0</v>
      </c>
      <c r="AK362" s="68">
        <v>4.6299196</v>
      </c>
      <c r="AL362" s="15">
        <f>-SUMIFS([1]Master!$J$1:$J$200,[1]Master!$A$1:$A$200,"="&amp;$I$12,[1]Master!$G$1:$G$200,"&gt;"&amp;C362,[1]Master!$E$1:$E$200,"&lt;="&amp;C362)</f>
        <v>12000</v>
      </c>
      <c r="AM362" s="26">
        <v>0</v>
      </c>
      <c r="AN362" s="26">
        <v>0</v>
      </c>
    </row>
    <row r="363" spans="3:40">
      <c r="C363" s="1">
        <f>WORKDAY(C362,1,Feriados!A170:A1010)</f>
        <v>45387</v>
      </c>
      <c r="D363" s="39">
        <v>10356427.1623</v>
      </c>
      <c r="E363" s="32">
        <v>4.6314716999999996</v>
      </c>
      <c r="F363" s="88">
        <f>SUMIF([1]HSF!$H$2:$H$30,"="&amp;"APLICAÇÃO",[1]HSF!$K$2:$K$30)</f>
        <v>2283952.1146078166</v>
      </c>
      <c r="G363" s="15">
        <f t="shared" ref="G363" si="1697">H363*I363</f>
        <v>10323398.532064587</v>
      </c>
      <c r="H363" s="32">
        <v>1.1700931999999999</v>
      </c>
      <c r="I363" s="15">
        <f>SUMIFS([1]Master!$K$2:$K$10000,[1]Master!$A$2:$A$10000,$I$12,[1]Master!$F$2:$F$10000,"&lt;="&amp;$C363)</f>
        <v>8822714.7479060534</v>
      </c>
      <c r="J363" s="15">
        <f t="shared" ref="J363" si="1698">K363*L363</f>
        <v>0</v>
      </c>
      <c r="K363" s="43">
        <v>0</v>
      </c>
      <c r="L363" s="40">
        <v>0</v>
      </c>
      <c r="M363" s="15">
        <f t="shared" ref="M363" si="1699">N363*O363</f>
        <v>0</v>
      </c>
      <c r="N363" s="32">
        <v>0</v>
      </c>
      <c r="O363" s="40">
        <v>0</v>
      </c>
      <c r="P363" s="15">
        <f t="shared" si="1691"/>
        <v>32862.232832507958</v>
      </c>
      <c r="Q363" s="32">
        <v>4.2122900000000003</v>
      </c>
      <c r="R363" s="40">
        <v>7801.5124391976697</v>
      </c>
      <c r="S363" s="15">
        <f t="shared" ref="S363" si="1700">(((1+1.35%)^(1/252))-1)*D362+SUM(S362)</f>
        <v>2765.151620613733</v>
      </c>
      <c r="T363" s="15">
        <f>IF((NETWORKDAYS(DATE(YEAR(C363),MONTH(C363),1),C363,Feriados!$A$2:$A$842))&gt;=5,0,IF(NETWORKDAYS(DATE(YEAR(C363),MONTH(C363),1),C363,Feriados!$A$2:$A$842)=1,S362,T362))</f>
        <v>0</v>
      </c>
      <c r="U363" s="26">
        <v>0</v>
      </c>
      <c r="V363" s="26">
        <v>0</v>
      </c>
      <c r="W363" s="15">
        <f t="shared" ref="W363" si="1701">SUM(G363+J363+M363+P363)</f>
        <v>10356260.764897095</v>
      </c>
      <c r="X363" s="50">
        <f>'Fluxo de Caixa_'!AD369</f>
        <v>-7.73070496506989E-12</v>
      </c>
      <c r="AB363" s="26">
        <v>2931.5223000000001</v>
      </c>
      <c r="AC363" s="26">
        <v>0</v>
      </c>
      <c r="AD363">
        <f>SUMIFS([1]Master!$J$2:$J$100,[1]Master!$A$2:$A$100,"="&amp;$I$12,[1]Master!$E$2:$E$100,"="&amp;C363,[1]Master!$J$2:$J$100,"&gt;"&amp;0)</f>
        <v>0</v>
      </c>
      <c r="AE363">
        <f ca="1">-SUMIF('[1]Fluxo de Movimentações'!$A$5:$F$10001,"="&amp;$C363,'[1]Fluxo de Movimentações'!$H$5:$H$10001)</f>
        <v>0</v>
      </c>
      <c r="AF363" s="26">
        <v>0</v>
      </c>
      <c r="AG363" s="26">
        <v>0</v>
      </c>
      <c r="AH363" s="26">
        <v>0</v>
      </c>
      <c r="AI363" s="26">
        <v>0</v>
      </c>
      <c r="AJ363" s="26">
        <v>0</v>
      </c>
      <c r="AK363" s="68">
        <v>4.6314716999999996</v>
      </c>
      <c r="AL363" s="15">
        <f>-SUMIFS([1]Master!$J$1:$J$200,[1]Master!$A$1:$A$200,"="&amp;$I$12,[1]Master!$G$1:$G$200,"&gt;"&amp;C363,[1]Master!$E$1:$E$200,"&lt;="&amp;C363)</f>
        <v>0</v>
      </c>
      <c r="AM363" s="26">
        <v>0</v>
      </c>
      <c r="AN363" s="26">
        <v>0</v>
      </c>
    </row>
    <row r="364" spans="3:40">
      <c r="C364" s="1">
        <f>WORKDAY(C363,1,Feriados!A171:A1011)</f>
        <v>45390</v>
      </c>
      <c r="D364" s="39">
        <v>10483135.770300001</v>
      </c>
      <c r="E364" s="32">
        <v>4.6881367000000003</v>
      </c>
      <c r="F364" s="88">
        <f>SUMIF([1]HSF!$H$2:$H$30,"="&amp;"APLICAÇÃO",[1]HSF!$K$2:$K$30)</f>
        <v>2283952.1146078166</v>
      </c>
      <c r="G364" s="15">
        <f t="shared" ref="G364:G365" si="1702">H364*I364</f>
        <v>10450687.366818527</v>
      </c>
      <c r="H364" s="32">
        <v>1.1845205999999999</v>
      </c>
      <c r="I364" s="15">
        <f>SUMIFS([1]Master!$K$2:$K$10000,[1]Master!$A$2:$A$10000,$I$12,[1]Master!$F$2:$F$10000,"&lt;="&amp;$C364)</f>
        <v>8822714.7479060534</v>
      </c>
      <c r="J364" s="15">
        <f t="shared" ref="J364" si="1703">K364*L364</f>
        <v>0</v>
      </c>
      <c r="K364" s="43">
        <v>0</v>
      </c>
      <c r="L364" s="40">
        <v>0</v>
      </c>
      <c r="M364" s="15">
        <f t="shared" ref="M364:M365" si="1704">N364*O364</f>
        <v>0</v>
      </c>
      <c r="N364" s="32">
        <v>0</v>
      </c>
      <c r="O364" s="40">
        <v>0</v>
      </c>
      <c r="P364" s="15">
        <f t="shared" si="1691"/>
        <v>32875.074902134111</v>
      </c>
      <c r="Q364" s="32">
        <v>4.2139360999999997</v>
      </c>
      <c r="R364" s="40">
        <v>7801.5124391976697</v>
      </c>
      <c r="S364" s="15">
        <f t="shared" ref="S364" si="1705">(((1+1.35%)^(1/252))-1)*D363+SUM(S363)</f>
        <v>3316.2632906010053</v>
      </c>
      <c r="T364" s="15">
        <f>IF((NETWORKDAYS(DATE(YEAR(C364),MONTH(C364),1),C364,Feriados!$A$2:$A$842))&gt;=5,0,IF(NETWORKDAYS(DATE(YEAR(C364),MONTH(C364),1),C364,Feriados!$A$2:$A$842)=1,S363,T363))</f>
        <v>0</v>
      </c>
      <c r="U364" s="26">
        <v>0</v>
      </c>
      <c r="V364" s="26">
        <v>0</v>
      </c>
      <c r="W364" s="15">
        <f t="shared" ref="W364" si="1706">SUM(G364+J364+M364+P364)</f>
        <v>10483562.441720661</v>
      </c>
      <c r="X364" s="50">
        <f>'Fluxo de Caixa_'!AD370</f>
        <v>0</v>
      </c>
      <c r="AB364" s="26">
        <v>2889.5603000000001</v>
      </c>
      <c r="AC364" s="26">
        <v>0</v>
      </c>
      <c r="AD364">
        <f>SUMIFS([1]Master!$J$2:$J$100,[1]Master!$A$2:$A$100,"="&amp;$I$12,[1]Master!$E$2:$E$100,"="&amp;C364,[1]Master!$J$2:$J$100,"&gt;"&amp;0)</f>
        <v>0</v>
      </c>
      <c r="AE364">
        <f ca="1">-SUMIF('[1]Fluxo de Movimentações'!$A$5:$F$10001,"="&amp;$C364,'[1]Fluxo de Movimentações'!$H$5:$H$10001)</f>
        <v>0</v>
      </c>
      <c r="AF364" s="26">
        <v>0</v>
      </c>
      <c r="AG364" s="26">
        <v>0</v>
      </c>
      <c r="AH364" s="26">
        <v>0</v>
      </c>
      <c r="AI364" s="26">
        <v>0</v>
      </c>
      <c r="AJ364" s="26">
        <v>0</v>
      </c>
      <c r="AK364" s="68">
        <v>4.6881367000000003</v>
      </c>
      <c r="AL364" s="15">
        <f>-SUMIFS([1]Master!$J$1:$J$200,[1]Master!$A$1:$A$200,"="&amp;$I$12,[1]Master!$G$1:$G$200,"&gt;"&amp;C364,[1]Master!$E$1:$E$200,"&lt;="&amp;C364)</f>
        <v>0</v>
      </c>
      <c r="AM364" s="26">
        <v>0</v>
      </c>
      <c r="AN364" s="26">
        <v>0</v>
      </c>
    </row>
    <row r="365" spans="3:40">
      <c r="C365" s="1">
        <f>WORKDAY(C364,1,Feriados!A172:A1012)</f>
        <v>45391</v>
      </c>
      <c r="D365" s="39">
        <v>10607607.3583</v>
      </c>
      <c r="E365" s="32">
        <v>4.7438013000000003</v>
      </c>
      <c r="F365" s="88">
        <f>SUMIF([1]HSF!$H$2:$H$30,"="&amp;"APLICAÇÃO",[1]HSF!$K$2:$K$30)</f>
        <v>2283952.1146078166</v>
      </c>
      <c r="G365" s="15">
        <f t="shared" si="1702"/>
        <v>10575745.819284195</v>
      </c>
      <c r="H365" s="32">
        <v>1.1986952</v>
      </c>
      <c r="I365" s="15">
        <f>SUMIFS([1]Master!$K$2:$K$10000,[1]Master!$A$2:$A$10000,$I$12,[1]Master!$F$2:$F$10000,"&lt;="&amp;$C365)</f>
        <v>8822714.7479060534</v>
      </c>
      <c r="J365" s="15">
        <f t="shared" ref="J365" si="1707">K365*L365</f>
        <v>0</v>
      </c>
      <c r="K365" s="43">
        <v>0</v>
      </c>
      <c r="L365" s="40">
        <v>0</v>
      </c>
      <c r="M365" s="15">
        <f t="shared" si="1704"/>
        <v>0</v>
      </c>
      <c r="N365" s="32">
        <v>0</v>
      </c>
      <c r="O365" s="40">
        <v>0</v>
      </c>
      <c r="P365" s="15">
        <f t="shared" si="1691"/>
        <v>32888.019171573236</v>
      </c>
      <c r="Q365" s="32">
        <v>4.2155953000000004</v>
      </c>
      <c r="R365" s="40">
        <v>7801.5124391976697</v>
      </c>
      <c r="S365" s="15">
        <f t="shared" ref="S365" si="1708">(((1+1.35%)^(1/252))-1)*D364+SUM(S364)</f>
        <v>3874.117690630434</v>
      </c>
      <c r="T365" s="15">
        <f>IF((NETWORKDAYS(DATE(YEAR(C365),MONTH(C365),1),C365,Feriados!$A$2:$A$842))&gt;=5,0,IF(NETWORKDAYS(DATE(YEAR(C365),MONTH(C365),1),C365,Feriados!$A$2:$A$842)=1,S364,T364))</f>
        <v>0</v>
      </c>
      <c r="U365" s="26">
        <v>0</v>
      </c>
      <c r="V365" s="26">
        <v>0</v>
      </c>
      <c r="W365" s="15">
        <f t="shared" ref="W365" si="1709">SUM(G365+J365+M365+P365)</f>
        <v>10608633.838455768</v>
      </c>
      <c r="X365" s="50">
        <f>'Fluxo de Caixa_'!AD371</f>
        <v>0</v>
      </c>
      <c r="AB365" s="26">
        <v>2847.5983000000001</v>
      </c>
      <c r="AC365" s="26">
        <v>0</v>
      </c>
      <c r="AD365">
        <f>SUMIFS([1]Master!$J$2:$J$100,[1]Master!$A$2:$A$100,"="&amp;$I$12,[1]Master!$E$2:$E$100,"="&amp;C365,[1]Master!$J$2:$J$100,"&gt;"&amp;0)</f>
        <v>0</v>
      </c>
      <c r="AE365">
        <f ca="1">-SUMIF('[1]Fluxo de Movimentações'!$A$5:$F$10001,"="&amp;$C365,'[1]Fluxo de Movimentações'!$H$5:$H$10001)</f>
        <v>0</v>
      </c>
      <c r="AF365" s="26">
        <v>0</v>
      </c>
      <c r="AG365" s="26">
        <v>0</v>
      </c>
      <c r="AH365" s="26">
        <v>0</v>
      </c>
      <c r="AI365" s="26">
        <v>0</v>
      </c>
      <c r="AJ365" s="26">
        <v>0</v>
      </c>
      <c r="AK365" s="68">
        <v>4.7438013000000003</v>
      </c>
      <c r="AL365" s="15">
        <f>-SUMIFS([1]Master!$J$1:$J$200,[1]Master!$A$1:$A$200,"="&amp;$I$12,[1]Master!$G$1:$G$200,"&gt;"&amp;C365,[1]Master!$E$1:$E$200,"&lt;="&amp;C365)</f>
        <v>0</v>
      </c>
      <c r="AM365" s="26">
        <v>0</v>
      </c>
      <c r="AN365" s="26">
        <v>0</v>
      </c>
    </row>
    <row r="366" spans="3:40">
      <c r="C366" s="1">
        <f>WORKDAY(C365,1,Feriados!A173:A1013)</f>
        <v>45392</v>
      </c>
      <c r="D366" s="39">
        <v>10380677.7863</v>
      </c>
      <c r="E366" s="32">
        <v>4.6423167000000003</v>
      </c>
      <c r="F366" s="88">
        <f>SUMIF([1]HSF!$H$2:$H$30,"="&amp;"APLICAÇÃO",[1]HSF!$K$2:$K$30)</f>
        <v>2283952.1146078166</v>
      </c>
      <c r="G366" s="15">
        <f t="shared" ref="G366" si="1710">H366*I366</f>
        <v>10349409.659684364</v>
      </c>
      <c r="H366" s="32">
        <v>1.1730414</v>
      </c>
      <c r="I366" s="15">
        <f>SUMIFS([1]Master!$K$2:$K$10000,[1]Master!$A$2:$A$10000,$I$12,[1]Master!$F$2:$F$10000,"&lt;="&amp;$C366)</f>
        <v>8822714.7479060534</v>
      </c>
      <c r="J366" s="15">
        <f t="shared" ref="J366" si="1711">K366*L366</f>
        <v>0</v>
      </c>
      <c r="K366" s="43">
        <v>0</v>
      </c>
      <c r="L366" s="40">
        <v>0</v>
      </c>
      <c r="M366" s="15">
        <f t="shared" ref="M366" si="1712">N366*O366</f>
        <v>0</v>
      </c>
      <c r="N366" s="32">
        <v>0</v>
      </c>
      <c r="O366" s="40">
        <v>0</v>
      </c>
      <c r="P366" s="15">
        <f t="shared" si="1691"/>
        <v>32901.043796590471</v>
      </c>
      <c r="Q366" s="32">
        <v>4.2172647999999997</v>
      </c>
      <c r="R366" s="40">
        <v>7801.5124391976697</v>
      </c>
      <c r="S366" s="15">
        <f t="shared" ref="S366" si="1713">(((1+1.35%)^(1/252))-1)*D365+SUM(S365)</f>
        <v>4438.5957788926498</v>
      </c>
      <c r="T366" s="15">
        <f>IF((NETWORKDAYS(DATE(YEAR(C366),MONTH(C366),1),C366,Feriados!$A$2:$A$842))&gt;=5,0,IF(NETWORKDAYS(DATE(YEAR(C366),MONTH(C366),1),C366,Feriados!$A$2:$A$842)=1,S365,T365))</f>
        <v>0</v>
      </c>
      <c r="U366" s="26">
        <v>0</v>
      </c>
      <c r="V366" s="26">
        <v>0</v>
      </c>
      <c r="W366" s="15">
        <f t="shared" ref="W366" si="1714">SUM(G366+J366+M366+P366)</f>
        <v>10382310.703480953</v>
      </c>
      <c r="X366" s="50">
        <f>'Fluxo de Caixa_'!AD372</f>
        <v>0</v>
      </c>
      <c r="AB366" s="26">
        <v>2805.6363000000001</v>
      </c>
      <c r="AC366" s="26">
        <v>0</v>
      </c>
      <c r="AD366">
        <f>SUMIFS([1]Master!$J$2:$J$100,[1]Master!$A$2:$A$100,"="&amp;$I$12,[1]Master!$E$2:$E$100,"="&amp;C366,[1]Master!$J$2:$J$100,"&gt;"&amp;0)</f>
        <v>0</v>
      </c>
      <c r="AE366">
        <f ca="1">-SUMIF('[1]Fluxo de Movimentações'!$A$5:$F$10001,"="&amp;$C366,'[1]Fluxo de Movimentações'!$H$5:$H$10001)</f>
        <v>0</v>
      </c>
      <c r="AF366" s="26">
        <v>0</v>
      </c>
      <c r="AG366" s="26">
        <v>0</v>
      </c>
      <c r="AH366" s="26">
        <v>0</v>
      </c>
      <c r="AI366" s="26">
        <v>0</v>
      </c>
      <c r="AJ366" s="26">
        <v>0</v>
      </c>
      <c r="AK366" s="68">
        <v>4.6423167000000003</v>
      </c>
      <c r="AL366" s="15">
        <f>-SUMIFS([1]Master!$J$1:$J$200,[1]Master!$A$1:$A$200,"="&amp;$I$12,[1]Master!$G$1:$G$200,"&gt;"&amp;C366,[1]Master!$E$1:$E$200,"&lt;="&amp;C366)</f>
        <v>0</v>
      </c>
      <c r="AM366" s="26">
        <v>0</v>
      </c>
      <c r="AN366" s="26">
        <v>0</v>
      </c>
    </row>
    <row r="367" spans="3:40">
      <c r="C367" s="1">
        <f>WORKDAY(C366,1,Feriados!A174:A1014)</f>
        <v>45393</v>
      </c>
      <c r="D367" s="39">
        <v>10317285.7443</v>
      </c>
      <c r="E367" s="32">
        <v>4.6139672999999997</v>
      </c>
      <c r="F367" s="88">
        <f>SUMIF([1]HSF!$H$2:$H$30,"="&amp;"APLICAÇÃO",[1]HSF!$K$2:$K$30)</f>
        <v>2283952.1146078166</v>
      </c>
      <c r="G367" s="15">
        <f t="shared" ref="G367" si="1715">H367*I367</f>
        <v>10286598.988851072</v>
      </c>
      <c r="H367" s="32">
        <v>1.1659222</v>
      </c>
      <c r="I367" s="15">
        <f>SUMIFS([1]Master!$K$2:$K$10000,[1]Master!$A$2:$A$10000,$I$12,[1]Master!$F$2:$F$10000,"&lt;="&amp;$C367)</f>
        <v>8822714.7479060534</v>
      </c>
      <c r="J367" s="15">
        <f t="shared" ref="J367" si="1716">K367*L367</f>
        <v>0</v>
      </c>
      <c r="K367" s="43">
        <v>0</v>
      </c>
      <c r="L367" s="40">
        <v>0</v>
      </c>
      <c r="M367" s="15">
        <f t="shared" ref="M367" si="1717">N367*O367</f>
        <v>0</v>
      </c>
      <c r="N367" s="32">
        <v>0</v>
      </c>
      <c r="O367" s="40">
        <v>0</v>
      </c>
      <c r="P367" s="15">
        <f t="shared" si="1691"/>
        <v>32914.032534650498</v>
      </c>
      <c r="Q367" s="32">
        <v>4.2189297000000003</v>
      </c>
      <c r="R367" s="40">
        <v>7801.5124391976697</v>
      </c>
      <c r="S367" s="15">
        <f t="shared" ref="S367" si="1718">(((1+1.35%)^(1/252))-1)*D366+SUM(S366)</f>
        <v>4990.9979327197088</v>
      </c>
      <c r="T367" s="15">
        <f>IF((NETWORKDAYS(DATE(YEAR(C367),MONTH(C367),1),C367,Feriados!$A$2:$A$842))&gt;=5,0,IF(NETWORKDAYS(DATE(YEAR(C367),MONTH(C367),1),C367,Feriados!$A$2:$A$842)=1,S366,T366))</f>
        <v>0</v>
      </c>
      <c r="U367" s="26">
        <v>0</v>
      </c>
      <c r="V367" s="26">
        <v>0</v>
      </c>
      <c r="W367" s="15">
        <f t="shared" ref="W367" si="1719">SUM(G367+J367+M367+P367)</f>
        <v>10319513.021385722</v>
      </c>
      <c r="X367" s="50">
        <f>'Fluxo de Caixa_'!AD373</f>
        <v>0</v>
      </c>
      <c r="AB367" s="26">
        <v>2763.6743000000001</v>
      </c>
      <c r="AC367" s="26">
        <v>0</v>
      </c>
      <c r="AD367">
        <f>SUMIFS([1]Master!$J$2:$J$100,[1]Master!$A$2:$A$100,"="&amp;$I$12,[1]Master!$E$2:$E$100,"="&amp;C367,[1]Master!$J$2:$J$100,"&gt;"&amp;0)</f>
        <v>0</v>
      </c>
      <c r="AE367">
        <f ca="1">-SUMIF('[1]Fluxo de Movimentações'!$A$5:$F$10001,"="&amp;$C367,'[1]Fluxo de Movimentações'!$H$5:$H$10001)</f>
        <v>0</v>
      </c>
      <c r="AF367" s="26">
        <v>0</v>
      </c>
      <c r="AG367" s="26">
        <v>0</v>
      </c>
      <c r="AH367" s="26">
        <v>0</v>
      </c>
      <c r="AI367" s="26">
        <v>0</v>
      </c>
      <c r="AJ367" s="26">
        <v>0</v>
      </c>
      <c r="AK367" s="68">
        <v>4.6139672999999997</v>
      </c>
      <c r="AL367" s="15">
        <f>-SUMIFS([1]Master!$J$1:$J$200,[1]Master!$A$1:$A$200,"="&amp;$I$12,[1]Master!$G$1:$G$200,"&gt;"&amp;C367,[1]Master!$E$1:$E$200,"&lt;="&amp;C367)</f>
        <v>0</v>
      </c>
      <c r="AM367" s="26">
        <v>0</v>
      </c>
      <c r="AN367" s="26">
        <v>0</v>
      </c>
    </row>
    <row r="368" spans="3:40">
      <c r="C368" s="1">
        <f>WORKDAY(C367,1,Feriados!A175:A1015)</f>
        <v>45394</v>
      </c>
      <c r="D368" s="39">
        <v>10157674.952299999</v>
      </c>
      <c r="E368" s="32">
        <v>4.5425882</v>
      </c>
      <c r="F368" s="88">
        <f>SUMIF([1]HSF!$H$2:$H$30,"="&amp;"APLICAÇÃO",[1]HSF!$K$2:$K$30)</f>
        <v>2283952.1146078166</v>
      </c>
      <c r="G368" s="15">
        <f t="shared" ref="G368" si="1720">H368*I368</f>
        <v>10127566.026434166</v>
      </c>
      <c r="H368" s="32">
        <v>1.1478968000000001</v>
      </c>
      <c r="I368" s="15">
        <f>SUMIFS([1]Master!$K$2:$K$10000,[1]Master!$A$2:$A$10000,$I$12,[1]Master!$F$2:$F$10000,"&lt;="&amp;$C368)</f>
        <v>8822714.7479060534</v>
      </c>
      <c r="J368" s="15">
        <f t="shared" ref="J368" si="1721">K368*L368</f>
        <v>0</v>
      </c>
      <c r="K368" s="43">
        <v>0</v>
      </c>
      <c r="L368" s="40">
        <v>0</v>
      </c>
      <c r="M368" s="15">
        <f t="shared" ref="M368" si="1722">N368*O368</f>
        <v>0</v>
      </c>
      <c r="N368" s="32">
        <v>0</v>
      </c>
      <c r="O368" s="40">
        <v>0</v>
      </c>
      <c r="P368" s="15">
        <f t="shared" si="1691"/>
        <v>32927.18510447174</v>
      </c>
      <c r="Q368" s="32">
        <v>4.2206156000000004</v>
      </c>
      <c r="R368" s="40">
        <v>7801.5124391976697</v>
      </c>
      <c r="S368" s="15">
        <f t="shared" ref="S368" si="1723">(((1+1.35%)^(1/252))-1)*D367+SUM(S367)</f>
        <v>5540.0267133184307</v>
      </c>
      <c r="T368" s="15">
        <f>IF((NETWORKDAYS(DATE(YEAR(C368),MONTH(C368),1),C368,Feriados!$A$2:$A$842))&gt;=5,0,IF(NETWORKDAYS(DATE(YEAR(C368),MONTH(C368),1),C368,Feriados!$A$2:$A$842)=1,S367,T367))</f>
        <v>0</v>
      </c>
      <c r="U368" s="26">
        <v>0</v>
      </c>
      <c r="V368" s="26">
        <v>0</v>
      </c>
      <c r="W368" s="15">
        <f t="shared" ref="W368" si="1724">SUM(G368+J368+M368+P368)</f>
        <v>10160493.211538639</v>
      </c>
      <c r="X368" s="50">
        <f>'Fluxo de Caixa_'!AD374</f>
        <v>0</v>
      </c>
      <c r="AB368" s="26">
        <v>2721.7123000000001</v>
      </c>
      <c r="AC368" s="26">
        <v>0</v>
      </c>
      <c r="AD368">
        <f>SUMIFS([1]Master!$J$2:$J$100,[1]Master!$A$2:$A$100,"="&amp;$I$12,[1]Master!$E$2:$E$100,"="&amp;C368,[1]Master!$J$2:$J$100,"&gt;"&amp;0)</f>
        <v>0</v>
      </c>
      <c r="AE368">
        <f ca="1">-SUMIF('[1]Fluxo de Movimentações'!$A$5:$F$10001,"="&amp;$C368,'[1]Fluxo de Movimentações'!$H$5:$H$10001)</f>
        <v>0</v>
      </c>
      <c r="AF368" s="26">
        <v>0</v>
      </c>
      <c r="AG368" s="26">
        <v>0</v>
      </c>
      <c r="AH368" s="26">
        <v>0</v>
      </c>
      <c r="AI368" s="26">
        <v>0</v>
      </c>
      <c r="AJ368" s="26">
        <v>0</v>
      </c>
      <c r="AK368" s="68">
        <v>4.5425882</v>
      </c>
      <c r="AL368" s="15">
        <f>-SUMIFS([1]Master!$J$1:$J$200,[1]Master!$A$1:$A$200,"="&amp;$I$12,[1]Master!$G$1:$G$200,"&gt;"&amp;C368,[1]Master!$E$1:$E$200,"&lt;="&amp;C368)</f>
        <v>0</v>
      </c>
      <c r="AM368" s="26">
        <v>0</v>
      </c>
      <c r="AN368" s="26">
        <v>0</v>
      </c>
    </row>
    <row r="369" spans="3:40">
      <c r="C369" s="1">
        <f>WORKDAY(C368,1,Feriados!A176:A1016)</f>
        <v>45397</v>
      </c>
      <c r="D369" s="39">
        <v>9967466.0702999998</v>
      </c>
      <c r="E369" s="32">
        <v>4.4575253999999997</v>
      </c>
      <c r="F369" s="88">
        <f>SUMIF([1]HSF!$H$2:$H$30,"="&amp;"APLICAÇÃO",[1]HSF!$K$2:$K$30)</f>
        <v>2283952.1146078166</v>
      </c>
      <c r="G369" s="15">
        <f t="shared" ref="G369:G371" si="1725">H369*I369</f>
        <v>9937926.1842852999</v>
      </c>
      <c r="H369" s="32">
        <v>1.1264023000000001</v>
      </c>
      <c r="I369" s="15">
        <f>SUMIFS([1]Master!$K$2:$K$10000,[1]Master!$A$2:$A$10000,$I$12,[1]Master!$F$2:$F$10000,"&lt;="&amp;$C369)</f>
        <v>8822714.7479060534</v>
      </c>
      <c r="J369" s="15">
        <f t="shared" ref="J369" si="1726">K369*L369</f>
        <v>0</v>
      </c>
      <c r="K369" s="43">
        <v>0</v>
      </c>
      <c r="L369" s="40">
        <v>0</v>
      </c>
      <c r="M369" s="15">
        <f t="shared" ref="M369:M371" si="1727">N369*O369</f>
        <v>0</v>
      </c>
      <c r="N369" s="32">
        <v>0</v>
      </c>
      <c r="O369" s="40">
        <v>0</v>
      </c>
      <c r="P369" s="15">
        <f t="shared" si="1691"/>
        <v>32940.631011160694</v>
      </c>
      <c r="Q369" s="32">
        <v>4.2223391000000001</v>
      </c>
      <c r="R369" s="40">
        <v>7801.5124391976697</v>
      </c>
      <c r="S369" s="15">
        <f t="shared" ref="S369" si="1728">(((1+1.35%)^(1/252))-1)*D368+SUM(S368)</f>
        <v>6080.5618919491571</v>
      </c>
      <c r="T369" s="15">
        <f>IF((NETWORKDAYS(DATE(YEAR(C369),MONTH(C369),1),C369,Feriados!$A$2:$A$842))&gt;=5,0,IF(NETWORKDAYS(DATE(YEAR(C369),MONTH(C369),1),C369,Feriados!$A$2:$A$842)=1,S368,T368))</f>
        <v>0</v>
      </c>
      <c r="U369" s="26">
        <v>0</v>
      </c>
      <c r="V369" s="26">
        <v>0</v>
      </c>
      <c r="W369" s="15">
        <f t="shared" ref="W369" si="1729">SUM(G369+J369+M369+P369)</f>
        <v>9970866.8152964599</v>
      </c>
      <c r="X369" s="50">
        <f>'Fluxo de Caixa_'!AD375</f>
        <v>0</v>
      </c>
      <c r="AB369" s="26">
        <v>2679.7503000000002</v>
      </c>
      <c r="AC369" s="26">
        <v>0</v>
      </c>
      <c r="AD369">
        <f>SUMIFS([1]Master!$J$2:$J$100,[1]Master!$A$2:$A$100,"="&amp;$I$12,[1]Master!$E$2:$E$100,"="&amp;C369,[1]Master!$J$2:$J$100,"&gt;"&amp;0)</f>
        <v>0</v>
      </c>
      <c r="AE369">
        <f ca="1">-SUMIF('[1]Fluxo de Movimentações'!$A$5:$F$10001,"="&amp;$C369,'[1]Fluxo de Movimentações'!$H$5:$H$10001)</f>
        <v>0</v>
      </c>
      <c r="AF369" s="26">
        <v>0</v>
      </c>
      <c r="AG369" s="26">
        <v>0</v>
      </c>
      <c r="AH369" s="26">
        <v>0</v>
      </c>
      <c r="AI369" s="26">
        <v>0</v>
      </c>
      <c r="AJ369" s="26">
        <v>0</v>
      </c>
      <c r="AK369" s="68">
        <v>4.4575253999999997</v>
      </c>
      <c r="AL369" s="15">
        <f>-SUMIFS([1]Master!$J$1:$J$200,[1]Master!$A$1:$A$200,"="&amp;$I$12,[1]Master!$G$1:$G$200,"&gt;"&amp;C369,[1]Master!$E$1:$E$200,"&lt;="&amp;C369)</f>
        <v>0</v>
      </c>
      <c r="AM369" s="26">
        <v>0</v>
      </c>
      <c r="AN369" s="26">
        <v>0</v>
      </c>
    </row>
    <row r="370" spans="3:40">
      <c r="C370" s="1">
        <f>WORKDAY(C369,1,Feriados!A177:A1017)</f>
        <v>45398</v>
      </c>
      <c r="D370" s="39">
        <v>9808343.3783</v>
      </c>
      <c r="E370" s="32">
        <v>4.3863645</v>
      </c>
      <c r="F370" s="88">
        <f>SUMIF([1]HSF!$H$2:$H$30,"="&amp;"APLICAÇÃO",[1]HSF!$K$2:$K$30)</f>
        <v>2283952.1146078166</v>
      </c>
      <c r="G370" s="15">
        <f t="shared" si="1725"/>
        <v>9779362.5902929828</v>
      </c>
      <c r="H370" s="32">
        <v>1.1084301000000001</v>
      </c>
      <c r="I370" s="15">
        <f>SUMIFS([1]Master!$K$2:$K$10000,[1]Master!$A$2:$A$10000,$I$12,[1]Master!$F$2:$F$10000,"&lt;="&amp;$C370)</f>
        <v>8822714.7479060534</v>
      </c>
      <c r="J370" s="15">
        <f t="shared" ref="J370" si="1730">K370*L370</f>
        <v>0</v>
      </c>
      <c r="K370" s="43">
        <v>0</v>
      </c>
      <c r="L370" s="40">
        <v>0</v>
      </c>
      <c r="M370" s="15">
        <f t="shared" si="1727"/>
        <v>0</v>
      </c>
      <c r="N370" s="32">
        <v>0</v>
      </c>
      <c r="O370" s="40">
        <v>0</v>
      </c>
      <c r="P370" s="15">
        <f t="shared" si="1691"/>
        <v>32953.91074563469</v>
      </c>
      <c r="Q370" s="32">
        <v>4.2240412999999997</v>
      </c>
      <c r="R370" s="40">
        <v>7801.5124391976697</v>
      </c>
      <c r="S370" s="15">
        <f t="shared" ref="S370" si="1731">(((1+1.35%)^(1/252))-1)*D369+SUM(S369)</f>
        <v>6610.9752078020501</v>
      </c>
      <c r="T370" s="15">
        <f>IF((NETWORKDAYS(DATE(YEAR(C370),MONTH(C370),1),C370,Feriados!$A$2:$A$842))&gt;=5,0,IF(NETWORKDAYS(DATE(YEAR(C370),MONTH(C370),1),C370,Feriados!$A$2:$A$842)=1,S369,T369))</f>
        <v>0</v>
      </c>
      <c r="U370" s="26">
        <v>0</v>
      </c>
      <c r="V370" s="26">
        <v>0</v>
      </c>
      <c r="W370" s="15">
        <f t="shared" ref="W370" si="1732">SUM(G370+J370+M370+P370)</f>
        <v>9812316.5010386165</v>
      </c>
      <c r="X370" s="50">
        <f>'Fluxo de Caixa_'!AD376</f>
        <v>0</v>
      </c>
      <c r="AB370" s="26">
        <v>2637.7883000000002</v>
      </c>
      <c r="AC370" s="26">
        <v>0</v>
      </c>
      <c r="AD370">
        <f>SUMIFS([1]Master!$J$2:$J$100,[1]Master!$A$2:$A$100,"="&amp;$I$12,[1]Master!$E$2:$E$100,"="&amp;C370,[1]Master!$J$2:$J$100,"&gt;"&amp;0)</f>
        <v>0</v>
      </c>
      <c r="AE370">
        <f ca="1">-SUMIF('[1]Fluxo de Movimentações'!$A$5:$F$10001,"="&amp;$C370,'[1]Fluxo de Movimentações'!$H$5:$H$10001)</f>
        <v>0</v>
      </c>
      <c r="AF370" s="26">
        <v>0</v>
      </c>
      <c r="AG370" s="26">
        <v>0</v>
      </c>
      <c r="AH370" s="26">
        <v>0</v>
      </c>
      <c r="AI370" s="26">
        <v>0</v>
      </c>
      <c r="AJ370" s="26">
        <v>0</v>
      </c>
      <c r="AK370" s="68">
        <v>4.3863645</v>
      </c>
      <c r="AL370" s="15">
        <f>-SUMIFS([1]Master!$J$1:$J$200,[1]Master!$A$1:$A$200,"="&amp;$I$12,[1]Master!$G$1:$G$200,"&gt;"&amp;C370,[1]Master!$E$1:$E$200,"&lt;="&amp;C370)</f>
        <v>0</v>
      </c>
      <c r="AM370" s="26">
        <v>0</v>
      </c>
      <c r="AN370" s="26">
        <v>0</v>
      </c>
    </row>
    <row r="371" spans="3:40">
      <c r="C371" s="1">
        <f>WORKDAY(C370,1,Feriados!A178:A1018)</f>
        <v>45399</v>
      </c>
      <c r="D371" s="39">
        <v>9775074.5863000005</v>
      </c>
      <c r="E371" s="32">
        <v>4.3714864000000002</v>
      </c>
      <c r="F371" s="88">
        <f>SUMIF([1]HSF!$H$2:$H$30,"="&amp;"APLICAÇÃO",[1]HSF!$K$2:$K$30)</f>
        <v>2283952.1146078166</v>
      </c>
      <c r="G371" s="15">
        <f t="shared" si="1725"/>
        <v>9746644.4349218477</v>
      </c>
      <c r="H371" s="32">
        <v>1.1047217</v>
      </c>
      <c r="I371" s="15">
        <f>SUMIFS([1]Master!$K$2:$K$10000,[1]Master!$A$2:$A$10000,$I$12,[1]Master!$F$2:$F$10000,"&lt;="&amp;$C371)</f>
        <v>8822714.7479060534</v>
      </c>
      <c r="J371" s="15">
        <f t="shared" ref="J371" si="1733">K371*L371</f>
        <v>0</v>
      </c>
      <c r="K371" s="43">
        <v>0</v>
      </c>
      <c r="L371" s="40">
        <v>0</v>
      </c>
      <c r="M371" s="15">
        <f t="shared" si="1727"/>
        <v>0</v>
      </c>
      <c r="N371" s="32">
        <v>0</v>
      </c>
      <c r="O371" s="40">
        <v>0</v>
      </c>
      <c r="P371" s="15">
        <f t="shared" si="1691"/>
        <v>32967.170196176354</v>
      </c>
      <c r="Q371" s="32">
        <v>4.2257408999999999</v>
      </c>
      <c r="R371" s="40">
        <v>7801.5124391976697</v>
      </c>
      <c r="S371" s="15">
        <f t="shared" ref="S371" si="1734">(((1+1.35%)^(1/252))-1)*D370+SUM(S370)</f>
        <v>7132.9208956644507</v>
      </c>
      <c r="T371" s="15">
        <f>IF((NETWORKDAYS(DATE(YEAR(C371),MONTH(C371),1),C371,Feriados!$A$2:$A$842))&gt;=5,0,IF(NETWORKDAYS(DATE(YEAR(C371),MONTH(C371),1),C371,Feriados!$A$2:$A$842)=1,S370,T370))</f>
        <v>0</v>
      </c>
      <c r="U371" s="26">
        <v>0</v>
      </c>
      <c r="V371" s="26">
        <v>0</v>
      </c>
      <c r="W371" s="15">
        <f t="shared" ref="W371" si="1735">SUM(G371+J371+M371+P371)</f>
        <v>9779611.6051180232</v>
      </c>
      <c r="X371" s="50">
        <f>'Fluxo de Caixa_'!AD377</f>
        <v>0</v>
      </c>
      <c r="AB371" s="26">
        <v>2595.8263000000002</v>
      </c>
      <c r="AC371" s="26">
        <v>0</v>
      </c>
      <c r="AD371">
        <f>SUMIFS([1]Master!$J$2:$J$100,[1]Master!$A$2:$A$100,"="&amp;$I$12,[1]Master!$E$2:$E$100,"="&amp;C371,[1]Master!$J$2:$J$100,"&gt;"&amp;0)</f>
        <v>0</v>
      </c>
      <c r="AE371">
        <f ca="1">-SUMIF('[1]Fluxo de Movimentações'!$A$5:$F$10001,"="&amp;$C371,'[1]Fluxo de Movimentações'!$H$5:$H$10001)</f>
        <v>0</v>
      </c>
      <c r="AF371" s="26">
        <v>0</v>
      </c>
      <c r="AG371" s="26">
        <v>0</v>
      </c>
      <c r="AH371" s="26">
        <v>0</v>
      </c>
      <c r="AI371" s="26">
        <v>0</v>
      </c>
      <c r="AJ371" s="26">
        <v>0</v>
      </c>
      <c r="AK371" s="68">
        <v>4.3714864000000002</v>
      </c>
      <c r="AL371" s="15">
        <f>-SUMIFS([1]Master!$J$1:$J$200,[1]Master!$A$1:$A$200,"="&amp;$I$12,[1]Master!$G$1:$G$200,"&gt;"&amp;C371,[1]Master!$E$1:$E$200,"&lt;="&amp;C371)</f>
        <v>0</v>
      </c>
      <c r="AM371" s="26">
        <v>0</v>
      </c>
      <c r="AN371" s="26">
        <v>0</v>
      </c>
    </row>
    <row r="372" spans="3:40">
      <c r="C372" s="1">
        <f>WORKDAY(C371,1,Feriados!A179:A1019)</f>
        <v>45400</v>
      </c>
      <c r="D372" s="39">
        <v>9798965.6543000005</v>
      </c>
      <c r="E372" s="32">
        <v>4.3821706999999996</v>
      </c>
      <c r="F372" s="88">
        <f>SUMIF([1]HSF!$H$2:$H$30,"="&amp;"APLICAÇÃO",[1]HSF!$K$2:$K$30)</f>
        <v>2283952.1146078166</v>
      </c>
      <c r="G372" s="15">
        <f t="shared" ref="G372" si="1736">H372*I372</f>
        <v>9771084.2370450217</v>
      </c>
      <c r="H372" s="32">
        <v>1.1074918</v>
      </c>
      <c r="I372" s="15">
        <f>SUMIFS([1]Master!$K$2:$K$10000,[1]Master!$A$2:$A$10000,$I$12,[1]Master!$F$2:$F$10000,"&lt;="&amp;$C372)</f>
        <v>8822714.7479060534</v>
      </c>
      <c r="J372" s="15">
        <f t="shared" ref="J372" si="1737">K372*L372</f>
        <v>0</v>
      </c>
      <c r="K372" s="43">
        <v>0</v>
      </c>
      <c r="L372" s="40">
        <v>0</v>
      </c>
      <c r="M372" s="15">
        <f t="shared" ref="M372" si="1738">N372*O372</f>
        <v>0</v>
      </c>
      <c r="N372" s="32">
        <v>0</v>
      </c>
      <c r="O372" s="40">
        <v>0</v>
      </c>
      <c r="P372" s="15">
        <f t="shared" si="1691"/>
        <v>32980.570073941919</v>
      </c>
      <c r="Q372" s="32">
        <v>4.2274585</v>
      </c>
      <c r="R372" s="40">
        <v>7801.5124391976697</v>
      </c>
      <c r="S372" s="15">
        <f t="shared" ref="S372" si="1739">(((1+1.35%)^(1/252))-1)*D371+SUM(S371)</f>
        <v>7653.0962027545784</v>
      </c>
      <c r="T372" s="15">
        <f>IF((NETWORKDAYS(DATE(YEAR(C372),MONTH(C372),1),C372,Feriados!$A$2:$A$842))&gt;=5,0,IF(NETWORKDAYS(DATE(YEAR(C372),MONTH(C372),1),C372,Feriados!$A$2:$A$842)=1,S371,T371))</f>
        <v>0</v>
      </c>
      <c r="U372" s="26">
        <v>0</v>
      </c>
      <c r="V372" s="26">
        <v>0</v>
      </c>
      <c r="W372" s="15">
        <f t="shared" ref="W372" si="1740">SUM(G372+J372+M372+P372)</f>
        <v>9804064.8071189635</v>
      </c>
      <c r="X372" s="50">
        <f>'Fluxo de Caixa_'!AD378</f>
        <v>0</v>
      </c>
      <c r="AB372" s="26">
        <v>2553.8643000000002</v>
      </c>
      <c r="AC372" s="26">
        <v>0</v>
      </c>
      <c r="AD372">
        <f>SUMIFS([1]Master!$J$2:$J$100,[1]Master!$A$2:$A$100,"="&amp;$I$12,[1]Master!$E$2:$E$100,"="&amp;C372,[1]Master!$J$2:$J$100,"&gt;"&amp;0)</f>
        <v>0</v>
      </c>
      <c r="AE372">
        <f ca="1">-SUMIF('[1]Fluxo de Movimentações'!$A$5:$F$10001,"="&amp;$C372,'[1]Fluxo de Movimentações'!$H$5:$H$10001)</f>
        <v>0</v>
      </c>
      <c r="AF372" s="26">
        <v>0</v>
      </c>
      <c r="AG372" s="26">
        <v>0</v>
      </c>
      <c r="AH372" s="26">
        <v>0</v>
      </c>
      <c r="AI372" s="26">
        <v>0</v>
      </c>
      <c r="AJ372" s="26">
        <v>0</v>
      </c>
      <c r="AK372" s="68">
        <v>4.3821706999999996</v>
      </c>
      <c r="AL372" s="15">
        <f>-SUMIFS([1]Master!$J$1:$J$200,[1]Master!$A$1:$A$200,"="&amp;$I$12,[1]Master!$G$1:$G$200,"&gt;"&amp;C372,[1]Master!$E$1:$E$200,"&lt;="&amp;C372)</f>
        <v>0</v>
      </c>
      <c r="AM372" s="26">
        <v>0</v>
      </c>
      <c r="AN372" s="26">
        <v>0</v>
      </c>
    </row>
    <row r="373" spans="3:40">
      <c r="C373" s="1">
        <f>WORKDAY(C372,1,Feriados!A180:A1020)</f>
        <v>45401</v>
      </c>
      <c r="D373" s="39">
        <v>9859918.5623000003</v>
      </c>
      <c r="E373" s="32">
        <v>4.4094293000000002</v>
      </c>
      <c r="F373" s="88">
        <f>SUMIF([1]HSF!$H$2:$H$30,"="&amp;"APLICAÇÃO",[1]HSF!$K$2:$K$30)</f>
        <v>2283952.1146078166</v>
      </c>
      <c r="G373" s="15">
        <f t="shared" ref="G373" si="1741">H373*I373</f>
        <v>9832587.3815526757</v>
      </c>
      <c r="H373" s="32">
        <v>1.1144628000000001</v>
      </c>
      <c r="I373" s="15">
        <f>SUMIFS([1]Master!$K$2:$K$10000,[1]Master!$A$2:$A$10000,$I$12,[1]Master!$F$2:$F$10000,"&lt;="&amp;$C373)</f>
        <v>8822714.7479060534</v>
      </c>
      <c r="J373" s="15">
        <f t="shared" ref="J373" si="1742">K373*L373</f>
        <v>0</v>
      </c>
      <c r="K373" s="43">
        <v>0</v>
      </c>
      <c r="L373" s="40">
        <v>0</v>
      </c>
      <c r="M373" s="15">
        <f t="shared" ref="M373" si="1743">N373*O373</f>
        <v>0</v>
      </c>
      <c r="N373" s="32">
        <v>0</v>
      </c>
      <c r="O373" s="40">
        <v>0</v>
      </c>
      <c r="P373" s="15">
        <f t="shared" si="1691"/>
        <v>32797.735126439147</v>
      </c>
      <c r="Q373" s="32">
        <v>4.2291460000000001</v>
      </c>
      <c r="R373" s="40">
        <v>7755.1673851976602</v>
      </c>
      <c r="S373" s="15">
        <f t="shared" ref="S373" si="1744">(((1+1.35%)^(1/252))-1)*D372+SUM(S372)</f>
        <v>8174.5428601064241</v>
      </c>
      <c r="T373" s="15">
        <f>IF((NETWORKDAYS(DATE(YEAR(C373),MONTH(C373),1),C373,Feriados!$A$2:$A$842))&gt;=5,0,IF(NETWORKDAYS(DATE(YEAR(C373),MONTH(C373),1),C373,Feriados!$A$2:$A$842)=1,S372,T372))</f>
        <v>0</v>
      </c>
      <c r="U373" s="26">
        <v>0</v>
      </c>
      <c r="V373" s="26">
        <v>0</v>
      </c>
      <c r="W373" s="15">
        <f t="shared" ref="W373" si="1745">SUM(G373+J373+M373+P373)</f>
        <v>9865385.1166791152</v>
      </c>
      <c r="X373" s="50">
        <f>'Fluxo de Caixa_'!AD379</f>
        <v>-2.5607607767597074E-7</v>
      </c>
      <c r="AB373" s="26">
        <v>2707.9023000000002</v>
      </c>
      <c r="AC373" s="26">
        <v>0</v>
      </c>
      <c r="AD373">
        <f>SUMIFS([1]Master!$J$2:$J$100,[1]Master!$A$2:$A$100,"="&amp;$I$12,[1]Master!$E$2:$E$100,"="&amp;C373,[1]Master!$J$2:$J$100,"&gt;"&amp;0)</f>
        <v>0</v>
      </c>
      <c r="AE373">
        <f ca="1">-SUMIF('[1]Fluxo de Movimentações'!$A$5:$F$10001,"="&amp;$C373,'[1]Fluxo de Movimentações'!$H$5:$H$10001)</f>
        <v>0</v>
      </c>
      <c r="AF373" s="26">
        <v>0</v>
      </c>
      <c r="AG373" s="26">
        <v>0</v>
      </c>
      <c r="AH373" s="26">
        <v>0</v>
      </c>
      <c r="AI373" s="26">
        <v>0</v>
      </c>
      <c r="AJ373" s="26">
        <v>0</v>
      </c>
      <c r="AK373" s="68">
        <v>4.4094293000000002</v>
      </c>
      <c r="AL373" s="15">
        <f>-SUMIFS([1]Master!$J$1:$J$200,[1]Master!$A$1:$A$200,"="&amp;$I$12,[1]Master!$G$1:$G$200,"&gt;"&amp;C373,[1]Master!$E$1:$E$200,"&lt;="&amp;C373)</f>
        <v>0</v>
      </c>
      <c r="AM373" s="26">
        <v>0</v>
      </c>
      <c r="AN373" s="26">
        <v>0</v>
      </c>
    </row>
    <row r="374" spans="3:40">
      <c r="C374" s="1">
        <f>WORKDAY(C373,1,Feriados!A181:A1021)</f>
        <v>45404</v>
      </c>
      <c r="D374" s="39">
        <v>9921731.1113000009</v>
      </c>
      <c r="E374" s="32">
        <v>4.4370722999999996</v>
      </c>
      <c r="F374" s="88">
        <f>SUMIF([1]HSF!$H$2:$H$30,"="&amp;"APLICAÇÃO",[1]HSF!$K$2:$K$30)</f>
        <v>2283952.1146078166</v>
      </c>
      <c r="G374" s="15">
        <f t="shared" ref="G374" si="1746">H374*I374</f>
        <v>9894958.6811915226</v>
      </c>
      <c r="H374" s="32">
        <v>1.1215322000000001</v>
      </c>
      <c r="I374" s="15">
        <f>SUMIFS([1]Master!$K$2:$K$10000,[1]Master!$A$2:$A$10000,$I$12,[1]Master!$F$2:$F$10000,"&lt;="&amp;$C374)</f>
        <v>8822714.7479060534</v>
      </c>
      <c r="J374" s="15">
        <f t="shared" ref="J374" si="1747">K374*L374</f>
        <v>0</v>
      </c>
      <c r="K374" s="43">
        <v>0</v>
      </c>
      <c r="L374" s="40">
        <v>0</v>
      </c>
      <c r="M374" s="15">
        <f t="shared" ref="M374:M376" si="1748">N374*O374</f>
        <v>0</v>
      </c>
      <c r="N374" s="32">
        <v>0</v>
      </c>
      <c r="O374" s="40">
        <v>0</v>
      </c>
      <c r="P374" s="15">
        <f t="shared" si="1691"/>
        <v>31173.05103132339</v>
      </c>
      <c r="Q374" s="32">
        <v>4.2307817999999999</v>
      </c>
      <c r="R374" s="40">
        <v>7368.1538081976696</v>
      </c>
      <c r="S374" s="15">
        <f t="shared" ref="S374" si="1749">(((1+1.35%)^(1/252))-1)*D373+SUM(S373)</f>
        <v>8699.2330934900456</v>
      </c>
      <c r="T374" s="15">
        <f>IF((NETWORKDAYS(DATE(YEAR(C374),MONTH(C374),1),C374,Feriados!$A$2:$A$842))&gt;=5,0,IF(NETWORKDAYS(DATE(YEAR(C374),MONTH(C374),1),C374,Feriados!$A$2:$A$842)=1,S373,T373))</f>
        <v>0</v>
      </c>
      <c r="U374" s="26">
        <v>0</v>
      </c>
      <c r="V374" s="26">
        <v>0</v>
      </c>
      <c r="W374" s="15">
        <f t="shared" ref="W374" si="1750">SUM(G374+J374+M374+P374)</f>
        <v>9926131.7322228458</v>
      </c>
      <c r="X374" s="50">
        <f>'Fluxo de Caixa_'!AD380</f>
        <v>-2.0755410332640167E-6</v>
      </c>
      <c r="AB374" s="26">
        <v>4298.5312999999996</v>
      </c>
      <c r="AC374" s="26">
        <v>0</v>
      </c>
      <c r="AD374">
        <f>SUMIFS([1]Master!$J$2:$J$100,[1]Master!$A$2:$A$100,"="&amp;$I$12,[1]Master!$E$2:$E$100,"="&amp;C374,[1]Master!$J$2:$J$100,"&gt;"&amp;0)</f>
        <v>0</v>
      </c>
      <c r="AE374">
        <f ca="1">-SUMIF('[1]Fluxo de Movimentações'!$A$5:$F$10001,"="&amp;$C374,'[1]Fluxo de Movimentações'!$H$5:$H$10001)</f>
        <v>0</v>
      </c>
      <c r="AF374" s="26">
        <v>0</v>
      </c>
      <c r="AG374" s="26">
        <v>0</v>
      </c>
      <c r="AH374" s="26">
        <v>0</v>
      </c>
      <c r="AI374" s="26">
        <v>0</v>
      </c>
      <c r="AJ374" s="26">
        <v>0</v>
      </c>
      <c r="AK374" s="68">
        <v>4.4370722999999996</v>
      </c>
      <c r="AL374" s="15">
        <f>-SUMIFS([1]Master!$J$1:$J$200,[1]Master!$A$1:$A$200,"="&amp;$I$12,[1]Master!$G$1:$G$200,"&gt;"&amp;C374,[1]Master!$E$1:$E$200,"&lt;="&amp;C374)</f>
        <v>0</v>
      </c>
      <c r="AM374" s="26">
        <v>0</v>
      </c>
      <c r="AN374" s="26">
        <v>0</v>
      </c>
    </row>
    <row r="375" spans="3:40">
      <c r="C375" s="1">
        <f>WORKDAY(C374,1,Feriados!A182:A1022)</f>
        <v>45405</v>
      </c>
      <c r="D375" s="39">
        <v>9923005.7042999994</v>
      </c>
      <c r="E375" s="32">
        <v>4.4376423000000003</v>
      </c>
      <c r="F375" s="88">
        <f>SUMIF([1]HSF!$H$2:$H$30,"="&amp;"APLICAÇÃO",[1]HSF!$K$2:$K$30)</f>
        <v>2283952.1146078166</v>
      </c>
      <c r="G375" s="15">
        <f t="shared" ref="G375" si="1751">H375*I375</f>
        <v>9896789.3945017122</v>
      </c>
      <c r="H375" s="32">
        <v>1.1217397</v>
      </c>
      <c r="I375" s="15">
        <f>SUMIFS([1]Master!$K$2:$K$10000,[1]Master!$A$2:$A$10000,$I$12,[1]Master!$F$2:$F$10000,"&lt;="&amp;$C375)</f>
        <v>8822714.7479060534</v>
      </c>
      <c r="J375" s="15">
        <f t="shared" ref="J375" si="1752">K375*L375</f>
        <v>0</v>
      </c>
      <c r="K375" s="43">
        <v>0</v>
      </c>
      <c r="L375" s="40">
        <v>0</v>
      </c>
      <c r="M375" s="15">
        <f t="shared" si="1748"/>
        <v>0</v>
      </c>
      <c r="N375" s="32">
        <v>0</v>
      </c>
      <c r="O375" s="40">
        <v>0</v>
      </c>
      <c r="P375" s="15">
        <f t="shared" si="1691"/>
        <v>31185.523105274529</v>
      </c>
      <c r="Q375" s="32">
        <v>4.2324745000000004</v>
      </c>
      <c r="R375" s="40">
        <v>7368.1538081976696</v>
      </c>
      <c r="S375" s="15">
        <f t="shared" ref="S375" si="1753">(((1+1.35%)^(1/252))-1)*D374+SUM(S374)</f>
        <v>9227.2126482363055</v>
      </c>
      <c r="T375" s="15">
        <f>IF((NETWORKDAYS(DATE(YEAR(C375),MONTH(C375),1),C375,Feriados!$A$2:$A$842))&gt;=5,0,IF(NETWORKDAYS(DATE(YEAR(C375),MONTH(C375),1),C375,Feriados!$A$2:$A$842)=1,S374,T374))</f>
        <v>0</v>
      </c>
      <c r="U375" s="26">
        <v>0</v>
      </c>
      <c r="V375" s="26">
        <v>0</v>
      </c>
      <c r="W375" s="15">
        <f t="shared" ref="W375" si="1754">SUM(G375+J375+M375+P375)</f>
        <v>9927974.9176069871</v>
      </c>
      <c r="X375" s="50">
        <f>'Fluxo de Caixa_'!AD381</f>
        <v>0</v>
      </c>
      <c r="AB375" s="26">
        <v>4257.9043000000001</v>
      </c>
      <c r="AC375" s="26">
        <v>0</v>
      </c>
      <c r="AD375">
        <f>SUMIFS([1]Master!$J$2:$J$100,[1]Master!$A$2:$A$100,"="&amp;$I$12,[1]Master!$E$2:$E$100,"="&amp;C375,[1]Master!$J$2:$J$100,"&gt;"&amp;0)</f>
        <v>0</v>
      </c>
      <c r="AE375">
        <f ca="1">-SUMIF('[1]Fluxo de Movimentações'!$A$5:$F$10001,"="&amp;$C375,'[1]Fluxo de Movimentações'!$H$5:$H$10001)</f>
        <v>0</v>
      </c>
      <c r="AF375" s="26">
        <v>0</v>
      </c>
      <c r="AG375" s="26">
        <v>0</v>
      </c>
      <c r="AH375" s="26">
        <v>0</v>
      </c>
      <c r="AI375" s="26">
        <v>0</v>
      </c>
      <c r="AJ375" s="26">
        <v>0</v>
      </c>
      <c r="AK375" s="68">
        <v>4.4376423000000003</v>
      </c>
      <c r="AL375" s="15">
        <f>-SUMIFS([1]Master!$J$1:$J$200,[1]Master!$A$1:$A$200,"="&amp;$I$12,[1]Master!$G$1:$G$200,"&gt;"&amp;C375,[1]Master!$E$1:$E$200,"&lt;="&amp;C375)</f>
        <v>0</v>
      </c>
      <c r="AM375" s="26">
        <v>0</v>
      </c>
      <c r="AN375" s="26">
        <v>0</v>
      </c>
    </row>
    <row r="376" spans="3:40">
      <c r="C376" s="1">
        <f>WORKDAY(C375,1,Feriados!A183:A1023)</f>
        <v>45406</v>
      </c>
      <c r="D376" s="39">
        <v>9843754.3272999991</v>
      </c>
      <c r="E376" s="32">
        <v>4.4022005000000002</v>
      </c>
      <c r="F376" s="88">
        <f>SUMIF([1]HSF!$H$2:$H$30,"="&amp;"APLICAÇÃO",[1]HSF!$K$2:$K$30)</f>
        <v>2283952.1146078166</v>
      </c>
      <c r="G376" s="15">
        <f t="shared" ref="G376" si="1755">H376*I376</f>
        <v>9818094.3080362882</v>
      </c>
      <c r="H376" s="32">
        <v>1.1128201</v>
      </c>
      <c r="I376" s="15">
        <f>SUMIFS([1]Master!$K$2:$K$10000,[1]Master!$A$2:$A$10000,$I$12,[1]Master!$F$2:$F$10000,"&lt;="&amp;$C376)</f>
        <v>8822714.7479060534</v>
      </c>
      <c r="J376" s="15">
        <f t="shared" ref="J376" si="1756">K376*L376</f>
        <v>0</v>
      </c>
      <c r="K376" s="43">
        <v>0</v>
      </c>
      <c r="L376" s="40">
        <v>0</v>
      </c>
      <c r="M376" s="15">
        <f t="shared" si="1748"/>
        <v>0</v>
      </c>
      <c r="N376" s="32">
        <v>0</v>
      </c>
      <c r="O376" s="40">
        <v>0</v>
      </c>
      <c r="P376" s="15">
        <f t="shared" si="1691"/>
        <v>31197.898656410773</v>
      </c>
      <c r="Q376" s="32">
        <v>4.2341540999999996</v>
      </c>
      <c r="R376" s="40">
        <v>7368.1538081976696</v>
      </c>
      <c r="S376" s="15">
        <f t="shared" ref="S376" si="1757">(((1+1.35%)^(1/252))-1)*D375+SUM(S375)</f>
        <v>9755.2600297596746</v>
      </c>
      <c r="T376" s="15">
        <f>IF((NETWORKDAYS(DATE(YEAR(C376),MONTH(C376),1),C376,Feriados!$A$2:$A$842))&gt;=5,0,IF(NETWORKDAYS(DATE(YEAR(C376),MONTH(C376),1),C376,Feriados!$A$2:$A$842)=1,S375,T375))</f>
        <v>0</v>
      </c>
      <c r="U376" s="26">
        <v>0</v>
      </c>
      <c r="V376" s="26">
        <v>0</v>
      </c>
      <c r="W376" s="15">
        <f t="shared" ref="W376" si="1758">SUM(G376+J376+M376+P376)</f>
        <v>9849292.2066926993</v>
      </c>
      <c r="X376" s="50">
        <f>'Fluxo de Caixa_'!AD382</f>
        <v>0</v>
      </c>
      <c r="AB376" s="26">
        <v>4217.2772999999997</v>
      </c>
      <c r="AC376" s="26">
        <v>0</v>
      </c>
      <c r="AD376">
        <f>SUMIFS([1]Master!$J$2:$J$100,[1]Master!$A$2:$A$100,"="&amp;$I$12,[1]Master!$E$2:$E$100,"="&amp;C376,[1]Master!$J$2:$J$100,"&gt;"&amp;0)</f>
        <v>0</v>
      </c>
      <c r="AE376">
        <f ca="1">-SUMIF('[1]Fluxo de Movimentações'!$A$5:$F$10001,"="&amp;$C376,'[1]Fluxo de Movimentações'!$H$5:$H$10001)</f>
        <v>0</v>
      </c>
      <c r="AF376" s="26">
        <v>0</v>
      </c>
      <c r="AG376" s="26">
        <v>0</v>
      </c>
      <c r="AH376" s="26">
        <v>0</v>
      </c>
      <c r="AI376" s="26">
        <v>0</v>
      </c>
      <c r="AJ376" s="26">
        <v>0</v>
      </c>
      <c r="AK376" s="68">
        <v>4.4022005000000002</v>
      </c>
      <c r="AL376" s="15">
        <f>-SUMIFS([1]Master!$J$1:$J$200,[1]Master!$A$1:$A$200,"="&amp;$I$12,[1]Master!$G$1:$G$200,"&gt;"&amp;C376,[1]Master!$E$1:$E$200,"&lt;="&amp;C376)</f>
        <v>0</v>
      </c>
      <c r="AM376" s="26">
        <v>0</v>
      </c>
      <c r="AN376" s="26">
        <v>0</v>
      </c>
    </row>
    <row r="377" spans="3:40">
      <c r="C377" s="1">
        <f>WORKDAY(C376,1,Feriados!A184:A1024)</f>
        <v>45407</v>
      </c>
      <c r="D377" s="39">
        <v>9726823.7103000004</v>
      </c>
      <c r="E377" s="32">
        <v>4.3499083000000001</v>
      </c>
      <c r="F377" s="88">
        <f>SUMIF([1]HSF!$H$2:$H$30,"="&amp;"APLICAÇÃO",[1]HSF!$K$2:$K$30)</f>
        <v>2283952.1146078166</v>
      </c>
      <c r="G377" s="15">
        <f t="shared" ref="G377" si="1759">H377*I377</f>
        <v>9701715.6423396096</v>
      </c>
      <c r="H377" s="32">
        <v>1.0996292999999999</v>
      </c>
      <c r="I377" s="15">
        <f>SUMIFS([1]Master!$K$2:$K$10000,[1]Master!$A$2:$A$10000,$I$12,[1]Master!$F$2:$F$10000,"&lt;="&amp;$C377)</f>
        <v>8822714.7479060534</v>
      </c>
      <c r="J377" s="15">
        <f t="shared" ref="J377" si="1760">K377*L377</f>
        <v>0</v>
      </c>
      <c r="K377" s="43">
        <v>0</v>
      </c>
      <c r="L377" s="40">
        <v>0</v>
      </c>
      <c r="M377" s="15">
        <f t="shared" ref="M377" si="1761">N377*O377</f>
        <v>0</v>
      </c>
      <c r="N377" s="32">
        <v>0</v>
      </c>
      <c r="O377" s="40">
        <v>0</v>
      </c>
      <c r="P377" s="15">
        <f t="shared" si="1691"/>
        <v>31210.411255207859</v>
      </c>
      <c r="Q377" s="32">
        <v>4.2358523000000003</v>
      </c>
      <c r="R377" s="40">
        <v>7368.1538081976696</v>
      </c>
      <c r="S377" s="15">
        <f t="shared" ref="S377" si="1762">(((1+1.35%)^(1/252))-1)*D376+SUM(S376)</f>
        <v>10279.090092120479</v>
      </c>
      <c r="T377" s="15">
        <f>IF((NETWORKDAYS(DATE(YEAR(C377),MONTH(C377),1),C377,Feriados!$A$2:$A$842))&gt;=5,0,IF(NETWORKDAYS(DATE(YEAR(C377),MONTH(C377),1),C377,Feriados!$A$2:$A$842)=1,S376,T376))</f>
        <v>0</v>
      </c>
      <c r="U377" s="26">
        <v>0</v>
      </c>
      <c r="V377" s="26">
        <v>0</v>
      </c>
      <c r="W377" s="15">
        <f t="shared" ref="W377" si="1763">SUM(G377+J377+M377+P377)</f>
        <v>9732926.0535948183</v>
      </c>
      <c r="X377" s="50">
        <f>'Fluxo de Caixa_'!AD383</f>
        <v>0</v>
      </c>
      <c r="AB377" s="26">
        <v>4176.6503000000002</v>
      </c>
      <c r="AC377" s="26">
        <v>0</v>
      </c>
      <c r="AD377">
        <f>SUMIFS([1]Master!$J$2:$J$100,[1]Master!$A$2:$A$100,"="&amp;$I$12,[1]Master!$E$2:$E$100,"="&amp;C377,[1]Master!$J$2:$J$100,"&gt;"&amp;0)</f>
        <v>0</v>
      </c>
      <c r="AE377">
        <f ca="1">-SUMIF('[1]Fluxo de Movimentações'!$A$5:$F$10001,"="&amp;$C377,'[1]Fluxo de Movimentações'!$H$5:$H$10001)</f>
        <v>0</v>
      </c>
      <c r="AF377" s="26">
        <v>0</v>
      </c>
      <c r="AG377" s="26">
        <v>0</v>
      </c>
      <c r="AH377" s="26">
        <v>0</v>
      </c>
      <c r="AI377" s="26">
        <v>0</v>
      </c>
      <c r="AJ377" s="26">
        <v>0</v>
      </c>
      <c r="AK377" s="68">
        <v>4.3499083000000001</v>
      </c>
      <c r="AL377" s="15">
        <f>-SUMIFS([1]Master!$J$1:$J$200,[1]Master!$A$1:$A$200,"="&amp;$I$12,[1]Master!$G$1:$G$200,"&gt;"&amp;C377,[1]Master!$E$1:$E$200,"&lt;="&amp;C377)</f>
        <v>0</v>
      </c>
      <c r="AM377" s="26">
        <v>0</v>
      </c>
      <c r="AN377" s="26">
        <v>0</v>
      </c>
    </row>
    <row r="378" spans="3:40">
      <c r="C378" s="1">
        <f>WORKDAY(C377,1,Feriados!A185:A1025)</f>
        <v>45408</v>
      </c>
      <c r="D378" s="39">
        <v>9905620.7032999992</v>
      </c>
      <c r="E378" s="32">
        <v>4.4298675999999997</v>
      </c>
      <c r="F378" s="88">
        <f>SUMIF([1]HSF!$H$2:$H$30,"="&amp;"APLICAÇÃO",[1]HSF!$K$2:$K$30)</f>
        <v>2283952.1146078166</v>
      </c>
      <c r="G378" s="15">
        <f t="shared" ref="G378" si="1764">H378*I378</f>
        <v>9881058.494106194</v>
      </c>
      <c r="H378" s="32">
        <v>1.1199566999999999</v>
      </c>
      <c r="I378" s="15">
        <f>SUMIFS([1]Master!$K$2:$K$10000,[1]Master!$A$2:$A$10000,$I$12,[1]Master!$F$2:$F$10000,"&lt;="&amp;$C378)</f>
        <v>8822714.7479060534</v>
      </c>
      <c r="J378" s="15">
        <f t="shared" ref="J378" si="1765">K378*L378</f>
        <v>0</v>
      </c>
      <c r="K378" s="43">
        <v>0</v>
      </c>
      <c r="L378" s="40">
        <v>0</v>
      </c>
      <c r="M378" s="15">
        <f t="shared" ref="M378" si="1766">N378*O378</f>
        <v>0</v>
      </c>
      <c r="N378" s="32">
        <v>0</v>
      </c>
      <c r="O378" s="40">
        <v>0</v>
      </c>
      <c r="P378" s="15">
        <f t="shared" si="1691"/>
        <v>31222.777227744158</v>
      </c>
      <c r="Q378" s="32">
        <v>4.2375306000000004</v>
      </c>
      <c r="R378" s="40">
        <v>7368.1538081976696</v>
      </c>
      <c r="S378" s="15">
        <f t="shared" ref="S378" si="1767">(((1+1.35%)^(1/252))-1)*D377+SUM(S377)</f>
        <v>10796.697754941595</v>
      </c>
      <c r="T378" s="15">
        <f>IF((NETWORKDAYS(DATE(YEAR(C378),MONTH(C378),1),C378,Feriados!$A$2:$A$842))&gt;=5,0,IF(NETWORKDAYS(DATE(YEAR(C378),MONTH(C378),1),C378,Feriados!$A$2:$A$842)=1,S377,T377))</f>
        <v>0</v>
      </c>
      <c r="U378" s="26">
        <v>0</v>
      </c>
      <c r="V378" s="26">
        <v>0</v>
      </c>
      <c r="W378" s="15">
        <f t="shared" ref="W378" si="1768">SUM(G378+J378+M378+P378)</f>
        <v>9912281.2713339385</v>
      </c>
      <c r="X378" s="50">
        <f>'Fluxo de Caixa_'!AD384</f>
        <v>0</v>
      </c>
      <c r="AB378" s="26">
        <v>4136.0232999999998</v>
      </c>
      <c r="AC378" s="26">
        <v>0</v>
      </c>
      <c r="AD378">
        <f>SUMIFS([1]Master!$J$2:$J$100,[1]Master!$A$2:$A$100,"="&amp;$I$12,[1]Master!$E$2:$E$100,"="&amp;C378,[1]Master!$J$2:$J$100,"&gt;"&amp;0)</f>
        <v>0</v>
      </c>
      <c r="AE378">
        <f ca="1">-SUMIF('[1]Fluxo de Movimentações'!$A$5:$F$10001,"="&amp;$C378,'[1]Fluxo de Movimentações'!$H$5:$H$10001)</f>
        <v>0</v>
      </c>
      <c r="AF378" s="26">
        <v>0</v>
      </c>
      <c r="AG378" s="26">
        <v>0</v>
      </c>
      <c r="AH378" s="26">
        <v>0</v>
      </c>
      <c r="AI378" s="26">
        <v>0</v>
      </c>
      <c r="AJ378" s="26">
        <v>0</v>
      </c>
      <c r="AK378" s="68">
        <v>4.4298675999999997</v>
      </c>
      <c r="AL378" s="15">
        <f>-SUMIFS([1]Master!$J$1:$J$200,[1]Master!$A$1:$A$200,"="&amp;$I$12,[1]Master!$G$1:$G$200,"&gt;"&amp;C378,[1]Master!$E$1:$E$200,"&lt;="&amp;C378)</f>
        <v>0</v>
      </c>
      <c r="AM378" s="26">
        <v>0</v>
      </c>
      <c r="AN378" s="26">
        <v>0</v>
      </c>
    </row>
    <row r="379" spans="3:40">
      <c r="C379" s="1">
        <f>WORKDAY(C378,1,Feriados!A186:A1026)</f>
        <v>45411</v>
      </c>
      <c r="D379" s="39">
        <v>9923725.5562999994</v>
      </c>
      <c r="E379" s="32">
        <v>4.4379643</v>
      </c>
      <c r="F379" s="88">
        <f>SUMIF([1]HSF!$H$2:$H$30,"="&amp;"APLICAÇÃO",[1]HSF!$K$2:$K$30)</f>
        <v>2283952.1146078166</v>
      </c>
      <c r="G379" s="15">
        <f t="shared" ref="G379" si="1769">H379*I379</f>
        <v>9899718.5357980169</v>
      </c>
      <c r="H379" s="32">
        <v>1.1220717</v>
      </c>
      <c r="I379" s="15">
        <f>SUMIFS([1]Master!$K$2:$K$10000,[1]Master!$A$2:$A$10000,$I$12,[1]Master!$F$2:$F$10000,"&lt;="&amp;$C379)</f>
        <v>8822714.7479060534</v>
      </c>
      <c r="J379" s="15">
        <f t="shared" ref="J379" si="1770">K379*L379</f>
        <v>0</v>
      </c>
      <c r="K379" s="43">
        <v>0</v>
      </c>
      <c r="L379" s="40">
        <v>0</v>
      </c>
      <c r="M379" s="15">
        <f t="shared" ref="M379" si="1771">N379*O379</f>
        <v>0</v>
      </c>
      <c r="N379" s="32">
        <v>0</v>
      </c>
      <c r="O379" s="40">
        <v>0</v>
      </c>
      <c r="P379" s="15">
        <f t="shared" si="1691"/>
        <v>31235.337719540988</v>
      </c>
      <c r="Q379" s="32">
        <v>4.2392352999999998</v>
      </c>
      <c r="R379" s="40">
        <v>7368.1538081976696</v>
      </c>
      <c r="S379" s="15">
        <f t="shared" ref="S379" si="1772">(((1+1.35%)^(1/252))-1)*D378+SUM(S378)</f>
        <v>11323.820003039729</v>
      </c>
      <c r="T379" s="15">
        <f>IF((NETWORKDAYS(DATE(YEAR(C379),MONTH(C379),1),C379,Feriados!$A$2:$A$842))&gt;=5,0,IF(NETWORKDAYS(DATE(YEAR(C379),MONTH(C379),1),C379,Feriados!$A$2:$A$842)=1,S378,T378))</f>
        <v>0</v>
      </c>
      <c r="U379" s="26">
        <v>0</v>
      </c>
      <c r="V379" s="26">
        <v>0</v>
      </c>
      <c r="W379" s="15">
        <f t="shared" ref="W379" si="1773">SUM(G379+J379+M379+P379)</f>
        <v>9930953.873517558</v>
      </c>
      <c r="X379" s="50">
        <f>'Fluxo de Caixa_'!AD385</f>
        <v>0</v>
      </c>
      <c r="AB379" s="26">
        <v>4095.3962999999999</v>
      </c>
      <c r="AC379" s="26">
        <v>0</v>
      </c>
      <c r="AD379">
        <f>SUMIFS([1]Master!$J$2:$J$100,[1]Master!$A$2:$A$100,"="&amp;$I$12,[1]Master!$E$2:$E$100,"="&amp;C379,[1]Master!$J$2:$J$100,"&gt;"&amp;0)</f>
        <v>0</v>
      </c>
      <c r="AE379">
        <f ca="1">-SUMIF('[1]Fluxo de Movimentações'!$A$5:$F$10001,"="&amp;$C379,'[1]Fluxo de Movimentações'!$H$5:$H$10001)</f>
        <v>0</v>
      </c>
      <c r="AF379" s="26">
        <v>0</v>
      </c>
      <c r="AG379" s="26">
        <v>0</v>
      </c>
      <c r="AH379" s="26">
        <v>0</v>
      </c>
      <c r="AI379" s="26">
        <v>0</v>
      </c>
      <c r="AJ379" s="26">
        <v>0</v>
      </c>
      <c r="AK379" s="68">
        <v>4.4379643</v>
      </c>
      <c r="AL379" s="15">
        <f>-SUMIFS([1]Master!$J$1:$J$200,[1]Master!$A$1:$A$200,"="&amp;$I$12,[1]Master!$G$1:$G$200,"&gt;"&amp;C379,[1]Master!$E$1:$E$200,"&lt;="&amp;C379)</f>
        <v>0</v>
      </c>
      <c r="AM379" s="26">
        <v>0</v>
      </c>
      <c r="AN379" s="26">
        <v>0</v>
      </c>
    </row>
    <row r="380" spans="3:40">
      <c r="C380" s="1">
        <f>WORKDAY(C379,1,Feriados!A187:A1027)</f>
        <v>45412</v>
      </c>
      <c r="D380" s="39">
        <v>9743784.5407999996</v>
      </c>
      <c r="E380" s="32">
        <v>4.3574932999999998</v>
      </c>
      <c r="F380" s="88">
        <f>SUMIF([1]HSF!$H$2:$H$30,"="&amp;"APLICAÇÃO",[1]HSF!$K$2:$K$30)</f>
        <v>2283952.1146078166</v>
      </c>
      <c r="G380" s="15">
        <f t="shared" ref="G380" si="1774">H380*I380</f>
        <v>9720325.394557368</v>
      </c>
      <c r="H380" s="32">
        <v>1.1017386</v>
      </c>
      <c r="I380" s="15">
        <f>SUMIFS([1]Master!$K$2:$K$10000,[1]Master!$A$2:$A$10000,$I$12,[1]Master!$F$2:$F$10000,"&lt;="&amp;$C380)</f>
        <v>8822714.7479060534</v>
      </c>
      <c r="J380" s="15">
        <f t="shared" ref="J380" si="1775">K380*L380</f>
        <v>0</v>
      </c>
      <c r="K380" s="43">
        <v>0</v>
      </c>
      <c r="L380" s="40">
        <v>0</v>
      </c>
      <c r="M380" s="15">
        <f t="shared" ref="M380" si="1776">N380*O380</f>
        <v>0</v>
      </c>
      <c r="N380" s="32">
        <v>0</v>
      </c>
      <c r="O380" s="40">
        <v>0</v>
      </c>
      <c r="P380" s="15">
        <f t="shared" si="1691"/>
        <v>31247.766321384657</v>
      </c>
      <c r="Q380" s="32">
        <v>4.2409220999999997</v>
      </c>
      <c r="R380" s="40">
        <v>7368.1538081976696</v>
      </c>
      <c r="S380" s="15">
        <f t="shared" ref="S380:S382" si="1777">(((1+1.35%)^(1/252))-1)*D379+SUM(S379)</f>
        <v>11851.905691097933</v>
      </c>
      <c r="T380" s="15">
        <f>IF((NETWORKDAYS(DATE(YEAR(C380),MONTH(C380),1),C380,Feriados!$A$2:$A$842))&gt;=5,0,IF(NETWORKDAYS(DATE(YEAR(C380),MONTH(C380),1),C380,Feriados!$A$2:$A$842)=1,S379,T379))</f>
        <v>0</v>
      </c>
      <c r="U380" s="26">
        <v>0</v>
      </c>
      <c r="V380" s="26">
        <v>0</v>
      </c>
      <c r="W380" s="15">
        <f t="shared" ref="W380" si="1778">SUM(G380+J380+M380+P380)</f>
        <v>9751573.1608787533</v>
      </c>
      <c r="X380" s="50">
        <f>'Fluxo de Caixa_'!AD386</f>
        <v>0</v>
      </c>
      <c r="AB380" s="26">
        <v>4063.1707999999999</v>
      </c>
      <c r="AC380" s="26">
        <v>0</v>
      </c>
      <c r="AD380">
        <f>SUMIFS([1]Master!$J$2:$J$100,[1]Master!$A$2:$A$100,"="&amp;$I$12,[1]Master!$E$2:$E$100,"="&amp;C380,[1]Master!$J$2:$J$100,"&gt;"&amp;0)</f>
        <v>0</v>
      </c>
      <c r="AE380">
        <f ca="1">-SUMIF('[1]Fluxo de Movimentações'!$A$5:$F$10001,"="&amp;$C380,'[1]Fluxo de Movimentações'!$H$5:$H$10001)</f>
        <v>0</v>
      </c>
      <c r="AF380" s="26">
        <v>0</v>
      </c>
      <c r="AG380" s="26">
        <v>0</v>
      </c>
      <c r="AH380" s="26">
        <v>0</v>
      </c>
      <c r="AI380" s="26">
        <v>0</v>
      </c>
      <c r="AJ380" s="26">
        <v>0</v>
      </c>
      <c r="AK380" s="68">
        <v>4.3574932999999998</v>
      </c>
      <c r="AL380" s="15">
        <f>-SUMIFS([1]Master!$J$1:$J$200,[1]Master!$A$1:$A$200,"="&amp;$I$12,[1]Master!$G$1:$G$200,"&gt;"&amp;C380,[1]Master!$E$1:$E$200,"&lt;="&amp;C380)</f>
        <v>0</v>
      </c>
      <c r="AM380" s="26">
        <v>0</v>
      </c>
      <c r="AN380" s="26">
        <v>0</v>
      </c>
    </row>
    <row r="381" spans="3:40">
      <c r="C381" s="1">
        <v>45414</v>
      </c>
      <c r="D381" s="39">
        <v>9849752.8693000004</v>
      </c>
      <c r="E381" s="32">
        <v>4.4048831000000002</v>
      </c>
      <c r="F381" s="88">
        <f>SUMIF([1]HSF!$H$2:$H$30,"="&amp;"APLICAÇÃO",[1]HSF!$K$2:$K$30)</f>
        <v>2283952.1146078166</v>
      </c>
      <c r="G381" s="15">
        <f t="shared" ref="G381" si="1779">H381*I381</f>
        <v>9826840.2651658878</v>
      </c>
      <c r="H381" s="32">
        <v>1.1138113999999999</v>
      </c>
      <c r="I381" s="15">
        <f>SUMIFS([1]Master!$K$2:$K$10000,[1]Master!$A$2:$A$10000,$I$12,[1]Master!$F$2:$F$10000,"&lt;="&amp;$C381)</f>
        <v>8822714.7479060534</v>
      </c>
      <c r="J381" s="15">
        <f t="shared" ref="J381" si="1780">K381*L381</f>
        <v>0</v>
      </c>
      <c r="K381" s="43">
        <v>0</v>
      </c>
      <c r="L381" s="40">
        <v>0</v>
      </c>
      <c r="M381" s="15">
        <f t="shared" ref="M381:M382" si="1781">N381*O381</f>
        <v>0</v>
      </c>
      <c r="N381" s="32">
        <v>0</v>
      </c>
      <c r="O381" s="40">
        <v>0</v>
      </c>
      <c r="P381" s="15">
        <f t="shared" si="1691"/>
        <v>31260.262710243358</v>
      </c>
      <c r="Q381" s="32">
        <v>4.2426180999999996</v>
      </c>
      <c r="R381" s="40">
        <v>7368.1538081976696</v>
      </c>
      <c r="S381" s="89">
        <f>(((1+1.35%)^(1/252))-1)*D380</f>
        <v>518.51022424261248</v>
      </c>
      <c r="T381" s="15">
        <f>IF((NETWORKDAYS(DATE(YEAR(C381),MONTH(C381),1),C381,Feriados!$A$2:$A$842))&gt;=5,0,IF(NETWORKDAYS(DATE(YEAR(C381),MONTH(C381),1),C381,Feriados!$A$2:$A$842)=1,S380,T380))</f>
        <v>11851.905691097933</v>
      </c>
      <c r="U381" s="26">
        <v>0</v>
      </c>
      <c r="V381" s="26">
        <v>0</v>
      </c>
      <c r="W381" s="15">
        <f t="shared" ref="W381" si="1782">SUM(G381+J381+M381+P381)</f>
        <v>9858100.5278761312</v>
      </c>
      <c r="X381" s="50">
        <f>'Fluxo de Caixa_'!AD387</f>
        <v>0</v>
      </c>
      <c r="AB381" s="26">
        <v>4022.6392999999998</v>
      </c>
      <c r="AC381" s="26">
        <v>0</v>
      </c>
      <c r="AD381">
        <f>SUMIFS([1]Master!$J$2:$J$100,[1]Master!$A$2:$A$100,"="&amp;$I$12,[1]Master!$E$2:$E$100,"="&amp;C381,[1]Master!$J$2:$J$100,"&gt;"&amp;0)</f>
        <v>0</v>
      </c>
      <c r="AE381">
        <f ca="1">-SUMIF('[1]Fluxo de Movimentações'!$A$5:$F$10001,"="&amp;$C381,'[1]Fluxo de Movimentações'!$H$5:$H$10001)</f>
        <v>0</v>
      </c>
      <c r="AF381" s="26">
        <v>0</v>
      </c>
      <c r="AG381" s="26">
        <v>0</v>
      </c>
      <c r="AH381" s="26">
        <v>0</v>
      </c>
      <c r="AI381" s="26">
        <v>0</v>
      </c>
      <c r="AJ381" s="26">
        <v>0</v>
      </c>
      <c r="AK381" s="68">
        <v>4.4048831000000002</v>
      </c>
      <c r="AL381" s="15">
        <f>-SUMIFS([1]Master!$J$1:$J$200,[1]Master!$A$1:$A$200,"="&amp;$I$12,[1]Master!$G$1:$G$200,"&gt;"&amp;C381,[1]Master!$E$1:$E$200,"&lt;="&amp;C381)</f>
        <v>0</v>
      </c>
      <c r="AM381" s="26">
        <v>0</v>
      </c>
      <c r="AN381" s="26">
        <v>0</v>
      </c>
    </row>
    <row r="382" spans="3:40">
      <c r="C382" s="1">
        <f>WORKDAY(C381,1,Feriados!A189:A1029)</f>
        <v>45415</v>
      </c>
      <c r="D382" s="39">
        <v>10132317.047800001</v>
      </c>
      <c r="E382" s="32">
        <v>4.5312479000000003</v>
      </c>
      <c r="F382" s="88">
        <f>SUMIF([1]HSF!$H$2:$H$30,"="&amp;"APLICAÇÃO",[1]HSF!$K$2:$K$30)</f>
        <v>2283952.1146078166</v>
      </c>
      <c r="G382" s="15">
        <f t="shared" ref="G382" si="1783">H382*I382</f>
        <v>10109956.770068821</v>
      </c>
      <c r="H382" s="32">
        <v>1.1459009</v>
      </c>
      <c r="I382" s="15">
        <f>SUMIFS([1]Master!$K$2:$K$10000,[1]Master!$A$2:$A$10000,$I$12,[1]Master!$F$2:$F$10000,"&lt;="&amp;$C382)</f>
        <v>8822714.7479060534</v>
      </c>
      <c r="J382" s="15">
        <f t="shared" ref="J382" si="1784">K382*L382</f>
        <v>0</v>
      </c>
      <c r="K382" s="43">
        <v>0</v>
      </c>
      <c r="L382" s="40">
        <v>0</v>
      </c>
      <c r="M382" s="15">
        <f t="shared" si="1781"/>
        <v>0</v>
      </c>
      <c r="N382" s="32">
        <v>0</v>
      </c>
      <c r="O382" s="40">
        <v>0</v>
      </c>
      <c r="P382" s="15">
        <f t="shared" si="1691"/>
        <v>31272.60731513362</v>
      </c>
      <c r="Q382" s="32">
        <v>4.2442935000000004</v>
      </c>
      <c r="R382" s="40">
        <v>7368.1538081976696</v>
      </c>
      <c r="S382" s="15">
        <f t="shared" si="1777"/>
        <v>1042.6594957715311</v>
      </c>
      <c r="T382" s="15">
        <f>IF((NETWORKDAYS(DATE(YEAR(C382),MONTH(C382),1),C382,Feriados!$A$2:$A$842))&gt;=5,0,IF(NETWORKDAYS(DATE(YEAR(C382),MONTH(C382),1),C382,Feriados!$A$2:$A$842)=1,S381,T381))</f>
        <v>11851.905691097933</v>
      </c>
      <c r="U382" s="26">
        <v>0</v>
      </c>
      <c r="V382" s="26">
        <v>0</v>
      </c>
      <c r="W382" s="15">
        <f t="shared" ref="W382" si="1785">SUM(G382+J382+M382+P382)</f>
        <v>10141229.377383955</v>
      </c>
      <c r="X382" s="50">
        <f>'Fluxo de Caixa_'!AD388</f>
        <v>0</v>
      </c>
      <c r="AB382" s="26">
        <v>3982.1078000000002</v>
      </c>
      <c r="AC382" s="26">
        <v>0</v>
      </c>
      <c r="AD382">
        <f>SUMIFS([1]Master!$J$2:$J$100,[1]Master!$A$2:$A$100,"="&amp;$I$12,[1]Master!$E$2:$E$100,"="&amp;C382,[1]Master!$J$2:$J$100,"&gt;"&amp;0)</f>
        <v>0</v>
      </c>
      <c r="AE382">
        <f ca="1">-SUMIF('[1]Fluxo de Movimentações'!$A$5:$F$10001,"="&amp;$C382,'[1]Fluxo de Movimentações'!$H$5:$H$10001)</f>
        <v>0</v>
      </c>
      <c r="AF382" s="26">
        <v>0</v>
      </c>
      <c r="AG382" s="26">
        <v>0</v>
      </c>
      <c r="AH382" s="26">
        <v>0</v>
      </c>
      <c r="AI382" s="26">
        <v>0</v>
      </c>
      <c r="AJ382" s="26">
        <v>0</v>
      </c>
      <c r="AK382" s="68">
        <v>4.5312479000000003</v>
      </c>
      <c r="AL382" s="15">
        <f>-SUMIFS([1]Master!$J$1:$J$200,[1]Master!$A$1:$A$200,"="&amp;$I$12,[1]Master!$G$1:$G$200,"&gt;"&amp;C382,[1]Master!$E$1:$E$200,"&lt;="&amp;C382)</f>
        <v>0</v>
      </c>
      <c r="AM382" s="26">
        <v>0</v>
      </c>
      <c r="AN382" s="26">
        <v>0</v>
      </c>
    </row>
    <row r="383" spans="3:40">
      <c r="C383" s="1">
        <f>WORKDAY(C382,1,Feriados!A190:A1030)</f>
        <v>45418</v>
      </c>
      <c r="D383" s="39">
        <v>9983183.2763</v>
      </c>
      <c r="E383" s="32">
        <v>4.4645542000000003</v>
      </c>
      <c r="F383" s="88">
        <f>SUMIF([1]HSF!$H$2:$H$30,"="&amp;"APLICAÇÃO",[1]HSF!$K$2:$K$30)</f>
        <v>2283952.1146078166</v>
      </c>
      <c r="G383" s="15">
        <f t="shared" ref="G383" si="1786">H383*I383</f>
        <v>9949390.1941573545</v>
      </c>
      <c r="H383" s="32">
        <v>1.1290617999999999</v>
      </c>
      <c r="I383" s="15">
        <f>SUMIFS([1]Master!$K$2:$K$10000,[1]Master!$A$2:$A$10000,$I$12,[1]Master!$F$2:$F$10000,"&lt;="&amp;$C383)</f>
        <v>8812086.4545743689</v>
      </c>
      <c r="J383" s="15">
        <f t="shared" ref="J383" si="1787">K383*L383</f>
        <v>0</v>
      </c>
      <c r="K383" s="43">
        <v>0</v>
      </c>
      <c r="L383" s="40">
        <v>0</v>
      </c>
      <c r="M383" s="15">
        <f t="shared" ref="M383" si="1788">N383*O383</f>
        <v>0</v>
      </c>
      <c r="N383" s="32">
        <v>0</v>
      </c>
      <c r="O383" s="40">
        <v>0</v>
      </c>
      <c r="P383" s="15">
        <f t="shared" si="1691"/>
        <v>31285.122861192216</v>
      </c>
      <c r="Q383" s="32">
        <v>4.2459920999999996</v>
      </c>
      <c r="R383" s="40">
        <v>7368.1538081976696</v>
      </c>
      <c r="S383" s="15">
        <f t="shared" ref="S383" si="1789">(((1+1.35%)^(1/252))-1)*D382+SUM(S382)</f>
        <v>1581.8452672295557</v>
      </c>
      <c r="T383" s="15">
        <f>IF((NETWORKDAYS(DATE(YEAR(C383),MONTH(C383),1),C383,Feriados!$A$2:$A$842))&gt;=5,0,IF(NETWORKDAYS(DATE(YEAR(C383),MONTH(C383),1),C383,Feriados!$A$2:$A$842)=1,S382,T382))</f>
        <v>11851.905691097933</v>
      </c>
      <c r="U383" s="26">
        <v>0</v>
      </c>
      <c r="V383" s="26">
        <v>0</v>
      </c>
      <c r="W383" s="15">
        <f t="shared" ref="W383" si="1790">SUM(G383+J383+M383+P383)</f>
        <v>9980675.3170185462</v>
      </c>
      <c r="X383" s="50">
        <f>'Fluxo de Caixa_'!AD389</f>
        <v>0</v>
      </c>
      <c r="AB383" s="26">
        <v>3941.5763000000002</v>
      </c>
      <c r="AC383" s="26">
        <v>0</v>
      </c>
      <c r="AD383">
        <f>SUMIFS([1]Master!$J$2:$J$100,[1]Master!$A$2:$A$100,"="&amp;$I$12,[1]Master!$E$2:$E$100,"="&amp;C383,[1]Master!$J$2:$J$100,"&gt;"&amp;0)</f>
        <v>0</v>
      </c>
      <c r="AE383">
        <f ca="1">-SUMIF('[1]Fluxo de Movimentações'!$A$5:$F$10001,"="&amp;$C383,'[1]Fluxo de Movimentações'!$H$5:$H$10001)</f>
        <v>0</v>
      </c>
      <c r="AF383" s="26">
        <v>0</v>
      </c>
      <c r="AG383" s="26">
        <v>0</v>
      </c>
      <c r="AH383" s="26">
        <v>0</v>
      </c>
      <c r="AI383" s="26">
        <v>0</v>
      </c>
      <c r="AJ383" s="26">
        <v>0</v>
      </c>
      <c r="AK383" s="68">
        <v>4.4645542000000003</v>
      </c>
      <c r="AL383" s="15">
        <f>-SUMIFS([1]Master!$J$1:$J$200,[1]Master!$A$1:$A$200,"="&amp;$I$12,[1]Master!$G$1:$G$200,"&gt;"&amp;C383,[1]Master!$E$1:$E$200,"&lt;="&amp;C383)</f>
        <v>12000</v>
      </c>
      <c r="AM383" s="26">
        <v>0</v>
      </c>
      <c r="AN383" s="26">
        <v>0</v>
      </c>
    </row>
    <row r="384" spans="3:40">
      <c r="C384" s="1">
        <f>WORKDAY(C383,1,Feriados!A191:A1031)</f>
        <v>45419</v>
      </c>
      <c r="D384" s="39">
        <v>10012684.5448</v>
      </c>
      <c r="E384" s="32">
        <v>4.4777474000000002</v>
      </c>
      <c r="F384" s="88">
        <f>SUMIF([1]HSF!$H$2:$H$30,"="&amp;"APLICAÇÃO",[1]HSF!$K$2:$K$30)</f>
        <v>2283952.1146078166</v>
      </c>
      <c r="G384" s="15">
        <f t="shared" ref="G384" si="1791">H384*I384</f>
        <v>9979450.8646798432</v>
      </c>
      <c r="H384" s="32">
        <v>1.1324730999999999</v>
      </c>
      <c r="I384" s="15">
        <f>SUMIFS([1]Master!$K$2:$K$10000,[1]Master!$A$2:$A$10000,$I$12,[1]Master!$F$2:$F$10000,"&lt;="&amp;$C384)</f>
        <v>8812086.4545743689</v>
      </c>
      <c r="J384" s="15">
        <f t="shared" ref="J384" si="1792">K384*L384</f>
        <v>0</v>
      </c>
      <c r="K384" s="43">
        <v>0</v>
      </c>
      <c r="L384" s="40">
        <v>0</v>
      </c>
      <c r="M384" s="15">
        <f t="shared" ref="M384" si="1793">N384*O384</f>
        <v>0</v>
      </c>
      <c r="N384" s="32">
        <v>0</v>
      </c>
      <c r="O384" s="40">
        <v>0</v>
      </c>
      <c r="P384" s="15">
        <f t="shared" ref="P384" si="1794">R384*Q384</f>
        <v>31297.492517805425</v>
      </c>
      <c r="Q384" s="32">
        <v>4.2476709000000001</v>
      </c>
      <c r="R384" s="40">
        <v>7368.1538081976696</v>
      </c>
      <c r="S384" s="15">
        <f t="shared" ref="S384" si="1795">(((1+1.35%)^(1/252))-1)*D383+SUM(S383)</f>
        <v>2113.0949656988132</v>
      </c>
      <c r="T384" s="15">
        <f>IF((NETWORKDAYS(DATE(YEAR(C384),MONTH(C384),1),C384,Feriados!$A$2:$A$842))&gt;=5,0,IF(NETWORKDAYS(DATE(YEAR(C384),MONTH(C384),1),C384,Feriados!$A$2:$A$842)=1,S383,T383))</f>
        <v>11851.905691097933</v>
      </c>
      <c r="U384" s="26">
        <v>0</v>
      </c>
      <c r="V384" s="26">
        <v>0</v>
      </c>
      <c r="W384" s="15">
        <f t="shared" ref="W384" si="1796">SUM(G384+J384+M384+P384)</f>
        <v>10010748.357197648</v>
      </c>
      <c r="X384" s="50">
        <f>'Fluxo de Caixa_'!AD390</f>
        <v>0</v>
      </c>
      <c r="AB384" s="26">
        <v>3901.0448000000001</v>
      </c>
      <c r="AC384" s="26">
        <v>0</v>
      </c>
      <c r="AD384">
        <f>SUMIFS([1]Master!$J$2:$J$100,[1]Master!$A$2:$A$100,"="&amp;$I$12,[1]Master!$E$2:$E$100,"="&amp;C384,[1]Master!$J$2:$J$100,"&gt;"&amp;0)</f>
        <v>0</v>
      </c>
      <c r="AE384">
        <f ca="1">-SUMIF('[1]Fluxo de Movimentações'!$A$5:$F$10001,"="&amp;$C384,'[1]Fluxo de Movimentações'!$H$5:$H$10001)</f>
        <v>0</v>
      </c>
      <c r="AF384" s="26">
        <v>0</v>
      </c>
      <c r="AG384" s="26">
        <v>0</v>
      </c>
      <c r="AH384" s="26">
        <v>0</v>
      </c>
      <c r="AI384" s="26">
        <v>0</v>
      </c>
      <c r="AJ384" s="26">
        <v>0</v>
      </c>
      <c r="AK384" s="68">
        <v>4.4777474000000002</v>
      </c>
      <c r="AL384" s="15">
        <f>-SUMIFS([1]Master!$J$1:$J$200,[1]Master!$A$1:$A$200,"="&amp;$I$12,[1]Master!$G$1:$G$200,"&gt;"&amp;C384,[1]Master!$E$1:$E$200,"&lt;="&amp;C384)</f>
        <v>12000</v>
      </c>
      <c r="AM384" s="26">
        <v>0</v>
      </c>
      <c r="AN384" s="26">
        <v>0</v>
      </c>
    </row>
    <row r="385" spans="3:40">
      <c r="C385" s="1">
        <f>WORKDAY(C384,1,Feriados!A192:A1032)</f>
        <v>45420</v>
      </c>
      <c r="D385" s="39">
        <v>9990600.9432999995</v>
      </c>
      <c r="E385" s="32">
        <v>4.4678713999999999</v>
      </c>
      <c r="F385" s="88">
        <f>SUMIF([1]HSF!$H$2:$H$30,"="&amp;"APLICAÇÃO",[1]HSF!$K$2:$K$30)</f>
        <v>2283952.1146078166</v>
      </c>
      <c r="G385" s="15">
        <f t="shared" ref="G385" si="1797">H385*I385</f>
        <v>9957928.2247231919</v>
      </c>
      <c r="H385" s="32">
        <v>1.1300307000000001</v>
      </c>
      <c r="I385" s="15">
        <f>SUMIFS([1]Master!$K$2:$K$10000,[1]Master!$A$2:$A$10000,$I$12,[1]Master!$F$2:$F$10000,"&lt;="&amp;$C385)</f>
        <v>8812086.4545743689</v>
      </c>
      <c r="J385" s="15">
        <f t="shared" ref="J385" si="1798">K385*L385</f>
        <v>0</v>
      </c>
      <c r="K385" s="43">
        <v>0</v>
      </c>
      <c r="L385" s="40">
        <v>0</v>
      </c>
      <c r="M385" s="15">
        <f t="shared" ref="M385" si="1799">N385*O385</f>
        <v>0</v>
      </c>
      <c r="N385" s="32">
        <v>0</v>
      </c>
      <c r="O385" s="40">
        <v>0</v>
      </c>
      <c r="P385" s="15">
        <f t="shared" ref="P385:P388" si="1800">R385*Q385</f>
        <v>24342.936171500394</v>
      </c>
      <c r="Q385" s="32">
        <v>4.2493515999999998</v>
      </c>
      <c r="R385" s="40">
        <v>5728.6236731976696</v>
      </c>
      <c r="S385" s="15">
        <f t="shared" ref="S385" si="1801">(((1+1.35%)^(1/252))-1)*D384+SUM(S384)</f>
        <v>2645.9145582150218</v>
      </c>
      <c r="T385" s="15">
        <f>IF((NETWORKDAYS(DATE(YEAR(C385),MONTH(C385),1),C385,Feriados!$A$2:$A$842))&gt;=5,0,IF(NETWORKDAYS(DATE(YEAR(C385),MONTH(C385),1),C385,Feriados!$A$2:$A$842)=1,S384,T384))</f>
        <v>0</v>
      </c>
      <c r="U385" s="26">
        <v>0</v>
      </c>
      <c r="V385" s="26">
        <v>0</v>
      </c>
      <c r="W385" s="15">
        <f t="shared" ref="W385" si="1802">SUM(G385+J385+M385+P385)</f>
        <v>9982271.1608946919</v>
      </c>
      <c r="X385" s="50">
        <f>'Fluxo de Caixa_'!AD391</f>
        <v>2.4104629119392484E-6</v>
      </c>
      <c r="AB385" s="26">
        <v>10975.6633</v>
      </c>
      <c r="AC385" s="26">
        <v>0</v>
      </c>
      <c r="AD385">
        <f>SUMIFS([1]Master!$J$2:$J$100,[1]Master!$A$2:$A$100,"="&amp;$I$12,[1]Master!$E$2:$E$100,"="&amp;C385,[1]Master!$J$2:$J$100,"&gt;"&amp;0)</f>
        <v>0</v>
      </c>
      <c r="AE385">
        <f ca="1">-SUMIF('[1]Fluxo de Movimentações'!$A$5:$F$10001,"="&amp;$C385,'[1]Fluxo de Movimentações'!$H$5:$H$10001)</f>
        <v>0</v>
      </c>
      <c r="AF385" s="26">
        <v>0</v>
      </c>
      <c r="AG385" s="26">
        <v>0</v>
      </c>
      <c r="AH385" s="26">
        <v>0</v>
      </c>
      <c r="AI385" s="26">
        <v>0</v>
      </c>
      <c r="AJ385" s="26">
        <v>0</v>
      </c>
      <c r="AK385" s="68">
        <v>4.4678713999999999</v>
      </c>
      <c r="AL385" s="15">
        <f>-SUMIFS([1]Master!$J$1:$J$200,[1]Master!$A$1:$A$200,"="&amp;$I$12,[1]Master!$G$1:$G$200,"&gt;"&amp;C385,[1]Master!$E$1:$E$200,"&lt;="&amp;C385)</f>
        <v>0</v>
      </c>
      <c r="AM385" s="26">
        <v>0</v>
      </c>
      <c r="AN385" s="26">
        <v>0</v>
      </c>
    </row>
    <row r="386" spans="3:40">
      <c r="C386" s="1">
        <f>WORKDAY(C385,1,Feriados!A194:A1033)</f>
        <v>45421</v>
      </c>
      <c r="D386" s="39">
        <v>9834336.0971000008</v>
      </c>
      <c r="E386" s="32">
        <v>4.3979885999999997</v>
      </c>
      <c r="F386" s="88">
        <f>SUMIF([1]HSF!$H$2:$H$30,"="&amp;"APLICAÇÃO",[1]HSF!$K$2:$K$30)</f>
        <v>2283952.1146078166</v>
      </c>
      <c r="G386" s="15">
        <f t="shared" ref="G386" si="1803">H386*I386</f>
        <v>9802253.9054166824</v>
      </c>
      <c r="H386" s="32">
        <v>1.1123647000000001</v>
      </c>
      <c r="I386" s="15">
        <f>SUMIFS([1]Master!$K$2:$K$10000,[1]Master!$A$2:$A$10000,$I$12,[1]Master!$F$2:$F$10000,"&lt;="&amp;$C386)</f>
        <v>8812086.4545743689</v>
      </c>
      <c r="J386" s="15">
        <f t="shared" ref="J386" si="1804">K386*L386</f>
        <v>0</v>
      </c>
      <c r="K386" s="43">
        <v>0</v>
      </c>
      <c r="L386" s="40">
        <v>0</v>
      </c>
      <c r="M386" s="15">
        <f t="shared" ref="M386" si="1805">N386*O386</f>
        <v>0</v>
      </c>
      <c r="N386" s="32">
        <v>0</v>
      </c>
      <c r="O386" s="40">
        <v>0</v>
      </c>
      <c r="P386" s="15">
        <f t="shared" si="1800"/>
        <v>24352.816328749559</v>
      </c>
      <c r="Q386" s="32">
        <v>4.2510763000000003</v>
      </c>
      <c r="R386" s="40">
        <v>5728.6236731976696</v>
      </c>
      <c r="S386" s="15">
        <f t="shared" ref="S386" si="1806">(((1+1.35%)^(1/252))-1)*D385+SUM(S385)</f>
        <v>3177.5589838217093</v>
      </c>
      <c r="T386" s="15">
        <f>IF((NETWORKDAYS(DATE(YEAR(C386),MONTH(C386),1),C386,Feriados!$A$2:$A$842))&gt;=5,0,IF(NETWORKDAYS(DATE(YEAR(C386),MONTH(C386),1),C386,Feriados!$A$2:$A$842)=1,S385,T385))</f>
        <v>0</v>
      </c>
      <c r="U386" s="26">
        <v>0</v>
      </c>
      <c r="V386" s="26">
        <v>0</v>
      </c>
      <c r="W386" s="15">
        <f t="shared" ref="W386" si="1807">SUM(G386+J386+M386+P386)</f>
        <v>9826606.7217454314</v>
      </c>
      <c r="X386" s="50">
        <f>'Fluxo de Caixa_'!AD392</f>
        <v>0</v>
      </c>
      <c r="AB386" s="26">
        <v>10906.8971</v>
      </c>
      <c r="AC386" s="26">
        <v>0</v>
      </c>
      <c r="AD386">
        <f>SUMIFS([1]Master!$J$2:$J$100,[1]Master!$A$2:$A$100,"="&amp;$I$12,[1]Master!$E$2:$E$100,"="&amp;C386,[1]Master!$J$2:$J$100,"&gt;"&amp;0)</f>
        <v>0</v>
      </c>
      <c r="AE386">
        <f ca="1">-SUMIF('[1]Fluxo de Movimentações'!$A$5:$F$10001,"="&amp;$C386,'[1]Fluxo de Movimentações'!$H$5:$H$10001)</f>
        <v>0</v>
      </c>
      <c r="AF386" s="26">
        <v>0</v>
      </c>
      <c r="AG386" s="26">
        <v>0</v>
      </c>
      <c r="AH386" s="26">
        <v>0</v>
      </c>
      <c r="AI386" s="26">
        <v>0</v>
      </c>
      <c r="AJ386" s="26">
        <v>0</v>
      </c>
      <c r="AK386" s="68">
        <v>4.3979885999999997</v>
      </c>
      <c r="AL386" s="15">
        <f>-SUMIFS([1]Master!$J$1:$J$200,[1]Master!$A$1:$A$200,"="&amp;$I$12,[1]Master!$G$1:$G$200,"&gt;"&amp;C386,[1]Master!$E$1:$E$200,"&lt;="&amp;C386)</f>
        <v>0</v>
      </c>
      <c r="AM386" s="26">
        <v>0</v>
      </c>
      <c r="AN386" s="26">
        <v>0</v>
      </c>
    </row>
    <row r="387" spans="3:40">
      <c r="C387" s="1">
        <f>WORKDAY(C386,1,Feriados!A195:A1034)</f>
        <v>45422</v>
      </c>
      <c r="D387" s="39">
        <v>9709704.8620999996</v>
      </c>
      <c r="E387" s="32">
        <v>4.3422526000000001</v>
      </c>
      <c r="F387" s="88">
        <f>SUMIF([1]HSF!$H$2:$H$30,"="&amp;"APLICAÇÃO",[1]HSF!$K$2:$K$30)</f>
        <v>2283952.1146078166</v>
      </c>
      <c r="G387" s="15">
        <f t="shared" ref="G387" si="1808">H387*I387</f>
        <v>9678205.2831869926</v>
      </c>
      <c r="H387" s="32">
        <v>1.0982875999999999</v>
      </c>
      <c r="I387" s="15">
        <f>SUMIFS([1]Master!$K$2:$K$10000,[1]Master!$A$2:$A$10000,$I$12,[1]Master!$F$2:$F$10000,"&lt;="&amp;$C387)</f>
        <v>8812086.4545743689</v>
      </c>
      <c r="J387" s="15">
        <f t="shared" ref="J387" si="1809">K387*L387</f>
        <v>0</v>
      </c>
      <c r="K387" s="43">
        <v>0</v>
      </c>
      <c r="L387" s="40">
        <v>0</v>
      </c>
      <c r="M387" s="15">
        <f t="shared" ref="M387" si="1810">N387*O387</f>
        <v>0</v>
      </c>
      <c r="N387" s="32">
        <v>0</v>
      </c>
      <c r="O387" s="40">
        <v>0</v>
      </c>
      <c r="P387" s="15">
        <f t="shared" si="1800"/>
        <v>24362.289753717923</v>
      </c>
      <c r="Q387" s="32">
        <v>4.2527299999999997</v>
      </c>
      <c r="R387" s="40">
        <v>5728.6236731976696</v>
      </c>
      <c r="S387" s="15">
        <f t="shared" ref="S387" si="1811">(((1+1.35%)^(1/252))-1)*D386+SUM(S386)</f>
        <v>3700.8878601564356</v>
      </c>
      <c r="T387" s="15">
        <f>IF((NETWORKDAYS(DATE(YEAR(C387),MONTH(C387),1),C387,Feriados!$A$2:$A$842))&gt;=5,0,IF(NETWORKDAYS(DATE(YEAR(C387),MONTH(C387),1),C387,Feriados!$A$2:$A$842)=1,S386,T386))</f>
        <v>0</v>
      </c>
      <c r="U387" s="26">
        <v>0</v>
      </c>
      <c r="V387" s="26">
        <v>0</v>
      </c>
      <c r="W387" s="15">
        <f t="shared" ref="W387" si="1812">SUM(G387+J387+M387+P387)</f>
        <v>9702567.5729407109</v>
      </c>
      <c r="X387" s="50">
        <f>'Fluxo de Caixa_'!AD393</f>
        <v>0</v>
      </c>
      <c r="AB387" s="26">
        <v>10838.132100000001</v>
      </c>
      <c r="AC387" s="26">
        <v>0</v>
      </c>
      <c r="AD387">
        <f>SUMIFS([1]Master!$J$2:$J$100,[1]Master!$A$2:$A$100,"="&amp;$I$12,[1]Master!$E$2:$E$100,"="&amp;C387,[1]Master!$J$2:$J$100,"&gt;"&amp;0)</f>
        <v>0</v>
      </c>
      <c r="AE387">
        <f ca="1">-SUMIF('[1]Fluxo de Movimentações'!$A$5:$F$10001,"="&amp;$C387,'[1]Fluxo de Movimentações'!$H$5:$H$10001)</f>
        <v>0</v>
      </c>
      <c r="AF387" s="26">
        <v>0</v>
      </c>
      <c r="AG387" s="26">
        <v>0</v>
      </c>
      <c r="AH387" s="26">
        <v>0</v>
      </c>
      <c r="AI387" s="26">
        <v>0</v>
      </c>
      <c r="AJ387" s="26">
        <v>0</v>
      </c>
      <c r="AK387" s="68">
        <v>4.3422526000000001</v>
      </c>
      <c r="AL387" s="15">
        <f>-SUMIFS([1]Master!$J$1:$J$200,[1]Master!$A$1:$A$200,"="&amp;$I$12,[1]Master!$G$1:$G$200,"&gt;"&amp;C387,[1]Master!$E$1:$E$200,"&lt;="&amp;C387)</f>
        <v>0</v>
      </c>
      <c r="AM387" s="26">
        <v>0</v>
      </c>
      <c r="AN387" s="26">
        <v>0</v>
      </c>
    </row>
    <row r="388" spans="3:40">
      <c r="C388" s="1">
        <f>WORKDAY(C387,1,Feriados!A196:A1035)</f>
        <v>45425</v>
      </c>
      <c r="D388" s="39">
        <v>9688760.1490000002</v>
      </c>
      <c r="E388" s="32">
        <v>4.3328860000000002</v>
      </c>
      <c r="F388" s="88">
        <f>SUMIF([1]HSF!$H$2:$H$30,"="&amp;"APLICAÇÃO",[1]HSF!$K$2:$K$30)</f>
        <v>2283952.1146078166</v>
      </c>
      <c r="G388" s="15">
        <f t="shared" ref="G388" si="1813">H388*I388</f>
        <v>9657817.6399656888</v>
      </c>
      <c r="H388" s="32">
        <v>1.095974</v>
      </c>
      <c r="I388" s="15">
        <f>SUMIFS([1]Master!$K$2:$K$10000,[1]Master!$A$2:$A$10000,$I$12,[1]Master!$F$2:$F$10000,"&lt;="&amp;$C388)</f>
        <v>8812086.4545743689</v>
      </c>
      <c r="J388" s="15">
        <f t="shared" ref="J388" si="1814">K388*L388</f>
        <v>0</v>
      </c>
      <c r="K388" s="43">
        <v>0</v>
      </c>
      <c r="L388" s="40">
        <v>0</v>
      </c>
      <c r="M388" s="15">
        <f t="shared" ref="M388" si="1815">N388*O388</f>
        <v>0</v>
      </c>
      <c r="N388" s="32">
        <v>0</v>
      </c>
      <c r="O388" s="40">
        <v>0</v>
      </c>
      <c r="P388" s="15">
        <f t="shared" si="1800"/>
        <v>24371.847962316653</v>
      </c>
      <c r="Q388" s="32">
        <v>4.2543984999999997</v>
      </c>
      <c r="R388" s="40">
        <v>5728.6236731976696</v>
      </c>
      <c r="S388" s="15">
        <f t="shared" ref="S388" si="1816">(((1+1.35%)^(1/252))-1)*D387+SUM(S387)</f>
        <v>4217.5845527296169</v>
      </c>
      <c r="T388" s="15">
        <f>IF((NETWORKDAYS(DATE(YEAR(C388),MONTH(C388),1),C388,Feriados!$A$2:$A$842))&gt;=5,0,IF(NETWORKDAYS(DATE(YEAR(C388),MONTH(C388),1),C388,Feriados!$A$2:$A$842)=1,S387,T387))</f>
        <v>0</v>
      </c>
      <c r="U388" s="26">
        <v>0</v>
      </c>
      <c r="V388" s="26">
        <v>0</v>
      </c>
      <c r="W388" s="15">
        <f t="shared" ref="W388" si="1817">SUM(G388+J388+M388+P388)</f>
        <v>9682189.4879280049</v>
      </c>
      <c r="X388" s="50">
        <f>'Fluxo de Caixa_'!AD394</f>
        <v>0</v>
      </c>
      <c r="AB388" s="26">
        <v>10788.189</v>
      </c>
      <c r="AC388" s="26">
        <v>0</v>
      </c>
      <c r="AD388">
        <f>SUMIFS([1]Master!$J$2:$J$100,[1]Master!$A$2:$A$100,"="&amp;$I$12,[1]Master!$E$2:$E$100,"="&amp;C388,[1]Master!$J$2:$J$100,"&gt;"&amp;0)</f>
        <v>0</v>
      </c>
      <c r="AE388">
        <f ca="1">-SUMIF('[1]Fluxo de Movimentações'!$A$5:$F$10001,"="&amp;$C388,'[1]Fluxo de Movimentações'!$H$5:$H$10001)</f>
        <v>0</v>
      </c>
      <c r="AF388" s="26">
        <v>0</v>
      </c>
      <c r="AG388" s="26">
        <v>0</v>
      </c>
      <c r="AH388" s="26">
        <v>0</v>
      </c>
      <c r="AI388" s="26">
        <v>0</v>
      </c>
      <c r="AJ388" s="26">
        <v>0</v>
      </c>
      <c r="AK388" s="68">
        <v>4.3328860000000002</v>
      </c>
      <c r="AL388" s="15">
        <f>-SUMIFS([1]Master!$J$1:$J$200,[1]Master!$A$1:$A$200,"="&amp;$I$12,[1]Master!$G$1:$G$200,"&gt;"&amp;C388,[1]Master!$E$1:$E$200,"&lt;="&amp;C388)</f>
        <v>0</v>
      </c>
      <c r="AM388" s="26">
        <v>0</v>
      </c>
      <c r="AN388" s="26">
        <v>0</v>
      </c>
    </row>
    <row r="389" spans="3:40">
      <c r="C389" s="1">
        <f>WORKDAY(C388,1,Feriados!A197:A1036)</f>
        <v>45426</v>
      </c>
      <c r="D389" s="39">
        <v>9767846.7358999997</v>
      </c>
      <c r="E389" s="32">
        <v>4.3682540999999997</v>
      </c>
      <c r="F389" s="88">
        <f>SUMIF([1]HSF!$H$2:$H$30,"="&amp;"APLICAÇÃO",[1]HSF!$K$2:$K$30)</f>
        <v>2283952.1146078166</v>
      </c>
      <c r="G389" s="15">
        <f t="shared" ref="G389" si="1818">H389*I389</f>
        <v>9737460.396133488</v>
      </c>
      <c r="H389" s="32">
        <v>1.1050119</v>
      </c>
      <c r="I389" s="15">
        <f>SUMIFS([1]Master!$K$2:$K$10000,[1]Master!$A$2:$A$10000,$I$12,[1]Master!$F$2:$F$10000,"&lt;="&amp;$C389)</f>
        <v>8812086.4545743689</v>
      </c>
      <c r="J389" s="15">
        <f t="shared" ref="J389" si="1819">K389*L389</f>
        <v>0</v>
      </c>
      <c r="K389" s="43">
        <v>0</v>
      </c>
      <c r="L389" s="40">
        <v>0</v>
      </c>
      <c r="M389" s="15">
        <f t="shared" ref="M389" si="1820">N389*O389</f>
        <v>0</v>
      </c>
      <c r="N389" s="32">
        <v>0</v>
      </c>
      <c r="O389" s="40">
        <v>0</v>
      </c>
      <c r="P389" s="15">
        <f t="shared" ref="P389:P396" si="1821">R389*Q389</f>
        <v>24381.207960536292</v>
      </c>
      <c r="Q389" s="32">
        <v>4.2560323999999996</v>
      </c>
      <c r="R389" s="40">
        <v>5728.6236731976696</v>
      </c>
      <c r="S389" s="15">
        <f t="shared" ref="S389" si="1822">(((1+1.35%)^(1/252))-1)*D388+SUM(S388)</f>
        <v>4733.1666837234961</v>
      </c>
      <c r="T389" s="15">
        <f>IF((NETWORKDAYS(DATE(YEAR(C389),MONTH(C389),1),C389,Feriados!$A$2:$A$842))&gt;=5,0,IF(NETWORKDAYS(DATE(YEAR(C389),MONTH(C389),1),C389,Feriados!$A$2:$A$842)=1,S388,T388))</f>
        <v>0</v>
      </c>
      <c r="U389" s="26">
        <v>0</v>
      </c>
      <c r="V389" s="26">
        <v>0</v>
      </c>
      <c r="W389" s="15">
        <f t="shared" ref="W389" si="1823">SUM(G389+J389+M389+P389)</f>
        <v>9761841.6040940247</v>
      </c>
      <c r="X389" s="50">
        <f>'Fluxo de Caixa_'!AD395</f>
        <v>0</v>
      </c>
      <c r="AB389" s="26">
        <v>10738.2459</v>
      </c>
      <c r="AC389" s="26">
        <v>0</v>
      </c>
      <c r="AD389">
        <f>SUMIFS([1]Master!$J$2:$J$100,[1]Master!$A$2:$A$100,"="&amp;$I$12,[1]Master!$E$2:$E$100,"="&amp;C389,[1]Master!$J$2:$J$100,"&gt;"&amp;0)</f>
        <v>0</v>
      </c>
      <c r="AE389">
        <f ca="1">-SUMIF('[1]Fluxo de Movimentações'!$A$5:$F$10001,"="&amp;$C389,'[1]Fluxo de Movimentações'!$H$5:$H$10001)</f>
        <v>0</v>
      </c>
      <c r="AF389" s="26">
        <v>0</v>
      </c>
      <c r="AG389" s="26">
        <v>0</v>
      </c>
      <c r="AH389" s="26">
        <v>0</v>
      </c>
      <c r="AI389" s="26">
        <v>0</v>
      </c>
      <c r="AJ389" s="26">
        <v>0</v>
      </c>
      <c r="AK389" s="68">
        <v>4.3682540999999997</v>
      </c>
      <c r="AL389" s="15">
        <f>-SUMIFS([1]Master!$J$1:$J$200,[1]Master!$A$1:$A$200,"="&amp;$I$12,[1]Master!$G$1:$G$200,"&gt;"&amp;C389,[1]Master!$E$1:$E$200,"&lt;="&amp;C389)</f>
        <v>0</v>
      </c>
      <c r="AM389" s="26">
        <v>0</v>
      </c>
      <c r="AN389" s="26">
        <v>0</v>
      </c>
    </row>
    <row r="390" spans="3:40">
      <c r="C390" s="1">
        <f>WORKDAY(C389,1,Feriados!A198:A1037)</f>
        <v>45427</v>
      </c>
      <c r="D390" s="39">
        <v>9836547.6828000005</v>
      </c>
      <c r="E390" s="32">
        <v>4.3989776999999997</v>
      </c>
      <c r="F390" s="88">
        <f>SUMIF([1]HSF!$H$2:$H$30,"="&amp;"APLICAÇÃO",[1]HSF!$K$2:$K$30)</f>
        <v>2283952.1146078166</v>
      </c>
      <c r="G390" s="15">
        <f t="shared" ref="G390" si="1824">H390*I390</f>
        <v>9806721.6332491506</v>
      </c>
      <c r="H390" s="32">
        <v>1.1128716999999999</v>
      </c>
      <c r="I390" s="15">
        <f>SUMIFS([1]Master!$K$2:$K$10000,[1]Master!$A$2:$A$10000,$I$12,[1]Master!$F$2:$F$10000,"&lt;="&amp;$C390)</f>
        <v>8812086.4545743689</v>
      </c>
      <c r="J390" s="15">
        <f t="shared" ref="J390" si="1825">K390*L390</f>
        <v>0</v>
      </c>
      <c r="K390" s="43">
        <v>0</v>
      </c>
      <c r="L390" s="40">
        <v>0</v>
      </c>
      <c r="M390" s="15">
        <f t="shared" ref="M390" si="1826">N390*O390</f>
        <v>0</v>
      </c>
      <c r="N390" s="32">
        <v>0</v>
      </c>
      <c r="O390" s="40">
        <v>0</v>
      </c>
      <c r="P390" s="15">
        <f t="shared" si="1821"/>
        <v>24390.648159487355</v>
      </c>
      <c r="Q390" s="32">
        <v>4.2576802999999996</v>
      </c>
      <c r="R390" s="40">
        <v>5728.6236731976696</v>
      </c>
      <c r="S390" s="15">
        <f t="shared" ref="S390" si="1827">(((1+1.35%)^(1/252))-1)*D389+SUM(S389)</f>
        <v>5252.9573646638964</v>
      </c>
      <c r="T390" s="15">
        <f>IF((NETWORKDAYS(DATE(YEAR(C390),MONTH(C390),1),C390,Feriados!$A$2:$A$842))&gt;=5,0,IF(NETWORKDAYS(DATE(YEAR(C390),MONTH(C390),1),C390,Feriados!$A$2:$A$842)=1,S389,T389))</f>
        <v>0</v>
      </c>
      <c r="U390" s="26">
        <v>0</v>
      </c>
      <c r="V390" s="26">
        <v>0</v>
      </c>
      <c r="W390" s="15">
        <f t="shared" ref="W390" si="1828">SUM(G390+J390+M390+P390)</f>
        <v>9831112.2814086378</v>
      </c>
      <c r="X390" s="50">
        <f>'Fluxo de Caixa_'!AD396</f>
        <v>0</v>
      </c>
      <c r="AB390" s="26">
        <v>10688.302799999999</v>
      </c>
      <c r="AC390" s="26">
        <v>0</v>
      </c>
      <c r="AD390">
        <f>SUMIFS([1]Master!$J$2:$J$100,[1]Master!$A$2:$A$100,"="&amp;$I$12,[1]Master!$E$2:$E$100,"="&amp;C390,[1]Master!$J$2:$J$100,"&gt;"&amp;0)</f>
        <v>0</v>
      </c>
      <c r="AE390">
        <f ca="1">-SUMIF('[1]Fluxo de Movimentações'!$A$5:$F$10001,"="&amp;$C390,'[1]Fluxo de Movimentações'!$H$5:$H$10001)</f>
        <v>0</v>
      </c>
      <c r="AF390" s="26">
        <v>0</v>
      </c>
      <c r="AG390" s="26">
        <v>0</v>
      </c>
      <c r="AH390" s="26">
        <v>0</v>
      </c>
      <c r="AI390" s="26">
        <v>0</v>
      </c>
      <c r="AJ390" s="26">
        <v>0</v>
      </c>
      <c r="AK390" s="68">
        <v>4.3989776999999997</v>
      </c>
      <c r="AL390" s="15">
        <f>-SUMIFS([1]Master!$J$1:$J$200,[1]Master!$A$1:$A$200,"="&amp;$I$12,[1]Master!$G$1:$G$200,"&gt;"&amp;C390,[1]Master!$E$1:$E$200,"&lt;="&amp;C390)</f>
        <v>0</v>
      </c>
      <c r="AM390" s="26">
        <v>0</v>
      </c>
      <c r="AN390" s="26">
        <v>0</v>
      </c>
    </row>
    <row r="391" spans="3:40">
      <c r="C391" s="1">
        <f>WORKDAY(C390,1,Feriados!A199:A1038)</f>
        <v>45428</v>
      </c>
      <c r="D391" s="39">
        <v>9889185.6996999998</v>
      </c>
      <c r="E391" s="32">
        <v>4.4225177999999996</v>
      </c>
      <c r="F391" s="88">
        <f>SUMIF([1]HSF!$H$2:$H$30,"="&amp;"APLICAÇÃO",[1]HSF!$K$2:$K$30)</f>
        <v>2283952.1146078166</v>
      </c>
      <c r="G391" s="15">
        <f t="shared" ref="G391" si="1829">H391*I391</f>
        <v>9859923.7240099981</v>
      </c>
      <c r="H391" s="32">
        <v>1.1189091</v>
      </c>
      <c r="I391" s="15">
        <f>SUMIFS([1]Master!$K$2:$K$10000,[1]Master!$A$2:$A$10000,$I$12,[1]Master!$F$2:$F$10000,"&lt;="&amp;$C391)</f>
        <v>8812086.4545743689</v>
      </c>
      <c r="J391" s="15">
        <f t="shared" ref="J391" si="1830">K391*L391</f>
        <v>0</v>
      </c>
      <c r="K391" s="43">
        <v>0</v>
      </c>
      <c r="L391" s="40">
        <v>0</v>
      </c>
      <c r="M391" s="15">
        <f t="shared" ref="M391" si="1831">N391*O391</f>
        <v>0</v>
      </c>
      <c r="N391" s="32">
        <v>0</v>
      </c>
      <c r="O391" s="40">
        <v>0</v>
      </c>
      <c r="P391" s="15">
        <f t="shared" si="1821"/>
        <v>24399.960610130507</v>
      </c>
      <c r="Q391" s="32">
        <v>4.2593059000000002</v>
      </c>
      <c r="R391" s="40">
        <v>5728.6236731976696</v>
      </c>
      <c r="S391" s="15">
        <f t="shared" ref="S391" si="1832">(((1+1.35%)^(1/252))-1)*D390+SUM(S390)</f>
        <v>5776.4039293354735</v>
      </c>
      <c r="T391" s="15">
        <f>IF((NETWORKDAYS(DATE(YEAR(C391),MONTH(C391),1),C391,Feriados!$A$2:$A$842))&gt;=5,0,IF(NETWORKDAYS(DATE(YEAR(C391),MONTH(C391),1),C391,Feriados!$A$2:$A$842)=1,S390,T390))</f>
        <v>0</v>
      </c>
      <c r="U391" s="26">
        <v>0</v>
      </c>
      <c r="V391" s="26">
        <v>0</v>
      </c>
      <c r="W391" s="15">
        <f t="shared" ref="W391" si="1833">SUM(G391+J391+M391+P391)</f>
        <v>9884323.6846201289</v>
      </c>
      <c r="X391" s="50">
        <f>'Fluxo de Caixa_'!AD397</f>
        <v>0</v>
      </c>
      <c r="AB391" s="26">
        <v>10638.359700000001</v>
      </c>
      <c r="AC391" s="26">
        <v>0</v>
      </c>
      <c r="AD391">
        <f>SUMIFS([1]Master!$J$2:$J$100,[1]Master!$A$2:$A$100,"="&amp;$I$12,[1]Master!$E$2:$E$100,"="&amp;C391,[1]Master!$J$2:$J$100,"&gt;"&amp;0)</f>
        <v>0</v>
      </c>
      <c r="AE391">
        <f ca="1">-SUMIF('[1]Fluxo de Movimentações'!$A$5:$F$10001,"="&amp;$C391,'[1]Fluxo de Movimentações'!$H$5:$H$10001)</f>
        <v>0</v>
      </c>
      <c r="AF391" s="26">
        <v>0</v>
      </c>
      <c r="AG391" s="26">
        <v>0</v>
      </c>
      <c r="AH391" s="26">
        <v>0</v>
      </c>
      <c r="AI391" s="26">
        <v>0</v>
      </c>
      <c r="AJ391" s="26">
        <v>0</v>
      </c>
      <c r="AK391" s="68">
        <v>4.4225177999999996</v>
      </c>
      <c r="AL391" s="15">
        <f>-SUMIFS([1]Master!$J$1:$J$200,[1]Master!$A$1:$A$200,"="&amp;$I$12,[1]Master!$G$1:$G$200,"&gt;"&amp;C391,[1]Master!$E$1:$E$200,"&lt;="&amp;C391)</f>
        <v>0</v>
      </c>
      <c r="AM391" s="26">
        <v>0</v>
      </c>
      <c r="AN391" s="26">
        <v>0</v>
      </c>
    </row>
    <row r="392" spans="3:40">
      <c r="C392" s="1">
        <f>WORKDAY(C391,1,Feriados!A200:A1039)</f>
        <v>45429</v>
      </c>
      <c r="D392" s="39">
        <v>9825008.0766000003</v>
      </c>
      <c r="E392" s="32">
        <v>4.3938170999999997</v>
      </c>
      <c r="F392" s="88">
        <f>SUMIF([1]HSF!$H$2:$H$30,"="&amp;"APLICAÇÃO",[1]HSF!$K$2:$K$30)</f>
        <v>2283952.1146078166</v>
      </c>
      <c r="G392" s="15">
        <f t="shared" ref="G392" si="1834">H392*I392</f>
        <v>9796312.7967290059</v>
      </c>
      <c r="H392" s="32">
        <v>1.1116904999999999</v>
      </c>
      <c r="I392" s="15">
        <f>SUMIFS([1]Master!$K$2:$K$10000,[1]Master!$A$2:$A$10000,$I$12,[1]Master!$F$2:$F$10000,"&lt;="&amp;$C392)</f>
        <v>8812086.4545743689</v>
      </c>
      <c r="J392" s="15">
        <f t="shared" ref="J392" si="1835">K392*L392</f>
        <v>0</v>
      </c>
      <c r="K392" s="43">
        <v>0</v>
      </c>
      <c r="L392" s="40">
        <v>0</v>
      </c>
      <c r="M392" s="15">
        <f t="shared" ref="M392" si="1836">N392*O392</f>
        <v>0</v>
      </c>
      <c r="N392" s="32">
        <v>0</v>
      </c>
      <c r="O392" s="40">
        <v>0</v>
      </c>
      <c r="P392" s="15">
        <f t="shared" si="1821"/>
        <v>24409.444346621487</v>
      </c>
      <c r="Q392" s="32">
        <v>4.2609614000000002</v>
      </c>
      <c r="R392" s="40">
        <v>5728.6236731976696</v>
      </c>
      <c r="S392" s="15">
        <f t="shared" ref="S392" si="1837">(((1+1.35%)^(1/252))-1)*D391+SUM(S391)</f>
        <v>6302.6515976061928</v>
      </c>
      <c r="T392" s="15">
        <f>IF((NETWORKDAYS(DATE(YEAR(C392),MONTH(C392),1),C392,Feriados!$A$2:$A$842))&gt;=5,0,IF(NETWORKDAYS(DATE(YEAR(C392),MONTH(C392),1),C392,Feriados!$A$2:$A$842)=1,S391,T391))</f>
        <v>0</v>
      </c>
      <c r="U392" s="26">
        <v>0</v>
      </c>
      <c r="V392" s="26">
        <v>0</v>
      </c>
      <c r="W392" s="15">
        <f t="shared" ref="W392" si="1838">SUM(G392+J392+M392+P392)</f>
        <v>9820722.2410756275</v>
      </c>
      <c r="X392" s="50">
        <f>'Fluxo de Caixa_'!AD398</f>
        <v>0</v>
      </c>
      <c r="AB392" s="26">
        <v>10588.4166</v>
      </c>
      <c r="AC392" s="26">
        <v>0</v>
      </c>
      <c r="AD392">
        <f>SUMIFS([1]Master!$J$2:$J$100,[1]Master!$A$2:$A$100,"="&amp;$I$12,[1]Master!$E$2:$E$100,"="&amp;C392,[1]Master!$J$2:$J$100,"&gt;"&amp;0)</f>
        <v>0</v>
      </c>
      <c r="AE392">
        <f ca="1">-SUMIF('[1]Fluxo de Movimentações'!$A$5:$F$10001,"="&amp;$C392,'[1]Fluxo de Movimentações'!$H$5:$H$10001)</f>
        <v>0</v>
      </c>
      <c r="AF392" s="26">
        <v>0</v>
      </c>
      <c r="AG392" s="26">
        <v>0</v>
      </c>
      <c r="AH392" s="26">
        <v>0</v>
      </c>
      <c r="AI392" s="26">
        <v>0</v>
      </c>
      <c r="AJ392" s="26">
        <v>0</v>
      </c>
      <c r="AK392" s="68">
        <v>4.3938170999999997</v>
      </c>
      <c r="AL392" s="15">
        <f>-SUMIFS([1]Master!$J$1:$J$200,[1]Master!$A$1:$A$200,"="&amp;$I$12,[1]Master!$G$1:$G$200,"&gt;"&amp;C392,[1]Master!$E$1:$E$200,"&lt;="&amp;C392)</f>
        <v>0</v>
      </c>
      <c r="AM392" s="26">
        <v>0</v>
      </c>
      <c r="AN392" s="26">
        <v>0</v>
      </c>
    </row>
    <row r="393" spans="3:40">
      <c r="C393" s="1">
        <f>WORKDAY(C392,1,Feriados!A201:A1040)</f>
        <v>45432</v>
      </c>
      <c r="D393" s="39">
        <v>9835699.5734999999</v>
      </c>
      <c r="E393" s="32">
        <v>4.3985984</v>
      </c>
      <c r="F393" s="88">
        <f>SUMIF([1]HSF!$H$2:$H$30,"="&amp;"APLICAÇÃO",[1]HSF!$K$2:$K$30)</f>
        <v>2283952.1146078166</v>
      </c>
      <c r="G393" s="15">
        <f t="shared" ref="G393" si="1839">H393*I393</f>
        <v>9807567.5935487896</v>
      </c>
      <c r="H393" s="32">
        <v>1.1129677</v>
      </c>
      <c r="I393" s="15">
        <f>SUMIFS([1]Master!$K$2:$K$10000,[1]Master!$A$2:$A$10000,$I$12,[1]Master!$F$2:$F$10000,"&lt;="&amp;$C393)</f>
        <v>8812086.4545743689</v>
      </c>
      <c r="J393" s="15">
        <f t="shared" ref="J393" si="1840">K393*L393</f>
        <v>0</v>
      </c>
      <c r="K393" s="43">
        <v>0</v>
      </c>
      <c r="L393" s="40">
        <v>0</v>
      </c>
      <c r="M393" s="15">
        <f t="shared" ref="M393:M394" si="1841">N393*O393</f>
        <v>0</v>
      </c>
      <c r="N393" s="32">
        <v>0</v>
      </c>
      <c r="O393" s="40">
        <v>0</v>
      </c>
      <c r="P393" s="15">
        <f t="shared" si="1821"/>
        <v>24418.913761553282</v>
      </c>
      <c r="Q393" s="32">
        <v>4.2626144000000004</v>
      </c>
      <c r="R393" s="40">
        <v>5728.6236731976696</v>
      </c>
      <c r="S393" s="15">
        <f t="shared" ref="S393" si="1842">(((1+1.35%)^(1/252))-1)*D392+SUM(S392)</f>
        <v>6825.484088375234</v>
      </c>
      <c r="T393" s="15">
        <f>IF((NETWORKDAYS(DATE(YEAR(C393),MONTH(C393),1),C393,Feriados!$A$2:$A$842))&gt;=5,0,IF(NETWORKDAYS(DATE(YEAR(C393),MONTH(C393),1),C393,Feriados!$A$2:$A$842)=1,S392,T392))</f>
        <v>0</v>
      </c>
      <c r="U393" s="26">
        <v>0</v>
      </c>
      <c r="V393" s="26">
        <v>0</v>
      </c>
      <c r="W393" s="15">
        <f t="shared" ref="W393" si="1843">SUM(G393+J393+M393+P393)</f>
        <v>9831986.507310342</v>
      </c>
      <c r="X393" s="50">
        <f>'Fluxo de Caixa_'!AD399</f>
        <v>0</v>
      </c>
      <c r="AB393" s="26">
        <v>10538.4735</v>
      </c>
      <c r="AC393" s="26">
        <v>0</v>
      </c>
      <c r="AD393">
        <f>SUMIFS([1]Master!$J$2:$J$100,[1]Master!$A$2:$A$100,"="&amp;$I$12,[1]Master!$E$2:$E$100,"="&amp;C393,[1]Master!$J$2:$J$100,"&gt;"&amp;0)</f>
        <v>0</v>
      </c>
      <c r="AE393">
        <f ca="1">-SUMIF('[1]Fluxo de Movimentações'!$A$5:$F$10001,"="&amp;$C393,'[1]Fluxo de Movimentações'!$H$5:$H$10001)</f>
        <v>0</v>
      </c>
      <c r="AF393" s="26">
        <v>0</v>
      </c>
      <c r="AG393" s="26">
        <v>0</v>
      </c>
      <c r="AH393" s="26">
        <v>0</v>
      </c>
      <c r="AI393" s="26">
        <v>0</v>
      </c>
      <c r="AJ393" s="26">
        <v>0</v>
      </c>
      <c r="AK393" s="68">
        <v>4.3985984</v>
      </c>
      <c r="AL393" s="15">
        <f>-SUMIFS([1]Master!$J$1:$J$200,[1]Master!$A$1:$A$200,"="&amp;$I$12,[1]Master!$G$1:$G$200,"&gt;"&amp;C393,[1]Master!$E$1:$E$200,"&lt;="&amp;C393)</f>
        <v>0</v>
      </c>
      <c r="AM393" s="26">
        <v>0</v>
      </c>
      <c r="AN393" s="26">
        <v>0</v>
      </c>
    </row>
    <row r="394" spans="3:40">
      <c r="C394" s="1">
        <f>WORKDAY(C393,1,Feriados!A202:A1041)</f>
        <v>45433</v>
      </c>
      <c r="D394" s="39">
        <v>9831724.4803999998</v>
      </c>
      <c r="E394" s="32">
        <v>4.3968207000000001</v>
      </c>
      <c r="F394" s="88">
        <f>SUMIF([1]HSF!$H$2:$H$30,"="&amp;"APLICAÇÃO",[1]HSF!$K$2:$K$30)</f>
        <v>2283952.1146078166</v>
      </c>
      <c r="G394" s="15">
        <f t="shared" ref="G394" si="1844">H394*I394</f>
        <v>9804156.4348822236</v>
      </c>
      <c r="H394" s="32">
        <v>1.1125806</v>
      </c>
      <c r="I394" s="15">
        <f>SUMIFS([1]Master!$K$2:$K$10000,[1]Master!$A$2:$A$10000,$I$12,[1]Master!$F$2:$F$10000,"&lt;="&amp;$C394)</f>
        <v>8812086.4545743689</v>
      </c>
      <c r="J394" s="15">
        <f t="shared" ref="J394" si="1845">K394*L394</f>
        <v>0</v>
      </c>
      <c r="K394" s="43">
        <v>0</v>
      </c>
      <c r="L394" s="40">
        <v>0</v>
      </c>
      <c r="M394" s="15">
        <f t="shared" si="1841"/>
        <v>0</v>
      </c>
      <c r="N394" s="32">
        <v>0</v>
      </c>
      <c r="O394" s="40">
        <v>0</v>
      </c>
      <c r="P394" s="15">
        <f t="shared" si="1821"/>
        <v>24428.327035973078</v>
      </c>
      <c r="Q394" s="32">
        <v>4.2642575999999996</v>
      </c>
      <c r="R394" s="40">
        <v>5728.6236731976696</v>
      </c>
      <c r="S394" s="15">
        <f t="shared" ref="S394" si="1846">(((1+1.35%)^(1/252))-1)*D393+SUM(S393)</f>
        <v>7348.8855213691259</v>
      </c>
      <c r="T394" s="15">
        <f>IF((NETWORKDAYS(DATE(YEAR(C394),MONTH(C394),1),C394,Feriados!$A$2:$A$842))&gt;=5,0,IF(NETWORKDAYS(DATE(YEAR(C394),MONTH(C394),1),C394,Feriados!$A$2:$A$842)=1,S393,T393))</f>
        <v>0</v>
      </c>
      <c r="U394" s="26">
        <v>0</v>
      </c>
      <c r="V394" s="26">
        <v>0</v>
      </c>
      <c r="W394" s="15">
        <f t="shared" ref="W394" si="1847">SUM(G394+J394+M394+P394)</f>
        <v>9828584.7619181965</v>
      </c>
      <c r="X394" s="50">
        <f>'Fluxo de Caixa_'!AD400</f>
        <v>0</v>
      </c>
      <c r="AB394" s="26">
        <v>10488.5304</v>
      </c>
      <c r="AC394" s="26">
        <v>0</v>
      </c>
      <c r="AD394">
        <f>SUMIFS([1]Master!$J$2:$J$100,[1]Master!$A$2:$A$100,"="&amp;$I$12,[1]Master!$E$2:$E$100,"="&amp;C394,[1]Master!$J$2:$J$100,"&gt;"&amp;0)</f>
        <v>0</v>
      </c>
      <c r="AE394">
        <f ca="1">-SUMIF('[1]Fluxo de Movimentações'!$A$5:$F$10001,"="&amp;$C394,'[1]Fluxo de Movimentações'!$H$5:$H$10001)</f>
        <v>0</v>
      </c>
      <c r="AF394" s="26">
        <v>0</v>
      </c>
      <c r="AG394" s="26">
        <v>0</v>
      </c>
      <c r="AH394" s="26">
        <v>0</v>
      </c>
      <c r="AI394" s="26">
        <v>0</v>
      </c>
      <c r="AJ394" s="26">
        <v>0</v>
      </c>
      <c r="AK394" s="68">
        <v>4.3968207000000001</v>
      </c>
      <c r="AL394" s="15">
        <f>-SUMIFS([1]Master!$J$1:$J$200,[1]Master!$A$1:$A$200,"="&amp;$I$12,[1]Master!$G$1:$G$200,"&gt;"&amp;C394,[1]Master!$E$1:$E$200,"&lt;="&amp;C394)</f>
        <v>0</v>
      </c>
      <c r="AM394" s="26">
        <v>0</v>
      </c>
      <c r="AN394" s="26">
        <v>0</v>
      </c>
    </row>
    <row r="395" spans="3:40">
      <c r="C395" s="1">
        <f>WORKDAY(C394,1,Feriados!A203:A1042)</f>
        <v>45434</v>
      </c>
      <c r="D395" s="39">
        <v>9669946.9672999997</v>
      </c>
      <c r="E395" s="32">
        <v>4.3244726</v>
      </c>
      <c r="F395" s="88">
        <f>SUMIF([1]HSF!$H$2:$H$30,"="&amp;"APLICAÇÃO",[1]HSF!$K$2:$K$30)</f>
        <v>2283952.1146078166</v>
      </c>
      <c r="G395" s="15">
        <f t="shared" ref="G395" si="1848">H395*I395</f>
        <v>9642942.8380303681</v>
      </c>
      <c r="H395" s="32">
        <v>1.0942860000000001</v>
      </c>
      <c r="I395" s="15">
        <f>SUMIFS([1]Master!$K$2:$K$10000,[1]Master!$A$2:$A$10000,$I$12,[1]Master!$F$2:$F$10000,"&lt;="&amp;$C395)</f>
        <v>8812086.4545743689</v>
      </c>
      <c r="J395" s="15">
        <f t="shared" ref="J395" si="1849">K395*L395</f>
        <v>0</v>
      </c>
      <c r="K395" s="43">
        <v>0</v>
      </c>
      <c r="L395" s="40">
        <v>0</v>
      </c>
      <c r="M395" s="15">
        <f t="shared" ref="M395" si="1850">N395*O395</f>
        <v>0</v>
      </c>
      <c r="N395" s="32">
        <v>0</v>
      </c>
      <c r="O395" s="40">
        <v>0</v>
      </c>
      <c r="P395" s="15">
        <f t="shared" si="1821"/>
        <v>24437.534652803013</v>
      </c>
      <c r="Q395" s="32">
        <v>4.2658649000000004</v>
      </c>
      <c r="R395" s="40">
        <v>5728.6236731976696</v>
      </c>
      <c r="S395" s="15">
        <f t="shared" ref="S395" si="1851">(((1+1.35%)^(1/252))-1)*D394+SUM(S394)</f>
        <v>7872.0754219336995</v>
      </c>
      <c r="T395" s="15">
        <f>IF((NETWORKDAYS(DATE(YEAR(C395),MONTH(C395),1),C395,Feriados!$A$2:$A$842))&gt;=5,0,IF(NETWORKDAYS(DATE(YEAR(C395),MONTH(C395),1),C395,Feriados!$A$2:$A$842)=1,S394,T394))</f>
        <v>0</v>
      </c>
      <c r="U395" s="26">
        <v>0</v>
      </c>
      <c r="V395" s="26">
        <v>0</v>
      </c>
      <c r="W395" s="15">
        <f t="shared" ref="W395" si="1852">SUM(G395+J395+M395+P395)</f>
        <v>9667380.3726831712</v>
      </c>
      <c r="X395" s="50">
        <f>'Fluxo de Caixa_'!AD401</f>
        <v>0</v>
      </c>
      <c r="AB395" s="26">
        <v>10438.587299999999</v>
      </c>
      <c r="AC395" s="26">
        <v>0</v>
      </c>
      <c r="AD395">
        <f>SUMIFS([1]Master!$J$2:$J$100,[1]Master!$A$2:$A$100,"="&amp;$I$12,[1]Master!$E$2:$E$100,"="&amp;C395,[1]Master!$J$2:$J$100,"&gt;"&amp;0)</f>
        <v>0</v>
      </c>
      <c r="AE395">
        <f ca="1">-SUMIF('[1]Fluxo de Movimentações'!$A$5:$F$10001,"="&amp;$C395,'[1]Fluxo de Movimentações'!$H$5:$H$10001)</f>
        <v>0</v>
      </c>
      <c r="AF395" s="26">
        <v>0</v>
      </c>
      <c r="AG395" s="26">
        <v>0</v>
      </c>
      <c r="AH395" s="26">
        <v>0</v>
      </c>
      <c r="AI395" s="26">
        <v>0</v>
      </c>
      <c r="AJ395" s="26">
        <v>0</v>
      </c>
      <c r="AK395" s="68">
        <v>4.3244726</v>
      </c>
      <c r="AL395" s="15">
        <f>-SUMIFS([1]Master!$J$1:$J$200,[1]Master!$A$1:$A$200,"="&amp;$I$12,[1]Master!$G$1:$G$200,"&gt;"&amp;C395,[1]Master!$E$1:$E$200,"&lt;="&amp;C395)</f>
        <v>0</v>
      </c>
      <c r="AM395" s="26">
        <v>0</v>
      </c>
      <c r="AN395" s="26">
        <v>0</v>
      </c>
    </row>
    <row r="396" spans="3:40">
      <c r="C396" s="1">
        <f>WORKDAY(C395,1,Feriados!A204:A1043)</f>
        <v>45435</v>
      </c>
      <c r="D396" s="39">
        <v>9592428.5441999994</v>
      </c>
      <c r="E396" s="32">
        <v>4.2898057999999999</v>
      </c>
      <c r="F396" s="88">
        <f>SUMIF([1]HSF!$H$2:$H$30,"="&amp;"APLICAÇÃO",[1]HSF!$K$2:$K$30)</f>
        <v>2283952.1146078166</v>
      </c>
      <c r="G396" s="15">
        <f t="shared" ref="G396" si="1853">H396*I396</f>
        <v>9565979.8373534065</v>
      </c>
      <c r="H396" s="32">
        <v>1.0855522</v>
      </c>
      <c r="I396" s="15">
        <f>SUMIFS([1]Master!$K$2:$K$10000,[1]Master!$A$2:$A$10000,$I$12,[1]Master!$F$2:$F$10000,"&lt;="&amp;$C396)</f>
        <v>8812086.4545743689</v>
      </c>
      <c r="J396" s="15">
        <f t="shared" ref="J396" si="1854">K396*L396</f>
        <v>0</v>
      </c>
      <c r="K396" s="43">
        <v>0</v>
      </c>
      <c r="L396" s="40">
        <v>0</v>
      </c>
      <c r="M396" s="15">
        <f t="shared" ref="M396" si="1855">N396*O396</f>
        <v>0</v>
      </c>
      <c r="N396" s="32">
        <v>0</v>
      </c>
      <c r="O396" s="40">
        <v>0</v>
      </c>
      <c r="P396" s="15">
        <f t="shared" si="1821"/>
        <v>24446.632852920782</v>
      </c>
      <c r="Q396" s="32">
        <v>4.2674531</v>
      </c>
      <c r="R396" s="40">
        <v>5728.6236731976696</v>
      </c>
      <c r="S396" s="15">
        <f t="shared" ref="S396" si="1856">(((1+1.35%)^(1/252))-1)*D395+SUM(S395)</f>
        <v>8386.6564196388499</v>
      </c>
      <c r="T396" s="15">
        <f>IF((NETWORKDAYS(DATE(YEAR(C396),MONTH(C396),1),C396,Feriados!$A$2:$A$842))&gt;=5,0,IF(NETWORKDAYS(DATE(YEAR(C396),MONTH(C396),1),C396,Feriados!$A$2:$A$842)=1,S395,T395))</f>
        <v>0</v>
      </c>
      <c r="U396" s="26">
        <v>0</v>
      </c>
      <c r="V396" s="26">
        <v>0</v>
      </c>
      <c r="W396" s="15">
        <f t="shared" ref="W396" si="1857">SUM(G396+J396+M396+P396)</f>
        <v>9590426.4702063277</v>
      </c>
      <c r="X396" s="50">
        <f>'Fluxo de Caixa_'!AD402</f>
        <v>0</v>
      </c>
      <c r="AB396" s="26">
        <v>10388.644200000001</v>
      </c>
      <c r="AC396" s="26">
        <v>0</v>
      </c>
      <c r="AD396">
        <f>SUMIFS([1]Master!$J$2:$J$100,[1]Master!$A$2:$A$100,"="&amp;$I$12,[1]Master!$E$2:$E$100,"="&amp;C396,[1]Master!$J$2:$J$100,"&gt;"&amp;0)</f>
        <v>0</v>
      </c>
      <c r="AE396">
        <f ca="1">-SUMIF('[1]Fluxo de Movimentações'!$A$5:$F$10001,"="&amp;$C396,'[1]Fluxo de Movimentações'!$H$5:$H$10001)</f>
        <v>0</v>
      </c>
      <c r="AF396" s="26">
        <v>0</v>
      </c>
      <c r="AG396" s="26">
        <v>0</v>
      </c>
      <c r="AH396" s="26">
        <v>0</v>
      </c>
      <c r="AI396" s="26">
        <v>0</v>
      </c>
      <c r="AJ396" s="26">
        <v>0</v>
      </c>
      <c r="AK396" s="68">
        <v>4.2898057999999999</v>
      </c>
      <c r="AL396" s="15">
        <f>-SUMIFS([1]Master!$J$1:$J$200,[1]Master!$A$1:$A$200,"="&amp;$I$12,[1]Master!$G$1:$G$200,"&gt;"&amp;C396,[1]Master!$E$1:$E$200,"&lt;="&amp;C396)</f>
        <v>0</v>
      </c>
      <c r="AM396" s="26">
        <v>0</v>
      </c>
      <c r="AN396" s="26">
        <v>0</v>
      </c>
    </row>
    <row r="397" spans="3:40">
      <c r="C397" s="1">
        <f>WORKDAY(C396,1,Feriados!A205:A1044)</f>
        <v>45436</v>
      </c>
      <c r="D397" s="39">
        <v>9535376.8211000003</v>
      </c>
      <c r="E397" s="32">
        <v>4.2642917999999996</v>
      </c>
      <c r="F397" s="88">
        <f>SUMIF([1]HSF!$H$2:$H$30,"="&amp;"APLICAÇÃO",[1]HSF!$K$2:$K$30)</f>
        <v>2283952.1146078166</v>
      </c>
      <c r="G397" s="15">
        <f t="shared" ref="G397" si="1858">H397*I397</f>
        <v>9509479.3826326113</v>
      </c>
      <c r="H397" s="32">
        <v>1.0791405000000001</v>
      </c>
      <c r="I397" s="15">
        <f>SUMIFS([1]Master!$K$2:$K$10000,[1]Master!$A$2:$A$10000,$I$12,[1]Master!$F$2:$F$10000,"&lt;="&amp;$C397)</f>
        <v>8812086.4545743689</v>
      </c>
      <c r="J397" s="15">
        <f t="shared" ref="J397" si="1859">K397*L397</f>
        <v>0</v>
      </c>
      <c r="K397" s="43">
        <v>0</v>
      </c>
      <c r="L397" s="40">
        <v>0</v>
      </c>
      <c r="M397" s="15">
        <f t="shared" ref="M397" si="1860">N397*O397</f>
        <v>0</v>
      </c>
      <c r="N397" s="32">
        <v>0</v>
      </c>
      <c r="O397" s="40">
        <v>0</v>
      </c>
      <c r="P397" s="15">
        <f t="shared" ref="P397:P406" si="1861">R397*Q397</f>
        <v>24455.753394670879</v>
      </c>
      <c r="Q397" s="32">
        <v>4.2690451999999999</v>
      </c>
      <c r="R397" s="40">
        <v>5728.6236731976696</v>
      </c>
      <c r="S397" s="15">
        <f t="shared" ref="S397" si="1862">(((1+1.35%)^(1/252))-1)*D396+SUM(S396)</f>
        <v>8897.1123163859284</v>
      </c>
      <c r="T397" s="15">
        <f>IF((NETWORKDAYS(DATE(YEAR(C397),MONTH(C397),1),C397,Feriados!$A$2:$A$842))&gt;=5,0,IF(NETWORKDAYS(DATE(YEAR(C397),MONTH(C397),1),C397,Feriados!$A$2:$A$842)=1,S396,T396))</f>
        <v>0</v>
      </c>
      <c r="U397" s="26">
        <v>0</v>
      </c>
      <c r="V397" s="26">
        <v>0</v>
      </c>
      <c r="W397" s="15">
        <f t="shared" ref="W397" si="1863">SUM(G397+J397+M397+P397)</f>
        <v>9533935.1360272821</v>
      </c>
      <c r="X397" s="50">
        <f>'Fluxo de Caixa_'!AD403</f>
        <v>0</v>
      </c>
      <c r="AB397" s="26">
        <v>10338.7011</v>
      </c>
      <c r="AC397" s="26">
        <v>0</v>
      </c>
      <c r="AD397">
        <f>SUMIFS([1]Master!$J$2:$J$100,[1]Master!$A$2:$A$100,"="&amp;$I$12,[1]Master!$E$2:$E$100,"="&amp;C397,[1]Master!$J$2:$J$100,"&gt;"&amp;0)</f>
        <v>0</v>
      </c>
      <c r="AE397">
        <f ca="1">-SUMIF('[1]Fluxo de Movimentações'!$A$5:$F$10001,"="&amp;$C397,'[1]Fluxo de Movimentações'!$H$5:$H$10001)</f>
        <v>0</v>
      </c>
      <c r="AF397" s="26">
        <v>0</v>
      </c>
      <c r="AG397" s="26">
        <v>0</v>
      </c>
      <c r="AH397" s="26">
        <v>0</v>
      </c>
      <c r="AI397" s="26">
        <v>0</v>
      </c>
      <c r="AJ397" s="26">
        <v>0</v>
      </c>
      <c r="AK397" s="68">
        <v>4.2642917999999996</v>
      </c>
      <c r="AL397" s="15">
        <f>-SUMIFS([1]Master!$J$1:$J$200,[1]Master!$A$1:$A$200,"="&amp;$I$12,[1]Master!$G$1:$G$200,"&gt;"&amp;C397,[1]Master!$E$1:$E$200,"&lt;="&amp;C397)</f>
        <v>0</v>
      </c>
      <c r="AM397" s="26">
        <v>0</v>
      </c>
      <c r="AN397" s="26">
        <v>0</v>
      </c>
    </row>
    <row r="398" spans="3:40">
      <c r="C398" s="1">
        <f>WORKDAY(C397,1,Feriados!A206:A1045)</f>
        <v>45439</v>
      </c>
      <c r="D398" s="39">
        <v>9534794.4079999998</v>
      </c>
      <c r="E398" s="32">
        <v>4.2640313000000001</v>
      </c>
      <c r="F398" s="88">
        <f>SUMIF([1]HSF!$H$2:$H$30,"="&amp;"APLICAÇÃO",[1]HSF!$K$2:$K$30)</f>
        <v>2283952.1146078166</v>
      </c>
      <c r="G398" s="15">
        <f t="shared" ref="G398" si="1864">H398*I398</f>
        <v>9509445.0154954381</v>
      </c>
      <c r="H398" s="32">
        <v>1.0791366</v>
      </c>
      <c r="I398" s="15">
        <f>SUMIFS([1]Master!$K$2:$K$10000,[1]Master!$A$2:$A$10000,$I$12,[1]Master!$F$2:$F$10000,"&lt;="&amp;$C398)</f>
        <v>8812086.4545743689</v>
      </c>
      <c r="J398" s="15">
        <f t="shared" ref="J398" si="1865">K398*L398</f>
        <v>0</v>
      </c>
      <c r="K398" s="43">
        <v>0</v>
      </c>
      <c r="L398" s="40">
        <v>0</v>
      </c>
      <c r="M398" s="15">
        <f t="shared" ref="M398" si="1866">N398*O398</f>
        <v>0</v>
      </c>
      <c r="N398" s="32">
        <v>0</v>
      </c>
      <c r="O398" s="40">
        <v>0</v>
      </c>
      <c r="P398" s="15">
        <f t="shared" si="1861"/>
        <v>24465.060116690358</v>
      </c>
      <c r="Q398" s="32">
        <v>4.2706698000000003</v>
      </c>
      <c r="R398" s="40">
        <v>5728.6236731976696</v>
      </c>
      <c r="S398" s="15">
        <f t="shared" ref="S398" si="1867">(((1+1.35%)^(1/252))-1)*D397+SUM(S397)</f>
        <v>9404.5322365456614</v>
      </c>
      <c r="T398" s="15">
        <f>IF((NETWORKDAYS(DATE(YEAR(C398),MONTH(C398),1),C398,Feriados!$A$2:$A$842))&gt;=5,0,IF(NETWORKDAYS(DATE(YEAR(C398),MONTH(C398),1),C398,Feriados!$A$2:$A$842)=1,S397,T397))</f>
        <v>0</v>
      </c>
      <c r="U398" s="26">
        <v>0</v>
      </c>
      <c r="V398" s="26">
        <v>0</v>
      </c>
      <c r="W398" s="15">
        <f t="shared" ref="W398" si="1868">SUM(G398+J398+M398+P398)</f>
        <v>9533910.0756121278</v>
      </c>
      <c r="X398" s="50">
        <f>'Fluxo de Caixa_'!AD404</f>
        <v>0</v>
      </c>
      <c r="AB398" s="26">
        <v>10288.758</v>
      </c>
      <c r="AC398" s="26">
        <v>0</v>
      </c>
      <c r="AD398">
        <f>SUMIFS([1]Master!$J$2:$J$100,[1]Master!$A$2:$A$100,"="&amp;$I$12,[1]Master!$E$2:$E$100,"="&amp;C398,[1]Master!$J$2:$J$100,"&gt;"&amp;0)</f>
        <v>0</v>
      </c>
      <c r="AE398">
        <f ca="1">-SUMIF('[1]Fluxo de Movimentações'!$A$5:$F$10001,"="&amp;$C398,'[1]Fluxo de Movimentações'!$H$5:$H$10001)</f>
        <v>0</v>
      </c>
      <c r="AF398" s="26">
        <v>0</v>
      </c>
      <c r="AG398" s="26">
        <v>0</v>
      </c>
      <c r="AH398" s="26">
        <v>0</v>
      </c>
      <c r="AI398" s="26">
        <v>0</v>
      </c>
      <c r="AJ398" s="26">
        <v>0</v>
      </c>
      <c r="AK398" s="68">
        <v>4.2640313000000001</v>
      </c>
      <c r="AL398" s="15">
        <f>-SUMIFS([1]Master!$J$1:$J$200,[1]Master!$A$1:$A$200,"="&amp;$I$12,[1]Master!$G$1:$G$200,"&gt;"&amp;C398,[1]Master!$E$1:$E$200,"&lt;="&amp;C398)</f>
        <v>0</v>
      </c>
      <c r="AM398" s="26">
        <v>0</v>
      </c>
      <c r="AN398" s="26">
        <v>0</v>
      </c>
    </row>
    <row r="399" spans="3:40">
      <c r="C399" s="1">
        <f>WORKDAY(C398,1,Feriados!A207:A1046)</f>
        <v>45440</v>
      </c>
      <c r="D399" s="39">
        <v>9459778.9449000005</v>
      </c>
      <c r="E399" s="32">
        <v>4.2304839000000003</v>
      </c>
      <c r="F399" s="88">
        <f>SUMIF([1]HSF!$H$2:$H$30,"="&amp;"APLICAÇÃO",[1]HSF!$K$2:$K$30)</f>
        <v>2283952.1146078166</v>
      </c>
      <c r="G399" s="15">
        <f t="shared" ref="G399" si="1869">H399*I399</f>
        <v>9434977.5977024138</v>
      </c>
      <c r="H399" s="32">
        <v>1.070686</v>
      </c>
      <c r="I399" s="15">
        <f>SUMIFS([1]Master!$K$2:$K$10000,[1]Master!$A$2:$A$10000,$I$12,[1]Master!$F$2:$F$10000,"&lt;="&amp;$C399)</f>
        <v>8812086.4545743689</v>
      </c>
      <c r="J399" s="15">
        <f t="shared" ref="J399" si="1870">K399*L399</f>
        <v>0</v>
      </c>
      <c r="K399" s="43">
        <v>0</v>
      </c>
      <c r="L399" s="40">
        <v>0</v>
      </c>
      <c r="M399" s="15">
        <f t="shared" ref="M399" si="1871">N399*O399</f>
        <v>0</v>
      </c>
      <c r="N399" s="32">
        <v>0</v>
      </c>
      <c r="O399" s="40">
        <v>0</v>
      </c>
      <c r="P399" s="15">
        <f t="shared" si="1861"/>
        <v>24474.338768453836</v>
      </c>
      <c r="Q399" s="32">
        <v>4.2722895000000003</v>
      </c>
      <c r="R399" s="40">
        <v>5728.6236731976696</v>
      </c>
      <c r="S399" s="15">
        <f t="shared" ref="S399" si="1872">(((1+1.35%)^(1/252))-1)*D398+SUM(S398)</f>
        <v>9911.9211639072855</v>
      </c>
      <c r="T399" s="15">
        <f>IF((NETWORKDAYS(DATE(YEAR(C399),MONTH(C399),1),C399,Feriados!$A$2:$A$842))&gt;=5,0,IF(NETWORKDAYS(DATE(YEAR(C399),MONTH(C399),1),C399,Feriados!$A$2:$A$842)=1,S398,T398))</f>
        <v>0</v>
      </c>
      <c r="U399" s="26">
        <v>0</v>
      </c>
      <c r="V399" s="26">
        <v>0</v>
      </c>
      <c r="W399" s="15">
        <f t="shared" ref="W399" si="1873">SUM(G399+J399+M399+P399)</f>
        <v>9459451.9364708681</v>
      </c>
      <c r="X399" s="50">
        <f>'Fluxo de Caixa_'!AD405</f>
        <v>0</v>
      </c>
      <c r="AB399" s="26">
        <v>10238.814899999999</v>
      </c>
      <c r="AC399" s="26">
        <v>0</v>
      </c>
      <c r="AD399">
        <f>SUMIFS([1]Master!$J$2:$J$100,[1]Master!$A$2:$A$100,"="&amp;$I$12,[1]Master!$E$2:$E$100,"="&amp;C399,[1]Master!$J$2:$J$100,"&gt;"&amp;0)</f>
        <v>0</v>
      </c>
      <c r="AE399">
        <f ca="1">-SUMIF('[1]Fluxo de Movimentações'!$A$5:$F$10001,"="&amp;$C399,'[1]Fluxo de Movimentações'!$H$5:$H$10001)</f>
        <v>0</v>
      </c>
      <c r="AF399" s="26">
        <v>0</v>
      </c>
      <c r="AG399" s="26">
        <v>0</v>
      </c>
      <c r="AH399" s="26">
        <v>0</v>
      </c>
      <c r="AI399" s="26">
        <v>0</v>
      </c>
      <c r="AJ399" s="26">
        <v>0</v>
      </c>
      <c r="AK399" s="68">
        <v>4.2304839000000003</v>
      </c>
      <c r="AL399" s="15">
        <f>-SUMIFS([1]Master!$J$1:$J$200,[1]Master!$A$1:$A$200,"="&amp;$I$12,[1]Master!$G$1:$G$200,"&gt;"&amp;C399,[1]Master!$E$1:$E$200,"&lt;="&amp;C399)</f>
        <v>0</v>
      </c>
      <c r="AM399" s="26">
        <v>0</v>
      </c>
      <c r="AN399" s="26">
        <v>0</v>
      </c>
    </row>
    <row r="400" spans="3:40">
      <c r="C400" s="1">
        <f>WORKDAY(C399,1,Feriados!A208:A1047)</f>
        <v>45441</v>
      </c>
      <c r="D400" s="39">
        <v>9356081.7418000009</v>
      </c>
      <c r="E400" s="32">
        <v>4.1841096999999996</v>
      </c>
      <c r="F400" s="88">
        <f>SUMIF([1]HSF!$H$2:$H$30,"="&amp;"APLICAÇÃO",[1]HSF!$K$2:$K$30)</f>
        <v>2283952.1146078166</v>
      </c>
      <c r="G400" s="15">
        <f t="shared" ref="G400" si="1874">H400*I400</f>
        <v>9331824.1948738117</v>
      </c>
      <c r="H400" s="32">
        <v>1.0589801000000001</v>
      </c>
      <c r="I400" s="15">
        <f>SUMIFS([1]Master!$K$2:$K$10000,[1]Master!$A$2:$A$10000,$I$12,[1]Master!$F$2:$F$10000,"&lt;="&amp;$C400)</f>
        <v>8812086.4545743689</v>
      </c>
      <c r="J400" s="15">
        <f t="shared" ref="J400" si="1875">K400*L400</f>
        <v>0</v>
      </c>
      <c r="K400" s="43">
        <v>0</v>
      </c>
      <c r="L400" s="40">
        <v>0</v>
      </c>
      <c r="M400" s="15">
        <f t="shared" ref="M400" si="1876">N400*O400</f>
        <v>0</v>
      </c>
      <c r="N400" s="32">
        <v>0</v>
      </c>
      <c r="O400" s="40">
        <v>0</v>
      </c>
      <c r="P400" s="15">
        <f t="shared" si="1861"/>
        <v>24483.876926869711</v>
      </c>
      <c r="Q400" s="32">
        <v>4.2739545000000003</v>
      </c>
      <c r="R400" s="40">
        <v>5728.6236731976696</v>
      </c>
      <c r="S400" s="15">
        <f t="shared" ref="S400" si="1877">(((1+1.35%)^(1/252))-1)*D399+SUM(S399)</f>
        <v>10415.318183973466</v>
      </c>
      <c r="T400" s="15">
        <f>IF((NETWORKDAYS(DATE(YEAR(C400),MONTH(C400),1),C400,Feriados!$A$2:$A$842))&gt;=5,0,IF(NETWORKDAYS(DATE(YEAR(C400),MONTH(C400),1),C400,Feriados!$A$2:$A$842)=1,S399,T399))</f>
        <v>0</v>
      </c>
      <c r="U400" s="26">
        <v>0</v>
      </c>
      <c r="V400" s="26">
        <v>0</v>
      </c>
      <c r="W400" s="15">
        <f t="shared" ref="W400" si="1878">SUM(G400+J400+M400+P400)</f>
        <v>9356308.0718006808</v>
      </c>
      <c r="X400" s="50">
        <f>'Fluxo de Caixa_'!AD406</f>
        <v>0</v>
      </c>
      <c r="AB400" s="26">
        <v>10188.871800000001</v>
      </c>
      <c r="AC400" s="26">
        <v>0</v>
      </c>
      <c r="AD400">
        <f>SUMIFS([1]Master!$J$2:$J$100,[1]Master!$A$2:$A$100,"="&amp;$I$12,[1]Master!$E$2:$E$100,"="&amp;C400,[1]Master!$J$2:$J$100,"&gt;"&amp;0)</f>
        <v>0</v>
      </c>
      <c r="AE400">
        <f ca="1">-SUMIF('[1]Fluxo de Movimentações'!$A$5:$F$10001,"="&amp;$C400,'[1]Fluxo de Movimentações'!$H$5:$H$10001)</f>
        <v>0</v>
      </c>
      <c r="AF400" s="26">
        <v>0</v>
      </c>
      <c r="AG400" s="26">
        <v>0</v>
      </c>
      <c r="AH400" s="26">
        <v>0</v>
      </c>
      <c r="AI400" s="26">
        <v>0</v>
      </c>
      <c r="AJ400" s="26">
        <v>0</v>
      </c>
      <c r="AK400" s="68">
        <v>4.1841096999999996</v>
      </c>
      <c r="AL400" s="15">
        <f>-SUMIFS([1]Master!$J$1:$J$200,[1]Master!$A$1:$A$200,"="&amp;$I$12,[1]Master!$G$1:$G$200,"&gt;"&amp;C400,[1]Master!$E$1:$E$200,"&lt;="&amp;C400)</f>
        <v>0</v>
      </c>
      <c r="AM400" s="26">
        <v>0</v>
      </c>
      <c r="AN400" s="26">
        <v>0</v>
      </c>
    </row>
    <row r="401" spans="3:40">
      <c r="C401" s="1">
        <v>45443</v>
      </c>
      <c r="D401" s="39">
        <v>9315688.9287</v>
      </c>
      <c r="E401" s="32">
        <v>4.1660456999999997</v>
      </c>
      <c r="F401" s="88">
        <f>SUMIF([1]HSF!$H$2:$H$30,"="&amp;"APLICAÇÃO",[1]HSF!$K$2:$K$30)</f>
        <v>2283952.1146078166</v>
      </c>
      <c r="G401" s="15">
        <f t="shared" ref="G401" si="1879">H401*I401</f>
        <v>9291969.7714657076</v>
      </c>
      <c r="H401" s="32">
        <v>1.0544574</v>
      </c>
      <c r="I401" s="15">
        <f>SUMIFS([1]Master!$K$2:$K$10000,[1]Master!$A$2:$A$10000,$I$12,[1]Master!$F$2:$F$10000,"&lt;="&amp;$C401)</f>
        <v>8812086.4545743689</v>
      </c>
      <c r="J401" s="15">
        <f t="shared" ref="J401" si="1880">K401*L401</f>
        <v>0</v>
      </c>
      <c r="K401" s="43">
        <v>0</v>
      </c>
      <c r="L401" s="40">
        <v>0</v>
      </c>
      <c r="M401" s="15">
        <f t="shared" ref="M401" si="1881">N401*O401</f>
        <v>0</v>
      </c>
      <c r="N401" s="32">
        <v>0</v>
      </c>
      <c r="O401" s="40">
        <v>0</v>
      </c>
      <c r="P401" s="15">
        <f t="shared" si="1861"/>
        <v>24493.301658536853</v>
      </c>
      <c r="Q401" s="32">
        <v>4.2755996999999999</v>
      </c>
      <c r="R401" s="40">
        <v>5728.6236731976696</v>
      </c>
      <c r="S401" s="15">
        <f t="shared" ref="S401:S403" si="1882">(((1+1.35%)^(1/252))-1)*D400+SUM(S400)</f>
        <v>10913.197013463125</v>
      </c>
      <c r="T401" s="15">
        <f>IF((NETWORKDAYS(DATE(YEAR(C401),MONTH(C401),1),C401,Feriados!$A$2:$A$842))&gt;=5,0,IF(NETWORKDAYS(DATE(YEAR(C401),MONTH(C401),1),C401,Feriados!$A$2:$A$842)=1,S400,T400))</f>
        <v>0</v>
      </c>
      <c r="U401" s="26">
        <v>0</v>
      </c>
      <c r="V401" s="26">
        <v>0</v>
      </c>
      <c r="W401" s="15">
        <f t="shared" ref="W401" si="1883">SUM(G401+J401+M401+P401)</f>
        <v>9316463.0731242448</v>
      </c>
      <c r="X401" s="50">
        <f>'Fluxo de Caixa_'!AD407</f>
        <v>0</v>
      </c>
      <c r="AB401" s="26">
        <v>10138.9287</v>
      </c>
      <c r="AC401" s="26">
        <v>0</v>
      </c>
      <c r="AD401">
        <f>SUMIFS([1]Master!$J$2:$J$100,[1]Master!$A$2:$A$100,"="&amp;$I$12,[1]Master!$E$2:$E$100,"="&amp;C401,[1]Master!$J$2:$J$100,"&gt;"&amp;0)</f>
        <v>0</v>
      </c>
      <c r="AE401">
        <f ca="1">-SUMIF('[1]Fluxo de Movimentações'!$A$5:$F$10001,"="&amp;$C401,'[1]Fluxo de Movimentações'!$H$5:$H$10001)</f>
        <v>0</v>
      </c>
      <c r="AF401" s="26">
        <v>0</v>
      </c>
      <c r="AG401" s="26">
        <v>0</v>
      </c>
      <c r="AH401" s="26">
        <v>0</v>
      </c>
      <c r="AI401" s="26">
        <v>0</v>
      </c>
      <c r="AJ401" s="26">
        <v>0</v>
      </c>
      <c r="AK401" s="68">
        <v>4.1660456999999997</v>
      </c>
      <c r="AL401" s="15">
        <f>-SUMIFS([1]Master!$J$1:$J$200,[1]Master!$A$1:$A$200,"="&amp;$I$12,[1]Master!$G$1:$G$200,"&gt;"&amp;C401,[1]Master!$E$1:$E$200,"&lt;="&amp;C401)</f>
        <v>0</v>
      </c>
      <c r="AM401" s="26">
        <v>0</v>
      </c>
      <c r="AN401" s="26">
        <v>0</v>
      </c>
    </row>
    <row r="402" spans="3:40">
      <c r="C402" s="1">
        <f>WORKDAY(C401,1,Feriados!A210:A1049)</f>
        <v>45446</v>
      </c>
      <c r="D402" s="39">
        <v>9382534.4155999999</v>
      </c>
      <c r="E402" s="32">
        <v>4.1959394999999997</v>
      </c>
      <c r="F402" s="88">
        <f>SUMIF([1]HSF!$H$2:$H$30,"="&amp;"APLICAÇÃO",[1]HSF!$K$2:$K$30)</f>
        <v>2283952.1146078166</v>
      </c>
      <c r="G402" s="15">
        <f t="shared" ref="G402" si="1884">H402*I402</f>
        <v>9359351.390540611</v>
      </c>
      <c r="H402" s="32">
        <v>1.0621039000000001</v>
      </c>
      <c r="I402" s="15">
        <f>SUMIFS([1]Master!$K$2:$K$10000,[1]Master!$A$2:$A$10000,$I$12,[1]Master!$F$2:$F$10000,"&lt;="&amp;$C402)</f>
        <v>8812086.4545743689</v>
      </c>
      <c r="J402" s="15">
        <f t="shared" ref="J402" si="1885">K402*L402</f>
        <v>0</v>
      </c>
      <c r="K402" s="43">
        <v>0</v>
      </c>
      <c r="L402" s="40">
        <v>0</v>
      </c>
      <c r="M402" s="15">
        <f t="shared" ref="M402:M403" si="1886">N402*O402</f>
        <v>0</v>
      </c>
      <c r="N402" s="32">
        <v>0</v>
      </c>
      <c r="O402" s="40">
        <v>0</v>
      </c>
      <c r="P402" s="15">
        <f t="shared" si="1861"/>
        <v>24502.828359705381</v>
      </c>
      <c r="Q402" s="32">
        <v>4.2772626999999996</v>
      </c>
      <c r="R402" s="40">
        <v>5728.6236731976696</v>
      </c>
      <c r="S402" s="15">
        <f>(((1+1.35%)^(1/252))-1)*D401</f>
        <v>495.72934778770019</v>
      </c>
      <c r="T402" s="15">
        <f>IF((NETWORKDAYS(DATE(YEAR(C402),MONTH(C402),1),C402,Feriados!$A$2:$A$842))&gt;=5,0,IF(NETWORKDAYS(DATE(YEAR(C402),MONTH(C402),1),C402,Feriados!$A$2:$A$842)=1,S401,T401))</f>
        <v>10913.197013463125</v>
      </c>
      <c r="U402" s="26">
        <v>0</v>
      </c>
      <c r="V402" s="26">
        <v>0</v>
      </c>
      <c r="W402" s="15">
        <f t="shared" ref="W402" si="1887">SUM(G402+J402+M402+P402)</f>
        <v>9383854.2189003155</v>
      </c>
      <c r="X402" s="50">
        <f>'Fluxo de Caixa_'!AD408</f>
        <v>0</v>
      </c>
      <c r="AB402" s="26">
        <v>10088.9856</v>
      </c>
      <c r="AC402" s="26">
        <v>0</v>
      </c>
      <c r="AD402">
        <f>SUMIFS([1]Master!$J$2:$J$100,[1]Master!$A$2:$A$100,"="&amp;$I$12,[1]Master!$E$2:$E$100,"="&amp;C402,[1]Master!$J$2:$J$100,"&gt;"&amp;0)</f>
        <v>0</v>
      </c>
      <c r="AE402">
        <f ca="1">-SUMIF('[1]Fluxo de Movimentações'!$A$5:$F$10001,"="&amp;$C402,'[1]Fluxo de Movimentações'!$H$5:$H$10001)</f>
        <v>0</v>
      </c>
      <c r="AF402" s="26">
        <v>0</v>
      </c>
      <c r="AG402" s="26">
        <v>0</v>
      </c>
      <c r="AH402" s="26">
        <v>0</v>
      </c>
      <c r="AI402" s="26">
        <v>0</v>
      </c>
      <c r="AJ402" s="26">
        <v>0</v>
      </c>
      <c r="AK402" s="68">
        <v>4.1959394999999997</v>
      </c>
      <c r="AL402" s="15">
        <f>-SUMIFS([1]Master!$J$1:$J$200,[1]Master!$A$1:$A$200,"="&amp;$I$12,[1]Master!$G$1:$G$200,"&gt;"&amp;C402,[1]Master!$E$1:$E$200,"&lt;="&amp;C402)</f>
        <v>0</v>
      </c>
      <c r="AM402" s="26">
        <v>0</v>
      </c>
      <c r="AN402" s="26">
        <v>0</v>
      </c>
    </row>
    <row r="403" spans="3:40">
      <c r="C403" s="1">
        <f>WORKDAY(C402,1,Feriados!A211:A1050)</f>
        <v>45447</v>
      </c>
      <c r="D403" s="39">
        <v>9341776.2825000007</v>
      </c>
      <c r="E403" s="32">
        <v>4.1777122000000002</v>
      </c>
      <c r="F403" s="88">
        <f>SUMIF([1]HSF!$H$2:$H$30,"="&amp;"APLICAÇÃO",[1]HSF!$K$2:$K$30)</f>
        <v>2283952.1146078166</v>
      </c>
      <c r="G403" s="15">
        <f t="shared" ref="G403" si="1888">H403*I403</f>
        <v>9319133.027961934</v>
      </c>
      <c r="H403" s="32">
        <v>1.0575399000000001</v>
      </c>
      <c r="I403" s="15">
        <f>SUMIFS([1]Master!$K$2:$K$10000,[1]Master!$A$2:$A$10000,$I$12,[1]Master!$F$2:$F$10000,"&lt;="&amp;$C403)</f>
        <v>8812086.4545743689</v>
      </c>
      <c r="J403" s="15">
        <f t="shared" ref="J403" si="1889">K403*L403</f>
        <v>0</v>
      </c>
      <c r="K403" s="43">
        <v>0</v>
      </c>
      <c r="L403" s="40">
        <v>0</v>
      </c>
      <c r="M403" s="15">
        <f t="shared" si="1886"/>
        <v>0</v>
      </c>
      <c r="N403" s="32">
        <v>0</v>
      </c>
      <c r="O403" s="40">
        <v>0</v>
      </c>
      <c r="P403" s="15">
        <f t="shared" si="1861"/>
        <v>24512.27829731669</v>
      </c>
      <c r="Q403" s="32">
        <v>4.2789123</v>
      </c>
      <c r="R403" s="40">
        <v>5728.6236731976696</v>
      </c>
      <c r="S403" s="15">
        <f t="shared" si="1882"/>
        <v>995.01584200623472</v>
      </c>
      <c r="T403" s="15">
        <f>IF((NETWORKDAYS(DATE(YEAR(C403),MONTH(C403),1),C403,Feriados!$A$2:$A$842))&gt;=5,0,IF(NETWORKDAYS(DATE(YEAR(C403),MONTH(C403),1),C403,Feriados!$A$2:$A$842)=1,S402,T402))</f>
        <v>10913.197013463125</v>
      </c>
      <c r="U403" s="26">
        <v>0</v>
      </c>
      <c r="V403" s="26">
        <v>0</v>
      </c>
      <c r="W403" s="15">
        <f t="shared" ref="W403" si="1890">SUM(G403+J403+M403+P403)</f>
        <v>9343645.3062592503</v>
      </c>
      <c r="X403" s="50">
        <f>'Fluxo de Caixa_'!AD409</f>
        <v>0</v>
      </c>
      <c r="AB403" s="26">
        <v>10039.0425</v>
      </c>
      <c r="AC403" s="26">
        <v>0</v>
      </c>
      <c r="AD403">
        <f>SUMIFS([1]Master!$J$2:$J$100,[1]Master!$A$2:$A$100,"="&amp;$I$12,[1]Master!$E$2:$E$100,"="&amp;C403,[1]Master!$J$2:$J$100,"&gt;"&amp;0)</f>
        <v>0</v>
      </c>
      <c r="AE403">
        <f ca="1">-SUMIF('[1]Fluxo de Movimentações'!$A$5:$F$10001,"="&amp;$C403,'[1]Fluxo de Movimentações'!$H$5:$H$10001)</f>
        <v>0</v>
      </c>
      <c r="AF403" s="26">
        <v>0</v>
      </c>
      <c r="AG403" s="26">
        <v>0</v>
      </c>
      <c r="AH403" s="26">
        <v>0</v>
      </c>
      <c r="AI403" s="26">
        <v>0</v>
      </c>
      <c r="AJ403" s="26">
        <v>0</v>
      </c>
      <c r="AK403" s="68">
        <v>4.1777122000000002</v>
      </c>
      <c r="AL403" s="15">
        <f>-SUMIFS([1]Master!$J$1:$J$200,[1]Master!$A$1:$A$200,"="&amp;$I$12,[1]Master!$G$1:$G$200,"&gt;"&amp;C403,[1]Master!$E$1:$E$200,"&lt;="&amp;C403)</f>
        <v>0</v>
      </c>
      <c r="AM403" s="26">
        <v>0</v>
      </c>
      <c r="AN403" s="26">
        <v>0</v>
      </c>
    </row>
    <row r="404" spans="3:40">
      <c r="C404" s="1">
        <f>WORKDAY(C403,1,Feriados!A212:A1051)</f>
        <v>45448</v>
      </c>
      <c r="D404" s="39">
        <v>9308007.1894000005</v>
      </c>
      <c r="E404" s="32">
        <v>4.1626104000000002</v>
      </c>
      <c r="F404" s="88">
        <f>SUMIF([1]HSF!$H$2:$H$30,"="&amp;"APLICAÇÃO",[1]HSF!$K$2:$K$30)</f>
        <v>2283952.1146078166</v>
      </c>
      <c r="G404" s="15">
        <f t="shared" ref="G404" si="1891">H404*I404</f>
        <v>9274901.7687330879</v>
      </c>
      <c r="H404" s="32">
        <v>1.0537688000000001</v>
      </c>
      <c r="I404" s="15">
        <f>SUMIFS([1]Master!$K$2:$K$10000,[1]Master!$A$2:$A$10000,$I$12,[1]Master!$F$2:$F$10000,"&lt;="&amp;$C404)</f>
        <v>8801647.7321525253</v>
      </c>
      <c r="J404" s="15">
        <f t="shared" ref="J404" si="1892">K404*L404</f>
        <v>0</v>
      </c>
      <c r="K404" s="43">
        <v>0</v>
      </c>
      <c r="L404" s="40">
        <v>0</v>
      </c>
      <c r="M404" s="15">
        <f t="shared" ref="M404" si="1893">N404*O404</f>
        <v>0</v>
      </c>
      <c r="N404" s="32">
        <v>0</v>
      </c>
      <c r="O404" s="40">
        <v>0</v>
      </c>
      <c r="P404" s="15">
        <f t="shared" si="1861"/>
        <v>24521.499089981069</v>
      </c>
      <c r="Q404" s="32">
        <v>4.2805219000000001</v>
      </c>
      <c r="R404" s="40">
        <v>5728.6236731976696</v>
      </c>
      <c r="S404" s="15">
        <f t="shared" ref="S404" si="1894">(((1+1.35%)^(1/252))-1)*D403+SUM(S403)</f>
        <v>1492.1334142166011</v>
      </c>
      <c r="T404" s="15">
        <f>IF((NETWORKDAYS(DATE(YEAR(C404),MONTH(C404),1),C404,Feriados!$A$2:$A$842))&gt;=5,0,IF(NETWORKDAYS(DATE(YEAR(C404),MONTH(C404),1),C404,Feriados!$A$2:$A$842)=1,S403,T403))</f>
        <v>10913.197013463125</v>
      </c>
      <c r="U404" s="26">
        <v>0</v>
      </c>
      <c r="V404" s="26">
        <v>0</v>
      </c>
      <c r="W404" s="15">
        <f t="shared" ref="W404" si="1895">SUM(G404+J404+M404+P404)</f>
        <v>9299423.2678230684</v>
      </c>
      <c r="X404" s="50">
        <f>'Fluxo de Caixa_'!AD410</f>
        <v>0</v>
      </c>
      <c r="AB404" s="26">
        <v>9989.0993999999992</v>
      </c>
      <c r="AC404" s="26">
        <v>0</v>
      </c>
      <c r="AD404">
        <f>SUMIFS([1]Master!$J$2:$J$100,[1]Master!$A$2:$A$100,"="&amp;$I$12,[1]Master!$E$2:$E$100,"="&amp;C404,[1]Master!$J$2:$J$100,"&gt;"&amp;0)</f>
        <v>0</v>
      </c>
      <c r="AE404">
        <f ca="1">-SUMIF('[1]Fluxo de Movimentações'!$A$5:$F$10001,"="&amp;$C404,'[1]Fluxo de Movimentações'!$H$5:$H$10001)</f>
        <v>0</v>
      </c>
      <c r="AF404" s="26">
        <v>0</v>
      </c>
      <c r="AG404" s="26">
        <v>0</v>
      </c>
      <c r="AH404" s="26">
        <v>0</v>
      </c>
      <c r="AI404" s="26">
        <v>0</v>
      </c>
      <c r="AJ404" s="26">
        <v>0</v>
      </c>
      <c r="AK404" s="68">
        <v>4.1626104000000002</v>
      </c>
      <c r="AL404" s="15">
        <f>-SUMIFS([1]Master!$J$1:$J$200,[1]Master!$A$1:$A$200,"="&amp;$I$12,[1]Master!$G$1:$G$200,"&gt;"&amp;C404,[1]Master!$E$1:$E$200,"&lt;="&amp;C404)</f>
        <v>11000</v>
      </c>
      <c r="AM404" s="26">
        <v>0</v>
      </c>
      <c r="AN404" s="26">
        <v>0</v>
      </c>
    </row>
    <row r="405" spans="3:40">
      <c r="C405" s="1">
        <f>WORKDAY(C404,1,Feriados!A213:A1052)</f>
        <v>45449</v>
      </c>
      <c r="D405" s="39">
        <v>9449909.5662999991</v>
      </c>
      <c r="E405" s="32">
        <v>4.2260701999999997</v>
      </c>
      <c r="F405" s="88">
        <f>SUMIF([1]HSF!$H$2:$H$30,"="&amp;"APLICAÇÃO",[1]HSF!$K$2:$K$30)</f>
        <v>2283952.1146078166</v>
      </c>
      <c r="G405" s="15">
        <f t="shared" ref="G405" si="1896">H405*I405</f>
        <v>9417339.7141472846</v>
      </c>
      <c r="H405" s="32">
        <v>1.0699519</v>
      </c>
      <c r="I405" s="15">
        <f>SUMIFS([1]Master!$K$2:$K$10000,[1]Master!$A$2:$A$10000,$I$12,[1]Master!$F$2:$F$10000,"&lt;="&amp;$C405)</f>
        <v>8801647.7321525253</v>
      </c>
      <c r="J405" s="15">
        <f t="shared" ref="J405" si="1897">K405*L405</f>
        <v>0</v>
      </c>
      <c r="K405" s="43">
        <v>0</v>
      </c>
      <c r="L405" s="40">
        <v>0</v>
      </c>
      <c r="M405" s="15">
        <f t="shared" ref="M405" si="1898">N405*O405</f>
        <v>0</v>
      </c>
      <c r="N405" s="32">
        <v>0</v>
      </c>
      <c r="O405" s="40">
        <v>0</v>
      </c>
      <c r="P405" s="15">
        <f t="shared" si="1861"/>
        <v>24531.195358410325</v>
      </c>
      <c r="Q405" s="32">
        <v>4.2822145000000003</v>
      </c>
      <c r="R405" s="40">
        <v>5728.6236731976696</v>
      </c>
      <c r="S405" s="15">
        <f t="shared" ref="S405" si="1899">(((1+1.35%)^(1/252))-1)*D404+SUM(S404)</f>
        <v>1987.4539824022547</v>
      </c>
      <c r="T405" s="15">
        <f>IF((NETWORKDAYS(DATE(YEAR(C405),MONTH(C405),1),C405,Feriados!$A$2:$A$842))&gt;=5,0,IF(NETWORKDAYS(DATE(YEAR(C405),MONTH(C405),1),C405,Feriados!$A$2:$A$842)=1,S404,T404))</f>
        <v>10913.197013463125</v>
      </c>
      <c r="U405" s="26">
        <v>0</v>
      </c>
      <c r="V405" s="26">
        <v>0</v>
      </c>
      <c r="W405" s="15">
        <f t="shared" ref="W405" si="1900">SUM(G405+J405+M405+P405)</f>
        <v>9441870.9095056951</v>
      </c>
      <c r="X405" s="50">
        <f>'Fluxo de Caixa_'!AD411</f>
        <v>0</v>
      </c>
      <c r="AB405" s="26">
        <v>9939.1563000000006</v>
      </c>
      <c r="AC405" s="26">
        <v>0</v>
      </c>
      <c r="AD405">
        <f>SUMIFS([1]Master!$J$2:$J$100,[1]Master!$A$2:$A$100,"="&amp;$I$12,[1]Master!$E$2:$E$100,"="&amp;C405,[1]Master!$J$2:$J$100,"&gt;"&amp;0)</f>
        <v>0</v>
      </c>
      <c r="AE405">
        <f ca="1">-SUMIF('[1]Fluxo de Movimentações'!$A$5:$F$10001,"="&amp;$C405,'[1]Fluxo de Movimentações'!$H$5:$H$10001)</f>
        <v>0</v>
      </c>
      <c r="AF405" s="26">
        <v>0</v>
      </c>
      <c r="AG405" s="26">
        <v>0</v>
      </c>
      <c r="AH405" s="26">
        <v>0</v>
      </c>
      <c r="AI405" s="26">
        <v>0</v>
      </c>
      <c r="AJ405" s="26">
        <v>0</v>
      </c>
      <c r="AK405" s="68">
        <v>4.2260701999999997</v>
      </c>
      <c r="AL405" s="15">
        <f>-SUMIFS([1]Master!$J$1:$J$200,[1]Master!$A$1:$A$200,"="&amp;$I$12,[1]Master!$G$1:$G$200,"&gt;"&amp;C405,[1]Master!$E$1:$E$200,"&lt;="&amp;C405)</f>
        <v>11000</v>
      </c>
      <c r="AM405" s="26">
        <v>0</v>
      </c>
      <c r="AN405" s="26">
        <v>0</v>
      </c>
    </row>
    <row r="406" spans="3:40">
      <c r="C406" s="1">
        <f>WORKDAY(C405,1,Feriados!A214:A1053)</f>
        <v>45450</v>
      </c>
      <c r="D406" s="39">
        <v>9280367.4032000005</v>
      </c>
      <c r="E406" s="32">
        <v>4.1502496999999998</v>
      </c>
      <c r="F406" s="88">
        <f>SUMIF([1]HSF!$H$2:$H$30,"="&amp;"APLICAÇÃO",[1]HSF!$K$2:$K$30)</f>
        <v>2283952.1146078166</v>
      </c>
      <c r="G406" s="15">
        <f t="shared" ref="G406" si="1901">H406*I406</f>
        <v>9248341.0363717712</v>
      </c>
      <c r="H406" s="32">
        <v>1.0507511</v>
      </c>
      <c r="I406" s="15">
        <f>SUMIFS([1]Master!$K$2:$K$10000,[1]Master!$A$2:$A$10000,$I$12,[1]Master!$F$2:$F$10000,"&lt;="&amp;$C406)</f>
        <v>8801647.7321525253</v>
      </c>
      <c r="J406" s="15">
        <f t="shared" ref="J406" si="1902">K406*L406</f>
        <v>0</v>
      </c>
      <c r="K406" s="43">
        <v>0</v>
      </c>
      <c r="L406" s="40">
        <v>0</v>
      </c>
      <c r="M406" s="15">
        <f t="shared" ref="M406" si="1903">N406*O406</f>
        <v>0</v>
      </c>
      <c r="N406" s="32">
        <v>0</v>
      </c>
      <c r="O406" s="40">
        <v>0</v>
      </c>
      <c r="P406" s="15">
        <f t="shared" si="1861"/>
        <v>24627.449839805791</v>
      </c>
      <c r="Q406" s="32">
        <v>4.2838421999999996</v>
      </c>
      <c r="R406" s="40">
        <v>5748.9162041976697</v>
      </c>
      <c r="S406" s="15">
        <f t="shared" ref="S406" si="1904">(((1+1.35%)^(1/252))-1)*D405+SUM(S405)</f>
        <v>2490.3258088242628</v>
      </c>
      <c r="T406" s="15">
        <f>IF((NETWORKDAYS(DATE(YEAR(C406),MONTH(C406),1),C406,Feriados!$A$2:$A$842))&gt;=5,0,IF(NETWORKDAYS(DATE(YEAR(C406),MONTH(C406),1),C406,Feriados!$A$2:$A$842)=1,S405,T405))</f>
        <v>0</v>
      </c>
      <c r="U406" s="26">
        <v>0</v>
      </c>
      <c r="V406" s="26">
        <v>0</v>
      </c>
      <c r="W406" s="15">
        <f t="shared" ref="W406" si="1905">SUM(G406+J406+M406+P406)</f>
        <v>9272968.4862115774</v>
      </c>
      <c r="X406" s="50">
        <f>'Fluxo de Caixa_'!AD412</f>
        <v>-6.4260812848715432E-7</v>
      </c>
      <c r="AB406" s="26">
        <v>9889.2132000000001</v>
      </c>
      <c r="AC406" s="26">
        <v>0</v>
      </c>
      <c r="AD406">
        <f>SUMIFS([1]Master!$J$2:$J$100,[1]Master!$A$2:$A$100,"="&amp;$I$12,[1]Master!$E$2:$E$100,"="&amp;C406,[1]Master!$J$2:$J$100,"&gt;"&amp;0)</f>
        <v>0</v>
      </c>
      <c r="AE406">
        <f ca="1">-SUMIF('[1]Fluxo de Movimentações'!$A$5:$F$10001,"="&amp;$C406,'[1]Fluxo de Movimentações'!$H$5:$H$10001)</f>
        <v>0</v>
      </c>
      <c r="AF406" s="26">
        <v>0</v>
      </c>
      <c r="AG406" s="26">
        <v>0</v>
      </c>
      <c r="AH406" s="26">
        <v>0</v>
      </c>
      <c r="AI406" s="26">
        <v>0</v>
      </c>
      <c r="AJ406" s="26">
        <v>0</v>
      </c>
      <c r="AK406" s="68">
        <v>4.1502496999999998</v>
      </c>
      <c r="AL406" s="15">
        <f>-SUMIFS([1]Master!$J$1:$J$200,[1]Master!$A$1:$A$200,"="&amp;$I$12,[1]Master!$G$1:$G$200,"&gt;"&amp;C406,[1]Master!$E$1:$E$200,"&lt;="&amp;C406)</f>
        <v>0</v>
      </c>
      <c r="AM406" s="26">
        <v>0</v>
      </c>
      <c r="AN406" s="26">
        <v>0</v>
      </c>
    </row>
    <row r="407" spans="3:40">
      <c r="C407" s="1">
        <f>WORKDAY(C406,1,Feriados!A215:A1054)</f>
        <v>45453</v>
      </c>
      <c r="D407" s="39">
        <v>9191952.1800999995</v>
      </c>
      <c r="E407" s="32">
        <v>4.1107097000000001</v>
      </c>
      <c r="F407" s="88">
        <f>SUMIF([1]HSF!$H$2:$H$30,"="&amp;"APLICAÇÃO",[1]HSF!$K$2:$K$30)</f>
        <v>2283952.1146078166</v>
      </c>
      <c r="G407" s="15">
        <f t="shared" ref="G407" si="1906">H407*I407</f>
        <v>9160460.1044253204</v>
      </c>
      <c r="H407" s="32">
        <v>1.0407664999999999</v>
      </c>
      <c r="I407" s="15">
        <f>SUMIFS([1]Master!$K$2:$K$10000,[1]Master!$A$2:$A$10000,$I$12,[1]Master!$F$2:$F$10000,"&lt;="&amp;$C407)</f>
        <v>8801647.7321525253</v>
      </c>
      <c r="J407" s="15">
        <f t="shared" ref="J407" si="1907">K407*L407</f>
        <v>0</v>
      </c>
      <c r="K407" s="43">
        <v>0</v>
      </c>
      <c r="L407" s="40">
        <v>0</v>
      </c>
      <c r="M407" s="15">
        <f t="shared" ref="M407" si="1908">N407*O407</f>
        <v>0</v>
      </c>
      <c r="N407" s="32">
        <v>0</v>
      </c>
      <c r="O407" s="40">
        <v>0</v>
      </c>
      <c r="P407" s="15">
        <f t="shared" ref="P407" si="1909">R407*Q407</f>
        <v>24636.944174917026</v>
      </c>
      <c r="Q407" s="32">
        <v>4.2854937</v>
      </c>
      <c r="R407" s="40">
        <v>5748.9162041976697</v>
      </c>
      <c r="S407" s="15">
        <f t="shared" ref="S407" si="1910">(((1+1.35%)^(1/252))-1)*D406+SUM(S406)</f>
        <v>2984.1755407367446</v>
      </c>
      <c r="T407" s="15">
        <f>IF((NETWORKDAYS(DATE(YEAR(C407),MONTH(C407),1),C407,Feriados!$A$2:$A$842))&gt;=5,0,IF(NETWORKDAYS(DATE(YEAR(C407),MONTH(C407),1),C407,Feriados!$A$2:$A$842)=1,S406,T406))</f>
        <v>0</v>
      </c>
      <c r="U407" s="26">
        <v>0</v>
      </c>
      <c r="V407" s="26">
        <v>0</v>
      </c>
      <c r="W407" s="15">
        <f t="shared" ref="W407" si="1911">SUM(G407+J407+M407+P407)</f>
        <v>9185097.0486002378</v>
      </c>
      <c r="X407" s="50">
        <f>'Fluxo de Caixa_'!AD413</f>
        <v>0</v>
      </c>
      <c r="AB407" s="26">
        <v>9839.2700999999997</v>
      </c>
      <c r="AC407" s="26">
        <v>0</v>
      </c>
      <c r="AD407">
        <f>SUMIFS([1]Master!$J$2:$J$100,[1]Master!$A$2:$A$100,"="&amp;$I$12,[1]Master!$E$2:$E$100,"="&amp;C407,[1]Master!$J$2:$J$100,"&gt;"&amp;0)</f>
        <v>0</v>
      </c>
      <c r="AE407">
        <f ca="1">-SUMIF('[1]Fluxo de Movimentações'!$A$5:$F$10001,"="&amp;$C407,'[1]Fluxo de Movimentações'!$H$5:$H$10001)</f>
        <v>0</v>
      </c>
      <c r="AF407" s="26">
        <v>0</v>
      </c>
      <c r="AG407" s="26">
        <v>0</v>
      </c>
      <c r="AH407" s="26">
        <v>0</v>
      </c>
      <c r="AI407" s="26">
        <v>0</v>
      </c>
      <c r="AJ407" s="26">
        <v>0</v>
      </c>
      <c r="AK407" s="68">
        <v>4.1107097000000001</v>
      </c>
      <c r="AL407" s="15">
        <f>-SUMIFS([1]Master!$J$1:$J$200,[1]Master!$A$1:$A$200,"="&amp;$I$12,[1]Master!$G$1:$G$200,"&gt;"&amp;C407,[1]Master!$E$1:$E$200,"&lt;="&amp;C407)</f>
        <v>0</v>
      </c>
      <c r="AM407" s="26">
        <v>0</v>
      </c>
      <c r="AN407" s="26">
        <v>0</v>
      </c>
    </row>
    <row r="408" spans="3:40">
      <c r="C408" s="1">
        <f>WORKDAY(C407,1,Feriados!A216:A1055)</f>
        <v>45454</v>
      </c>
      <c r="D408" s="39">
        <v>9288521.2670000009</v>
      </c>
      <c r="E408" s="32">
        <v>4.1538962000000001</v>
      </c>
      <c r="F408" s="88">
        <f>SUMIF([1]HSF!$H$2:$H$30,"="&amp;"APLICAÇÃO",[1]HSF!$K$2:$K$30)</f>
        <v>2283952.1146078166</v>
      </c>
      <c r="G408" s="15">
        <f t="shared" ref="G408" si="1912">H408*I408</f>
        <v>9257559.0020416547</v>
      </c>
      <c r="H408" s="32">
        <v>1.0517984</v>
      </c>
      <c r="I408" s="15">
        <f>SUMIFS([1]Master!$K$2:$K$10000,[1]Master!$A$2:$A$10000,$I$12,[1]Master!$F$2:$F$10000,"&lt;="&amp;$C408)</f>
        <v>8801647.7321525253</v>
      </c>
      <c r="J408" s="15">
        <f t="shared" ref="J408" si="1913">K408*L408</f>
        <v>0</v>
      </c>
      <c r="K408" s="43">
        <v>0</v>
      </c>
      <c r="L408" s="40">
        <v>0</v>
      </c>
      <c r="M408" s="15">
        <f t="shared" ref="M408" si="1914">N408*O408</f>
        <v>0</v>
      </c>
      <c r="N408" s="32">
        <v>0</v>
      </c>
      <c r="O408" s="40">
        <v>0</v>
      </c>
      <c r="P408" s="15">
        <f t="shared" ref="P408:P412" si="1915">R408*Q408</f>
        <v>24646.217176754395</v>
      </c>
      <c r="Q408" s="32">
        <v>4.2871066999999998</v>
      </c>
      <c r="R408" s="40">
        <v>5748.9162041976697</v>
      </c>
      <c r="S408" s="15">
        <f t="shared" ref="S408" si="1916">(((1+1.35%)^(1/252))-1)*D407+SUM(S407)</f>
        <v>3473.3203043728772</v>
      </c>
      <c r="T408" s="15">
        <f>IF((NETWORKDAYS(DATE(YEAR(C408),MONTH(C408),1),C408,Feriados!$A$2:$A$842))&gt;=5,0,IF(NETWORKDAYS(DATE(YEAR(C408),MONTH(C408),1),C408,Feriados!$A$2:$A$842)=1,S407,T407))</f>
        <v>0</v>
      </c>
      <c r="U408" s="26">
        <v>0</v>
      </c>
      <c r="V408" s="26">
        <v>0</v>
      </c>
      <c r="W408" s="15">
        <f t="shared" ref="W408" si="1917">SUM(G408+J408+M408+P408)</f>
        <v>9282205.2192184087</v>
      </c>
      <c r="X408" s="50">
        <f>'Fluxo de Caixa_'!AD414</f>
        <v>0</v>
      </c>
      <c r="AB408" s="26">
        <v>9789.3269999999993</v>
      </c>
      <c r="AC408" s="26">
        <v>0</v>
      </c>
      <c r="AD408">
        <f>SUMIFS([1]Master!$J$2:$J$100,[1]Master!$A$2:$A$100,"="&amp;$I$12,[1]Master!$E$2:$E$100,"="&amp;C408,[1]Master!$J$2:$J$100,"&gt;"&amp;0)</f>
        <v>0</v>
      </c>
      <c r="AE408">
        <f ca="1">-SUMIF('[1]Fluxo de Movimentações'!$A$5:$F$10001,"="&amp;$C408,'[1]Fluxo de Movimentações'!$H$5:$H$10001)</f>
        <v>0</v>
      </c>
      <c r="AF408" s="26">
        <v>0</v>
      </c>
      <c r="AG408" s="26">
        <v>0</v>
      </c>
      <c r="AH408" s="26">
        <v>0</v>
      </c>
      <c r="AI408" s="26">
        <v>0</v>
      </c>
      <c r="AJ408" s="26">
        <v>0</v>
      </c>
      <c r="AK408" s="68">
        <v>4.1538962000000001</v>
      </c>
      <c r="AL408" s="15">
        <f>-SUMIFS([1]Master!$J$1:$J$200,[1]Master!$A$1:$A$200,"="&amp;$I$12,[1]Master!$G$1:$G$200,"&gt;"&amp;C408,[1]Master!$E$1:$E$200,"&lt;="&amp;C408)</f>
        <v>0</v>
      </c>
      <c r="AM408" s="26">
        <v>0</v>
      </c>
      <c r="AN408" s="26">
        <v>0</v>
      </c>
    </row>
    <row r="409" spans="3:40">
      <c r="C409" s="1">
        <f>WORKDAY(C408,1,Feriados!A217:A1056)</f>
        <v>45455</v>
      </c>
      <c r="D409" s="39">
        <v>9141766.4539000001</v>
      </c>
      <c r="E409" s="32">
        <v>4.0882662999999999</v>
      </c>
      <c r="F409" s="88">
        <f>SUMIF([1]HSF!$H$2:$H$30,"="&amp;"APLICAÇÃO",[1]HSF!$K$2:$K$30)</f>
        <v>2283952.1146078166</v>
      </c>
      <c r="G409" s="15">
        <f t="shared" ref="G409" si="1918">H409*I409</f>
        <v>9111338.9885969497</v>
      </c>
      <c r="H409" s="32">
        <v>1.0351855999999999</v>
      </c>
      <c r="I409" s="15">
        <f>SUMIFS([1]Master!$K$2:$K$10000,[1]Master!$A$2:$A$10000,$I$12,[1]Master!$F$2:$F$10000,"&lt;="&amp;$C409)</f>
        <v>8801647.7321525253</v>
      </c>
      <c r="J409" s="15">
        <f t="shared" ref="J409" si="1919">K409*L409</f>
        <v>0</v>
      </c>
      <c r="K409" s="43">
        <v>0</v>
      </c>
      <c r="L409" s="40">
        <v>0</v>
      </c>
      <c r="M409" s="15">
        <f t="shared" ref="M409" si="1920">N409*O409</f>
        <v>0</v>
      </c>
      <c r="N409" s="32">
        <v>0</v>
      </c>
      <c r="O409" s="40">
        <v>0</v>
      </c>
      <c r="P409" s="15">
        <f t="shared" si="1915"/>
        <v>24655.641949979559</v>
      </c>
      <c r="Q409" s="32">
        <v>4.2887461</v>
      </c>
      <c r="R409" s="40">
        <v>5748.9162041976697</v>
      </c>
      <c r="S409" s="15">
        <f t="shared" ref="S409" si="1921">(((1+1.35%)^(1/252))-1)*D408+SUM(S408)</f>
        <v>3967.6039397373161</v>
      </c>
      <c r="T409" s="15">
        <f>IF((NETWORKDAYS(DATE(YEAR(C409),MONTH(C409),1),C409,Feriados!$A$2:$A$842))&gt;=5,0,IF(NETWORKDAYS(DATE(YEAR(C409),MONTH(C409),1),C409,Feriados!$A$2:$A$842)=1,S408,T408))</f>
        <v>0</v>
      </c>
      <c r="U409" s="26">
        <v>0</v>
      </c>
      <c r="V409" s="26">
        <v>0</v>
      </c>
      <c r="W409" s="15">
        <f t="shared" ref="W409" si="1922">SUM(G409+J409+M409+P409)</f>
        <v>9135994.6305469293</v>
      </c>
      <c r="X409" s="50">
        <f>'Fluxo de Caixa_'!AD415</f>
        <v>0</v>
      </c>
      <c r="AB409" s="26">
        <v>9739.3839000000007</v>
      </c>
      <c r="AC409" s="26">
        <v>0</v>
      </c>
      <c r="AD409">
        <f>SUMIFS([1]Master!$J$2:$J$100,[1]Master!$A$2:$A$100,"="&amp;$I$12,[1]Master!$E$2:$E$100,"="&amp;C409,[1]Master!$J$2:$J$100,"&gt;"&amp;0)</f>
        <v>0</v>
      </c>
      <c r="AE409">
        <f ca="1">-SUMIF('[1]Fluxo de Movimentações'!$A$5:$F$10001,"="&amp;$C409,'[1]Fluxo de Movimentações'!$H$5:$H$10001)</f>
        <v>0</v>
      </c>
      <c r="AF409" s="26">
        <v>0</v>
      </c>
      <c r="AG409" s="26">
        <v>0</v>
      </c>
      <c r="AH409" s="26">
        <v>0</v>
      </c>
      <c r="AI409" s="26">
        <v>0</v>
      </c>
      <c r="AJ409" s="26">
        <v>0</v>
      </c>
      <c r="AK409" s="68">
        <v>4.0882662999999999</v>
      </c>
      <c r="AL409" s="15">
        <f>-SUMIFS([1]Master!$J$1:$J$200,[1]Master!$A$1:$A$200,"="&amp;$I$12,[1]Master!$G$1:$G$200,"&gt;"&amp;C409,[1]Master!$E$1:$E$200,"&lt;="&amp;C409)</f>
        <v>0</v>
      </c>
      <c r="AM409" s="26">
        <v>0</v>
      </c>
      <c r="AN409" s="26">
        <v>0</v>
      </c>
    </row>
    <row r="410" spans="3:40">
      <c r="C410" s="1">
        <f>WORKDAY(C409,1,Feriados!A218:A1057)</f>
        <v>45456</v>
      </c>
      <c r="D410" s="39">
        <v>9053683.2807999998</v>
      </c>
      <c r="E410" s="32">
        <v>4.0488749000000004</v>
      </c>
      <c r="F410" s="88">
        <f>SUMIF([1]HSF!$H$2:$H$30,"="&amp;"APLICAÇÃO",[1]HSF!$K$2:$K$30)</f>
        <v>2283952.1146078166</v>
      </c>
      <c r="G410" s="15">
        <f t="shared" ref="G410" si="1923">H410*I410</f>
        <v>9023782.8374518175</v>
      </c>
      <c r="H410" s="32">
        <v>1.0252379</v>
      </c>
      <c r="I410" s="15">
        <f>SUMIFS([1]Master!$K$2:$K$10000,[1]Master!$A$2:$A$10000,$I$12,[1]Master!$F$2:$F$10000,"&lt;="&amp;$C410)</f>
        <v>8801647.7321525253</v>
      </c>
      <c r="J410" s="15">
        <f t="shared" ref="J410" si="1924">K410*L410</f>
        <v>0</v>
      </c>
      <c r="K410" s="43">
        <v>0</v>
      </c>
      <c r="L410" s="40">
        <v>0</v>
      </c>
      <c r="M410" s="15">
        <f t="shared" ref="M410" si="1925">N410*O410</f>
        <v>0</v>
      </c>
      <c r="N410" s="32">
        <v>0</v>
      </c>
      <c r="O410" s="40">
        <v>0</v>
      </c>
      <c r="P410" s="15">
        <f t="shared" si="1915"/>
        <v>24665.029355249393</v>
      </c>
      <c r="Q410" s="32">
        <v>4.2903789999999997</v>
      </c>
      <c r="R410" s="40">
        <v>5748.9162041976697</v>
      </c>
      <c r="S410" s="15">
        <f t="shared" ref="S410" si="1926">(((1+1.35%)^(1/252))-1)*D409+SUM(S409)</f>
        <v>4454.0780970975429</v>
      </c>
      <c r="T410" s="15">
        <f>IF((NETWORKDAYS(DATE(YEAR(C410),MONTH(C410),1),C410,Feriados!$A$2:$A$842))&gt;=5,0,IF(NETWORKDAYS(DATE(YEAR(C410),MONTH(C410),1),C410,Feriados!$A$2:$A$842)=1,S409,T409))</f>
        <v>0</v>
      </c>
      <c r="U410" s="26">
        <v>0</v>
      </c>
      <c r="V410" s="26">
        <v>0</v>
      </c>
      <c r="W410" s="15">
        <f t="shared" ref="W410" si="1927">SUM(G410+J410+M410+P410)</f>
        <v>9048447.8668070678</v>
      </c>
      <c r="X410" s="50">
        <f>'Fluxo de Caixa_'!AD416</f>
        <v>0</v>
      </c>
      <c r="AB410" s="26">
        <v>9689.4408000000003</v>
      </c>
      <c r="AC410" s="26">
        <v>0</v>
      </c>
      <c r="AD410">
        <f>SUMIFS([1]Master!$J$2:$J$100,[1]Master!$A$2:$A$100,"="&amp;$I$12,[1]Master!$E$2:$E$100,"="&amp;C410,[1]Master!$J$2:$J$100,"&gt;"&amp;0)</f>
        <v>0</v>
      </c>
      <c r="AE410">
        <f ca="1">-SUMIF('[1]Fluxo de Movimentações'!$A$5:$F$10001,"="&amp;$C410,'[1]Fluxo de Movimentações'!$H$5:$H$10001)</f>
        <v>0</v>
      </c>
      <c r="AF410" s="26">
        <v>0</v>
      </c>
      <c r="AG410" s="26">
        <v>0</v>
      </c>
      <c r="AH410" s="26">
        <v>0</v>
      </c>
      <c r="AI410" s="26">
        <v>0</v>
      </c>
      <c r="AJ410" s="26">
        <v>0</v>
      </c>
      <c r="AK410" s="68">
        <v>4.0488749000000004</v>
      </c>
      <c r="AL410" s="15">
        <f>-SUMIFS([1]Master!$J$1:$J$200,[1]Master!$A$1:$A$200,"="&amp;$I$12,[1]Master!$G$1:$G$200,"&gt;"&amp;C410,[1]Master!$E$1:$E$200,"&lt;="&amp;C410)</f>
        <v>0</v>
      </c>
      <c r="AM410" s="26">
        <v>0</v>
      </c>
      <c r="AN410" s="26">
        <v>0</v>
      </c>
    </row>
    <row r="411" spans="3:40">
      <c r="C411" s="1">
        <f>WORKDAY(C410,1,Feriados!A219:A1058)</f>
        <v>45457</v>
      </c>
      <c r="D411" s="39">
        <v>9083278.4877000004</v>
      </c>
      <c r="E411" s="32">
        <v>4.0621100999999999</v>
      </c>
      <c r="F411" s="88">
        <f>SUMIF([1]HSF!$H$2:$H$30,"="&amp;"APLICAÇÃO",[1]HSF!$K$2:$K$30)</f>
        <v>2283952.1146078166</v>
      </c>
      <c r="G411" s="15">
        <f t="shared" ref="G411" si="1928">H411*I411</f>
        <v>9053900.3156616967</v>
      </c>
      <c r="H411" s="32">
        <v>1.0286597</v>
      </c>
      <c r="I411" s="15">
        <f>SUMIFS([1]Master!$K$2:$K$10000,[1]Master!$A$2:$A$10000,$I$12,[1]Master!$F$2:$F$10000,"&lt;="&amp;$C411)</f>
        <v>8801647.7321525253</v>
      </c>
      <c r="J411" s="15">
        <f t="shared" ref="J411" si="1929">K411*L411</f>
        <v>0</v>
      </c>
      <c r="K411" s="43">
        <v>0</v>
      </c>
      <c r="L411" s="40">
        <v>0</v>
      </c>
      <c r="M411" s="15">
        <f t="shared" ref="M411" si="1930">N411*O411</f>
        <v>0</v>
      </c>
      <c r="N411" s="32">
        <v>0</v>
      </c>
      <c r="O411" s="40">
        <v>0</v>
      </c>
      <c r="P411" s="15">
        <f t="shared" si="1915"/>
        <v>24674.480573489098</v>
      </c>
      <c r="Q411" s="32">
        <v>4.2920230000000004</v>
      </c>
      <c r="R411" s="40">
        <v>5748.9162041976697</v>
      </c>
      <c r="S411" s="15">
        <f t="shared" ref="S411" si="1931">(((1+1.35%)^(1/252))-1)*D410+SUM(S410)</f>
        <v>4935.8649560425756</v>
      </c>
      <c r="T411" s="15">
        <f>IF((NETWORKDAYS(DATE(YEAR(C411),MONTH(C411),1),C411,Feriados!$A$2:$A$842))&gt;=5,0,IF(NETWORKDAYS(DATE(YEAR(C411),MONTH(C411),1),C411,Feriados!$A$2:$A$842)=1,S410,T410))</f>
        <v>0</v>
      </c>
      <c r="U411" s="26">
        <v>0</v>
      </c>
      <c r="V411" s="26">
        <v>0</v>
      </c>
      <c r="W411" s="15">
        <f t="shared" ref="W411" si="1932">SUM(G411+J411+M411+P411)</f>
        <v>9078574.7962351851</v>
      </c>
      <c r="X411" s="50">
        <f>'Fluxo de Caixa_'!AD417</f>
        <v>0</v>
      </c>
      <c r="AB411" s="26">
        <v>9639.4976999999999</v>
      </c>
      <c r="AC411" s="26">
        <v>0</v>
      </c>
      <c r="AD411">
        <f>SUMIFS([1]Master!$J$2:$J$100,[1]Master!$A$2:$A$100,"="&amp;$I$12,[1]Master!$E$2:$E$100,"="&amp;C411,[1]Master!$J$2:$J$100,"&gt;"&amp;0)</f>
        <v>0</v>
      </c>
      <c r="AE411">
        <f ca="1">-SUMIF('[1]Fluxo de Movimentações'!$A$5:$F$10001,"="&amp;$C411,'[1]Fluxo de Movimentações'!$H$5:$H$10001)</f>
        <v>0</v>
      </c>
      <c r="AF411" s="26">
        <v>0</v>
      </c>
      <c r="AG411" s="26">
        <v>0</v>
      </c>
      <c r="AH411" s="26">
        <v>0</v>
      </c>
      <c r="AI411" s="26">
        <v>0</v>
      </c>
      <c r="AJ411" s="26">
        <v>0</v>
      </c>
      <c r="AK411" s="68">
        <v>4.0621100999999999</v>
      </c>
      <c r="AL411" s="15">
        <f>-SUMIFS([1]Master!$J$1:$J$200,[1]Master!$A$1:$A$200,"="&amp;$I$12,[1]Master!$G$1:$G$200,"&gt;"&amp;C411,[1]Master!$E$1:$E$200,"&lt;="&amp;C411)</f>
        <v>0</v>
      </c>
      <c r="AM411" s="26">
        <v>0</v>
      </c>
      <c r="AN411" s="26">
        <v>0</v>
      </c>
    </row>
    <row r="412" spans="3:40">
      <c r="C412" s="1">
        <f>WORKDAY(C411,1,Feriados!A220:A1059)</f>
        <v>45460</v>
      </c>
      <c r="D412" s="39">
        <v>8969728.2846000008</v>
      </c>
      <c r="E412" s="32">
        <v>4.0113295999999998</v>
      </c>
      <c r="F412" s="88">
        <f>SUMIF([1]HSF!$H$2:$H$30,"="&amp;"APLICAÇÃO",[1]HSF!$K$2:$K$30)</f>
        <v>2283952.1146078166</v>
      </c>
      <c r="G412" s="15">
        <f t="shared" ref="G412" si="1933">H412*I412</f>
        <v>8940873.9563092608</v>
      </c>
      <c r="H412" s="32">
        <v>1.0158182</v>
      </c>
      <c r="I412" s="15">
        <f>SUMIFS([1]Master!$K$2:$K$10000,[1]Master!$A$2:$A$10000,$I$12,[1]Master!$F$2:$F$10000,"&lt;="&amp;$C412)</f>
        <v>8801647.7321525253</v>
      </c>
      <c r="J412" s="15">
        <f t="shared" ref="J412" si="1934">K412*L412</f>
        <v>0</v>
      </c>
      <c r="K412" s="43">
        <v>0</v>
      </c>
      <c r="L412" s="40">
        <v>0</v>
      </c>
      <c r="M412" s="15">
        <f t="shared" ref="M412" si="1935">N412*O412</f>
        <v>0</v>
      </c>
      <c r="N412" s="32">
        <v>0</v>
      </c>
      <c r="O412" s="40">
        <v>0</v>
      </c>
      <c r="P412" s="15">
        <f t="shared" si="1915"/>
        <v>24683.947888694169</v>
      </c>
      <c r="Q412" s="32">
        <v>4.2936698</v>
      </c>
      <c r="R412" s="40">
        <v>5748.9162041976697</v>
      </c>
      <c r="S412" s="15">
        <f t="shared" ref="S412" si="1936">(((1+1.35%)^(1/252))-1)*D411+SUM(S411)</f>
        <v>5419.2267079157073</v>
      </c>
      <c r="T412" s="15">
        <f>IF((NETWORKDAYS(DATE(YEAR(C412),MONTH(C412),1),C412,Feriados!$A$2:$A$842))&gt;=5,0,IF(NETWORKDAYS(DATE(YEAR(C412),MONTH(C412),1),C412,Feriados!$A$2:$A$842)=1,S411,T411))</f>
        <v>0</v>
      </c>
      <c r="U412" s="26">
        <v>0</v>
      </c>
      <c r="V412" s="26">
        <v>0</v>
      </c>
      <c r="W412" s="15">
        <f t="shared" ref="W412" si="1937">SUM(G412+J412+M412+P412)</f>
        <v>8965557.9041979555</v>
      </c>
      <c r="X412" s="50">
        <f>'Fluxo de Caixa_'!AD418</f>
        <v>0</v>
      </c>
      <c r="AB412" s="26">
        <v>9589.5545999999995</v>
      </c>
      <c r="AC412" s="26">
        <v>0</v>
      </c>
      <c r="AD412">
        <f>SUMIFS([1]Master!$J$2:$J$100,[1]Master!$A$2:$A$100,"="&amp;$I$12,[1]Master!$E$2:$E$100,"="&amp;C412,[1]Master!$J$2:$J$100,"&gt;"&amp;0)</f>
        <v>0</v>
      </c>
      <c r="AE412">
        <f ca="1">-SUMIF('[1]Fluxo de Movimentações'!$A$5:$F$10001,"="&amp;$C412,'[1]Fluxo de Movimentações'!$H$5:$H$10001)</f>
        <v>0</v>
      </c>
      <c r="AF412" s="26">
        <v>0</v>
      </c>
      <c r="AG412" s="26">
        <v>0</v>
      </c>
      <c r="AH412" s="26">
        <v>0</v>
      </c>
      <c r="AI412" s="26">
        <v>0</v>
      </c>
      <c r="AJ412" s="26">
        <v>0</v>
      </c>
      <c r="AK412" s="68">
        <v>4.0113295999999998</v>
      </c>
      <c r="AL412" s="15">
        <f>-SUMIFS([1]Master!$J$1:$J$200,[1]Master!$A$1:$A$200,"="&amp;$I$12,[1]Master!$G$1:$G$200,"&gt;"&amp;C412,[1]Master!$E$1:$E$200,"&lt;="&amp;C412)</f>
        <v>0</v>
      </c>
      <c r="AM412" s="26">
        <v>0</v>
      </c>
      <c r="AN412" s="26">
        <v>0</v>
      </c>
    </row>
    <row r="413" spans="3:40">
      <c r="C413" s="1">
        <f>WORKDAY(C412,1,Feriados!A221:A1060)</f>
        <v>45461</v>
      </c>
      <c r="D413" s="39">
        <v>8946241.6215000004</v>
      </c>
      <c r="E413" s="32">
        <v>4.0008261000000003</v>
      </c>
      <c r="F413" s="88">
        <f>SUMIF([1]HSF!$H$2:$H$30,"="&amp;"APLICAÇÃO",[1]HSF!$K$2:$K$30)</f>
        <v>2283952.1146078166</v>
      </c>
      <c r="G413" s="15">
        <f t="shared" ref="G413" si="1938">H413*I413</f>
        <v>8917905.1763874348</v>
      </c>
      <c r="H413" s="32">
        <v>1.0132086</v>
      </c>
      <c r="I413" s="15">
        <f>SUMIFS([1]Master!$K$2:$K$10000,[1]Master!$A$2:$A$10000,$I$12,[1]Master!$F$2:$F$10000,"&lt;="&amp;$C413)</f>
        <v>8801647.7321525253</v>
      </c>
      <c r="J413" s="15">
        <f t="shared" ref="J413" si="1939">K413*L413</f>
        <v>0</v>
      </c>
      <c r="K413" s="43">
        <v>0</v>
      </c>
      <c r="L413" s="40">
        <v>0</v>
      </c>
      <c r="M413" s="15">
        <f t="shared" ref="M413" si="1940">N413*O413</f>
        <v>0</v>
      </c>
      <c r="N413" s="32">
        <v>0</v>
      </c>
      <c r="O413" s="40">
        <v>0</v>
      </c>
      <c r="P413" s="15">
        <f t="shared" ref="P413" si="1941">R413*Q413</f>
        <v>24693.309423841085</v>
      </c>
      <c r="Q413" s="32">
        <v>4.2952982000000004</v>
      </c>
      <c r="R413" s="40">
        <v>5748.9162041976697</v>
      </c>
      <c r="S413" s="15">
        <f t="shared" ref="S413" si="1942">(((1+1.35%)^(1/252))-1)*D412+SUM(S412)</f>
        <v>5896.5459471464828</v>
      </c>
      <c r="T413" s="15">
        <f>IF((NETWORKDAYS(DATE(YEAR(C413),MONTH(C413),1),C413,Feriados!$A$2:$A$842))&gt;=5,0,IF(NETWORKDAYS(DATE(YEAR(C413),MONTH(C413),1),C413,Feriados!$A$2:$A$842)=1,S412,T412))</f>
        <v>0</v>
      </c>
      <c r="U413" s="26">
        <v>0</v>
      </c>
      <c r="V413" s="26">
        <v>0</v>
      </c>
      <c r="W413" s="15">
        <f t="shared" ref="W413" si="1943">SUM(G413+J413+M413+P413)</f>
        <v>8942598.4858112764</v>
      </c>
      <c r="X413" s="50">
        <f>'Fluxo de Caixa_'!AD419</f>
        <v>0</v>
      </c>
      <c r="AB413" s="26">
        <v>9539.6115000000009</v>
      </c>
      <c r="AC413" s="26">
        <v>0</v>
      </c>
      <c r="AD413">
        <f>SUMIFS([1]Master!$J$2:$J$100,[1]Master!$A$2:$A$100,"="&amp;$I$12,[1]Master!$E$2:$E$100,"="&amp;C413,[1]Master!$J$2:$J$100,"&gt;"&amp;0)</f>
        <v>0</v>
      </c>
      <c r="AE413">
        <f ca="1">-SUMIF('[1]Fluxo de Movimentações'!$A$5:$F$10001,"="&amp;$C413,'[1]Fluxo de Movimentações'!$H$5:$H$10001)</f>
        <v>0</v>
      </c>
      <c r="AF413" s="26">
        <v>0</v>
      </c>
      <c r="AG413" s="26">
        <v>0</v>
      </c>
      <c r="AH413" s="26">
        <v>0</v>
      </c>
      <c r="AI413" s="26">
        <v>0</v>
      </c>
      <c r="AJ413" s="26">
        <v>0</v>
      </c>
      <c r="AK413" s="68">
        <v>4.0008261000000003</v>
      </c>
      <c r="AL413" s="15">
        <f>-SUMIFS([1]Master!$J$1:$J$200,[1]Master!$A$1:$A$200,"="&amp;$I$12,[1]Master!$G$1:$G$200,"&gt;"&amp;C413,[1]Master!$E$1:$E$200,"&lt;="&amp;C413)</f>
        <v>0</v>
      </c>
      <c r="AM413" s="26">
        <v>0</v>
      </c>
      <c r="AN413" s="26">
        <v>0</v>
      </c>
    </row>
    <row r="414" spans="3:40">
      <c r="C414" s="1">
        <f>WORKDAY(C413,1,Feriados!A222:A1061)</f>
        <v>45462</v>
      </c>
      <c r="D414" s="39">
        <v>8943357.5188999996</v>
      </c>
      <c r="E414" s="32">
        <v>3.9995364000000002</v>
      </c>
      <c r="F414" s="88">
        <f>SUMIF([1]HSF!$H$2:$H$30,"="&amp;"APLICAÇÃO",[1]HSF!$K$2:$K$30)</f>
        <v>2283952.1146078166</v>
      </c>
      <c r="G414" s="15">
        <f t="shared" ref="G414" si="1944">H414*I414</f>
        <v>8915537.5331474859</v>
      </c>
      <c r="H414" s="32">
        <v>1.0129395999999999</v>
      </c>
      <c r="I414" s="15">
        <f>SUMIFS([1]Master!$K$2:$K$10000,[1]Master!$A$2:$A$10000,$I$12,[1]Master!$F$2:$F$10000,"&lt;="&amp;$C414)</f>
        <v>8801647.7321525253</v>
      </c>
      <c r="J414" s="15">
        <f t="shared" ref="J414" si="1945">K414*L414</f>
        <v>0</v>
      </c>
      <c r="K414" s="43">
        <v>0</v>
      </c>
      <c r="L414" s="40">
        <v>0</v>
      </c>
      <c r="M414" s="15">
        <f t="shared" ref="M414" si="1946">N414*O414</f>
        <v>0</v>
      </c>
      <c r="N414" s="32">
        <v>0</v>
      </c>
      <c r="O414" s="40">
        <v>0</v>
      </c>
      <c r="P414" s="15">
        <f t="shared" ref="P414:P417" si="1947">R414*Q414</f>
        <v>24702.85607408977</v>
      </c>
      <c r="Q414" s="32">
        <v>4.2969587999999996</v>
      </c>
      <c r="R414" s="40">
        <v>5748.9162041976697</v>
      </c>
      <c r="S414" s="15">
        <f t="shared" ref="S414" si="1948">(((1+1.35%)^(1/252))-1)*D413+SUM(S413)</f>
        <v>6372.6153563035641</v>
      </c>
      <c r="T414" s="15">
        <f>IF((NETWORKDAYS(DATE(YEAR(C414),MONTH(C414),1),C414,Feriados!$A$2:$A$842))&gt;=5,0,IF(NETWORKDAYS(DATE(YEAR(C414),MONTH(C414),1),C414,Feriados!$A$2:$A$842)=1,S413,T413))</f>
        <v>0</v>
      </c>
      <c r="U414" s="26">
        <v>0</v>
      </c>
      <c r="V414" s="26">
        <v>0</v>
      </c>
      <c r="W414" s="15">
        <f t="shared" ref="W414" si="1949">SUM(G414+J414+M414+P414)</f>
        <v>8940240.3892215751</v>
      </c>
      <c r="X414" s="50">
        <f>'Fluxo de Caixa_'!AD420</f>
        <v>0</v>
      </c>
      <c r="AB414" s="26">
        <v>9489.6689000000006</v>
      </c>
      <c r="AC414" s="26">
        <v>0</v>
      </c>
      <c r="AD414">
        <f>SUMIFS([1]Master!$J$2:$J$100,[1]Master!$A$2:$A$100,"="&amp;$I$12,[1]Master!$E$2:$E$100,"="&amp;C414,[1]Master!$J$2:$J$100,"&gt;"&amp;0)</f>
        <v>0</v>
      </c>
      <c r="AE414">
        <f ca="1">-SUMIF('[1]Fluxo de Movimentações'!$A$5:$F$10001,"="&amp;$C414,'[1]Fluxo de Movimentações'!$H$5:$H$10001)</f>
        <v>0</v>
      </c>
      <c r="AF414" s="26">
        <v>0</v>
      </c>
      <c r="AG414" s="26">
        <v>0</v>
      </c>
      <c r="AH414" s="26">
        <v>0</v>
      </c>
      <c r="AI414" s="26">
        <v>0</v>
      </c>
      <c r="AJ414" s="26">
        <v>0</v>
      </c>
      <c r="AK414" s="68">
        <v>3.9995364000000002</v>
      </c>
      <c r="AL414" s="15">
        <f>-SUMIFS([1]Master!$J$1:$J$200,[1]Master!$A$1:$A$200,"="&amp;$I$12,[1]Master!$G$1:$G$200,"&gt;"&amp;C414,[1]Master!$E$1:$E$200,"&lt;="&amp;C414)</f>
        <v>0</v>
      </c>
      <c r="AM414" s="26">
        <v>0</v>
      </c>
      <c r="AN414" s="26">
        <v>0</v>
      </c>
    </row>
    <row r="415" spans="3:40">
      <c r="C415" s="1">
        <f>WORKDAY(C414,1,Feriados!A223:A1062)</f>
        <v>45463</v>
      </c>
      <c r="D415" s="39">
        <v>8864239.3062999994</v>
      </c>
      <c r="E415" s="32">
        <v>3.9641541</v>
      </c>
      <c r="F415" s="88">
        <f>SUMIF([1]HSF!$H$2:$H$30,"="&amp;"APLICAÇÃO",[1]HSF!$K$2:$K$30)</f>
        <v>2283952.1146078166</v>
      </c>
      <c r="G415" s="15">
        <f t="shared" ref="G415" si="1950">H415*I415</f>
        <v>8836930.8974164054</v>
      </c>
      <c r="H415" s="32">
        <v>1.0040087</v>
      </c>
      <c r="I415" s="15">
        <f>SUMIFS([1]Master!$K$2:$K$10000,[1]Master!$A$2:$A$10000,$I$12,[1]Master!$F$2:$F$10000,"&lt;="&amp;$C415)</f>
        <v>8801647.7321525253</v>
      </c>
      <c r="J415" s="15">
        <f t="shared" ref="J415" si="1951">K415*L415</f>
        <v>0</v>
      </c>
      <c r="K415" s="43">
        <v>0</v>
      </c>
      <c r="L415" s="40">
        <v>0</v>
      </c>
      <c r="M415" s="15">
        <f t="shared" ref="M415" si="1952">N415*O415</f>
        <v>0</v>
      </c>
      <c r="N415" s="32">
        <v>0</v>
      </c>
      <c r="O415" s="40">
        <v>0</v>
      </c>
      <c r="P415" s="15">
        <f t="shared" si="1947"/>
        <v>24712.351558984246</v>
      </c>
      <c r="Q415" s="32">
        <v>4.2986104999999997</v>
      </c>
      <c r="R415" s="40">
        <v>5748.9162041976697</v>
      </c>
      <c r="S415" s="15">
        <f t="shared" ref="S415" si="1953">(((1+1.35%)^(1/252))-1)*D414+SUM(S414)</f>
        <v>6848.5312895007037</v>
      </c>
      <c r="T415" s="15">
        <f>IF((NETWORKDAYS(DATE(YEAR(C415),MONTH(C415),1),C415,Feriados!$A$2:$A$842))&gt;=5,0,IF(NETWORKDAYS(DATE(YEAR(C415),MONTH(C415),1),C415,Feriados!$A$2:$A$842)=1,S414,T414))</f>
        <v>0</v>
      </c>
      <c r="U415" s="26">
        <v>0</v>
      </c>
      <c r="V415" s="26">
        <v>0</v>
      </c>
      <c r="W415" s="15">
        <f t="shared" ref="W415" si="1954">SUM(G415+J415+M415+P415)</f>
        <v>8861643.2489753887</v>
      </c>
      <c r="X415" s="50">
        <f>'Fluxo de Caixa_'!AD421</f>
        <v>0</v>
      </c>
      <c r="AB415" s="26">
        <v>9444.5062999999991</v>
      </c>
      <c r="AC415" s="26">
        <v>0</v>
      </c>
      <c r="AD415">
        <f>SUMIFS([1]Master!$J$2:$J$100,[1]Master!$A$2:$A$100,"="&amp;$I$12,[1]Master!$E$2:$E$100,"="&amp;C415,[1]Master!$J$2:$J$100,"&gt;"&amp;0)</f>
        <v>0</v>
      </c>
      <c r="AE415">
        <f ca="1">-SUMIF('[1]Fluxo de Movimentações'!$A$5:$F$10001,"="&amp;$C415,'[1]Fluxo de Movimentações'!$H$5:$H$10001)</f>
        <v>0</v>
      </c>
      <c r="AF415" s="26">
        <v>0</v>
      </c>
      <c r="AG415" s="26">
        <v>0</v>
      </c>
      <c r="AH415" s="26">
        <v>0</v>
      </c>
      <c r="AI415" s="26">
        <v>0</v>
      </c>
      <c r="AJ415" s="26">
        <v>0</v>
      </c>
      <c r="AK415" s="68">
        <v>3.9641541</v>
      </c>
      <c r="AL415" s="15">
        <f>-SUMIFS([1]Master!$J$1:$J$200,[1]Master!$A$1:$A$200,"="&amp;$I$12,[1]Master!$G$1:$G$200,"&gt;"&amp;C415,[1]Master!$E$1:$E$200,"&lt;="&amp;C415)</f>
        <v>0</v>
      </c>
      <c r="AM415" s="26">
        <v>0</v>
      </c>
      <c r="AN415" s="26">
        <v>0</v>
      </c>
    </row>
    <row r="416" spans="3:40">
      <c r="C416" s="1">
        <f>WORKDAY(C415,1,Feriados!A224:A1063)</f>
        <v>45464</v>
      </c>
      <c r="D416" s="39">
        <v>8960912.7137000002</v>
      </c>
      <c r="E416" s="32">
        <v>4.0073872000000001</v>
      </c>
      <c r="F416" s="88">
        <f>SUMIF([1]HSF!$H$2:$H$30,"="&amp;"APLICAÇÃO",[1]HSF!$K$2:$K$30)</f>
        <v>2283952.1146078166</v>
      </c>
      <c r="G416" s="15">
        <f t="shared" ref="G416" si="1955">H416*I416</f>
        <v>8934111.6503566466</v>
      </c>
      <c r="H416" s="32">
        <v>1.0150498999999999</v>
      </c>
      <c r="I416" s="15">
        <f>SUMIFS([1]Master!$K$2:$K$10000,[1]Master!$A$2:$A$10000,$I$12,[1]Master!$F$2:$F$10000,"&lt;="&amp;$C416)</f>
        <v>8801647.7321525253</v>
      </c>
      <c r="J416" s="15">
        <f t="shared" ref="J416" si="1956">K416*L416</f>
        <v>0</v>
      </c>
      <c r="K416" s="43">
        <v>0</v>
      </c>
      <c r="L416" s="40">
        <v>0</v>
      </c>
      <c r="M416" s="15">
        <f t="shared" ref="M416:M417" si="1957">N416*O416</f>
        <v>0</v>
      </c>
      <c r="N416" s="32">
        <v>0</v>
      </c>
      <c r="O416" s="40">
        <v>0</v>
      </c>
      <c r="P416" s="15">
        <f t="shared" si="1947"/>
        <v>24721.874063784879</v>
      </c>
      <c r="Q416" s="32">
        <v>4.3002668999999996</v>
      </c>
      <c r="R416" s="40">
        <v>5748.9162041976697</v>
      </c>
      <c r="S416" s="15">
        <f t="shared" ref="S416" si="1958">(((1+1.35%)^(1/252))-1)*D415+SUM(S415)</f>
        <v>7320.2369898068009</v>
      </c>
      <c r="T416" s="15">
        <f>IF((NETWORKDAYS(DATE(YEAR(C416),MONTH(C416),1),C416,Feriados!$A$2:$A$842))&gt;=5,0,IF(NETWORKDAYS(DATE(YEAR(C416),MONTH(C416),1),C416,Feriados!$A$2:$A$842)=1,S415,T415))</f>
        <v>0</v>
      </c>
      <c r="U416" s="26">
        <v>0</v>
      </c>
      <c r="V416" s="26">
        <v>0</v>
      </c>
      <c r="W416" s="15">
        <f t="shared" ref="W416" si="1959">SUM(G416+J416+M416+P416)</f>
        <v>8958833.5244204309</v>
      </c>
      <c r="X416" s="50">
        <f>'Fluxo de Caixa_'!AD422</f>
        <v>0</v>
      </c>
      <c r="AB416" s="26">
        <v>9399.3436999999994</v>
      </c>
      <c r="AC416" s="26">
        <v>0</v>
      </c>
      <c r="AD416">
        <f>SUMIFS([1]Master!$J$2:$J$100,[1]Master!$A$2:$A$100,"="&amp;$I$12,[1]Master!$E$2:$E$100,"="&amp;C416,[1]Master!$J$2:$J$100,"&gt;"&amp;0)</f>
        <v>0</v>
      </c>
      <c r="AE416">
        <f ca="1">-SUMIF('[1]Fluxo de Movimentações'!$A$5:$F$10001,"="&amp;$C416,'[1]Fluxo de Movimentações'!$H$5:$H$10001)</f>
        <v>0</v>
      </c>
      <c r="AF416" s="26">
        <v>0</v>
      </c>
      <c r="AG416" s="26">
        <v>0</v>
      </c>
      <c r="AH416" s="26">
        <v>0</v>
      </c>
      <c r="AI416" s="26">
        <v>0</v>
      </c>
      <c r="AJ416" s="26">
        <v>0</v>
      </c>
      <c r="AK416" s="68">
        <v>4.0073872000000001</v>
      </c>
      <c r="AL416" s="15">
        <f>-SUMIFS([1]Master!$J$1:$J$200,[1]Master!$A$1:$A$200,"="&amp;$I$12,[1]Master!$G$1:$G$200,"&gt;"&amp;C416,[1]Master!$E$1:$E$200,"&lt;="&amp;C416)</f>
        <v>0</v>
      </c>
      <c r="AM416" s="26">
        <v>0</v>
      </c>
      <c r="AN416" s="26">
        <v>0</v>
      </c>
    </row>
    <row r="417" spans="3:40">
      <c r="C417" s="1">
        <f>WORKDAY(C416,1,Feriados!A225:A1064)</f>
        <v>45467</v>
      </c>
      <c r="D417" s="39">
        <v>9068203.7511</v>
      </c>
      <c r="E417" s="32">
        <v>4.0553685000000002</v>
      </c>
      <c r="F417" s="88">
        <f>SUMIF([1]HSF!$H$2:$H$30,"="&amp;"APLICAÇÃO",[1]HSF!$K$2:$K$30)</f>
        <v>2283952.1146078166</v>
      </c>
      <c r="G417" s="15">
        <f t="shared" ref="G417" si="1960">H417*I417</f>
        <v>9041915.1119448245</v>
      </c>
      <c r="H417" s="32">
        <v>1.027298</v>
      </c>
      <c r="I417" s="15">
        <f>SUMIFS([1]Master!$K$2:$K$10000,[1]Master!$A$2:$A$10000,$I$12,[1]Master!$F$2:$F$10000,"&lt;="&amp;$C417)</f>
        <v>8801647.7321525253</v>
      </c>
      <c r="J417" s="15">
        <f t="shared" ref="J417" si="1961">K417*L417</f>
        <v>0</v>
      </c>
      <c r="K417" s="43">
        <v>0</v>
      </c>
      <c r="L417" s="40">
        <v>0</v>
      </c>
      <c r="M417" s="15">
        <f t="shared" si="1957"/>
        <v>0</v>
      </c>
      <c r="N417" s="32">
        <v>0</v>
      </c>
      <c r="O417" s="40">
        <v>0</v>
      </c>
      <c r="P417" s="15">
        <f t="shared" si="1947"/>
        <v>24586.462106186656</v>
      </c>
      <c r="Q417" s="32">
        <v>4.3019347000000003</v>
      </c>
      <c r="R417" s="40">
        <v>5715.21043919766</v>
      </c>
      <c r="S417" s="15">
        <f t="shared" ref="S417" si="1962">(((1+1.35%)^(1/252))-1)*D416+SUM(S416)</f>
        <v>7797.0871132001885</v>
      </c>
      <c r="T417" s="15">
        <f>IF((NETWORKDAYS(DATE(YEAR(C417),MONTH(C417),1),C417,Feriados!$A$2:$A$842))&gt;=5,0,IF(NETWORKDAYS(DATE(YEAR(C417),MONTH(C417),1),C417,Feriados!$A$2:$A$842)=1,S416,T416))</f>
        <v>0</v>
      </c>
      <c r="U417" s="26">
        <v>0</v>
      </c>
      <c r="V417" s="26">
        <v>0</v>
      </c>
      <c r="W417" s="15">
        <f t="shared" ref="W417" si="1963">SUM(G417+J417+M417+P417)</f>
        <v>9066501.5740510114</v>
      </c>
      <c r="X417" s="50">
        <f>'Fluxo de Caixa_'!AD423</f>
        <v>4.3587277787082712E-8</v>
      </c>
      <c r="AB417" s="26">
        <v>9499.1810999999998</v>
      </c>
      <c r="AC417" s="26">
        <v>0</v>
      </c>
      <c r="AD417">
        <f>SUMIFS([1]Master!$J$2:$J$100,[1]Master!$A$2:$A$100,"="&amp;$I$12,[1]Master!$E$2:$E$100,"="&amp;C417,[1]Master!$J$2:$J$100,"&gt;"&amp;0)</f>
        <v>0</v>
      </c>
      <c r="AE417">
        <f ca="1">-SUMIF('[1]Fluxo de Movimentações'!$A$5:$F$10001,"="&amp;$C417,'[1]Fluxo de Movimentações'!$H$5:$H$10001)</f>
        <v>0</v>
      </c>
      <c r="AF417" s="26">
        <v>0</v>
      </c>
      <c r="AG417" s="26">
        <v>0</v>
      </c>
      <c r="AH417" s="26">
        <v>0</v>
      </c>
      <c r="AI417" s="26">
        <v>0</v>
      </c>
      <c r="AJ417" s="26">
        <v>0</v>
      </c>
      <c r="AK417" s="68">
        <v>4.0553685000000002</v>
      </c>
      <c r="AL417" s="15">
        <f>-SUMIFS([1]Master!$J$1:$J$200,[1]Master!$A$1:$A$200,"="&amp;$I$12,[1]Master!$G$1:$G$200,"&gt;"&amp;C417,[1]Master!$E$1:$E$200,"&lt;="&amp;C417)</f>
        <v>0</v>
      </c>
      <c r="AM417" s="26">
        <v>0</v>
      </c>
      <c r="AN417" s="26">
        <v>0</v>
      </c>
    </row>
    <row r="418" spans="3:40">
      <c r="C418" s="1">
        <f>WORKDAY(C417,1,Feriados!A226:A1065)</f>
        <v>45468</v>
      </c>
      <c r="D418" s="39">
        <v>9035156.6963</v>
      </c>
      <c r="E418" s="32">
        <v>4.0405895999999997</v>
      </c>
      <c r="F418" s="88">
        <f>SUMIF([1]HSF!$H$2:$H$30,"="&amp;"APLICAÇÃO",[1]HSF!$K$2:$K$30)</f>
        <v>2283952.1146078166</v>
      </c>
      <c r="G418" s="15">
        <f t="shared" ref="G418" si="1964">H418*I418</f>
        <v>9009389.502915429</v>
      </c>
      <c r="H418" s="32">
        <v>1.0236026</v>
      </c>
      <c r="I418" s="15">
        <f>SUMIFS([1]Master!$K$2:$K$10000,[1]Master!$A$2:$A$10000,$I$12,[1]Master!$F$2:$F$10000,"&lt;="&amp;$C418)</f>
        <v>8801647.7321525253</v>
      </c>
      <c r="J418" s="15">
        <f t="shared" ref="J418" si="1965">K418*L418</f>
        <v>0</v>
      </c>
      <c r="K418" s="43">
        <v>0</v>
      </c>
      <c r="L418" s="40">
        <v>0</v>
      </c>
      <c r="M418" s="15">
        <f t="shared" ref="M418" si="1966">N418*O418</f>
        <v>0</v>
      </c>
      <c r="N418" s="32">
        <v>0</v>
      </c>
      <c r="O418" s="40">
        <v>0</v>
      </c>
      <c r="P418" s="15">
        <f t="shared" ref="P418:P421" si="1967">R418*Q418</f>
        <v>24595.946497910503</v>
      </c>
      <c r="Q418" s="32">
        <v>4.3035942</v>
      </c>
      <c r="R418" s="40">
        <v>5715.21043919766</v>
      </c>
      <c r="S418" s="15">
        <f t="shared" ref="S418" si="1968">(((1+1.35%)^(1/252))-1)*D417+SUM(S417)</f>
        <v>8279.6466711185858</v>
      </c>
      <c r="T418" s="15">
        <f>IF((NETWORKDAYS(DATE(YEAR(C418),MONTH(C418),1),C418,Feriados!$A$2:$A$842))&gt;=5,0,IF(NETWORKDAYS(DATE(YEAR(C418),MONTH(C418),1),C418,Feriados!$A$2:$A$842)=1,S417,T417))</f>
        <v>0</v>
      </c>
      <c r="U418" s="26">
        <v>0</v>
      </c>
      <c r="V418" s="26">
        <v>0</v>
      </c>
      <c r="W418" s="15">
        <f t="shared" ref="W418" si="1969">SUM(G418+J418+M418+P418)</f>
        <v>9033985.4494133387</v>
      </c>
      <c r="X418" s="50">
        <f>'Fluxo de Caixa_'!AD424</f>
        <v>0</v>
      </c>
      <c r="AB418" s="26">
        <v>9450.7963</v>
      </c>
      <c r="AC418" s="26">
        <v>0</v>
      </c>
      <c r="AD418">
        <f>SUMIFS([1]Master!$J$2:$J$100,[1]Master!$A$2:$A$100,"="&amp;$I$12,[1]Master!$E$2:$E$100,"="&amp;C418,[1]Master!$J$2:$J$100,"&gt;"&amp;0)</f>
        <v>0</v>
      </c>
      <c r="AE418">
        <f ca="1">-SUMIF('[1]Fluxo de Movimentações'!$A$5:$F$10001,"="&amp;$C418,'[1]Fluxo de Movimentações'!$H$5:$H$10001)</f>
        <v>0</v>
      </c>
      <c r="AF418" s="26">
        <v>0</v>
      </c>
      <c r="AG418" s="26">
        <v>0</v>
      </c>
      <c r="AH418" s="26">
        <v>0</v>
      </c>
      <c r="AI418" s="26">
        <v>0</v>
      </c>
      <c r="AJ418" s="26">
        <v>0</v>
      </c>
      <c r="AK418" s="68">
        <v>4.0405895999999997</v>
      </c>
      <c r="AL418" s="15">
        <f>-SUMIFS([1]Master!$J$1:$J$200,[1]Master!$A$1:$A$200,"="&amp;$I$12,[1]Master!$G$1:$G$200,"&gt;"&amp;C418,[1]Master!$E$1:$E$200,"&lt;="&amp;C418)</f>
        <v>0</v>
      </c>
      <c r="AM418" s="26">
        <v>0</v>
      </c>
      <c r="AN418" s="26">
        <v>0</v>
      </c>
    </row>
    <row r="419" spans="3:40">
      <c r="C419" s="1">
        <f>WORKDAY(C418,1,Feriados!A227:A1066)</f>
        <v>45469</v>
      </c>
      <c r="D419" s="39">
        <v>9024005.6315000001</v>
      </c>
      <c r="E419" s="32">
        <v>4.0356028000000004</v>
      </c>
      <c r="F419" s="88">
        <f>SUMIF([1]HSF!$H$2:$H$30,"="&amp;"APLICAÇÃO",[1]HSF!$K$2:$K$30)</f>
        <v>2283952.1146078166</v>
      </c>
      <c r="G419" s="15">
        <f t="shared" ref="G419" si="1970">H419*I419</f>
        <v>8998757.9926197622</v>
      </c>
      <c r="H419" s="32">
        <v>1.0223947</v>
      </c>
      <c r="I419" s="15">
        <f>SUMIFS([1]Master!$K$2:$K$10000,[1]Master!$A$2:$A$10000,$I$12,[1]Master!$F$2:$F$10000,"&lt;="&amp;$C419)</f>
        <v>8801647.7321525253</v>
      </c>
      <c r="J419" s="15">
        <f t="shared" ref="J419" si="1971">K419*L419</f>
        <v>0</v>
      </c>
      <c r="K419" s="43">
        <v>0</v>
      </c>
      <c r="L419" s="40">
        <v>0</v>
      </c>
      <c r="M419" s="15">
        <f t="shared" ref="M419" si="1972">N419*O419</f>
        <v>0</v>
      </c>
      <c r="N419" s="32">
        <v>0</v>
      </c>
      <c r="O419" s="40">
        <v>0</v>
      </c>
      <c r="P419" s="15">
        <f t="shared" si="1967"/>
        <v>24605.580056626815</v>
      </c>
      <c r="Q419" s="32">
        <v>4.3052798000000001</v>
      </c>
      <c r="R419" s="40">
        <v>5715.21043919766</v>
      </c>
      <c r="S419" s="15">
        <f t="shared" ref="S419" si="1973">(((1+1.35%)^(1/252))-1)*D418+SUM(S418)</f>
        <v>8760.4476478898778</v>
      </c>
      <c r="T419" s="15">
        <f>IF((NETWORKDAYS(DATE(YEAR(C419),MONTH(C419),1),C419,Feriados!$A$2:$A$842))&gt;=5,0,IF(NETWORKDAYS(DATE(YEAR(C419),MONTH(C419),1),C419,Feriados!$A$2:$A$842)=1,S418,T418))</f>
        <v>0</v>
      </c>
      <c r="U419" s="26">
        <v>0</v>
      </c>
      <c r="V419" s="26">
        <v>0</v>
      </c>
      <c r="W419" s="15">
        <f t="shared" ref="W419" si="1974">SUM(G419+J419+M419+P419)</f>
        <v>9023363.5726763885</v>
      </c>
      <c r="X419" s="50">
        <f>'Fluxo de Caixa_'!AD425</f>
        <v>0</v>
      </c>
      <c r="AB419" s="26">
        <v>9402.4115000000002</v>
      </c>
      <c r="AC419" s="26">
        <v>0</v>
      </c>
      <c r="AD419">
        <f>SUMIFS([1]Master!$J$2:$J$100,[1]Master!$A$2:$A$100,"="&amp;$I$12,[1]Master!$E$2:$E$100,"="&amp;C419,[1]Master!$J$2:$J$100,"&gt;"&amp;0)</f>
        <v>0</v>
      </c>
      <c r="AE419">
        <f ca="1">-SUMIF('[1]Fluxo de Movimentações'!$A$5:$F$10001,"="&amp;$C419,'[1]Fluxo de Movimentações'!$H$5:$H$10001)</f>
        <v>0</v>
      </c>
      <c r="AF419" s="26">
        <v>0</v>
      </c>
      <c r="AG419" s="26">
        <v>0</v>
      </c>
      <c r="AH419" s="26">
        <v>0</v>
      </c>
      <c r="AI419" s="26">
        <v>0</v>
      </c>
      <c r="AJ419" s="26">
        <v>0</v>
      </c>
      <c r="AK419" s="68">
        <v>4.0356028000000004</v>
      </c>
      <c r="AL419" s="15">
        <f>-SUMIFS([1]Master!$J$1:$J$200,[1]Master!$A$1:$A$200,"="&amp;$I$12,[1]Master!$G$1:$G$200,"&gt;"&amp;C419,[1]Master!$E$1:$E$200,"&lt;="&amp;C419)</f>
        <v>0</v>
      </c>
      <c r="AM419" s="26">
        <v>0</v>
      </c>
      <c r="AN419" s="26">
        <v>0</v>
      </c>
    </row>
    <row r="420" spans="3:40">
      <c r="C420" s="1">
        <f>WORKDAY(C419,1,Feriados!A228:A1067)</f>
        <v>45470</v>
      </c>
      <c r="D420" s="39">
        <v>9237295.4067000002</v>
      </c>
      <c r="E420" s="32">
        <v>4.1309876000000001</v>
      </c>
      <c r="F420" s="88">
        <f>SUMIF([1]HSF!$H$2:$H$30,"="&amp;"APLICAÇÃO",[1]HSF!$K$2:$K$30)</f>
        <v>2283952.1146078166</v>
      </c>
      <c r="G420" s="15">
        <f t="shared" ref="G420" si="1975">H420*I420</f>
        <v>9212566.7391644362</v>
      </c>
      <c r="H420" s="32">
        <v>1.0466865999999999</v>
      </c>
      <c r="I420" s="15">
        <f>SUMIFS([1]Master!$K$2:$K$10000,[1]Master!$A$2:$A$10000,$I$12,[1]Master!$F$2:$F$10000,"&lt;="&amp;$C420)</f>
        <v>8801647.7321525253</v>
      </c>
      <c r="J420" s="15">
        <f t="shared" ref="J420" si="1976">K420*L420</f>
        <v>0</v>
      </c>
      <c r="K420" s="43">
        <v>0</v>
      </c>
      <c r="L420" s="40">
        <v>0</v>
      </c>
      <c r="M420" s="15">
        <f t="shared" ref="M420" si="1977">N420*O420</f>
        <v>0</v>
      </c>
      <c r="N420" s="32">
        <v>0</v>
      </c>
      <c r="O420" s="40">
        <v>0</v>
      </c>
      <c r="P420" s="15">
        <f t="shared" si="1967"/>
        <v>24615.18789689615</v>
      </c>
      <c r="Q420" s="32">
        <v>4.3069609</v>
      </c>
      <c r="R420" s="40">
        <v>5715.21043919766</v>
      </c>
      <c r="S420" s="15">
        <f t="shared" ref="S420" si="1978">(((1+1.35%)^(1/252))-1)*D419+SUM(S419)</f>
        <v>9240.6552267790867</v>
      </c>
      <c r="T420" s="15">
        <f>IF((NETWORKDAYS(DATE(YEAR(C420),MONTH(C420),1),C420,Feriados!$A$2:$A$842))&gt;=5,0,IF(NETWORKDAYS(DATE(YEAR(C420),MONTH(C420),1),C420,Feriados!$A$2:$A$842)=1,S419,T419))</f>
        <v>0</v>
      </c>
      <c r="U420" s="26">
        <v>0</v>
      </c>
      <c r="V420" s="26">
        <v>0</v>
      </c>
      <c r="W420" s="15">
        <f t="shared" ref="W420" si="1979">SUM(G420+J420+M420+P420)</f>
        <v>9237181.9270613324</v>
      </c>
      <c r="X420" s="50">
        <f>'Fluxo de Caixa_'!AD426</f>
        <v>0</v>
      </c>
      <c r="AB420" s="26">
        <v>9354.0267000000003</v>
      </c>
      <c r="AC420" s="26">
        <v>0</v>
      </c>
      <c r="AD420">
        <f>SUMIFS([1]Master!$J$2:$J$100,[1]Master!$A$2:$A$100,"="&amp;$I$12,[1]Master!$E$2:$E$100,"="&amp;C420,[1]Master!$J$2:$J$100,"&gt;"&amp;0)</f>
        <v>0</v>
      </c>
      <c r="AE420">
        <f ca="1">-SUMIF('[1]Fluxo de Movimentações'!$A$5:$F$10001,"="&amp;$C420,'[1]Fluxo de Movimentações'!$H$5:$H$10001)</f>
        <v>0</v>
      </c>
      <c r="AF420" s="26">
        <v>0</v>
      </c>
      <c r="AG420" s="26">
        <v>0</v>
      </c>
      <c r="AH420" s="26">
        <v>0</v>
      </c>
      <c r="AI420" s="26">
        <v>0</v>
      </c>
      <c r="AJ420" s="26">
        <v>0</v>
      </c>
      <c r="AK420" s="68">
        <v>4.1309876000000001</v>
      </c>
      <c r="AL420" s="15">
        <f>-SUMIFS([1]Master!$J$1:$J$200,[1]Master!$A$1:$A$200,"="&amp;$I$12,[1]Master!$G$1:$G$200,"&gt;"&amp;C420,[1]Master!$E$1:$E$200,"&lt;="&amp;C420)</f>
        <v>0</v>
      </c>
      <c r="AM420" s="26">
        <v>0</v>
      </c>
      <c r="AN420" s="26">
        <v>0</v>
      </c>
    </row>
    <row r="421" spans="3:40">
      <c r="C421" s="1">
        <f>WORKDAY(C420,1,Feriados!A229:A1068)</f>
        <v>45471</v>
      </c>
      <c r="D421" s="39">
        <v>9061779.6819000002</v>
      </c>
      <c r="E421" s="32">
        <v>4.0524956000000003</v>
      </c>
      <c r="F421" s="88">
        <f>SUMIF([1]HSF!$H$2:$H$30,"="&amp;"APLICAÇÃO",[1]HSF!$K$2:$K$30)</f>
        <v>2283952.1146078166</v>
      </c>
      <c r="G421" s="15">
        <f t="shared" ref="G421" si="1980">H421*I421</f>
        <v>9037581.180601513</v>
      </c>
      <c r="H421" s="32">
        <v>1.0268056000000001</v>
      </c>
      <c r="I421" s="15">
        <f>SUMIFS([1]Master!$K$2:$K$10000,[1]Master!$A$2:$A$10000,$I$12,[1]Master!$F$2:$F$10000,"&lt;="&amp;$C421)</f>
        <v>8801647.7321525253</v>
      </c>
      <c r="J421" s="15">
        <f t="shared" ref="J421" si="1981">K421*L421</f>
        <v>0</v>
      </c>
      <c r="K421" s="43">
        <v>0</v>
      </c>
      <c r="L421" s="40">
        <v>0</v>
      </c>
      <c r="M421" s="15">
        <f t="shared" ref="M421" si="1982">N421*O421</f>
        <v>0</v>
      </c>
      <c r="N421" s="32">
        <v>0</v>
      </c>
      <c r="O421" s="40">
        <v>0</v>
      </c>
      <c r="P421" s="15">
        <f t="shared" si="1967"/>
        <v>24624.960906747176</v>
      </c>
      <c r="Q421" s="32">
        <v>4.3086709000000001</v>
      </c>
      <c r="R421" s="40">
        <v>5715.21043919766</v>
      </c>
      <c r="S421" s="15">
        <f t="shared" ref="S421:S423" si="1983">(((1+1.35%)^(1/252))-1)*D420+SUM(S420)</f>
        <v>9732.212905694063</v>
      </c>
      <c r="T421" s="15">
        <f>IF((NETWORKDAYS(DATE(YEAR(C421),MONTH(C421),1),C421,Feriados!$A$2:$A$842))&gt;=5,0,IF(NETWORKDAYS(DATE(YEAR(C421),MONTH(C421),1),C421,Feriados!$A$2:$A$842)=1,S420,T420))</f>
        <v>0</v>
      </c>
      <c r="U421" s="26">
        <v>0</v>
      </c>
      <c r="V421" s="26">
        <v>0</v>
      </c>
      <c r="W421" s="15">
        <f t="shared" ref="W421" si="1984">SUM(G421+J421+M421+P421)</f>
        <v>9062206.1415082607</v>
      </c>
      <c r="X421" s="50">
        <f>'Fluxo de Caixa_'!AD427</f>
        <v>0</v>
      </c>
      <c r="AB421" s="26">
        <v>9305.6419000000005</v>
      </c>
      <c r="AC421" s="26">
        <v>0</v>
      </c>
      <c r="AD421">
        <f>SUMIFS([1]Master!$J$2:$J$100,[1]Master!$A$2:$A$100,"="&amp;$I$12,[1]Master!$E$2:$E$100,"="&amp;C421,[1]Master!$J$2:$J$100,"&gt;"&amp;0)</f>
        <v>0</v>
      </c>
      <c r="AE421">
        <f ca="1">-SUMIF('[1]Fluxo de Movimentações'!$A$5:$F$10001,"="&amp;$C421,'[1]Fluxo de Movimentações'!$H$5:$H$10001)</f>
        <v>0</v>
      </c>
      <c r="AF421" s="26">
        <v>0</v>
      </c>
      <c r="AG421" s="26">
        <v>0</v>
      </c>
      <c r="AH421" s="26">
        <v>0</v>
      </c>
      <c r="AI421" s="26">
        <v>0</v>
      </c>
      <c r="AJ421" s="26">
        <v>0</v>
      </c>
      <c r="AK421" s="68">
        <v>4.0524956000000003</v>
      </c>
      <c r="AL421" s="15">
        <f>-SUMIFS([1]Master!$J$1:$J$200,[1]Master!$A$1:$A$200,"="&amp;$I$12,[1]Master!$G$1:$G$200,"&gt;"&amp;C421,[1]Master!$E$1:$E$200,"&lt;="&amp;C421)</f>
        <v>0</v>
      </c>
      <c r="AM421" s="26">
        <v>0</v>
      </c>
      <c r="AN421" s="26">
        <v>0</v>
      </c>
    </row>
    <row r="422" spans="3:40">
      <c r="C422" s="1">
        <f>WORKDAY(C421,1,Feriados!A230:A1069)</f>
        <v>45474</v>
      </c>
      <c r="D422" s="39">
        <v>9028257.7071000002</v>
      </c>
      <c r="E422" s="32">
        <v>4.0375043000000002</v>
      </c>
      <c r="F422" s="88">
        <f>SUMIF([1]HSF!$H$2:$H$30,"="&amp;"APLICAÇÃO",[1]HSF!$K$2:$K$30)</f>
        <v>2283952.1146078166</v>
      </c>
      <c r="G422" s="15">
        <f t="shared" ref="G422" si="1985">H422*I422</f>
        <v>9004580.2825945802</v>
      </c>
      <c r="H422" s="32">
        <v>1.0230562000000001</v>
      </c>
      <c r="I422" s="15">
        <f>SUMIFS([1]Master!$K$2:$K$10000,[1]Master!$A$2:$A$10000,$I$12,[1]Master!$F$2:$F$10000,"&lt;="&amp;$C422)</f>
        <v>8801647.7321525253</v>
      </c>
      <c r="J422" s="15">
        <f t="shared" ref="J422" si="1986">K422*L422</f>
        <v>0</v>
      </c>
      <c r="K422" s="43">
        <v>0</v>
      </c>
      <c r="L422" s="40">
        <v>0</v>
      </c>
      <c r="M422" s="15">
        <f t="shared" ref="M422" si="1987">N422*O422</f>
        <v>0</v>
      </c>
      <c r="N422" s="32">
        <v>0</v>
      </c>
      <c r="O422" s="40">
        <v>0</v>
      </c>
      <c r="P422" s="15">
        <f t="shared" ref="P422:P425" si="1988">R422*Q422</f>
        <v>24634.478446691573</v>
      </c>
      <c r="Q422" s="32">
        <v>4.3103362000000001</v>
      </c>
      <c r="R422" s="40">
        <v>5715.21043919766</v>
      </c>
      <c r="S422" s="15">
        <f>(((1+1.35%)^(1/252))-1)*D421</f>
        <v>482.21770455048926</v>
      </c>
      <c r="T422" s="15">
        <f>IF((NETWORKDAYS(DATE(YEAR(C422),MONTH(C422),1),C422,Feriados!$A$2:$A$842))&gt;=5,0,IF(NETWORKDAYS(DATE(YEAR(C422),MONTH(C422),1),C422,Feriados!$A$2:$A$842)=1,S421,T421))</f>
        <v>9732.212905694063</v>
      </c>
      <c r="U422" s="26">
        <v>0</v>
      </c>
      <c r="V422" s="26">
        <v>0</v>
      </c>
      <c r="W422" s="15">
        <f t="shared" ref="W422" si="1989">SUM(G422+J422+M422+P422)</f>
        <v>9029214.7610412724</v>
      </c>
      <c r="X422" s="50">
        <f>'Fluxo de Caixa_'!AD428</f>
        <v>0</v>
      </c>
      <c r="AB422" s="26">
        <v>9257.2571000000007</v>
      </c>
      <c r="AC422" s="26">
        <v>0</v>
      </c>
      <c r="AD422">
        <f>SUMIFS([1]Master!$J$2:$J$100,[1]Master!$A$2:$A$100,"="&amp;$I$12,[1]Master!$E$2:$E$100,"="&amp;C422,[1]Master!$J$2:$J$100,"&gt;"&amp;0)</f>
        <v>0</v>
      </c>
      <c r="AE422">
        <f ca="1">-SUMIF('[1]Fluxo de Movimentações'!$A$5:$F$10001,"="&amp;$C422,'[1]Fluxo de Movimentações'!$H$5:$H$10001)</f>
        <v>0</v>
      </c>
      <c r="AF422" s="26">
        <v>0</v>
      </c>
      <c r="AG422" s="26">
        <v>0</v>
      </c>
      <c r="AH422" s="26">
        <v>0</v>
      </c>
      <c r="AI422" s="26">
        <v>0</v>
      </c>
      <c r="AJ422" s="26">
        <v>0</v>
      </c>
      <c r="AK422" s="68">
        <v>4.0375043000000002</v>
      </c>
      <c r="AL422" s="15">
        <f>-SUMIFS([1]Master!$J$1:$J$200,[1]Master!$A$1:$A$200,"="&amp;$I$12,[1]Master!$G$1:$G$200,"&gt;"&amp;C422,[1]Master!$E$1:$E$200,"&lt;="&amp;C422)</f>
        <v>0</v>
      </c>
      <c r="AM422" s="26">
        <v>0</v>
      </c>
      <c r="AN422" s="26">
        <v>0</v>
      </c>
    </row>
    <row r="423" spans="3:40">
      <c r="C423" s="1">
        <f>WORKDAY(C422,1,Feriados!A231:A1070)</f>
        <v>45475</v>
      </c>
      <c r="D423" s="39">
        <v>8984217.9422999993</v>
      </c>
      <c r="E423" s="32">
        <v>4.0178094</v>
      </c>
      <c r="F423" s="88">
        <f>SUMIF([1]HSF!$H$2:$H$30,"="&amp;"APLICAÇÃO",[1]HSF!$K$2:$K$30)</f>
        <v>2283952.1146078166</v>
      </c>
      <c r="G423" s="15">
        <f t="shared" ref="G423" si="1990">H423*I423</f>
        <v>8961059.6552181784</v>
      </c>
      <c r="H423" s="32">
        <v>1.0181115999999999</v>
      </c>
      <c r="I423" s="15">
        <f>SUMIFS([1]Master!$K$2:$K$10000,[1]Master!$A$2:$A$10000,$I$12,[1]Master!$F$2:$F$10000,"&lt;="&amp;$C423)</f>
        <v>8801647.7321525253</v>
      </c>
      <c r="J423" s="15">
        <f t="shared" ref="J423" si="1991">K423*L423</f>
        <v>0</v>
      </c>
      <c r="K423" s="43">
        <v>0</v>
      </c>
      <c r="L423" s="40">
        <v>0</v>
      </c>
      <c r="M423" s="15">
        <f t="shared" ref="M423:M424" si="1992">N423*O423</f>
        <v>0</v>
      </c>
      <c r="N423" s="32">
        <v>0</v>
      </c>
      <c r="O423" s="40">
        <v>0</v>
      </c>
      <c r="P423" s="15">
        <f t="shared" si="1988"/>
        <v>24644.152583401999</v>
      </c>
      <c r="Q423" s="32">
        <v>4.3120288999999996</v>
      </c>
      <c r="R423" s="40">
        <v>5715.21043919766</v>
      </c>
      <c r="S423" s="15">
        <f t="shared" si="1983"/>
        <v>962.65155534294217</v>
      </c>
      <c r="T423" s="15">
        <f>IF((NETWORKDAYS(DATE(YEAR(C423),MONTH(C423),1),C423,Feriados!$A$2:$A$842))&gt;=5,0,IF(NETWORKDAYS(DATE(YEAR(C423),MONTH(C423),1),C423,Feriados!$A$2:$A$842)=1,S422,T422))</f>
        <v>9732.212905694063</v>
      </c>
      <c r="U423" s="26">
        <v>0</v>
      </c>
      <c r="V423" s="26">
        <v>0</v>
      </c>
      <c r="W423" s="15">
        <f t="shared" ref="W423" si="1993">SUM(G423+J423+M423+P423)</f>
        <v>8985703.8078015801</v>
      </c>
      <c r="X423" s="50">
        <f>'Fluxo de Caixa_'!AD429</f>
        <v>0</v>
      </c>
      <c r="AB423" s="26">
        <v>9208.8723000000009</v>
      </c>
      <c r="AC423" s="26">
        <v>0</v>
      </c>
      <c r="AD423">
        <f>SUMIFS([1]Master!$J$2:$J$100,[1]Master!$A$2:$A$100,"="&amp;$I$12,[1]Master!$E$2:$E$100,"="&amp;C423,[1]Master!$J$2:$J$100,"&gt;"&amp;0)</f>
        <v>0</v>
      </c>
      <c r="AE423">
        <f ca="1">-SUMIF('[1]Fluxo de Movimentações'!$A$5:$F$10001,"="&amp;$C423,'[1]Fluxo de Movimentações'!$H$5:$H$10001)</f>
        <v>0</v>
      </c>
      <c r="AF423" s="26">
        <v>0</v>
      </c>
      <c r="AG423" s="26">
        <v>0</v>
      </c>
      <c r="AH423" s="26">
        <v>0</v>
      </c>
      <c r="AI423" s="26">
        <v>0</v>
      </c>
      <c r="AJ423" s="26">
        <v>0</v>
      </c>
      <c r="AK423" s="68">
        <v>4.0178094</v>
      </c>
      <c r="AL423" s="15">
        <f>-SUMIFS([1]Master!$J$1:$J$200,[1]Master!$A$1:$A$200,"="&amp;$I$12,[1]Master!$G$1:$G$200,"&gt;"&amp;C423,[1]Master!$E$1:$E$200,"&lt;="&amp;C423)</f>
        <v>0</v>
      </c>
      <c r="AM423" s="26">
        <v>0</v>
      </c>
      <c r="AN423" s="26">
        <v>0</v>
      </c>
    </row>
    <row r="424" spans="3:40">
      <c r="C424" s="1">
        <f>WORKDAY(C423,1,Feriados!A232:A1071)</f>
        <v>45476</v>
      </c>
      <c r="D424" s="39">
        <v>9144815.1775000002</v>
      </c>
      <c r="E424" s="32">
        <v>4.0896296999999997</v>
      </c>
      <c r="F424" s="88">
        <f>SUMIF([1]HSF!$H$2:$H$30,"="&amp;"APLICAÇÃO",[1]HSF!$K$2:$K$30)</f>
        <v>2283952.1146078166</v>
      </c>
      <c r="G424" s="15">
        <f t="shared" ref="G424" si="1994">H424*I424</f>
        <v>9112173.8169552293</v>
      </c>
      <c r="H424" s="32">
        <v>1.0364165999999999</v>
      </c>
      <c r="I424" s="15">
        <f>SUMIFS([1]Master!$K$2:$K$10000,[1]Master!$A$2:$A$10000,$I$12,[1]Master!$F$2:$F$10000,"&lt;="&amp;$C424)</f>
        <v>8791999.102441268</v>
      </c>
      <c r="J424" s="15">
        <f t="shared" ref="J424" si="1995">K424*L424</f>
        <v>0</v>
      </c>
      <c r="K424" s="43">
        <v>0</v>
      </c>
      <c r="L424" s="40">
        <v>0</v>
      </c>
      <c r="M424" s="15">
        <f t="shared" si="1992"/>
        <v>0</v>
      </c>
      <c r="N424" s="32">
        <v>0</v>
      </c>
      <c r="O424" s="40">
        <v>0</v>
      </c>
      <c r="P424" s="15">
        <f t="shared" si="1988"/>
        <v>24653.707272214255</v>
      </c>
      <c r="Q424" s="32">
        <v>4.3137007000000001</v>
      </c>
      <c r="R424" s="40">
        <v>5715.21043919766</v>
      </c>
      <c r="S424" s="15">
        <f t="shared" ref="S424" si="1996">(((1+1.35%)^(1/252))-1)*D423+SUM(S423)</f>
        <v>1440.7418538712391</v>
      </c>
      <c r="T424" s="15">
        <f>IF((NETWORKDAYS(DATE(YEAR(C424),MONTH(C424),1),C424,Feriados!$A$2:$A$842))&gt;=5,0,IF(NETWORKDAYS(DATE(YEAR(C424),MONTH(C424),1),C424,Feriados!$A$2:$A$842)=1,S423,T423))</f>
        <v>9732.212905694063</v>
      </c>
      <c r="U424" s="26">
        <v>0</v>
      </c>
      <c r="V424" s="26">
        <v>0</v>
      </c>
      <c r="W424" s="15">
        <f t="shared" ref="W424" si="1997">SUM(G424+J424+M424+P424)</f>
        <v>9136827.5242274441</v>
      </c>
      <c r="X424" s="50">
        <f>'Fluxo de Caixa_'!AD430</f>
        <v>0</v>
      </c>
      <c r="AB424" s="26">
        <v>9160.4874999999993</v>
      </c>
      <c r="AC424" s="26">
        <v>0</v>
      </c>
      <c r="AD424">
        <f>SUMIFS([1]Master!$J$2:$J$100,[1]Master!$A$2:$A$100,"="&amp;$I$12,[1]Master!$E$2:$E$100,"="&amp;C424,[1]Master!$J$2:$J$100,"&gt;"&amp;0)</f>
        <v>200000</v>
      </c>
      <c r="AE424">
        <f ca="1">-SUMIF('[1]Fluxo de Movimentações'!$A$5:$F$10001,"="&amp;$C424,'[1]Fluxo de Movimentações'!$H$5:$H$10001)</f>
        <v>0</v>
      </c>
      <c r="AF424" s="26">
        <v>0</v>
      </c>
      <c r="AG424" s="26">
        <v>0</v>
      </c>
      <c r="AH424" s="26">
        <v>0</v>
      </c>
      <c r="AI424" s="26">
        <v>0</v>
      </c>
      <c r="AJ424" s="26">
        <v>0</v>
      </c>
      <c r="AK424" s="68">
        <v>4.0896296999999997</v>
      </c>
      <c r="AL424" s="15">
        <f>-SUMIFS([1]Master!$J$1:$J$200,[1]Master!$A$1:$A$200,"="&amp;$I$12,[1]Master!$G$1:$G$200,"&gt;"&amp;C424,[1]Master!$E$1:$E$200,"&lt;="&amp;C424)</f>
        <v>10000</v>
      </c>
      <c r="AM424" s="26">
        <v>200000</v>
      </c>
      <c r="AN424" s="26">
        <v>0</v>
      </c>
    </row>
    <row r="425" spans="3:40">
      <c r="C425" s="1">
        <f>WORKDAY(C424,1,Feriados!A233:A1072)</f>
        <v>45477</v>
      </c>
      <c r="D425" s="39">
        <v>9545592.3427000009</v>
      </c>
      <c r="E425" s="32">
        <v>4.1794187999999997</v>
      </c>
      <c r="F425" s="88">
        <f>SUMIF([1]HSF!$H$2:$H$30,"="&amp;"APLICAÇÃO",[1]HSF!$K$2:$K$30)</f>
        <v>2283952.1146078166</v>
      </c>
      <c r="G425" s="15">
        <f t="shared" ref="G425" si="1998">H425*I425</f>
        <v>9513476.3076046351</v>
      </c>
      <c r="H425" s="32">
        <v>1.0593127</v>
      </c>
      <c r="I425" s="15">
        <f>SUMIFS([1]Master!$K$2:$K$10000,[1]Master!$A$2:$A$10000,$I$12,[1]Master!$F$2:$F$10000,"&lt;="&amp;$C425)</f>
        <v>8980800.7660104856</v>
      </c>
      <c r="J425" s="15">
        <f t="shared" ref="J425" si="1999">K425*L425</f>
        <v>0</v>
      </c>
      <c r="K425" s="43">
        <v>0</v>
      </c>
      <c r="L425" s="40">
        <v>0</v>
      </c>
      <c r="M425" s="15">
        <f t="shared" ref="M425" si="2000">N425*O425</f>
        <v>0</v>
      </c>
      <c r="N425" s="32">
        <v>0</v>
      </c>
      <c r="O425" s="40">
        <v>0</v>
      </c>
      <c r="P425" s="15">
        <f t="shared" si="1988"/>
        <v>24663.389981740344</v>
      </c>
      <c r="Q425" s="32">
        <v>4.3153949000000003</v>
      </c>
      <c r="R425" s="40">
        <v>5715.21043919766</v>
      </c>
      <c r="S425" s="15">
        <f t="shared" ref="S425" si="2001">(((1+1.35%)^(1/252))-1)*D424+SUM(S424)</f>
        <v>1927.3782474088841</v>
      </c>
      <c r="T425" s="15">
        <f>IF((NETWORKDAYS(DATE(YEAR(C425),MONTH(C425),1),C425,Feriados!$A$2:$A$842))&gt;=5,0,IF(NETWORKDAYS(DATE(YEAR(C425),MONTH(C425),1),C425,Feriados!$A$2:$A$842)=1,S424,T424))</f>
        <v>9732.212905694063</v>
      </c>
      <c r="U425" s="26">
        <v>0</v>
      </c>
      <c r="V425" s="26">
        <v>0</v>
      </c>
      <c r="W425" s="15">
        <f t="shared" ref="W425" si="2002">SUM(G425+J425+M425+P425)</f>
        <v>9538139.6975863762</v>
      </c>
      <c r="X425" s="50">
        <f>'Fluxo de Caixa_'!AD431</f>
        <v>0</v>
      </c>
      <c r="AB425" s="26">
        <v>9112.1026999999995</v>
      </c>
      <c r="AC425" s="26">
        <v>0</v>
      </c>
      <c r="AD425">
        <f>SUMIFS([1]Master!$J$2:$J$100,[1]Master!$A$2:$A$100,"="&amp;$I$12,[1]Master!$E$2:$E$100,"="&amp;C425,[1]Master!$J$2:$J$100,"&gt;"&amp;0)</f>
        <v>0</v>
      </c>
      <c r="AE425">
        <f ca="1">-SUMIF('[1]Fluxo de Movimentações'!$A$5:$F$10001,"="&amp;$C425,'[1]Fluxo de Movimentações'!$H$5:$H$10001)</f>
        <v>-200000</v>
      </c>
      <c r="AF425" s="26">
        <v>0</v>
      </c>
      <c r="AG425" s="26">
        <v>0</v>
      </c>
      <c r="AH425" s="26">
        <v>0</v>
      </c>
      <c r="AI425" s="26">
        <v>0</v>
      </c>
      <c r="AJ425" s="26">
        <v>0</v>
      </c>
      <c r="AK425" s="68">
        <v>4.1794187999999997</v>
      </c>
      <c r="AL425" s="15">
        <f>-SUMIFS([1]Master!$J$1:$J$200,[1]Master!$A$1:$A$200,"="&amp;$I$12,[1]Master!$G$1:$G$200,"&gt;"&amp;C425,[1]Master!$E$1:$E$200,"&lt;="&amp;C425)</f>
        <v>10000</v>
      </c>
      <c r="AM425" s="26">
        <v>0</v>
      </c>
      <c r="AN425" s="26">
        <v>0</v>
      </c>
    </row>
    <row r="426" spans="3:40">
      <c r="C426" s="1">
        <f>WORKDAY(C425,1,Feriados!A234:A1073)</f>
        <v>45478</v>
      </c>
      <c r="D426" s="39">
        <v>9604805.7279000003</v>
      </c>
      <c r="E426" s="32">
        <v>4.2053446000000001</v>
      </c>
      <c r="F426" s="88">
        <f>SUMIF([1]HSF!$H$2:$H$30,"="&amp;"APLICAÇÃO",[1]HSF!$K$2:$K$30)</f>
        <v>2283952.1146078166</v>
      </c>
      <c r="G426" s="15">
        <f t="shared" ref="G426" si="2003">H426*I426</f>
        <v>9573376.4525537733</v>
      </c>
      <c r="H426" s="32">
        <v>1.0659825000000001</v>
      </c>
      <c r="I426" s="15">
        <f>SUMIFS([1]Master!$K$2:$K$10000,[1]Master!$A$2:$A$10000,$I$12,[1]Master!$F$2:$F$10000,"&lt;="&amp;$C426)</f>
        <v>8980800.7660104856</v>
      </c>
      <c r="J426" s="15">
        <f t="shared" ref="J426" si="2004">K426*L426</f>
        <v>0</v>
      </c>
      <c r="K426" s="43">
        <v>0</v>
      </c>
      <c r="L426" s="40">
        <v>0</v>
      </c>
      <c r="M426" s="15">
        <f t="shared" ref="M426" si="2005">N426*O426</f>
        <v>0</v>
      </c>
      <c r="N426" s="32">
        <v>0</v>
      </c>
      <c r="O426" s="40">
        <v>0</v>
      </c>
      <c r="P426" s="15">
        <f t="shared" ref="P426:P431" si="2006">R426*Q426</f>
        <v>24940.781801778154</v>
      </c>
      <c r="Q426" s="32">
        <v>4.3170557000000001</v>
      </c>
      <c r="R426" s="40">
        <v>5777.2666221976597</v>
      </c>
      <c r="S426" s="15">
        <f t="shared" ref="S426" si="2007">(((1+1.35%)^(1/252))-1)*D425+SUM(S425)</f>
        <v>2435.3417810253172</v>
      </c>
      <c r="T426" s="15">
        <f>IF((NETWORKDAYS(DATE(YEAR(C426),MONTH(C426),1),C426,Feriados!$A$2:$A$842))&gt;=5,0,IF(NETWORKDAYS(DATE(YEAR(C426),MONTH(C426),1),C426,Feriados!$A$2:$A$842)=1,S425,T425))</f>
        <v>0</v>
      </c>
      <c r="U426" s="26">
        <v>0</v>
      </c>
      <c r="V426" s="26">
        <v>0</v>
      </c>
      <c r="W426" s="15">
        <f t="shared" ref="W426" si="2008">SUM(G426+J426+M426+P426)</f>
        <v>9598317.2343555521</v>
      </c>
      <c r="X426" s="50">
        <f>'Fluxo de Caixa_'!AD432</f>
        <v>1.4596078585782379E-6</v>
      </c>
      <c r="AB426" s="26">
        <v>9063.7178999999996</v>
      </c>
      <c r="AC426" s="26">
        <v>0</v>
      </c>
      <c r="AD426">
        <f>SUMIFS([1]Master!$J$2:$J$100,[1]Master!$A$2:$A$100,"="&amp;$I$12,[1]Master!$E$2:$E$100,"="&amp;C426,[1]Master!$J$2:$J$100,"&gt;"&amp;0)</f>
        <v>0</v>
      </c>
      <c r="AE426">
        <f ca="1">-SUMIF('[1]Fluxo de Movimentações'!$A$5:$F$10001,"="&amp;$C426,'[1]Fluxo de Movimentações'!$H$5:$H$10001)</f>
        <v>0</v>
      </c>
      <c r="AF426" s="26">
        <v>0</v>
      </c>
      <c r="AG426" s="26">
        <v>0</v>
      </c>
      <c r="AH426" s="26">
        <v>0</v>
      </c>
      <c r="AI426" s="26">
        <v>0</v>
      </c>
      <c r="AJ426" s="26">
        <v>-140.86134607628864</v>
      </c>
      <c r="AK426" s="68">
        <v>4.2054058999999997</v>
      </c>
      <c r="AL426" s="15">
        <f>-SUMIFS([1]Master!$J$1:$J$200,[1]Master!$A$1:$A$200,"="&amp;$I$12,[1]Master!$G$1:$G$200,"&gt;"&amp;C426,[1]Master!$E$1:$E$200,"&lt;="&amp;C426)</f>
        <v>0</v>
      </c>
      <c r="AM426" s="26">
        <v>0</v>
      </c>
      <c r="AN426" s="26">
        <v>0</v>
      </c>
    </row>
    <row r="427" spans="3:40">
      <c r="C427" s="1">
        <f>WORKDAY(C426,1,Feriados!A235:A1074)</f>
        <v>45481</v>
      </c>
      <c r="D427" s="39">
        <v>9606636.2830999997</v>
      </c>
      <c r="E427" s="32">
        <v>4.2061460999999998</v>
      </c>
      <c r="F427" s="88">
        <f>SUMIF([1]HSF!$H$2:$H$30,"="&amp;"APLICAÇÃO",[1]HSF!$K$2:$K$30)</f>
        <v>2283952.1146078166</v>
      </c>
      <c r="G427" s="15">
        <f t="shared" ref="G427" si="2009">H427*I427</f>
        <v>9575751.8743563816</v>
      </c>
      <c r="H427" s="32">
        <v>1.0662469999999999</v>
      </c>
      <c r="I427" s="15">
        <f>SUMIFS([1]Master!$K$2:$K$10000,[1]Master!$A$2:$A$10000,$I$12,[1]Master!$F$2:$F$10000,"&lt;="&amp;$C427)</f>
        <v>8980800.7660104856</v>
      </c>
      <c r="J427" s="15">
        <f t="shared" ref="J427" si="2010">K427*L427</f>
        <v>0</v>
      </c>
      <c r="K427" s="43">
        <v>0</v>
      </c>
      <c r="L427" s="40">
        <v>0</v>
      </c>
      <c r="M427" s="15">
        <f t="shared" ref="M427" si="2011">N427*O427</f>
        <v>0</v>
      </c>
      <c r="N427" s="32">
        <v>0</v>
      </c>
      <c r="O427" s="40">
        <v>0</v>
      </c>
      <c r="P427" s="15">
        <f t="shared" si="2006"/>
        <v>24950.668438148721</v>
      </c>
      <c r="Q427" s="32">
        <v>4.3187670000000002</v>
      </c>
      <c r="R427" s="40">
        <v>5777.2666221976597</v>
      </c>
      <c r="S427" s="15">
        <f t="shared" ref="S427" si="2012">(((1+1.35%)^(1/252))-1)*D426+SUM(S426)</f>
        <v>2946.4563229085747</v>
      </c>
      <c r="T427" s="15">
        <f>IF((NETWORKDAYS(DATE(YEAR(C427),MONTH(C427),1),C427,Feriados!$A$2:$A$842))&gt;=5,0,IF(NETWORKDAYS(DATE(YEAR(C427),MONTH(C427),1),C427,Feriados!$A$2:$A$842)=1,S426,T426))</f>
        <v>0</v>
      </c>
      <c r="U427" s="26">
        <v>0</v>
      </c>
      <c r="V427" s="26">
        <v>0</v>
      </c>
      <c r="W427" s="15">
        <f t="shared" ref="W427" si="2013">SUM(G427+J427+M427+P427)</f>
        <v>9600702.5427945312</v>
      </c>
      <c r="X427" s="50">
        <f>'Fluxo de Caixa_'!AD433</f>
        <v>0</v>
      </c>
      <c r="AB427" s="26">
        <v>9015.3330999999998</v>
      </c>
      <c r="AC427" s="26">
        <v>0</v>
      </c>
      <c r="AD427">
        <f>SUMIFS([1]Master!$J$2:$J$100,[1]Master!$A$2:$A$100,"="&amp;$I$12,[1]Master!$E$2:$E$100,"="&amp;C427,[1]Master!$J$2:$J$100,"&gt;"&amp;0)</f>
        <v>0</v>
      </c>
      <c r="AE427">
        <f ca="1">-SUMIF('[1]Fluxo de Movimentações'!$A$5:$F$10001,"="&amp;$C427,'[1]Fluxo de Movimentações'!$H$5:$H$10001)</f>
        <v>0</v>
      </c>
      <c r="AF427" s="26">
        <v>0</v>
      </c>
      <c r="AG427" s="26">
        <v>0</v>
      </c>
      <c r="AH427" s="26">
        <v>0</v>
      </c>
      <c r="AI427" s="26">
        <v>0</v>
      </c>
      <c r="AJ427" s="26">
        <v>-137.07465832041345</v>
      </c>
      <c r="AK427" s="68">
        <v>4.2062052999999997</v>
      </c>
      <c r="AL427" s="15">
        <f>-SUMIFS([1]Master!$J$1:$J$200,[1]Master!$A$1:$A$200,"="&amp;$I$12,[1]Master!$G$1:$G$200,"&gt;"&amp;C427,[1]Master!$E$1:$E$200,"&lt;="&amp;C427)</f>
        <v>0</v>
      </c>
      <c r="AM427" s="26">
        <v>0</v>
      </c>
      <c r="AN427" s="26">
        <v>0</v>
      </c>
    </row>
    <row r="428" spans="3:40">
      <c r="C428" s="1">
        <f>WORKDAY(C427,1,Feriados!A236:A1075)</f>
        <v>45482</v>
      </c>
      <c r="D428" s="39">
        <v>9655601.2282999996</v>
      </c>
      <c r="E428" s="32">
        <v>4.2275847999999998</v>
      </c>
      <c r="F428" s="88">
        <f>SUMIF([1]HSF!$H$2:$H$30,"="&amp;"APLICAÇÃO",[1]HSF!$K$2:$K$30)</f>
        <v>2283952.1146078166</v>
      </c>
      <c r="G428" s="15">
        <f t="shared" ref="G428" si="2014">H428*I428</f>
        <v>9625380.6774694324</v>
      </c>
      <c r="H428" s="32">
        <v>1.0717730999999999</v>
      </c>
      <c r="I428" s="15">
        <f>SUMIFS([1]Master!$K$2:$K$10000,[1]Master!$A$2:$A$10000,$I$12,[1]Master!$F$2:$F$10000,"&lt;="&amp;$C428)</f>
        <v>8980800.7660104856</v>
      </c>
      <c r="J428" s="15">
        <f t="shared" ref="J428" si="2015">K428*L428</f>
        <v>0</v>
      </c>
      <c r="K428" s="43">
        <v>0</v>
      </c>
      <c r="L428" s="40">
        <v>0</v>
      </c>
      <c r="M428" s="15">
        <f t="shared" ref="M428" si="2016">N428*O428</f>
        <v>0</v>
      </c>
      <c r="N428" s="32">
        <v>0</v>
      </c>
      <c r="O428" s="40">
        <v>0</v>
      </c>
      <c r="P428" s="15">
        <f t="shared" si="2006"/>
        <v>24960.459171893359</v>
      </c>
      <c r="Q428" s="32">
        <v>4.3204617000000001</v>
      </c>
      <c r="R428" s="40">
        <v>5777.2666221976597</v>
      </c>
      <c r="S428" s="15">
        <f t="shared" ref="S428" si="2017">(((1+1.35%)^(1/252))-1)*D427+SUM(S427)</f>
        <v>3457.6682767967122</v>
      </c>
      <c r="T428" s="15">
        <f>IF((NETWORKDAYS(DATE(YEAR(C428),MONTH(C428),1),C428,Feriados!$A$2:$A$842))&gt;=5,0,IF(NETWORKDAYS(DATE(YEAR(C428),MONTH(C428),1),C428,Feriados!$A$2:$A$842)=1,S427,T427))</f>
        <v>0</v>
      </c>
      <c r="U428" s="26">
        <v>0</v>
      </c>
      <c r="V428" s="26">
        <v>0</v>
      </c>
      <c r="W428" s="15">
        <f t="shared" ref="W428" si="2018">SUM(G428+J428+M428+P428)</f>
        <v>9650341.1366413254</v>
      </c>
      <c r="X428" s="50">
        <f>'Fluxo de Caixa_'!AD434</f>
        <v>0</v>
      </c>
      <c r="AB428" s="26">
        <v>8966.9483</v>
      </c>
      <c r="AC428" s="26">
        <v>0</v>
      </c>
      <c r="AD428">
        <f>SUMIFS([1]Master!$J$2:$J$100,[1]Master!$A$2:$A$100,"="&amp;$I$12,[1]Master!$E$2:$E$100,"="&amp;C428,[1]Master!$J$2:$J$100,"&gt;"&amp;0)</f>
        <v>0</v>
      </c>
      <c r="AE428">
        <f ca="1">-SUMIF('[1]Fluxo de Movimentações'!$A$5:$F$10001,"="&amp;$C428,'[1]Fluxo de Movimentações'!$H$5:$H$10001)</f>
        <v>0</v>
      </c>
      <c r="AF428" s="26">
        <v>0</v>
      </c>
      <c r="AG428" s="26">
        <v>0</v>
      </c>
      <c r="AH428" s="26">
        <v>0</v>
      </c>
      <c r="AI428" s="26">
        <v>0</v>
      </c>
      <c r="AJ428" s="26">
        <v>-252.09024560012773</v>
      </c>
      <c r="AK428" s="68">
        <v>4.2276939000000002</v>
      </c>
      <c r="AL428" s="15">
        <f>-SUMIFS([1]Master!$J$1:$J$200,[1]Master!$A$1:$A$200,"="&amp;$I$12,[1]Master!$G$1:$G$200,"&gt;"&amp;C428,[1]Master!$E$1:$E$200,"&lt;="&amp;C428)</f>
        <v>0</v>
      </c>
      <c r="AM428" s="26">
        <v>0</v>
      </c>
      <c r="AN428" s="26">
        <v>0</v>
      </c>
    </row>
    <row r="429" spans="3:40">
      <c r="C429" s="1">
        <f>WORKDAY(C428,1,Feriados!A237:A1076)</f>
        <v>45483</v>
      </c>
      <c r="D429" s="39">
        <v>9637900.7235000003</v>
      </c>
      <c r="E429" s="32">
        <v>4.2198348000000001</v>
      </c>
      <c r="F429" s="88">
        <f>SUMIF([1]HSF!$H$2:$H$30,"="&amp;"APLICAÇÃO",[1]HSF!$K$2:$K$30)</f>
        <v>2283952.1146078166</v>
      </c>
      <c r="G429" s="15">
        <f t="shared" ref="G429" si="2019">H429*I429</f>
        <v>9608182.4440025222</v>
      </c>
      <c r="H429" s="68">
        <v>1.0698581</v>
      </c>
      <c r="I429" s="15">
        <f>SUMIFS([1]Master!$K$2:$K$10000,[1]Master!$A$2:$A$10000,$I$12,[1]Master!$F$2:$F$10000,"&lt;="&amp;$C429)</f>
        <v>8980800.7660104856</v>
      </c>
      <c r="J429" s="15">
        <f t="shared" ref="J429" si="2020">K429*L429</f>
        <v>0</v>
      </c>
      <c r="K429" s="43">
        <v>0</v>
      </c>
      <c r="L429" s="40">
        <v>0</v>
      </c>
      <c r="M429" s="15">
        <f t="shared" ref="M429" si="2021">N429*O429</f>
        <v>0</v>
      </c>
      <c r="N429" s="32">
        <v>0</v>
      </c>
      <c r="O429" s="40">
        <v>0</v>
      </c>
      <c r="P429" s="15">
        <f t="shared" si="2006"/>
        <v>24970.334253730682</v>
      </c>
      <c r="Q429" s="32">
        <v>4.322171</v>
      </c>
      <c r="R429" s="40">
        <v>5777.2666221976597</v>
      </c>
      <c r="S429" s="15">
        <f t="shared" ref="S429" si="2022">(((1+1.35%)^(1/252))-1)*D428+SUM(S428)</f>
        <v>3971.4858737601221</v>
      </c>
      <c r="T429" s="15">
        <f>IF((NETWORKDAYS(DATE(YEAR(C429),MONTH(C429),1),C429,Feriados!$A$2:$A$842))&gt;=5,0,IF(NETWORKDAYS(DATE(YEAR(C429),MONTH(C429),1),C429,Feriados!$A$2:$A$842)=1,S428,T428))</f>
        <v>0</v>
      </c>
      <c r="U429" s="26">
        <v>0</v>
      </c>
      <c r="V429" s="26">
        <v>0</v>
      </c>
      <c r="W429" s="15">
        <f t="shared" ref="W429" si="2023">SUM(G429+J429+M429+P429)</f>
        <v>9633152.7782562524</v>
      </c>
      <c r="X429" s="50">
        <f>'Fluxo de Caixa_'!AD435</f>
        <v>0</v>
      </c>
      <c r="AB429" s="26">
        <v>8918.5635000000002</v>
      </c>
      <c r="AC429" s="26">
        <v>0</v>
      </c>
      <c r="AD429">
        <f>SUMIFS([1]Master!$J$2:$J$100,[1]Master!$A$2:$A$100,"="&amp;$I$12,[1]Master!$E$2:$E$100,"="&amp;C429,[1]Master!$J$2:$J$100,"&gt;"&amp;0)</f>
        <v>0</v>
      </c>
      <c r="AE429">
        <f ca="1">-SUMIF('[1]Fluxo de Movimentações'!$A$5:$F$10001,"="&amp;$C429,'[1]Fluxo de Movimentações'!$H$5:$H$10001)</f>
        <v>0</v>
      </c>
      <c r="AF429" s="26">
        <v>0</v>
      </c>
      <c r="AG429" s="26">
        <v>0</v>
      </c>
      <c r="AH429" s="26">
        <v>0</v>
      </c>
      <c r="AI429" s="26">
        <v>0</v>
      </c>
      <c r="AJ429" s="26">
        <v>-199.16670510239243</v>
      </c>
      <c r="AK429" s="68">
        <v>4.2199220999999998</v>
      </c>
      <c r="AL429" s="15">
        <f>-SUMIFS([1]Master!$J$1:$J$200,[1]Master!$A$1:$A$200,"="&amp;$I$12,[1]Master!$G$1:$G$200,"&gt;"&amp;C429,[1]Master!$E$1:$E$200,"&lt;="&amp;C429)</f>
        <v>0</v>
      </c>
      <c r="AM429" s="26">
        <v>0</v>
      </c>
      <c r="AN429" s="26">
        <v>0</v>
      </c>
    </row>
    <row r="430" spans="3:40">
      <c r="C430" s="1">
        <f>WORKDAY(C429,1,Feriados!A238:A1077)</f>
        <v>45484</v>
      </c>
      <c r="D430" s="39">
        <v>9771401.5787000004</v>
      </c>
      <c r="E430" s="32">
        <v>4.2782865000000001</v>
      </c>
      <c r="F430" s="88">
        <f>SUMIF([1]HSF!$H$2:$H$30,"="&amp;"APLICAÇÃO",[1]HSF!$K$2:$K$30)</f>
        <v>2283952.1146078166</v>
      </c>
      <c r="G430" s="15">
        <f t="shared" ref="G430" si="2024">H430*I430</f>
        <v>9742563.0639444143</v>
      </c>
      <c r="H430" s="32">
        <v>1.0848211999999999</v>
      </c>
      <c r="I430" s="15">
        <f>SUMIFS([1]Master!$K$2:$K$10000,[1]Master!$A$2:$A$10000,$I$12,[1]Master!$F$2:$F$10000,"&lt;="&amp;$C430)</f>
        <v>8980800.7660104856</v>
      </c>
      <c r="J430" s="15">
        <f t="shared" ref="J430" si="2025">K430*L430</f>
        <v>0</v>
      </c>
      <c r="K430" s="43">
        <v>0</v>
      </c>
      <c r="L430" s="40">
        <v>0</v>
      </c>
      <c r="M430" s="15">
        <f t="shared" ref="M430" si="2026">N430*O430</f>
        <v>0</v>
      </c>
      <c r="N430" s="32">
        <v>0</v>
      </c>
      <c r="O430" s="40">
        <v>0</v>
      </c>
      <c r="P430" s="15">
        <f t="shared" si="2006"/>
        <v>24980.074147529045</v>
      </c>
      <c r="Q430" s="32">
        <v>4.3238569</v>
      </c>
      <c r="R430" s="40">
        <v>5777.2666221976597</v>
      </c>
      <c r="S430" s="15">
        <f t="shared" ref="S430" si="2027">(((1+1.35%)^(1/252))-1)*D429+SUM(S429)</f>
        <v>4484.361547934227</v>
      </c>
      <c r="T430" s="15">
        <f>IF((NETWORKDAYS(DATE(YEAR(C430),MONTH(C430),1),C430,Feriados!$A$2:$A$842))&gt;=5,0,IF(NETWORKDAYS(DATE(YEAR(C430),MONTH(C430),1),C430,Feriados!$A$2:$A$842)=1,S429,T429))</f>
        <v>0</v>
      </c>
      <c r="U430" s="26">
        <v>0</v>
      </c>
      <c r="V430" s="26">
        <v>0</v>
      </c>
      <c r="W430" s="15">
        <f t="shared" ref="W430" si="2028">SUM(G430+J430+M430+P430)</f>
        <v>9767543.1380919442</v>
      </c>
      <c r="X430" s="50">
        <f>'Fluxo de Caixa_'!AD436</f>
        <v>0</v>
      </c>
      <c r="AB430" s="26">
        <v>8870.1787000000004</v>
      </c>
      <c r="AC430" s="26">
        <v>0</v>
      </c>
      <c r="AD430">
        <f>SUMIFS([1]Master!$J$2:$J$100,[1]Master!$A$2:$A$100,"="&amp;$I$12,[1]Master!$E$2:$E$100,"="&amp;C430,[1]Master!$J$2:$J$100,"&gt;"&amp;0)</f>
        <v>0</v>
      </c>
      <c r="AE430">
        <f ca="1">-SUMIF('[1]Fluxo de Movimentações'!$A$5:$F$10001,"="&amp;$C430,'[1]Fluxo de Movimentações'!$H$5:$H$10001)</f>
        <v>0</v>
      </c>
      <c r="AF430" s="26">
        <v>0</v>
      </c>
      <c r="AG430" s="26">
        <v>0</v>
      </c>
      <c r="AH430" s="26">
        <v>0</v>
      </c>
      <c r="AI430" s="26">
        <v>0</v>
      </c>
      <c r="AJ430" s="26">
        <v>-527.41536934303736</v>
      </c>
      <c r="AK430" s="68">
        <v>4.2785175000000004</v>
      </c>
      <c r="AL430" s="15">
        <f>-SUMIFS([1]Master!$J$1:$J$200,[1]Master!$A$1:$A$200,"="&amp;$I$12,[1]Master!$G$1:$G$200,"&gt;"&amp;C430,[1]Master!$E$1:$E$200,"&lt;="&amp;C430)</f>
        <v>0</v>
      </c>
      <c r="AM430" s="26">
        <v>0</v>
      </c>
      <c r="AN430" s="26">
        <v>0</v>
      </c>
    </row>
    <row r="431" spans="3:40">
      <c r="C431" s="1">
        <f>WORKDAY(C430,1,Feriados!A239:A1078)</f>
        <v>45485</v>
      </c>
      <c r="D431" s="39">
        <v>9800846.6239</v>
      </c>
      <c r="E431" s="32">
        <v>4.2911786999999997</v>
      </c>
      <c r="F431" s="88">
        <f>SUMIF([1]HSF!$H$2:$H$30,"="&amp;"APLICAÇÃO",[1]HSF!$K$2:$K$30)</f>
        <v>2283952.1146078166</v>
      </c>
      <c r="G431" s="15">
        <f t="shared" ref="G431" si="2029">H431*I431</f>
        <v>9772632.5810691696</v>
      </c>
      <c r="H431" s="32">
        <v>1.0881694</v>
      </c>
      <c r="I431" s="15">
        <f>SUMIFS([1]Master!$K$2:$K$10000,[1]Master!$A$2:$A$10000,$I$12,[1]Master!$F$2:$F$10000,"&lt;="&amp;$C431)</f>
        <v>8980800.7660104856</v>
      </c>
      <c r="J431" s="15">
        <f t="shared" ref="J431" si="2030">K431*L431</f>
        <v>0</v>
      </c>
      <c r="K431" s="43">
        <v>0</v>
      </c>
      <c r="L431" s="40">
        <v>0</v>
      </c>
      <c r="M431" s="15">
        <f t="shared" ref="M431" si="2031">N431*O431</f>
        <v>0</v>
      </c>
      <c r="N431" s="32">
        <v>0</v>
      </c>
      <c r="O431" s="40">
        <v>0</v>
      </c>
      <c r="P431" s="15">
        <f t="shared" si="2006"/>
        <v>24989.918032126607</v>
      </c>
      <c r="Q431" s="32">
        <v>4.3255607999999999</v>
      </c>
      <c r="R431" s="40">
        <v>5777.2666221976597</v>
      </c>
      <c r="S431" s="15">
        <f t="shared" ref="S431" si="2032">(((1+1.35%)^(1/252))-1)*D430+SUM(S430)</f>
        <v>5004.3413979115303</v>
      </c>
      <c r="T431" s="15">
        <f>IF((NETWORKDAYS(DATE(YEAR(C431),MONTH(C431),1),C431,Feriados!$A$2:$A$842))&gt;=5,0,IF(NETWORKDAYS(DATE(YEAR(C431),MONTH(C431),1),C431,Feriados!$A$2:$A$842)=1,S430,T430))</f>
        <v>0</v>
      </c>
      <c r="U431" s="26">
        <v>0</v>
      </c>
      <c r="V431" s="26">
        <v>0</v>
      </c>
      <c r="W431" s="15">
        <f t="shared" ref="W431" si="2033">SUM(G431+J431+M431+P431)</f>
        <v>9797622.4991012961</v>
      </c>
      <c r="X431" s="50">
        <f>'Fluxo de Caixa_'!AD437</f>
        <v>0</v>
      </c>
      <c r="AB431" s="26">
        <v>8821.7939000000006</v>
      </c>
      <c r="AC431" s="26">
        <v>0</v>
      </c>
      <c r="AD431">
        <f>SUMIFS([1]Master!$J$2:$J$100,[1]Master!$A$2:$A$100,"="&amp;$I$12,[1]Master!$E$2:$E$100,"="&amp;C431,[1]Master!$J$2:$J$100,"&gt;"&amp;0)</f>
        <v>0</v>
      </c>
      <c r="AE431">
        <f ca="1">-SUMIF('[1]Fluxo de Movimentações'!$A$5:$F$10001,"="&amp;$C431,'[1]Fluxo de Movimentações'!$H$5:$H$10001)</f>
        <v>0</v>
      </c>
      <c r="AF431" s="26">
        <v>0</v>
      </c>
      <c r="AG431" s="26">
        <v>0</v>
      </c>
      <c r="AH431" s="26">
        <v>0</v>
      </c>
      <c r="AI431" s="26">
        <v>0</v>
      </c>
      <c r="AJ431" s="26">
        <v>-593.38469101967917</v>
      </c>
      <c r="AK431" s="68">
        <v>4.2914384999999999</v>
      </c>
      <c r="AL431" s="15">
        <f>-SUMIFS([1]Master!$J$1:$J$200,[1]Master!$A$1:$A$200,"="&amp;$I$12,[1]Master!$G$1:$G$200,"&gt;"&amp;C431,[1]Master!$E$1:$E$200,"&lt;="&amp;C431)</f>
        <v>0</v>
      </c>
      <c r="AM431" s="26">
        <v>0</v>
      </c>
      <c r="AN431" s="26">
        <v>0</v>
      </c>
    </row>
    <row r="432" spans="3:40">
      <c r="C432" s="1">
        <f>WORKDAY(C431,1,Feriados!A240:A1079)</f>
        <v>45488</v>
      </c>
      <c r="D432" s="39">
        <v>9820461.9691000003</v>
      </c>
      <c r="E432" s="32">
        <v>4.2997670000000001</v>
      </c>
      <c r="F432" s="88">
        <f>SUMIF([1]HSF!$H$2:$H$30,"="&amp;"APLICAÇÃO",[1]HSF!$K$2:$K$30)</f>
        <v>2283952.1146078166</v>
      </c>
      <c r="G432" s="15">
        <f t="shared" ref="G432" si="2034">H432*I432</f>
        <v>9792849.2616735362</v>
      </c>
      <c r="H432" s="32">
        <v>1.0904205</v>
      </c>
      <c r="I432" s="15">
        <f>SUMIFS([1]Master!$K$2:$K$10000,[1]Master!$A$2:$A$10000,$I$12,[1]Master!$F$2:$F$10000,"&lt;="&amp;$C432)</f>
        <v>8980800.7660104856</v>
      </c>
      <c r="J432" s="15">
        <f t="shared" ref="J432" si="2035">K432*L432</f>
        <v>0</v>
      </c>
      <c r="K432" s="43">
        <v>0</v>
      </c>
      <c r="L432" s="40">
        <v>0</v>
      </c>
      <c r="M432" s="15">
        <f t="shared" ref="M432" si="2036">N432*O432</f>
        <v>0</v>
      </c>
      <c r="N432" s="32">
        <v>0</v>
      </c>
      <c r="O432" s="40">
        <v>0</v>
      </c>
      <c r="P432" s="15">
        <f t="shared" ref="P432:P436" si="2037">R432*Q432</f>
        <v>24999.667169551565</v>
      </c>
      <c r="Q432" s="32">
        <v>4.3272482999999999</v>
      </c>
      <c r="R432" s="40">
        <v>5777.2666221976597</v>
      </c>
      <c r="S432" s="15">
        <f t="shared" ref="S432" si="2038">(((1+1.35%)^(1/252))-1)*D431+SUM(S431)</f>
        <v>5525.8881500432853</v>
      </c>
      <c r="T432" s="15">
        <f>IF((NETWORKDAYS(DATE(YEAR(C432),MONTH(C432),1),C432,Feriados!$A$2:$A$842))&gt;=5,0,IF(NETWORKDAYS(DATE(YEAR(C432),MONTH(C432),1),C432,Feriados!$A$2:$A$842)=1,S431,T431))</f>
        <v>0</v>
      </c>
      <c r="U432" s="26">
        <v>0</v>
      </c>
      <c r="V432" s="26">
        <v>0</v>
      </c>
      <c r="W432" s="15">
        <f t="shared" ref="W432" si="2039">SUM(G432+J432+M432+P432)</f>
        <v>9817848.9288430884</v>
      </c>
      <c r="X432" s="50">
        <f>'Fluxo de Caixa_'!AD438</f>
        <v>0</v>
      </c>
      <c r="AB432" s="26">
        <v>8773.4091000000008</v>
      </c>
      <c r="AC432" s="26">
        <v>0</v>
      </c>
      <c r="AD432">
        <f>SUMIFS([1]Master!$J$2:$J$100,[1]Master!$A$2:$A$100,"="&amp;$I$12,[1]Master!$E$2:$E$100,"="&amp;C432,[1]Master!$J$2:$J$100,"&gt;"&amp;0)</f>
        <v>0</v>
      </c>
      <c r="AE432">
        <f ca="1">-SUMIF('[1]Fluxo de Movimentações'!$A$5:$F$10001,"="&amp;$C432,'[1]Fluxo de Movimentações'!$H$5:$H$10001)</f>
        <v>0</v>
      </c>
      <c r="AF432" s="26">
        <v>0</v>
      </c>
      <c r="AG432" s="26">
        <v>0</v>
      </c>
      <c r="AH432" s="26">
        <v>0</v>
      </c>
      <c r="AI432" s="26">
        <v>0</v>
      </c>
      <c r="AJ432" s="26">
        <v>-634.54360399475365</v>
      </c>
      <c r="AK432" s="68">
        <v>4.3000448000000002</v>
      </c>
      <c r="AL432" s="15">
        <f>-SUMIFS([1]Master!$J$1:$J$200,[1]Master!$A$1:$A$200,"="&amp;$I$12,[1]Master!$G$1:$G$200,"&gt;"&amp;C432,[1]Master!$E$1:$E$200,"&lt;="&amp;C432)</f>
        <v>0</v>
      </c>
      <c r="AM432" s="26">
        <v>0</v>
      </c>
      <c r="AN432" s="26">
        <v>0</v>
      </c>
    </row>
    <row r="433" spans="3:40">
      <c r="C433" s="1">
        <f>WORKDAY(C432,1,Feriados!A241:A1080)</f>
        <v>45489</v>
      </c>
      <c r="D433" s="39">
        <v>9809088.7942999993</v>
      </c>
      <c r="E433" s="32">
        <v>4.2947873999999997</v>
      </c>
      <c r="F433" s="88">
        <f>SUMIF([1]HSF!$H$2:$H$30,"="&amp;"APLICAÇÃO",[1]HSF!$K$2:$K$30)</f>
        <v>2283952.1146078166</v>
      </c>
      <c r="G433" s="15">
        <f t="shared" ref="G433" si="2040">H433*I433</f>
        <v>9781999.5562681202</v>
      </c>
      <c r="H433" s="32">
        <v>1.0892124000000001</v>
      </c>
      <c r="I433" s="15">
        <f>SUMIFS([1]Master!$K$2:$K$10000,[1]Master!$A$2:$A$10000,$I$12,[1]Master!$F$2:$F$10000,"&lt;="&amp;$C433)</f>
        <v>8980800.7660104856</v>
      </c>
      <c r="J433" s="15">
        <f t="shared" ref="J433" si="2041">K433*L433</f>
        <v>0</v>
      </c>
      <c r="K433" s="43">
        <v>0</v>
      </c>
      <c r="L433" s="40">
        <v>0</v>
      </c>
      <c r="M433" s="15">
        <f t="shared" ref="M433" si="2042">N433*O433</f>
        <v>0</v>
      </c>
      <c r="N433" s="32">
        <v>0</v>
      </c>
      <c r="O433" s="40">
        <v>0</v>
      </c>
      <c r="P433" s="15">
        <f t="shared" si="2037"/>
        <v>25009.428439236428</v>
      </c>
      <c r="Q433" s="32">
        <v>4.3289378999999997</v>
      </c>
      <c r="R433" s="40">
        <v>5777.2666221976597</v>
      </c>
      <c r="S433" s="15">
        <f t="shared" ref="S433" si="2043">(((1+1.35%)^(1/252))-1)*D432+SUM(S432)</f>
        <v>6048.4787221605557</v>
      </c>
      <c r="T433" s="15">
        <f>IF((NETWORKDAYS(DATE(YEAR(C433),MONTH(C433),1),C433,Feriados!$A$2:$A$842))&gt;=5,0,IF(NETWORKDAYS(DATE(YEAR(C433),MONTH(C433),1),C433,Feriados!$A$2:$A$842)=1,S432,T432))</f>
        <v>0</v>
      </c>
      <c r="U433" s="26">
        <v>0</v>
      </c>
      <c r="V433" s="26">
        <v>0</v>
      </c>
      <c r="W433" s="15">
        <f t="shared" ref="W433" si="2044">SUM(G433+J433+M433+P433)</f>
        <v>9807008.9847073574</v>
      </c>
      <c r="X433" s="50">
        <f>'Fluxo de Caixa_'!AD439</f>
        <v>0</v>
      </c>
      <c r="AB433" s="26">
        <v>8725.0242999999991</v>
      </c>
      <c r="AC433" s="26">
        <v>0</v>
      </c>
      <c r="AD433">
        <f>SUMIFS([1]Master!$J$2:$J$100,[1]Master!$A$2:$A$100,"="&amp;$I$12,[1]Master!$E$2:$E$100,"="&amp;C433,[1]Master!$J$2:$J$100,"&gt;"&amp;0)</f>
        <v>0</v>
      </c>
      <c r="AE433">
        <f ca="1">-SUMIF('[1]Fluxo de Movimentações'!$A$5:$F$10001,"="&amp;$C433,'[1]Fluxo de Movimentações'!$H$5:$H$10001)</f>
        <v>0</v>
      </c>
      <c r="AF433" s="26">
        <v>0</v>
      </c>
      <c r="AG433" s="26">
        <v>0</v>
      </c>
      <c r="AH433" s="26">
        <v>0</v>
      </c>
      <c r="AI433" s="26">
        <v>0</v>
      </c>
      <c r="AJ433" s="26">
        <v>-596.79111255174882</v>
      </c>
      <c r="AK433" s="68">
        <v>4.2950486999999997</v>
      </c>
      <c r="AL433" s="15">
        <f>-SUMIFS([1]Master!$J$1:$J$200,[1]Master!$A$1:$A$200,"="&amp;$I$12,[1]Master!$G$1:$G$200,"&gt;"&amp;C433,[1]Master!$E$1:$E$200,"&lt;="&amp;C433)</f>
        <v>0</v>
      </c>
      <c r="AM433" s="26">
        <v>0</v>
      </c>
      <c r="AN433" s="26">
        <v>0</v>
      </c>
    </row>
    <row r="434" spans="3:40">
      <c r="C434" s="1">
        <f>WORKDAY(C433,1,Feriados!A242:A1081)</f>
        <v>45490</v>
      </c>
      <c r="D434" s="39">
        <v>9786298.1195</v>
      </c>
      <c r="E434" s="32">
        <v>4.2848088000000004</v>
      </c>
      <c r="F434" s="88">
        <f>SUMIF([1]HSF!$H$2:$H$30,"="&amp;"APLICAÇÃO",[1]HSF!$K$2:$K$30)</f>
        <v>2283952.1146078166</v>
      </c>
      <c r="G434" s="15">
        <f t="shared" ref="G434" si="2045">H434*I434</f>
        <v>9759702.9222063459</v>
      </c>
      <c r="H434" s="32">
        <v>1.0867297</v>
      </c>
      <c r="I434" s="15">
        <f>SUMIFS([1]Master!$K$2:$K$10000,[1]Master!$A$2:$A$10000,$I$12,[1]Master!$F$2:$F$10000,"&lt;="&amp;$C434)</f>
        <v>8980800.7660104856</v>
      </c>
      <c r="J434" s="15">
        <f t="shared" ref="J434" si="2046">K434*L434</f>
        <v>0</v>
      </c>
      <c r="K434" s="43">
        <v>0</v>
      </c>
      <c r="L434" s="40">
        <v>0</v>
      </c>
      <c r="M434" s="15">
        <f t="shared" ref="M434" si="2047">N434*O434</f>
        <v>0</v>
      </c>
      <c r="N434" s="32">
        <v>0</v>
      </c>
      <c r="O434" s="40">
        <v>0</v>
      </c>
      <c r="P434" s="15">
        <f t="shared" si="2037"/>
        <v>25019.203574361189</v>
      </c>
      <c r="Q434" s="32">
        <v>4.3306298999999999</v>
      </c>
      <c r="R434" s="40">
        <v>5777.2666221976597</v>
      </c>
      <c r="S434" s="15">
        <f t="shared" ref="S434" si="2048">(((1+1.35%)^(1/252))-1)*D433+SUM(S433)</f>
        <v>6570.464076932225</v>
      </c>
      <c r="T434" s="15">
        <f>IF((NETWORKDAYS(DATE(YEAR(C434),MONTH(C434),1),C434,Feriados!$A$2:$A$842))&gt;=5,0,IF(NETWORKDAYS(DATE(YEAR(C434),MONTH(C434),1),C434,Feriados!$A$2:$A$842)=1,S433,T433))</f>
        <v>0</v>
      </c>
      <c r="U434" s="26">
        <v>0</v>
      </c>
      <c r="V434" s="26">
        <v>0</v>
      </c>
      <c r="W434" s="15">
        <f t="shared" ref="W434" si="2049">SUM(G434+J434+M434+P434)</f>
        <v>9784722.1257807072</v>
      </c>
      <c r="X434" s="50">
        <f>'Fluxo de Caixa_'!AD440</f>
        <v>0</v>
      </c>
      <c r="AB434" s="26">
        <v>8676.6394999999993</v>
      </c>
      <c r="AC434" s="26">
        <v>0</v>
      </c>
      <c r="AD434">
        <f>SUMIFS([1]Master!$J$2:$J$100,[1]Master!$A$2:$A$100,"="&amp;$I$12,[1]Master!$E$2:$E$100,"="&amp;C434,[1]Master!$J$2:$J$100,"&gt;"&amp;0)</f>
        <v>0</v>
      </c>
      <c r="AE434">
        <f ca="1">-SUMIF('[1]Fluxo de Movimentações'!$A$5:$F$10001,"="&amp;$C434,'[1]Fluxo de Movimentações'!$H$5:$H$10001)</f>
        <v>0</v>
      </c>
      <c r="AF434" s="26">
        <v>0</v>
      </c>
      <c r="AG434" s="26">
        <v>0</v>
      </c>
      <c r="AH434" s="26">
        <v>0</v>
      </c>
      <c r="AI434" s="26">
        <v>0</v>
      </c>
      <c r="AJ434" s="26">
        <v>-530.25</v>
      </c>
      <c r="AK434" s="68">
        <v>4.2850409999999997</v>
      </c>
      <c r="AL434" s="15">
        <f>-SUMIFS([1]Master!$J$1:$J$200,[1]Master!$A$1:$A$200,"="&amp;$I$12,[1]Master!$G$1:$G$200,"&gt;"&amp;C434,[1]Master!$E$1:$E$200,"&lt;="&amp;C434)</f>
        <v>0</v>
      </c>
      <c r="AM434" s="26">
        <v>0</v>
      </c>
      <c r="AN434" s="26">
        <v>0</v>
      </c>
    </row>
    <row r="435" spans="3:40">
      <c r="C435" s="1">
        <f>WORKDAY(C434,1,Feriados!A243:A1082)</f>
        <v>45491</v>
      </c>
      <c r="D435" s="39">
        <v>9592974.6347000003</v>
      </c>
      <c r="E435" s="32">
        <v>4.2001644999999996</v>
      </c>
      <c r="F435" s="88">
        <f>SUMIF([1]HSF!$H$2:$H$30,"="&amp;"APLICAÇÃO",[1]HSF!$K$2:$K$30)</f>
        <v>2283952.1146078166</v>
      </c>
      <c r="G435" s="15">
        <f t="shared" ref="G435" si="2050">H435*I435</f>
        <v>9566442.3762823362</v>
      </c>
      <c r="H435" s="32">
        <v>1.0652104</v>
      </c>
      <c r="I435" s="15">
        <f>SUMIFS([1]Master!$K$2:$K$10000,[1]Master!$A$2:$A$10000,$I$12,[1]Master!$F$2:$F$10000,"&lt;="&amp;$C435)</f>
        <v>8980800.7660104856</v>
      </c>
      <c r="J435" s="15">
        <f t="shared" ref="J435" si="2051">K435*L435</f>
        <v>0</v>
      </c>
      <c r="K435" s="43">
        <v>0</v>
      </c>
      <c r="L435" s="40">
        <v>0</v>
      </c>
      <c r="M435" s="15">
        <f t="shared" ref="M435" si="2052">N435*O435</f>
        <v>0</v>
      </c>
      <c r="N435" s="32">
        <v>0</v>
      </c>
      <c r="O435" s="40">
        <v>0</v>
      </c>
      <c r="P435" s="15">
        <f t="shared" si="2037"/>
        <v>25028.963110866065</v>
      </c>
      <c r="Q435" s="32">
        <v>4.3323191999999997</v>
      </c>
      <c r="R435" s="40">
        <v>5777.2666221976597</v>
      </c>
      <c r="S435" s="15">
        <f t="shared" ref="S435" si="2053">(((1+1.35%)^(1/252))-1)*D434+SUM(S434)</f>
        <v>7091.2366382711461</v>
      </c>
      <c r="T435" s="15">
        <f>IF((NETWORKDAYS(DATE(YEAR(C435),MONTH(C435),1),C435,Feriados!$A$2:$A$842))&gt;=5,0,IF(NETWORKDAYS(DATE(YEAR(C435),MONTH(C435),1),C435,Feriados!$A$2:$A$842)=1,S434,T434))</f>
        <v>0</v>
      </c>
      <c r="U435" s="26">
        <v>0</v>
      </c>
      <c r="V435" s="26">
        <v>0</v>
      </c>
      <c r="W435" s="15">
        <f t="shared" ref="W435" si="2054">SUM(G435+J435+M435+P435)</f>
        <v>9591471.3393932022</v>
      </c>
      <c r="X435" s="50">
        <f>'Fluxo de Caixa_'!AD441</f>
        <v>0</v>
      </c>
      <c r="AB435" s="26">
        <v>8628.2546999999995</v>
      </c>
      <c r="AC435" s="26">
        <v>0</v>
      </c>
      <c r="AD435">
        <f>SUMIFS([1]Master!$J$2:$J$100,[1]Master!$A$2:$A$100,"="&amp;$I$12,[1]Master!$E$2:$E$100,"="&amp;C435,[1]Master!$J$2:$J$100,"&gt;"&amp;0)</f>
        <v>0</v>
      </c>
      <c r="AE435">
        <f ca="1">-SUMIF('[1]Fluxo de Movimentações'!$A$5:$F$10001,"="&amp;$C435,'[1]Fluxo de Movimentações'!$H$5:$H$10001)</f>
        <v>0</v>
      </c>
      <c r="AF435" s="26">
        <v>0</v>
      </c>
      <c r="AG435" s="26">
        <v>0</v>
      </c>
      <c r="AH435" s="26">
        <v>0</v>
      </c>
      <c r="AI435" s="26">
        <v>0</v>
      </c>
      <c r="AJ435" s="26">
        <v>-33.793113046632683</v>
      </c>
      <c r="AK435" s="68">
        <v>4.2001793000000003</v>
      </c>
      <c r="AL435" s="15">
        <f>-SUMIFS([1]Master!$J$1:$J$200,[1]Master!$A$1:$A$200,"="&amp;$I$12,[1]Master!$G$1:$G$200,"&gt;"&amp;C435,[1]Master!$E$1:$E$200,"&lt;="&amp;C435)</f>
        <v>0</v>
      </c>
      <c r="AM435" s="26">
        <v>0</v>
      </c>
      <c r="AN435" s="26">
        <v>0</v>
      </c>
    </row>
    <row r="436" spans="3:40">
      <c r="C436" s="1">
        <f>WORKDAY(C435,1,Feriados!A244:A1083)</f>
        <v>45492</v>
      </c>
      <c r="D436" s="39">
        <v>9610119.7098999992</v>
      </c>
      <c r="E436" s="32">
        <v>4.2076713000000003</v>
      </c>
      <c r="F436" s="88">
        <f>SUMIF([1]HSF!$H$2:$H$30,"="&amp;"APLICAÇÃO",[1]HSF!$K$2:$K$30)</f>
        <v>2283952.1146078166</v>
      </c>
      <c r="G436" s="15">
        <f t="shared" ref="G436:G437" si="2055">H436*I436</f>
        <v>9584170.47699444</v>
      </c>
      <c r="H436" s="32">
        <v>1.0671843999999999</v>
      </c>
      <c r="I436" s="15">
        <f>SUMIFS([1]Master!$K$2:$K$10000,[1]Master!$A$2:$A$10000,$I$12,[1]Master!$F$2:$F$10000,"&lt;="&amp;$C436)</f>
        <v>8980800.7660104856</v>
      </c>
      <c r="J436" s="15">
        <f t="shared" ref="J436" si="2056">K436*L436</f>
        <v>0</v>
      </c>
      <c r="K436" s="43">
        <v>0</v>
      </c>
      <c r="L436" s="40">
        <v>0</v>
      </c>
      <c r="M436" s="15">
        <f t="shared" ref="M436" si="2057">N436*O436</f>
        <v>0</v>
      </c>
      <c r="N436" s="32">
        <v>0</v>
      </c>
      <c r="O436" s="40">
        <v>0</v>
      </c>
      <c r="P436" s="15">
        <f t="shared" si="2037"/>
        <v>25038.819705450202</v>
      </c>
      <c r="Q436" s="32">
        <v>4.3340253000000004</v>
      </c>
      <c r="R436" s="40">
        <v>5777.2666221976597</v>
      </c>
      <c r="S436" s="15">
        <f t="shared" ref="S436" si="2058">(((1+1.35%)^(1/252))-1)*D435+SUM(S435)</f>
        <v>7601.7215949288193</v>
      </c>
      <c r="T436" s="15">
        <f>IF((NETWORKDAYS(DATE(YEAR(C436),MONTH(C436),1),C436,Feriados!$A$2:$A$842))&gt;=5,0,IF(NETWORKDAYS(DATE(YEAR(C436),MONTH(C436),1),C436,Feriados!$A$2:$A$842)=1,S435,T435))</f>
        <v>0</v>
      </c>
      <c r="U436" s="26">
        <v>0</v>
      </c>
      <c r="V436" s="26">
        <v>0</v>
      </c>
      <c r="W436" s="15">
        <f t="shared" ref="W436" si="2059">SUM(G436+J436+M436+P436)</f>
        <v>9609209.2966998909</v>
      </c>
      <c r="X436" s="50">
        <f>'Fluxo de Caixa_'!AD442</f>
        <v>0</v>
      </c>
      <c r="AB436" s="26">
        <v>8579.8698999999997</v>
      </c>
      <c r="AC436" s="26">
        <v>0</v>
      </c>
      <c r="AD436">
        <f>SUMIFS([1]Master!$J$2:$J$100,[1]Master!$A$2:$A$100,"="&amp;$I$12,[1]Master!$E$2:$E$100,"="&amp;C436,[1]Master!$J$2:$J$100,"&gt;"&amp;0)</f>
        <v>0</v>
      </c>
      <c r="AE436">
        <f ca="1">-SUMIF('[1]Fluxo de Movimentações'!$A$5:$F$10001,"="&amp;$C436,'[1]Fluxo de Movimentações'!$H$5:$H$10001)</f>
        <v>0</v>
      </c>
      <c r="AF436" s="26">
        <v>0</v>
      </c>
      <c r="AG436" s="26">
        <v>0</v>
      </c>
      <c r="AH436" s="26">
        <v>0</v>
      </c>
      <c r="AI436" s="26">
        <v>0</v>
      </c>
      <c r="AJ436" s="26">
        <v>-67.81</v>
      </c>
      <c r="AK436" s="68">
        <v>4.2077010000000001</v>
      </c>
      <c r="AL436" s="15">
        <f>-SUMIFS([1]Master!$J$1:$J$200,[1]Master!$A$1:$A$200,"="&amp;$I$12,[1]Master!$G$1:$G$200,"&gt;"&amp;C436,[1]Master!$E$1:$E$200,"&lt;="&amp;C436)</f>
        <v>0</v>
      </c>
      <c r="AM436" s="26">
        <v>0</v>
      </c>
      <c r="AN436" s="26">
        <v>0</v>
      </c>
    </row>
    <row r="437" spans="3:40">
      <c r="C437" s="1">
        <f>WORKDAY(C436,1,Feriados!A245:A1084)</f>
        <v>45495</v>
      </c>
      <c r="D437" s="39">
        <v>9715913.5051000006</v>
      </c>
      <c r="E437" s="32">
        <v>4.2539917999999997</v>
      </c>
      <c r="F437" s="88">
        <v>2283952.1146062999</v>
      </c>
      <c r="G437" s="15">
        <f t="shared" si="2055"/>
        <v>9690771.684006907</v>
      </c>
      <c r="H437" s="32">
        <v>1.0790542999999999</v>
      </c>
      <c r="I437" s="15">
        <f>SUMIFS([1]Master!$K$2:$K$10000,[1]Master!$A$2:$A$10000,$I$12,[1]Master!$F$2:$F$10000,"&lt;="&amp;$C437)</f>
        <v>8980800.7660104856</v>
      </c>
      <c r="J437" s="15">
        <f t="shared" ref="J437" si="2060">K437*L437</f>
        <v>0</v>
      </c>
      <c r="K437" s="43">
        <v>0</v>
      </c>
      <c r="L437" s="40">
        <v>0</v>
      </c>
      <c r="M437" s="15">
        <f t="shared" ref="M437" si="2061">N437*O437</f>
        <v>0</v>
      </c>
      <c r="N437" s="32">
        <v>0</v>
      </c>
      <c r="O437" s="40">
        <v>0</v>
      </c>
      <c r="P437" s="15">
        <f t="shared" ref="P437" si="2062">R437*Q437</f>
        <v>25048.653190967838</v>
      </c>
      <c r="Q437" s="32">
        <v>4.3357273999999997</v>
      </c>
      <c r="R437" s="40">
        <v>5777.2666221976597</v>
      </c>
      <c r="S437" s="15">
        <f t="shared" ref="S437" si="2063">(((1+1.35%)^(1/252))-1)*D436+SUM(S436)</f>
        <v>8113.1189174900464</v>
      </c>
      <c r="T437" s="15">
        <f>IF((NETWORKDAYS(DATE(YEAR(C437),MONTH(C437),1),C437,Feriados!$A$2:$A$842))&gt;=5,0,IF(NETWORKDAYS(DATE(YEAR(C437),MONTH(C437),1),C437,Feriados!$A$2:$A$842)=1,S436,T436))</f>
        <v>0</v>
      </c>
      <c r="U437" s="26">
        <v>0</v>
      </c>
      <c r="V437" s="26">
        <v>0</v>
      </c>
      <c r="W437" s="15">
        <f t="shared" ref="W437" si="2064">SUM(G437+J437+M437+P437)</f>
        <v>9715820.3371978756</v>
      </c>
      <c r="X437" s="50">
        <f>'Fluxo de Caixa_'!AD443</f>
        <v>0</v>
      </c>
      <c r="AB437" s="26">
        <v>8531.4850999999999</v>
      </c>
      <c r="AC437" s="26">
        <v>0</v>
      </c>
      <c r="AD437">
        <f>SUMIFS([1]Master!$J$2:$J$100,[1]Master!$A$2:$A$100,"="&amp;$I$12,[1]Master!$E$2:$E$100,"="&amp;C437,[1]Master!$J$2:$J$100,"&gt;"&amp;0)</f>
        <v>0</v>
      </c>
      <c r="AE437">
        <f ca="1">-SUMIF('[1]Fluxo de Movimentações'!$A$5:$F$10001,"="&amp;$C437,'[1]Fluxo de Movimentações'!$H$5:$H$10001)</f>
        <v>0</v>
      </c>
      <c r="AF437" s="26">
        <v>0</v>
      </c>
      <c r="AG437" s="26">
        <v>0</v>
      </c>
      <c r="AH437" s="26">
        <v>0</v>
      </c>
      <c r="AI437" s="26">
        <v>0</v>
      </c>
      <c r="AJ437" s="26">
        <v>-325.27999999999997</v>
      </c>
      <c r="AK437" s="68">
        <v>4.2541342000000002</v>
      </c>
      <c r="AL437" s="15">
        <f>-SUMIFS([1]Master!$J$1:$J$200,[1]Master!$A$1:$A$200,"="&amp;$I$12,[1]Master!$G$1:$G$200,"&gt;"&amp;C437,[1]Master!$E$1:$E$200,"&lt;="&amp;C437)</f>
        <v>0</v>
      </c>
      <c r="AM437" s="26">
        <v>0</v>
      </c>
      <c r="AN437" s="26">
        <v>0</v>
      </c>
    </row>
    <row r="438" spans="3:40">
      <c r="C438" s="1">
        <f>WORKDAY(C437,1,Feriados!A246:A1085)</f>
        <v>45496</v>
      </c>
      <c r="D438" s="39">
        <v>9588894.0403000005</v>
      </c>
      <c r="E438" s="32">
        <v>4.1983778999999997</v>
      </c>
      <c r="F438" s="88">
        <v>2283952.1146062999</v>
      </c>
      <c r="G438" s="15">
        <f t="shared" ref="G438" si="2065">H438*I438</f>
        <v>9563982.534952525</v>
      </c>
      <c r="H438" s="32">
        <v>1.0649365</v>
      </c>
      <c r="I438" s="15">
        <f>SUMIFS([1]Master!$K$2:$K$10000,[1]Master!$A$2:$A$10000,$I$12,[1]Master!$F$2:$F$10000,"&lt;="&amp;$C438)</f>
        <v>8980800.7660104856</v>
      </c>
      <c r="J438" s="15">
        <f t="shared" ref="J438" si="2066">K438*L438</f>
        <v>0</v>
      </c>
      <c r="K438" s="43">
        <v>0</v>
      </c>
      <c r="L438" s="40">
        <v>0</v>
      </c>
      <c r="M438" s="15">
        <f t="shared" ref="M438" si="2067">N438*O438</f>
        <v>0</v>
      </c>
      <c r="N438" s="32">
        <v>0</v>
      </c>
      <c r="O438" s="40">
        <v>0</v>
      </c>
      <c r="P438" s="15">
        <f t="shared" ref="P438" si="2068">R438*Q438</f>
        <v>25058.467611505632</v>
      </c>
      <c r="Q438" s="32">
        <v>4.3374262000000003</v>
      </c>
      <c r="R438" s="40">
        <v>5777.2666221976597</v>
      </c>
      <c r="S438" s="15">
        <f t="shared" ref="S438" si="2069">(((1+1.35%)^(1/252))-1)*D437+SUM(S437)</f>
        <v>8630.1459996424201</v>
      </c>
      <c r="T438" s="15">
        <f>IF((NETWORKDAYS(DATE(YEAR(C438),MONTH(C438),1),C438,Feriados!$A$2:$A$842))&gt;=5,0,IF(NETWORKDAYS(DATE(YEAR(C438),MONTH(C438),1),C438,Feriados!$A$2:$A$842)=1,S437,T437))</f>
        <v>0</v>
      </c>
      <c r="U438" s="26">
        <v>0</v>
      </c>
      <c r="V438" s="26">
        <v>0</v>
      </c>
      <c r="W438" s="15">
        <f t="shared" ref="W438" si="2070">SUM(G438+J438+M438+P438)</f>
        <v>9589041.0025640298</v>
      </c>
      <c r="X438" s="50">
        <f>'Fluxo de Caixa_'!AD444</f>
        <v>0</v>
      </c>
      <c r="AB438" s="26">
        <v>8483.1003000000001</v>
      </c>
      <c r="AC438" s="26">
        <v>0</v>
      </c>
      <c r="AD438">
        <f>SUMIFS([1]Master!$J$2:$J$100,[1]Master!$A$2:$A$100,"="&amp;$I$12,[1]Master!$E$2:$E$100,"="&amp;C438,[1]Master!$J$2:$J$100,"&gt;"&amp;0)</f>
        <v>0</v>
      </c>
      <c r="AE438">
        <f ca="1">-SUMIF('[1]Fluxo de Movimentações'!$A$5:$F$10001,"="&amp;$C438,'[1]Fluxo de Movimentações'!$H$5:$H$10001)</f>
        <v>0</v>
      </c>
      <c r="AF438" s="26">
        <v>0</v>
      </c>
      <c r="AG438" s="26">
        <v>0</v>
      </c>
      <c r="AH438" s="26">
        <v>0</v>
      </c>
      <c r="AI438" s="26">
        <v>0</v>
      </c>
      <c r="AJ438" s="26">
        <v>0</v>
      </c>
      <c r="AK438" s="68">
        <v>4.1983778999999997</v>
      </c>
      <c r="AL438" s="15">
        <f>-SUMIFS([1]Master!$J$1:$J$200,[1]Master!$A$1:$A$200,"="&amp;$I$12,[1]Master!$G$1:$G$200,"&gt;"&amp;C438,[1]Master!$E$1:$E$200,"&lt;="&amp;C438)</f>
        <v>0</v>
      </c>
      <c r="AM438" s="26">
        <v>0</v>
      </c>
      <c r="AN438" s="26">
        <v>0</v>
      </c>
    </row>
    <row r="439" spans="3:40">
      <c r="C439" s="1">
        <f>WORKDAY(C438,1,Feriados!A247:A1086)</f>
        <v>45497</v>
      </c>
      <c r="D439" s="39">
        <v>9489438.5454999991</v>
      </c>
      <c r="E439" s="32">
        <v>4.1548325000000004</v>
      </c>
      <c r="F439" s="88">
        <v>2283952.1146062999</v>
      </c>
      <c r="G439" s="15">
        <f t="shared" ref="G439" si="2071">H439*I439</f>
        <v>9465076.0780363753</v>
      </c>
      <c r="H439" s="32">
        <v>1.0539234</v>
      </c>
      <c r="I439" s="15">
        <f>SUMIFS([1]Master!$K$2:$K$10000,[1]Master!$A$2:$A$10000,$I$12,[1]Master!$F$2:$F$10000,"&lt;="&amp;$C439)</f>
        <v>8980800.7660104856</v>
      </c>
      <c r="J439" s="15">
        <f t="shared" ref="J439" si="2072">K439*L439</f>
        <v>0</v>
      </c>
      <c r="K439" s="43">
        <v>0</v>
      </c>
      <c r="L439" s="40">
        <v>0</v>
      </c>
      <c r="M439" s="15">
        <f t="shared" ref="M439:M441" si="2073">N439*O439</f>
        <v>0</v>
      </c>
      <c r="N439" s="32">
        <v>0</v>
      </c>
      <c r="O439" s="40">
        <v>0</v>
      </c>
      <c r="P439" s="15">
        <f t="shared" ref="P439:P441" si="2074">R439*Q439</f>
        <v>25068.074628171682</v>
      </c>
      <c r="Q439" s="32">
        <v>4.3390890999999998</v>
      </c>
      <c r="R439" s="40">
        <v>5777.2666221976597</v>
      </c>
      <c r="S439" s="15">
        <f t="shared" ref="S439" si="2075">(((1+1.35%)^(1/252))-1)*D438+SUM(S438)</f>
        <v>9140.4138096761581</v>
      </c>
      <c r="T439" s="15">
        <f>IF((NETWORKDAYS(DATE(YEAR(C439),MONTH(C439),1),C439,Feriados!$A$2:$A$842))&gt;=5,0,IF(NETWORKDAYS(DATE(YEAR(C439),MONTH(C439),1),C439,Feriados!$A$2:$A$842)=1,S438,T438))</f>
        <v>0</v>
      </c>
      <c r="U439" s="26">
        <v>0</v>
      </c>
      <c r="V439" s="26">
        <v>0</v>
      </c>
      <c r="W439" s="15">
        <f t="shared" ref="W439" si="2076">SUM(G439+J439+M439+P439)</f>
        <v>9490144.1526645478</v>
      </c>
      <c r="X439" s="50">
        <f>'Fluxo de Caixa_'!AD445</f>
        <v>0</v>
      </c>
      <c r="AB439" s="26">
        <v>8434.7155000000002</v>
      </c>
      <c r="AC439" s="26">
        <v>0</v>
      </c>
      <c r="AD439">
        <f>SUMIFS([1]Master!$J$2:$J$100,[1]Master!$A$2:$A$100,"="&amp;$I$12,[1]Master!$E$2:$E$100,"="&amp;C439,[1]Master!$J$2:$J$100,"&gt;"&amp;0)</f>
        <v>0</v>
      </c>
      <c r="AE439">
        <f ca="1">-SUMIF('[1]Fluxo de Movimentações'!$A$5:$F$10001,"="&amp;$C439,'[1]Fluxo de Movimentações'!$H$5:$H$10001)</f>
        <v>0</v>
      </c>
      <c r="AF439" s="26">
        <v>0</v>
      </c>
      <c r="AG439" s="26">
        <v>0</v>
      </c>
      <c r="AH439" s="26">
        <v>0</v>
      </c>
      <c r="AI439" s="26">
        <v>0</v>
      </c>
      <c r="AJ439" s="26">
        <v>0</v>
      </c>
      <c r="AK439" s="68">
        <v>4.1548325000000004</v>
      </c>
      <c r="AL439" s="15">
        <f>-SUMIFS([1]Master!$J$1:$J$200,[1]Master!$A$1:$A$200,"="&amp;$I$12,[1]Master!$G$1:$G$200,"&gt;"&amp;C439,[1]Master!$E$1:$E$200,"&lt;="&amp;C439)</f>
        <v>0</v>
      </c>
      <c r="AM439" s="26">
        <v>0</v>
      </c>
      <c r="AN439" s="26">
        <v>0</v>
      </c>
    </row>
    <row r="440" spans="3:40">
      <c r="C440" s="1">
        <f>WORKDAY(C439,1,Feriados!A248:A1087)</f>
        <v>45498</v>
      </c>
      <c r="D440" s="39">
        <v>9460370.1306999996</v>
      </c>
      <c r="E440" s="32">
        <v>4.1421052999999999</v>
      </c>
      <c r="F440" s="88">
        <v>2283952.1146062999</v>
      </c>
      <c r="G440" s="15">
        <f t="shared" ref="G440" si="2077">H440*I440</f>
        <v>9436551.258643372</v>
      </c>
      <c r="H440" s="32">
        <v>1.0507472</v>
      </c>
      <c r="I440" s="15">
        <f>SUMIFS([1]Master!$K$2:$K$10000,[1]Master!$A$2:$A$10000,$I$12,[1]Master!$F$2:$F$10000,"&lt;="&amp;$C440)</f>
        <v>8980800.7660104856</v>
      </c>
      <c r="J440" s="15">
        <f t="shared" ref="J440" si="2078">K440*L440</f>
        <v>0</v>
      </c>
      <c r="K440" s="43">
        <v>0</v>
      </c>
      <c r="L440" s="40">
        <v>0</v>
      </c>
      <c r="M440" s="15">
        <f t="shared" si="2073"/>
        <v>0</v>
      </c>
      <c r="N440" s="32">
        <v>0</v>
      </c>
      <c r="O440" s="40">
        <v>0</v>
      </c>
      <c r="P440" s="15">
        <f t="shared" si="2074"/>
        <v>25077.833009223235</v>
      </c>
      <c r="Q440" s="32">
        <v>4.3407781999999999</v>
      </c>
      <c r="R440" s="40">
        <v>5777.2666221976597</v>
      </c>
      <c r="S440" s="15">
        <f t="shared" ref="S440" si="2079">(((1+1.35%)^(1/252))-1)*D439+SUM(S439)</f>
        <v>9645.3891493463543</v>
      </c>
      <c r="T440" s="15">
        <f>IF((NETWORKDAYS(DATE(YEAR(C440),MONTH(C440),1),C440,Feriados!$A$2:$A$842))&gt;=5,0,IF(NETWORKDAYS(DATE(YEAR(C440),MONTH(C440),1),C440,Feriados!$A$2:$A$842)=1,S439,T439))</f>
        <v>0</v>
      </c>
      <c r="U440" s="26">
        <v>0</v>
      </c>
      <c r="V440" s="26">
        <v>0</v>
      </c>
      <c r="W440" s="15">
        <f t="shared" ref="W440" si="2080">SUM(G440+J440+M440+P440)</f>
        <v>9461629.0916525945</v>
      </c>
      <c r="X440" s="50">
        <f>'Fluxo de Caixa_'!AD446</f>
        <v>0</v>
      </c>
      <c r="AB440" s="26">
        <v>8386.3307000000004</v>
      </c>
      <c r="AC440" s="26">
        <v>0</v>
      </c>
      <c r="AD440">
        <f>SUMIFS([1]Master!$J$2:$J$100,[1]Master!$A$2:$A$100,"="&amp;$I$12,[1]Master!$E$2:$E$100,"="&amp;C440,[1]Master!$J$2:$J$100,"&gt;"&amp;0)</f>
        <v>0</v>
      </c>
      <c r="AE440">
        <f ca="1">-SUMIF('[1]Fluxo de Movimentações'!$A$5:$F$10001,"="&amp;$C440,'[1]Fluxo de Movimentações'!$H$5:$H$10001)</f>
        <v>0</v>
      </c>
      <c r="AF440" s="26">
        <v>0</v>
      </c>
      <c r="AG440" s="26">
        <v>0</v>
      </c>
      <c r="AH440" s="26">
        <v>0</v>
      </c>
      <c r="AI440" s="26">
        <v>0</v>
      </c>
      <c r="AJ440" s="26">
        <v>0</v>
      </c>
      <c r="AK440" s="68">
        <v>4.1421052999999999</v>
      </c>
      <c r="AL440" s="15">
        <f>-SUMIFS([1]Master!$J$1:$J$200,[1]Master!$A$1:$A$200,"="&amp;$I$12,[1]Master!$G$1:$G$200,"&gt;"&amp;C440,[1]Master!$E$1:$E$200,"&lt;="&amp;C440)</f>
        <v>0</v>
      </c>
      <c r="AM440" s="26">
        <v>0</v>
      </c>
      <c r="AN440" s="26">
        <v>0</v>
      </c>
    </row>
    <row r="441" spans="3:40">
      <c r="C441" s="1">
        <f>WORKDAY(C440,1,Feriados!A249:A1088)</f>
        <v>45499</v>
      </c>
      <c r="D441" s="39">
        <v>9582708.7159000002</v>
      </c>
      <c r="E441" s="32">
        <v>4.1956696999999998</v>
      </c>
      <c r="F441" s="88">
        <v>2283952.1146062999</v>
      </c>
      <c r="G441" s="15">
        <f t="shared" ref="G441:G442" si="2081">H441*I441</f>
        <v>9559431.9632043894</v>
      </c>
      <c r="H441" s="32">
        <v>1.0644298000000001</v>
      </c>
      <c r="I441" s="15">
        <f>SUMIFS([1]Master!$K$2:$K$10000,[1]Master!$A$2:$A$10000,$I$12,[1]Master!$F$2:$F$10000,"&lt;="&amp;$C441)</f>
        <v>8980800.7660104856</v>
      </c>
      <c r="J441" s="15">
        <f t="shared" ref="J441" si="2082">K441*L441</f>
        <v>0</v>
      </c>
      <c r="K441" s="43">
        <v>0</v>
      </c>
      <c r="L441" s="40">
        <v>0</v>
      </c>
      <c r="M441" s="15">
        <f t="shared" si="2073"/>
        <v>0</v>
      </c>
      <c r="N441" s="32">
        <v>0</v>
      </c>
      <c r="O441" s="40">
        <v>0</v>
      </c>
      <c r="P441" s="15">
        <f t="shared" si="2074"/>
        <v>25087.517441262025</v>
      </c>
      <c r="Q441" s="32">
        <v>4.3424544999999997</v>
      </c>
      <c r="R441" s="40">
        <v>5777.2666221976597</v>
      </c>
      <c r="S441" s="15">
        <f t="shared" ref="S441" si="2083">(((1+1.35%)^(1/252))-1)*D440+SUM(S440)</f>
        <v>10148.81762904513</v>
      </c>
      <c r="T441" s="15">
        <f>IF((NETWORKDAYS(DATE(YEAR(C441),MONTH(C441),1),C441,Feriados!$A$2:$A$842))&gt;=5,0,IF(NETWORKDAYS(DATE(YEAR(C441),MONTH(C441),1),C441,Feriados!$A$2:$A$842)=1,S440,T440))</f>
        <v>0</v>
      </c>
      <c r="U441" s="26">
        <v>0</v>
      </c>
      <c r="V441" s="26">
        <v>0</v>
      </c>
      <c r="W441" s="15">
        <f t="shared" ref="W441" si="2084">SUM(G441+J441+M441+P441)</f>
        <v>9584519.480645651</v>
      </c>
      <c r="X441" s="50">
        <f>'Fluxo de Caixa_'!AD447</f>
        <v>0</v>
      </c>
      <c r="AB441" s="26">
        <v>8337.9459000000006</v>
      </c>
      <c r="AC441" s="26">
        <v>0</v>
      </c>
      <c r="AD441">
        <f>SUMIFS([1]Master!$J$2:$J$100,[1]Master!$A$2:$A$100,"="&amp;$I$12,[1]Master!$E$2:$E$100,"="&amp;C441,[1]Master!$J$2:$J$100,"&gt;"&amp;0)</f>
        <v>0</v>
      </c>
      <c r="AE441">
        <f ca="1">-SUMIF('[1]Fluxo de Movimentações'!$A$5:$F$10001,"="&amp;$C441,'[1]Fluxo de Movimentações'!$H$5:$H$10001)</f>
        <v>0</v>
      </c>
      <c r="AF441" s="26">
        <v>0</v>
      </c>
      <c r="AG441" s="26">
        <v>0</v>
      </c>
      <c r="AH441" s="26">
        <v>0</v>
      </c>
      <c r="AI441" s="26">
        <v>0</v>
      </c>
      <c r="AJ441" s="26">
        <v>0</v>
      </c>
      <c r="AK441" s="68">
        <v>4.1956696999999998</v>
      </c>
      <c r="AL441" s="15">
        <f>-SUMIFS([1]Master!$J$1:$J$200,[1]Master!$A$1:$A$200,"="&amp;$I$12,[1]Master!$G$1:$G$200,"&gt;"&amp;C441,[1]Master!$E$1:$E$200,"&lt;="&amp;C441)</f>
        <v>0</v>
      </c>
      <c r="AM441" s="26">
        <v>0</v>
      </c>
      <c r="AN441" s="26">
        <v>0</v>
      </c>
    </row>
    <row r="442" spans="3:40">
      <c r="C442" s="1">
        <f>WORKDAY(C441,1,Feriados!A250:A1089)</f>
        <v>45502</v>
      </c>
      <c r="D442" s="39">
        <v>9508293.9410999995</v>
      </c>
      <c r="E442" s="32">
        <v>4.1630881000000004</v>
      </c>
      <c r="F442" s="88">
        <v>2283952.1146062999</v>
      </c>
      <c r="G442" s="15">
        <f t="shared" si="2081"/>
        <v>9485565.7749840282</v>
      </c>
      <c r="H442" s="32">
        <v>1.0562049</v>
      </c>
      <c r="I442" s="15">
        <f>SUMIFS([1]Master!$K$2:$K$10000,[1]Master!$A$2:$A$10000,$I$12,[1]Master!$F$2:$F$10000,"&lt;="&amp;$C442)</f>
        <v>8980800.7660104856</v>
      </c>
      <c r="J442" s="15">
        <f t="shared" ref="J442" si="2085">K442*L442</f>
        <v>0</v>
      </c>
      <c r="K442" s="43">
        <v>0</v>
      </c>
      <c r="L442" s="40">
        <v>0</v>
      </c>
      <c r="M442" s="15">
        <f t="shared" ref="M442" si="2086">N442*O442</f>
        <v>0</v>
      </c>
      <c r="N442" s="32">
        <v>0</v>
      </c>
      <c r="O442" s="40">
        <v>0</v>
      </c>
      <c r="P442" s="15">
        <f t="shared" ref="P442:P444" si="2087">R442*Q442</f>
        <v>25097.243469620498</v>
      </c>
      <c r="Q442" s="32">
        <v>4.3441380000000001</v>
      </c>
      <c r="R442" s="40">
        <v>5777.2666221976597</v>
      </c>
      <c r="S442" s="15">
        <f t="shared" ref="S442" si="2088">(((1+1.35%)^(1/252))-1)*D441+SUM(S441)</f>
        <v>10658.756290386362</v>
      </c>
      <c r="T442" s="15">
        <f>IF((NETWORKDAYS(DATE(YEAR(C442),MONTH(C442),1),C442,Feriados!$A$2:$A$842))&gt;=5,0,IF(NETWORKDAYS(DATE(YEAR(C442),MONTH(C442),1),C442,Feriados!$A$2:$A$842)=1,S441,T441))</f>
        <v>0</v>
      </c>
      <c r="U442" s="26">
        <v>0</v>
      </c>
      <c r="V442" s="26">
        <v>0</v>
      </c>
      <c r="W442" s="15">
        <f t="shared" ref="W442" si="2089">SUM(G442+J442+M442+P442)</f>
        <v>9510663.0184536483</v>
      </c>
      <c r="X442" s="50">
        <f>'Fluxo de Caixa_'!AD448</f>
        <v>0</v>
      </c>
      <c r="AB442" s="26">
        <v>8289.5611000000008</v>
      </c>
      <c r="AC442" s="26">
        <v>0</v>
      </c>
      <c r="AD442">
        <f>SUMIFS([1]Master!$J$2:$J$100,[1]Master!$A$2:$A$100,"="&amp;$I$12,[1]Master!$E$2:$E$100,"="&amp;C442,[1]Master!$J$2:$J$100,"&gt;"&amp;0)</f>
        <v>0</v>
      </c>
      <c r="AE442">
        <f ca="1">-SUMIF('[1]Fluxo de Movimentações'!$A$5:$F$10001,"="&amp;$C442,'[1]Fluxo de Movimentações'!$H$5:$H$10001)</f>
        <v>0</v>
      </c>
      <c r="AF442" s="26">
        <v>0</v>
      </c>
      <c r="AG442" s="26">
        <v>0</v>
      </c>
      <c r="AH442" s="26">
        <v>0</v>
      </c>
      <c r="AI442" s="26">
        <v>0</v>
      </c>
      <c r="AJ442" s="26">
        <v>0</v>
      </c>
      <c r="AK442" s="68">
        <v>4.1630881000000004</v>
      </c>
      <c r="AL442" s="15">
        <f>-SUMIFS([1]Master!$J$1:$J$200,[1]Master!$A$1:$A$200,"="&amp;$I$12,[1]Master!$G$1:$G$200,"&gt;"&amp;C442,[1]Master!$E$1:$E$200,"&lt;="&amp;C442)</f>
        <v>0</v>
      </c>
      <c r="AM442" s="26">
        <v>0</v>
      </c>
      <c r="AN442" s="26">
        <v>0</v>
      </c>
    </row>
    <row r="443" spans="3:40">
      <c r="C443" s="1">
        <f>WORKDAY(C442,1,Feriados!A251:A1090)</f>
        <v>45503</v>
      </c>
      <c r="D443" s="39">
        <v>9448652.0263</v>
      </c>
      <c r="E443" s="32">
        <v>4.1369746999999997</v>
      </c>
      <c r="F443" s="88">
        <v>2283952.1146062999</v>
      </c>
      <c r="G443" s="15">
        <f t="shared" ref="G443" si="2090">H443*I443</f>
        <v>9426468.5136233717</v>
      </c>
      <c r="H443" s="32">
        <v>1.0496245</v>
      </c>
      <c r="I443" s="15">
        <f>SUMIFS([1]Master!$K$2:$K$10000,[1]Master!$A$2:$A$10000,$I$12,[1]Master!$F$2:$F$10000,"&lt;="&amp;$C443)</f>
        <v>8980800.7660104856</v>
      </c>
      <c r="J443" s="15">
        <f t="shared" ref="J443" si="2091">K443*L443</f>
        <v>0</v>
      </c>
      <c r="K443" s="43">
        <v>0</v>
      </c>
      <c r="L443" s="40">
        <v>0</v>
      </c>
      <c r="M443" s="15">
        <f t="shared" ref="M443" si="2092">N443*O443</f>
        <v>0</v>
      </c>
      <c r="N443" s="32">
        <v>0</v>
      </c>
      <c r="O443" s="40">
        <v>0</v>
      </c>
      <c r="P443" s="15">
        <f t="shared" si="2087"/>
        <v>25106.941767099182</v>
      </c>
      <c r="Q443" s="32">
        <v>4.3458167000000003</v>
      </c>
      <c r="R443" s="40">
        <v>5777.2666221976597</v>
      </c>
      <c r="S443" s="15">
        <f t="shared" ref="S443" si="2093">(((1+1.35%)^(1/252))-1)*D442+SUM(S442)</f>
        <v>11164.735009735143</v>
      </c>
      <c r="T443" s="15">
        <f>IF((NETWORKDAYS(DATE(YEAR(C443),MONTH(C443),1),C443,Feriados!$A$2:$A$842))&gt;=5,0,IF(NETWORKDAYS(DATE(YEAR(C443),MONTH(C443),1),C443,Feriados!$A$2:$A$842)=1,S442,T442))</f>
        <v>0</v>
      </c>
      <c r="U443" s="26">
        <v>0</v>
      </c>
      <c r="V443" s="26">
        <v>0</v>
      </c>
      <c r="W443" s="15">
        <f t="shared" ref="W443" si="2094">SUM(G443+J443+M443+P443)</f>
        <v>9451575.4553904701</v>
      </c>
      <c r="X443" s="50">
        <f>'Fluxo de Caixa_'!AD449</f>
        <v>0</v>
      </c>
      <c r="AB443" s="26">
        <v>8241.1762999999992</v>
      </c>
      <c r="AC443" s="26">
        <v>0</v>
      </c>
      <c r="AD443">
        <f>SUMIFS([1]Master!$J$2:$J$100,[1]Master!$A$2:$A$100,"="&amp;$I$12,[1]Master!$E$2:$E$100,"="&amp;C443,[1]Master!$J$2:$J$100,"&gt;"&amp;0)</f>
        <v>0</v>
      </c>
      <c r="AE443">
        <f ca="1">-SUMIF('[1]Fluxo de Movimentações'!$A$5:$F$10001,"="&amp;$C443,'[1]Fluxo de Movimentações'!$H$5:$H$10001)</f>
        <v>0</v>
      </c>
      <c r="AF443" s="26">
        <v>0</v>
      </c>
      <c r="AG443" s="26">
        <v>0</v>
      </c>
      <c r="AH443" s="26">
        <v>0</v>
      </c>
      <c r="AI443" s="26">
        <v>0</v>
      </c>
      <c r="AJ443" s="26">
        <v>0</v>
      </c>
      <c r="AK443" s="68">
        <v>4.1369746999999997</v>
      </c>
      <c r="AL443" s="15">
        <f>-SUMIFS([1]Master!$J$1:$J$200,[1]Master!$A$1:$A$200,"="&amp;$I$12,[1]Master!$G$1:$G$200,"&gt;"&amp;C443,[1]Master!$E$1:$E$200,"&lt;="&amp;C443)</f>
        <v>0</v>
      </c>
      <c r="AM443" s="26">
        <v>0</v>
      </c>
      <c r="AN443" s="26">
        <v>0</v>
      </c>
    </row>
    <row r="444" spans="3:40">
      <c r="C444" s="1">
        <f>WORKDAY(C443,1,Feriados!A252:A1091)</f>
        <v>45504</v>
      </c>
      <c r="D444" s="39">
        <v>9562473.8314999994</v>
      </c>
      <c r="E444" s="32">
        <v>4.1868100999999998</v>
      </c>
      <c r="F444" s="88">
        <v>2283952.1146062999</v>
      </c>
      <c r="G444" s="15">
        <f t="shared" ref="G444" si="2095">H444*I444</f>
        <v>9540831.8267379049</v>
      </c>
      <c r="H444" s="32">
        <v>1.0623587000000001</v>
      </c>
      <c r="I444" s="15">
        <f>SUMIFS([1]Master!$K$2:$K$10000,[1]Master!$A$2:$A$10000,$I$12,[1]Master!$F$2:$F$10000,"&lt;="&amp;$C444)</f>
        <v>8980800.7660104856</v>
      </c>
      <c r="J444" s="15">
        <f t="shared" ref="J444" si="2096">K444*L444</f>
        <v>0</v>
      </c>
      <c r="K444" s="43">
        <v>0</v>
      </c>
      <c r="L444" s="40">
        <v>0</v>
      </c>
      <c r="M444" s="15">
        <f t="shared" ref="M444" si="2097">N444*O444</f>
        <v>0</v>
      </c>
      <c r="N444" s="32">
        <v>0</v>
      </c>
      <c r="O444" s="40">
        <v>0</v>
      </c>
      <c r="P444" s="15">
        <f t="shared" si="2087"/>
        <v>25116.619844144683</v>
      </c>
      <c r="Q444" s="32">
        <v>4.3474918999999996</v>
      </c>
      <c r="R444" s="40">
        <v>5777.2666221976597</v>
      </c>
      <c r="S444" s="15">
        <f t="shared" ref="S444" si="2098">(((1+1.35%)^(1/252))-1)*D443+SUM(S443)</f>
        <v>11667.539916846214</v>
      </c>
      <c r="T444" s="15">
        <f>IF((NETWORKDAYS(DATE(YEAR(C444),MONTH(C444),1),C444,Feriados!$A$2:$A$842))&gt;=5,0,IF(NETWORKDAYS(DATE(YEAR(C444),MONTH(C444),1),C444,Feriados!$A$2:$A$842)=1,S443,T443))</f>
        <v>0</v>
      </c>
      <c r="U444" s="26">
        <v>0</v>
      </c>
      <c r="V444" s="26">
        <v>0</v>
      </c>
      <c r="W444" s="15">
        <f t="shared" ref="W444" si="2099">SUM(G444+J444+M444+P444)</f>
        <v>9565948.4465820491</v>
      </c>
      <c r="X444" s="50">
        <f>'Fluxo de Caixa_'!AD450</f>
        <v>0</v>
      </c>
      <c r="AB444" s="26">
        <v>8192.7914999999994</v>
      </c>
      <c r="AC444" s="26">
        <v>0</v>
      </c>
      <c r="AD444">
        <f>SUMIFS([1]Master!$J$2:$J$100,[1]Master!$A$2:$A$100,"="&amp;$I$12,[1]Master!$E$2:$E$100,"="&amp;C444,[1]Master!$J$2:$J$100,"&gt;"&amp;0)</f>
        <v>0</v>
      </c>
      <c r="AE444">
        <f ca="1">-SUMIF('[1]Fluxo de Movimentações'!$A$5:$F$10001,"="&amp;$C444,'[1]Fluxo de Movimentações'!$H$5:$H$10001)</f>
        <v>0</v>
      </c>
      <c r="AF444" s="26">
        <v>0</v>
      </c>
      <c r="AG444" s="26">
        <v>0</v>
      </c>
      <c r="AH444" s="26">
        <v>0</v>
      </c>
      <c r="AI444" s="26">
        <v>0</v>
      </c>
      <c r="AJ444" s="26">
        <v>0</v>
      </c>
      <c r="AK444" s="68">
        <v>4.1868100999999998</v>
      </c>
      <c r="AL444" s="15">
        <f>-SUMIFS([1]Master!$J$1:$J$200,[1]Master!$A$1:$A$200,"="&amp;$I$12,[1]Master!$G$1:$G$200,"&gt;"&amp;C444,[1]Master!$E$1:$E$200,"&lt;="&amp;C444)</f>
        <v>0</v>
      </c>
      <c r="AM444" s="26">
        <v>0</v>
      </c>
      <c r="AN444" s="26">
        <v>0</v>
      </c>
    </row>
    <row r="445" spans="3:40">
      <c r="C445" s="1">
        <f>WORKDAY(C444,1,Feriados!A253:A1092)</f>
        <v>45505</v>
      </c>
      <c r="D445" s="39">
        <v>9608704.2211000007</v>
      </c>
      <c r="E445" s="32">
        <v>4.2052861999999998</v>
      </c>
      <c r="F445" s="88">
        <v>2283952.1146062999</v>
      </c>
      <c r="G445" s="15">
        <f t="shared" ref="G445" si="2100">H445*I445</f>
        <v>9583577.7441438846</v>
      </c>
      <c r="H445" s="32">
        <v>1.0671184</v>
      </c>
      <c r="I445" s="15">
        <f>SUMIFS([1]Master!$K$2:$K$10000,[1]Master!$A$2:$A$10000,$I$12,[1]Master!$F$2:$F$10000,"&lt;="&amp;$C445)</f>
        <v>8980800.7660104856</v>
      </c>
      <c r="J445" s="15">
        <f t="shared" ref="J445" si="2101">K445*L445</f>
        <v>0</v>
      </c>
      <c r="K445" s="43">
        <v>0</v>
      </c>
      <c r="L445" s="40">
        <v>0</v>
      </c>
      <c r="M445" s="15">
        <f t="shared" ref="M445" si="2102">N445*O445</f>
        <v>0</v>
      </c>
      <c r="N445" s="32">
        <v>0</v>
      </c>
      <c r="O445" s="40">
        <v>0</v>
      </c>
      <c r="P445" s="15">
        <f t="shared" ref="P445:P446" si="2103">R445*Q445</f>
        <v>25126.477016455479</v>
      </c>
      <c r="Q445" s="32">
        <v>4.3491980999999997</v>
      </c>
      <c r="R445" s="40">
        <v>5777.2666221976597</v>
      </c>
      <c r="S445" s="15">
        <f>(((1+1.35%)^(1/252))-1)*D444</f>
        <v>508.86187291227697</v>
      </c>
      <c r="T445" s="15">
        <f>IF((NETWORKDAYS(DATE(YEAR(C445),MONTH(C445),1),C445,Feriados!$A$2:$A$842))&gt;=5,0,IF(NETWORKDAYS(DATE(YEAR(C445),MONTH(C445),1),C445,Feriados!$A$2:$A$842)=1,S444,T444))</f>
        <v>11667.539916846214</v>
      </c>
      <c r="U445" s="26">
        <v>0</v>
      </c>
      <c r="V445" s="26">
        <v>0</v>
      </c>
      <c r="W445" s="15">
        <f t="shared" ref="W445" si="2104">SUM(G445+J445+M445+P445)</f>
        <v>9608704.2211603392</v>
      </c>
      <c r="X445" s="50">
        <f>'Fluxo de Caixa_'!AD451</f>
        <v>0</v>
      </c>
      <c r="AB445" s="26">
        <v>8144.4066999999995</v>
      </c>
      <c r="AC445" s="26">
        <v>0</v>
      </c>
      <c r="AD445">
        <f>SUMIFS([1]Master!$J$2:$J$100,[1]Master!$A$2:$A$100,"="&amp;$I$12,[1]Master!$E$2:$E$100,"="&amp;C445,[1]Master!$J$2:$J$100,"&gt;"&amp;0)</f>
        <v>0</v>
      </c>
      <c r="AE445">
        <f ca="1">-SUMIF('[1]Fluxo de Movimentações'!$A$5:$F$10001,"="&amp;$C445,'[1]Fluxo de Movimentações'!$H$5:$H$10001)</f>
        <v>0</v>
      </c>
      <c r="AF445" s="26">
        <v>0</v>
      </c>
      <c r="AG445" s="26">
        <v>0</v>
      </c>
      <c r="AH445" s="26">
        <v>0</v>
      </c>
      <c r="AI445" s="26">
        <v>0</v>
      </c>
      <c r="AJ445" s="26">
        <v>0</v>
      </c>
      <c r="AK445" s="68">
        <v>4.2052861999999998</v>
      </c>
      <c r="AL445" s="15">
        <f>-SUMIFS([1]Master!$J$1:$J$200,[1]Master!$A$1:$A$200,"="&amp;$I$12,[1]Master!$G$1:$G$200,"&gt;"&amp;C445,[1]Master!$E$1:$E$200,"&lt;="&amp;C445)</f>
        <v>0</v>
      </c>
      <c r="AM445" s="26">
        <v>0</v>
      </c>
      <c r="AN445" s="26">
        <v>0</v>
      </c>
    </row>
    <row r="446" spans="3:40">
      <c r="C446" s="1">
        <f>WORKDAY(C445,1,Feriados!A254:A1093)</f>
        <v>45506</v>
      </c>
      <c r="D446" s="39">
        <v>9656427.9919000007</v>
      </c>
      <c r="E446" s="32">
        <v>4.2279467999999998</v>
      </c>
      <c r="F446" s="88">
        <v>2283952.1146062999</v>
      </c>
      <c r="G446" s="15">
        <f t="shared" ref="G446" si="2105">H446*I446</f>
        <v>9635972.6338928659</v>
      </c>
      <c r="H446" s="32">
        <v>1.0729525</v>
      </c>
      <c r="I446" s="15">
        <f>SUMIFS([1]Master!$K$2:$K$10000,[1]Master!$A$2:$A$10000,$I$12,[1]Master!$F$2:$F$10000,"&lt;="&amp;$C446)</f>
        <v>8980800.7660104856</v>
      </c>
      <c r="J446" s="15">
        <f t="shared" ref="J446" si="2106">K446*L446</f>
        <v>0</v>
      </c>
      <c r="K446" s="43">
        <v>0</v>
      </c>
      <c r="L446" s="40">
        <v>0</v>
      </c>
      <c r="M446" s="15">
        <f t="shared" ref="M446" si="2107">N446*O446</f>
        <v>0</v>
      </c>
      <c r="N446" s="32">
        <v>0</v>
      </c>
      <c r="O446" s="40">
        <v>0</v>
      </c>
      <c r="P446" s="15">
        <f t="shared" si="2103"/>
        <v>25136.258506573526</v>
      </c>
      <c r="Q446" s="32">
        <v>4.3508912000000004</v>
      </c>
      <c r="R446" s="40">
        <v>5777.2666221976597</v>
      </c>
      <c r="S446" s="15">
        <f t="shared" ref="S446:S451" si="2108">(((1+1.35%)^(1/252))-1)*D445+SUM(S445)</f>
        <v>1020.1838710026043</v>
      </c>
      <c r="T446" s="15">
        <f>IF((NETWORKDAYS(DATE(YEAR(C446),MONTH(C446),1),C446,Feriados!$A$2:$A$842))&gt;=5,0,IF(NETWORKDAYS(DATE(YEAR(C446),MONTH(C446),1),C446,Feriados!$A$2:$A$842)=1,S445,T445))</f>
        <v>11667.539916846214</v>
      </c>
      <c r="U446" s="26">
        <v>0</v>
      </c>
      <c r="V446" s="26">
        <v>0</v>
      </c>
      <c r="W446" s="15">
        <f t="shared" ref="W446" si="2109">SUM(G446+J446+M446+P446)</f>
        <v>9661108.8923994396</v>
      </c>
      <c r="X446" s="50">
        <f>'Fluxo de Caixa_'!AD452</f>
        <v>0</v>
      </c>
      <c r="AB446" s="26">
        <v>8096.0218999999997</v>
      </c>
      <c r="AC446" s="26">
        <v>0</v>
      </c>
      <c r="AD446">
        <f>SUMIFS([1]Master!$J$2:$J$100,[1]Master!$A$2:$A$100,"="&amp;$I$12,[1]Master!$E$2:$E$100,"="&amp;C446,[1]Master!$J$2:$J$100,"&gt;"&amp;0)</f>
        <v>0</v>
      </c>
      <c r="AE446">
        <f ca="1">-SUMIF('[1]Fluxo de Movimentações'!$A$5:$F$10001,"="&amp;$C446,'[1]Fluxo de Movimentações'!$H$5:$H$10001)</f>
        <v>0</v>
      </c>
      <c r="AF446" s="26">
        <v>0</v>
      </c>
      <c r="AG446" s="26">
        <v>0</v>
      </c>
      <c r="AH446" s="26">
        <v>0</v>
      </c>
      <c r="AI446" s="26">
        <v>0</v>
      </c>
      <c r="AJ446" s="26">
        <v>0</v>
      </c>
      <c r="AK446" s="68">
        <v>4.2279859999999996</v>
      </c>
      <c r="AL446" s="15">
        <f>-SUMIFS([1]Master!$J$1:$J$200,[1]Master!$A$1:$A$200,"="&amp;$I$12,[1]Master!$G$1:$G$200,"&gt;"&amp;C446,[1]Master!$E$1:$E$200,"&lt;="&amp;C446)</f>
        <v>0</v>
      </c>
      <c r="AM446" s="26">
        <v>0</v>
      </c>
      <c r="AN446" s="26">
        <v>0</v>
      </c>
    </row>
    <row r="447" spans="3:40">
      <c r="C447" s="1">
        <f>WORKDAY(C446,1,Feriados!A255:A1094)</f>
        <v>45509</v>
      </c>
      <c r="D447" s="39">
        <v>9572129.3571000006</v>
      </c>
      <c r="E447" s="32">
        <v>4.1910376999999999</v>
      </c>
      <c r="F447" s="88">
        <v>2283952.1146062999</v>
      </c>
      <c r="G447" s="15">
        <f t="shared" ref="G447" si="2110">H447*I447</f>
        <v>9540136.8587421589</v>
      </c>
      <c r="H447" s="32">
        <v>1.0636175000000001</v>
      </c>
      <c r="I447" s="15">
        <f>SUMIFS([1]Master!$K$2:$K$10000,[1]Master!$A$2:$A$10000,$I$12,[1]Master!$F$2:$F$10000,"&lt;="&amp;$C447)</f>
        <v>8969518.5146372244</v>
      </c>
      <c r="J447" s="15">
        <f t="shared" ref="J447" si="2111">K447*L447</f>
        <v>0</v>
      </c>
      <c r="K447" s="43">
        <v>0</v>
      </c>
      <c r="L447" s="40">
        <v>0</v>
      </c>
      <c r="M447" s="15">
        <f t="shared" ref="M447" si="2112">N447*O447</f>
        <v>0</v>
      </c>
      <c r="N447" s="32">
        <v>0</v>
      </c>
      <c r="O447" s="40">
        <v>0</v>
      </c>
      <c r="P447" s="15">
        <f t="shared" ref="P447" si="2113">R447*Q447</f>
        <v>25146.094880724479</v>
      </c>
      <c r="Q447" s="32">
        <v>4.3525938000000002</v>
      </c>
      <c r="R447" s="40">
        <v>5777.2666221976597</v>
      </c>
      <c r="S447" s="15">
        <f t="shared" si="2108"/>
        <v>1534.0454637438188</v>
      </c>
      <c r="T447" s="15">
        <f>IF((NETWORKDAYS(DATE(YEAR(C447),MONTH(C447),1),C447,Feriados!$A$2:$A$842))&gt;=5,0,IF(NETWORKDAYS(DATE(YEAR(C447),MONTH(C447),1),C447,Feriados!$A$2:$A$842)=1,S446,T446))</f>
        <v>11667.539916846214</v>
      </c>
      <c r="U447" s="26">
        <v>0</v>
      </c>
      <c r="V447" s="26">
        <v>0</v>
      </c>
      <c r="W447" s="15">
        <f t="shared" ref="W447" si="2114">SUM(G447+J447+M447+P447)</f>
        <v>9565282.9536228832</v>
      </c>
      <c r="X447" s="50">
        <f>'Fluxo de Caixa_'!AD453</f>
        <v>0</v>
      </c>
      <c r="AB447" s="26">
        <v>8047.6370999999999</v>
      </c>
      <c r="AC447" s="26">
        <v>0</v>
      </c>
      <c r="AD447">
        <f>SUMIFS([1]Master!$J$2:$J$100,[1]Master!$A$2:$A$100,"="&amp;$I$12,[1]Master!$E$2:$E$100,"="&amp;C447,[1]Master!$J$2:$J$100,"&gt;"&amp;0)</f>
        <v>0</v>
      </c>
      <c r="AE447">
        <f ca="1">-SUMIF('[1]Fluxo de Movimentações'!$A$5:$F$10001,"="&amp;$C447,'[1]Fluxo de Movimentações'!$H$5:$H$10001)</f>
        <v>0</v>
      </c>
      <c r="AF447" s="26">
        <v>0</v>
      </c>
      <c r="AG447" s="26">
        <v>0</v>
      </c>
      <c r="AH447" s="26">
        <v>0</v>
      </c>
      <c r="AI447" s="26">
        <v>0</v>
      </c>
      <c r="AJ447" s="26">
        <v>0</v>
      </c>
      <c r="AK447" s="68">
        <v>4.1910376999999999</v>
      </c>
      <c r="AL447" s="15">
        <f>-SUMIFS([1]Master!$J$1:$J$200,[1]Master!$A$1:$A$200,"="&amp;$I$12,[1]Master!$G$1:$G$200,"&gt;"&amp;C447,[1]Master!$E$1:$E$200,"&lt;="&amp;C447)</f>
        <v>12000</v>
      </c>
      <c r="AM447" s="26">
        <v>0</v>
      </c>
      <c r="AN447" s="26">
        <v>0</v>
      </c>
    </row>
    <row r="448" spans="3:40">
      <c r="C448" s="1">
        <f>WORKDAY(C447,1,Feriados!A256:A1095)</f>
        <v>45510</v>
      </c>
      <c r="D448" s="39">
        <v>9583906.4623000007</v>
      </c>
      <c r="E448" s="32">
        <v>4.1961940999999996</v>
      </c>
      <c r="F448" s="88">
        <v>2283952.1146062999</v>
      </c>
      <c r="G448" s="15">
        <f t="shared" ref="G448" si="2115">H448*I448</f>
        <v>9552461.8741331212</v>
      </c>
      <c r="H448" s="32">
        <v>1.0649915999999999</v>
      </c>
      <c r="I448" s="15">
        <f>SUMIFS([1]Master!$K$2:$K$10000,[1]Master!$A$2:$A$10000,$I$12,[1]Master!$F$2:$F$10000,"&lt;="&amp;$C448)</f>
        <v>8969518.5146372244</v>
      </c>
      <c r="J448" s="15">
        <f t="shared" ref="J448" si="2116">K448*L448</f>
        <v>0</v>
      </c>
      <c r="K448" s="43">
        <v>0</v>
      </c>
      <c r="L448" s="40">
        <v>0</v>
      </c>
      <c r="M448" s="15">
        <f t="shared" ref="M448" si="2117">N448*O448</f>
        <v>0</v>
      </c>
      <c r="N448" s="32">
        <v>0</v>
      </c>
      <c r="O448" s="40">
        <v>0</v>
      </c>
      <c r="P448" s="15">
        <f t="shared" ref="P448" si="2118">R448*Q448</f>
        <v>25155.934143508737</v>
      </c>
      <c r="Q448" s="32">
        <v>4.3542968999999996</v>
      </c>
      <c r="R448" s="40">
        <v>5777.2666221976597</v>
      </c>
      <c r="S448" s="15">
        <f t="shared" si="2108"/>
        <v>2043.4211502285402</v>
      </c>
      <c r="T448" s="15">
        <f>IF((NETWORKDAYS(DATE(YEAR(C448),MONTH(C448),1),C448,Feriados!$A$2:$A$842))&gt;=5,0,IF(NETWORKDAYS(DATE(YEAR(C448),MONTH(C448),1),C448,Feriados!$A$2:$A$842)=1,S447,T447))</f>
        <v>11667.539916846214</v>
      </c>
      <c r="U448" s="26">
        <v>0</v>
      </c>
      <c r="V448" s="26">
        <v>0</v>
      </c>
      <c r="W448" s="15">
        <f t="shared" ref="W448:W450" si="2119">SUM(G448+J448+M448+P448)</f>
        <v>9577617.8082766291</v>
      </c>
      <c r="X448" s="50">
        <f>'Fluxo de Caixa_'!AD454</f>
        <v>0</v>
      </c>
      <c r="AB448" s="26">
        <v>7999.2523000000001</v>
      </c>
      <c r="AC448" s="26">
        <v>0</v>
      </c>
      <c r="AD448">
        <f>SUMIFS([1]Master!$J$2:$J$100,[1]Master!$A$2:$A$100,"="&amp;$I$12,[1]Master!$E$2:$E$100,"="&amp;C448,[1]Master!$J$2:$J$100,"&gt;"&amp;0)</f>
        <v>0</v>
      </c>
      <c r="AE448">
        <f ca="1">-SUMIF('[1]Fluxo de Movimentações'!$A$5:$F$10001,"="&amp;$C448,'[1]Fluxo de Movimentações'!$H$5:$H$10001)</f>
        <v>0</v>
      </c>
      <c r="AF448" s="26">
        <v>0</v>
      </c>
      <c r="AG448" s="26">
        <v>0</v>
      </c>
      <c r="AH448" s="26">
        <v>0</v>
      </c>
      <c r="AI448" s="26">
        <v>0</v>
      </c>
      <c r="AJ448" s="26">
        <v>0</v>
      </c>
      <c r="AK448" s="68">
        <v>4.1961940999999996</v>
      </c>
      <c r="AL448" s="15">
        <f>-SUMIFS([1]Master!$J$1:$J$200,[1]Master!$A$1:$A$200,"="&amp;$I$12,[1]Master!$G$1:$G$200,"&gt;"&amp;C448,[1]Master!$E$1:$E$200,"&lt;="&amp;C448)</f>
        <v>12000</v>
      </c>
      <c r="AM448" s="26">
        <v>0</v>
      </c>
      <c r="AN448" s="26">
        <v>0</v>
      </c>
    </row>
    <row r="449" spans="3:40">
      <c r="C449" s="1">
        <f>WORKDAY(C448,1,Feriados!A257:A1096)</f>
        <v>45511</v>
      </c>
      <c r="D449" s="39">
        <v>9887482.7074999996</v>
      </c>
      <c r="E449" s="32">
        <v>4.3291111999999998</v>
      </c>
      <c r="F449" s="88">
        <v>2283952.1146062999</v>
      </c>
      <c r="G449" s="15">
        <f t="shared" ref="G449" si="2120">H449*I449</f>
        <v>9857230.8650790192</v>
      </c>
      <c r="H449" s="32">
        <v>1.0989698999999999</v>
      </c>
      <c r="I449" s="15">
        <f>SUMIFS([1]Master!$K$2:$K$10000,[1]Master!$A$2:$A$10000,$I$12,[1]Master!$F$2:$F$10000,"&lt;="&amp;$C449)</f>
        <v>8969518.5146372244</v>
      </c>
      <c r="J449" s="15">
        <f t="shared" ref="J449" si="2121">K449*L449</f>
        <v>0</v>
      </c>
      <c r="K449" s="43">
        <v>0</v>
      </c>
      <c r="L449" s="40">
        <v>0</v>
      </c>
      <c r="M449" s="15">
        <f t="shared" ref="M449:M450" si="2122">N449*O449</f>
        <v>0</v>
      </c>
      <c r="N449" s="32">
        <v>0</v>
      </c>
      <c r="O449" s="40">
        <v>0</v>
      </c>
      <c r="P449" s="15">
        <f t="shared" ref="P449:P450" si="2123">R449*Q449</f>
        <v>25498.278482189147</v>
      </c>
      <c r="Q449" s="32">
        <v>4.3559853000000004</v>
      </c>
      <c r="R449" s="40">
        <v>5853.6190381976603</v>
      </c>
      <c r="S449" s="15">
        <f t="shared" si="2108"/>
        <v>2553.4235489966268</v>
      </c>
      <c r="T449" s="15">
        <f>IF((NETWORKDAYS(DATE(YEAR(C449),MONTH(C449),1),C449,Feriados!$A$2:$A$842))&gt;=5,0,IF(NETWORKDAYS(DATE(YEAR(C449),MONTH(C449),1),C449,Feriados!$A$2:$A$842)=1,S448,T448))</f>
        <v>0</v>
      </c>
      <c r="U449" s="26">
        <v>0</v>
      </c>
      <c r="V449" s="26">
        <v>0</v>
      </c>
      <c r="W449" s="15">
        <f t="shared" si="2119"/>
        <v>9882729.1435612086</v>
      </c>
      <c r="X449" s="50">
        <f>'Fluxo de Caixa_'!AD455</f>
        <v>-1.7154874285552069E-6</v>
      </c>
      <c r="AB449" s="26">
        <v>7950.8675000000003</v>
      </c>
      <c r="AC449" s="26">
        <v>0</v>
      </c>
      <c r="AD449">
        <f>SUMIFS([1]Master!$J$2:$J$100,[1]Master!$A$2:$A$100,"="&amp;$I$12,[1]Master!$E$2:$E$100,"="&amp;C449,[1]Master!$J$2:$J$100,"&gt;"&amp;0)</f>
        <v>0</v>
      </c>
      <c r="AE449">
        <f ca="1">-SUMIF('[1]Fluxo de Movimentações'!$A$5:$F$10001,"="&amp;$C449,'[1]Fluxo de Movimentações'!$H$5:$H$10001)</f>
        <v>0</v>
      </c>
      <c r="AF449" s="26">
        <v>0</v>
      </c>
      <c r="AG449" s="26">
        <v>0</v>
      </c>
      <c r="AH449" s="26">
        <v>0</v>
      </c>
      <c r="AI449" s="26">
        <v>0</v>
      </c>
      <c r="AJ449" s="26">
        <v>-644.11</v>
      </c>
      <c r="AK449" s="68">
        <v>4.3293932000000002</v>
      </c>
      <c r="AL449" s="15">
        <f>-SUMIFS([1]Master!$J$1:$J$200,[1]Master!$A$1:$A$200,"="&amp;$I$12,[1]Master!$G$1:$G$200,"&gt;"&amp;C449,[1]Master!$E$1:$E$200,"&lt;="&amp;C449)</f>
        <v>0</v>
      </c>
      <c r="AM449" s="26">
        <v>0</v>
      </c>
      <c r="AN449" s="26">
        <v>0</v>
      </c>
    </row>
    <row r="450" spans="3:40">
      <c r="C450" s="1">
        <f>WORKDAY(C449,1,Feriados!A258:A1097)</f>
        <v>45512</v>
      </c>
      <c r="D450" s="39">
        <v>10031236.2127</v>
      </c>
      <c r="E450" s="32">
        <v>4.3920519000000002</v>
      </c>
      <c r="F450" s="88">
        <v>2283952.1146062999</v>
      </c>
      <c r="G450" s="15">
        <f t="shared" ref="G450" si="2124">H450*I450</f>
        <v>10001902.023105305</v>
      </c>
      <c r="H450" s="32">
        <v>1.1150990999999999</v>
      </c>
      <c r="I450" s="15">
        <f>SUMIFS([1]Master!$K$2:$K$10000,[1]Master!$A$2:$A$10000,$I$12,[1]Master!$F$2:$F$10000,"&lt;="&amp;$C450)</f>
        <v>8969518.5146372244</v>
      </c>
      <c r="J450" s="15">
        <f t="shared" ref="J450" si="2125">K450*L450</f>
        <v>0</v>
      </c>
      <c r="K450" s="43">
        <v>0</v>
      </c>
      <c r="L450" s="40">
        <v>0</v>
      </c>
      <c r="M450" s="15">
        <f t="shared" si="2122"/>
        <v>0</v>
      </c>
      <c r="N450" s="32">
        <v>0</v>
      </c>
      <c r="O450" s="40">
        <v>0</v>
      </c>
      <c r="P450" s="15">
        <f t="shared" si="2123"/>
        <v>25508.234317449311</v>
      </c>
      <c r="Q450" s="32">
        <v>4.3576860999999996</v>
      </c>
      <c r="R450" s="40">
        <v>5853.6190381976603</v>
      </c>
      <c r="S450" s="15">
        <f t="shared" si="2108"/>
        <v>3079.5805934585164</v>
      </c>
      <c r="T450" s="15">
        <f>IF((NETWORKDAYS(DATE(YEAR(C450),MONTH(C450),1),C450,Feriados!$A$2:$A$842))&gt;=5,0,IF(NETWORKDAYS(DATE(YEAR(C450),MONTH(C450),1),C450,Feriados!$A$2:$A$842)=1,S449,T449))</f>
        <v>0</v>
      </c>
      <c r="U450" s="26">
        <v>0</v>
      </c>
      <c r="V450" s="26">
        <v>0</v>
      </c>
      <c r="W450" s="15">
        <f t="shared" si="2119"/>
        <v>10027410.257422755</v>
      </c>
      <c r="X450" s="50">
        <f>'Fluxo de Caixa_'!AD456</f>
        <v>0</v>
      </c>
      <c r="AB450" s="26">
        <v>7902.4826999999996</v>
      </c>
      <c r="AC450" s="26">
        <v>0</v>
      </c>
      <c r="AD450">
        <f>SUMIFS([1]Master!$J$2:$J$100,[1]Master!$A$2:$A$100,"="&amp;$I$12,[1]Master!$E$2:$E$100,"="&amp;C450,[1]Master!$J$2:$J$100,"&gt;"&amp;0)</f>
        <v>0</v>
      </c>
      <c r="AE450">
        <f ca="1">-SUMIF('[1]Fluxo de Movimentações'!$A$5:$F$10001,"="&amp;$C450,'[1]Fluxo de Movimentações'!$H$5:$H$10001)</f>
        <v>0</v>
      </c>
      <c r="AF450" s="26">
        <v>0</v>
      </c>
      <c r="AG450" s="26">
        <v>0</v>
      </c>
      <c r="AH450" s="26">
        <v>0</v>
      </c>
      <c r="AI450" s="26">
        <v>0</v>
      </c>
      <c r="AJ450" s="26">
        <v>-997.19</v>
      </c>
      <c r="AK450" s="68">
        <v>4.3924884999999998</v>
      </c>
      <c r="AL450" s="15">
        <f>-SUMIFS([1]Master!$J$1:$J$200,[1]Master!$A$1:$A$200,"="&amp;$I$12,[1]Master!$G$1:$G$200,"&gt;"&amp;C450,[1]Master!$E$1:$E$200,"&lt;="&amp;C450)</f>
        <v>0</v>
      </c>
      <c r="AM450" s="26">
        <v>0</v>
      </c>
      <c r="AN450" s="26">
        <v>0</v>
      </c>
    </row>
    <row r="451" spans="3:40">
      <c r="C451" s="1">
        <f>WORKDAY(C450,1,Feriados!A259:A1098)</f>
        <v>45513</v>
      </c>
      <c r="D451" s="39">
        <v>10212739.8379</v>
      </c>
      <c r="E451" s="32">
        <v>4.4715210000000001</v>
      </c>
      <c r="F451" s="88">
        <v>2283952.1146062999</v>
      </c>
      <c r="G451" s="15">
        <f t="shared" ref="G451" si="2126">H451*I451</f>
        <v>10184418.270600401</v>
      </c>
      <c r="H451" s="32">
        <v>1.1354476</v>
      </c>
      <c r="I451" s="15">
        <f>SUMIFS([1]Master!$K$2:$K$10000,[1]Master!$A$2:$A$10000,$I$12,[1]Master!$F$2:$F$10000,"&lt;="&amp;$C451)</f>
        <v>8969518.5146372244</v>
      </c>
      <c r="J451" s="15">
        <f t="shared" ref="J451" si="2127">K451*L451</f>
        <v>0</v>
      </c>
      <c r="K451" s="43">
        <v>0</v>
      </c>
      <c r="L451" s="40">
        <v>0</v>
      </c>
      <c r="M451" s="15">
        <f t="shared" ref="M451" si="2128">N451*O451</f>
        <v>0</v>
      </c>
      <c r="N451" s="32">
        <v>0</v>
      </c>
      <c r="O451" s="40">
        <v>0</v>
      </c>
      <c r="P451" s="15">
        <f t="shared" ref="P451" si="2129">R451*Q451</f>
        <v>25518.095324081063</v>
      </c>
      <c r="Q451" s="32">
        <v>4.3593707000000004</v>
      </c>
      <c r="R451" s="40">
        <v>5853.6190381976603</v>
      </c>
      <c r="S451" s="15">
        <f t="shared" si="2108"/>
        <v>3613.3874029480298</v>
      </c>
      <c r="T451" s="15">
        <f>IF((NETWORKDAYS(DATE(YEAR(C451),MONTH(C451),1),C451,Feriados!$A$2:$A$842))&gt;=5,0,IF(NETWORKDAYS(DATE(YEAR(C451),MONTH(C451),1),C451,Feriados!$A$2:$A$842)=1,S450,T450))</f>
        <v>0</v>
      </c>
      <c r="U451" s="26">
        <v>0</v>
      </c>
      <c r="V451" s="26">
        <v>0</v>
      </c>
      <c r="W451" s="15">
        <f t="shared" ref="W451" si="2130">SUM(G451+J451+M451+P451)</f>
        <v>10209936.365924481</v>
      </c>
      <c r="X451" s="50">
        <f>'Fluxo de Caixa_'!AD457</f>
        <v>0</v>
      </c>
      <c r="AB451" s="26">
        <v>7854.0978999999998</v>
      </c>
      <c r="AC451" s="26">
        <v>0</v>
      </c>
      <c r="AD451">
        <f>SUMIFS([1]Master!$J$2:$J$100,[1]Master!$A$2:$A$100,"="&amp;$I$12,[1]Master!$E$2:$E$100,"="&amp;C451,[1]Master!$J$2:$J$100,"&gt;"&amp;0)</f>
        <v>0</v>
      </c>
      <c r="AE451">
        <f ca="1">-SUMIF('[1]Fluxo de Movimentações'!$A$5:$F$10001,"="&amp;$C451,'[1]Fluxo de Movimentações'!$H$5:$H$10001)</f>
        <v>0</v>
      </c>
      <c r="AF451" s="26">
        <v>0</v>
      </c>
      <c r="AG451" s="26">
        <v>0</v>
      </c>
      <c r="AH451" s="26">
        <v>0</v>
      </c>
      <c r="AI451" s="26">
        <v>0</v>
      </c>
      <c r="AJ451" s="26">
        <v>-1437.49</v>
      </c>
      <c r="AK451" s="68">
        <v>4.4721504000000003</v>
      </c>
      <c r="AL451" s="15">
        <f>-SUMIFS([1]Master!$J$1:$J$200,[1]Master!$A$1:$A$200,"="&amp;$I$12,[1]Master!$G$1:$G$200,"&gt;"&amp;C451,[1]Master!$E$1:$E$200,"&lt;="&amp;C451)</f>
        <v>0</v>
      </c>
      <c r="AM451" s="26">
        <v>0</v>
      </c>
      <c r="AN451" s="26">
        <v>0</v>
      </c>
    </row>
    <row r="452" spans="3:40">
      <c r="C452" s="1">
        <f>WORKDAY(C451,1,Feriados!A260:A1099)</f>
        <v>45516</v>
      </c>
      <c r="D452" s="39">
        <v>10209173.4531</v>
      </c>
      <c r="E452" s="32">
        <v>4.4699594999999999</v>
      </c>
      <c r="F452" s="88">
        <v>2283952.1146062999</v>
      </c>
      <c r="G452" s="15">
        <f t="shared" ref="G452" si="2131">H452*I452</f>
        <v>10181415.2758017</v>
      </c>
      <c r="H452" s="32">
        <v>1.1351127999999999</v>
      </c>
      <c r="I452" s="15">
        <f>SUMIFS([1]Master!$K$2:$K$10000,[1]Master!$A$2:$A$10000,$I$12,[1]Master!$F$2:$F$10000,"&lt;="&amp;$C452)</f>
        <v>8969518.5146372244</v>
      </c>
      <c r="J452" s="15">
        <f t="shared" ref="J452" si="2132">K452*L452</f>
        <v>0</v>
      </c>
      <c r="K452" s="43">
        <v>0</v>
      </c>
      <c r="L452" s="40">
        <v>0</v>
      </c>
      <c r="M452" s="15">
        <f t="shared" ref="M452" si="2133">N452*O452</f>
        <v>0</v>
      </c>
      <c r="N452" s="32">
        <v>0</v>
      </c>
      <c r="O452" s="40">
        <v>0</v>
      </c>
      <c r="P452" s="15">
        <f t="shared" ref="P452" si="2134">R452*Q452</f>
        <v>25527.969208674695</v>
      </c>
      <c r="Q452" s="32">
        <v>4.3610575000000003</v>
      </c>
      <c r="R452" s="40">
        <v>5853.6190381976603</v>
      </c>
      <c r="S452" s="15">
        <f t="shared" ref="S452" si="2135">(((1+1.35%)^(1/252))-1)*D451+SUM(S451)</f>
        <v>4156.8528296831555</v>
      </c>
      <c r="T452" s="15">
        <f>IF((NETWORKDAYS(DATE(YEAR(C452),MONTH(C452),1),C452,Feriados!$A$2:$A$842))&gt;=5,0,IF(NETWORKDAYS(DATE(YEAR(C452),MONTH(C452),1),C452,Feriados!$A$2:$A$842)=1,S451,T451))</f>
        <v>0</v>
      </c>
      <c r="U452" s="26">
        <v>0</v>
      </c>
      <c r="V452" s="26">
        <v>0</v>
      </c>
      <c r="W452" s="15">
        <f t="shared" ref="W452" si="2136">SUM(G452+J452+M452+P452)</f>
        <v>10206943.245010374</v>
      </c>
      <c r="X452" s="50">
        <f>'Fluxo de Caixa_'!AD458</f>
        <v>0</v>
      </c>
      <c r="AB452" s="26">
        <v>7805.7130999999999</v>
      </c>
      <c r="AC452" s="26">
        <v>0</v>
      </c>
      <c r="AD452">
        <f>SUMIFS([1]Master!$J$2:$J$100,[1]Master!$A$2:$A$100,"="&amp;$I$12,[1]Master!$E$2:$E$100,"="&amp;C452,[1]Master!$J$2:$J$100,"&gt;"&amp;0)</f>
        <v>0</v>
      </c>
      <c r="AE452">
        <f ca="1">-SUMIF('[1]Fluxo de Movimentações'!$A$5:$F$10001,"="&amp;$C452,'[1]Fluxo de Movimentações'!$H$5:$H$10001)</f>
        <v>0</v>
      </c>
      <c r="AF452" s="26">
        <v>0</v>
      </c>
      <c r="AG452" s="26">
        <v>0</v>
      </c>
      <c r="AH452" s="26">
        <v>0</v>
      </c>
      <c r="AI452" s="26">
        <v>0</v>
      </c>
      <c r="AJ452" s="26">
        <v>-1418.91</v>
      </c>
      <c r="AK452" s="68">
        <v>4.4705807999999996</v>
      </c>
      <c r="AL452" s="15">
        <f>-SUMIFS([1]Master!$J$1:$J$200,[1]Master!$A$1:$A$200,"="&amp;$I$12,[1]Master!$G$1:$G$200,"&gt;"&amp;C452,[1]Master!$E$1:$E$200,"&lt;="&amp;C452)</f>
        <v>0</v>
      </c>
      <c r="AM452" s="26">
        <v>0</v>
      </c>
      <c r="AN452" s="26">
        <v>0</v>
      </c>
    </row>
    <row r="453" spans="3:40">
      <c r="C453" s="1">
        <f>WORKDAY(C452,1,Feriados!A261:A1100)</f>
        <v>45517</v>
      </c>
      <c r="D453" s="39">
        <v>10293807.078299999</v>
      </c>
      <c r="E453" s="32">
        <v>4.5070152999999999</v>
      </c>
      <c r="F453" s="88">
        <v>2283952.1146062999</v>
      </c>
      <c r="G453" s="15">
        <f t="shared" ref="G453" si="2137">H453*I453</f>
        <v>10266834.691472147</v>
      </c>
      <c r="H453" s="32">
        <v>1.1446361</v>
      </c>
      <c r="I453" s="15">
        <f>SUMIFS([1]Master!$K$2:$K$10000,[1]Master!$A$2:$A$10000,$I$12,[1]Master!$F$2:$F$10000,"&lt;="&amp;$C453)</f>
        <v>8969518.5146372244</v>
      </c>
      <c r="J453" s="15">
        <f t="shared" ref="J453" si="2138">K453*L453</f>
        <v>0</v>
      </c>
      <c r="K453" s="43">
        <v>0</v>
      </c>
      <c r="L453" s="40">
        <v>0</v>
      </c>
      <c r="M453" s="15">
        <f t="shared" ref="M453" si="2139">N453*O453</f>
        <v>0</v>
      </c>
      <c r="N453" s="32">
        <v>0</v>
      </c>
      <c r="O453" s="40">
        <v>0</v>
      </c>
      <c r="P453" s="15">
        <f t="shared" ref="P453" si="2140">R453*Q453</f>
        <v>25537.622411830584</v>
      </c>
      <c r="Q453" s="32">
        <v>4.3627066000000001</v>
      </c>
      <c r="R453" s="40">
        <v>5853.6190381976603</v>
      </c>
      <c r="S453" s="15">
        <f t="shared" ref="S453" si="2141">(((1+1.35%)^(1/252))-1)*D452+SUM(S452)</f>
        <v>4700.1284731800906</v>
      </c>
      <c r="T453" s="15">
        <f>IF((NETWORKDAYS(DATE(YEAR(C453),MONTH(C453),1),C453,Feriados!$A$2:$A$842))&gt;=5,0,IF(NETWORKDAYS(DATE(YEAR(C453),MONTH(C453),1),C453,Feriados!$A$2:$A$842)=1,S452,T452))</f>
        <v>0</v>
      </c>
      <c r="U453" s="26">
        <v>0</v>
      </c>
      <c r="V453" s="26">
        <v>0</v>
      </c>
      <c r="W453" s="15">
        <f t="shared" ref="W453" si="2142">SUM(G453+J453+M453+P453)</f>
        <v>10292372.313883977</v>
      </c>
      <c r="X453" s="50">
        <f>'Fluxo de Caixa_'!AD459</f>
        <v>0</v>
      </c>
      <c r="AB453" s="26">
        <v>7757.3283000000001</v>
      </c>
      <c r="AC453" s="26">
        <v>0</v>
      </c>
      <c r="AD453">
        <f>SUMIFS([1]Master!$J$2:$J$100,[1]Master!$A$2:$A$100,"="&amp;$I$12,[1]Master!$E$2:$E$100,"="&amp;C453,[1]Master!$J$2:$J$100,"&gt;"&amp;0)</f>
        <v>0</v>
      </c>
      <c r="AE453">
        <f ca="1">-SUMIF('[1]Fluxo de Movimentações'!$A$5:$F$10001,"="&amp;$C453,'[1]Fluxo de Movimentações'!$H$5:$H$10001)</f>
        <v>0</v>
      </c>
      <c r="AF453" s="26">
        <v>0</v>
      </c>
      <c r="AG453" s="26">
        <v>0</v>
      </c>
      <c r="AH453" s="26">
        <v>0</v>
      </c>
      <c r="AI453" s="26">
        <v>0</v>
      </c>
      <c r="AJ453" s="26">
        <v>-1622.69</v>
      </c>
      <c r="AK453" s="68">
        <v>4.5077258000000002</v>
      </c>
      <c r="AL453" s="15">
        <f>-SUMIFS([1]Master!$J$1:$J$200,[1]Master!$A$1:$A$200,"="&amp;$I$12,[1]Master!$G$1:$G$200,"&gt;"&amp;C453,[1]Master!$E$1:$E$200,"&lt;="&amp;C453)</f>
        <v>0</v>
      </c>
      <c r="AM453" s="26">
        <v>0</v>
      </c>
      <c r="AN453" s="26">
        <v>0</v>
      </c>
    </row>
    <row r="454" spans="3:40">
      <c r="C454" s="1">
        <f>WORKDAY(C453,1,Feriados!A262:A1101)</f>
        <v>45518</v>
      </c>
      <c r="D454" s="39">
        <v>10287363.373500001</v>
      </c>
      <c r="E454" s="32">
        <v>4.504194</v>
      </c>
      <c r="F454" s="88">
        <v>2283952.1146062999</v>
      </c>
      <c r="G454" s="15">
        <f t="shared" ref="G454" si="2143">H454*I454</f>
        <v>10260951.584278394</v>
      </c>
      <c r="H454" s="32">
        <v>1.1439801999999999</v>
      </c>
      <c r="I454" s="15">
        <f>SUMIFS([1]Master!$K$2:$K$10000,[1]Master!$A$2:$A$10000,$I$12,[1]Master!$F$2:$F$10000,"&lt;="&amp;$C454)</f>
        <v>8969518.5146372244</v>
      </c>
      <c r="J454" s="15">
        <f t="shared" ref="J454" si="2144">K454*L454</f>
        <v>0</v>
      </c>
      <c r="K454" s="43">
        <v>0</v>
      </c>
      <c r="L454" s="40">
        <v>0</v>
      </c>
      <c r="M454" s="15">
        <f t="shared" ref="M454" si="2145">N454*O454</f>
        <v>0</v>
      </c>
      <c r="N454" s="32">
        <v>0</v>
      </c>
      <c r="O454" s="40">
        <v>0</v>
      </c>
      <c r="P454" s="15">
        <f t="shared" ref="P454" si="2146">R454*Q454</f>
        <v>25547.369858252991</v>
      </c>
      <c r="Q454" s="32">
        <v>4.3643717999999998</v>
      </c>
      <c r="R454" s="40">
        <v>5853.6190381976603</v>
      </c>
      <c r="S454" s="15">
        <f t="shared" ref="S454" si="2147">(((1+1.35%)^(1/252))-1)*D453+SUM(S453)</f>
        <v>5247.9078492664694</v>
      </c>
      <c r="T454" s="15">
        <f>IF((NETWORKDAYS(DATE(YEAR(C454),MONTH(C454),1),C454,Feriados!$A$2:$A$842))&gt;=5,0,IF(NETWORKDAYS(DATE(YEAR(C454),MONTH(C454),1),C454,Feriados!$A$2:$A$842)=1,S453,T453))</f>
        <v>0</v>
      </c>
      <c r="U454" s="26">
        <v>0</v>
      </c>
      <c r="V454" s="26">
        <v>0</v>
      </c>
      <c r="W454" s="15">
        <f t="shared" ref="W454" si="2148">SUM(G454+J454+M454+P454)</f>
        <v>10286498.954136647</v>
      </c>
      <c r="X454" s="50">
        <f>'Fluxo de Caixa_'!AD460</f>
        <v>0</v>
      </c>
      <c r="AB454" s="26">
        <v>7708.9435000000003</v>
      </c>
      <c r="AC454" s="26">
        <v>0</v>
      </c>
      <c r="AD454">
        <f>SUMIFS([1]Master!$J$2:$J$100,[1]Master!$A$2:$A$100,"="&amp;$I$12,[1]Master!$E$2:$E$100,"="&amp;C454,[1]Master!$J$2:$J$100,"&gt;"&amp;0)</f>
        <v>0</v>
      </c>
      <c r="AE454">
        <f ca="1">-SUMIF('[1]Fluxo de Movimentações'!$A$5:$F$10001,"="&amp;$C454,'[1]Fluxo de Movimentações'!$H$5:$H$10001)</f>
        <v>0</v>
      </c>
      <c r="AF454" s="26">
        <v>0</v>
      </c>
      <c r="AG454" s="26">
        <v>0</v>
      </c>
      <c r="AH454" s="26">
        <v>0</v>
      </c>
      <c r="AI454" s="26">
        <v>0</v>
      </c>
      <c r="AJ454" s="26">
        <v>-1596.88</v>
      </c>
      <c r="AK454" s="68">
        <v>4.5048931999999997</v>
      </c>
      <c r="AL454" s="15">
        <f>-SUMIFS([1]Master!$J$1:$J$200,[1]Master!$A$1:$A$200,"="&amp;$I$12,[1]Master!$G$1:$G$200,"&gt;"&amp;C454,[1]Master!$E$1:$E$200,"&lt;="&amp;C454)</f>
        <v>0</v>
      </c>
      <c r="AM454" s="26">
        <v>0</v>
      </c>
      <c r="AN454" s="26">
        <v>0</v>
      </c>
    </row>
    <row r="455" spans="3:40">
      <c r="C455" s="1">
        <f>WORKDAY(C454,1,Feriados!A263:A1102)</f>
        <v>45519</v>
      </c>
      <c r="D455" s="39">
        <v>10275746.8287</v>
      </c>
      <c r="E455" s="32">
        <v>4.4991078</v>
      </c>
      <c r="F455" s="88">
        <v>2283952.1146062999</v>
      </c>
      <c r="G455" s="15">
        <f t="shared" ref="G455" si="2149">H455*I455</f>
        <v>10249882.301479481</v>
      </c>
      <c r="H455" s="32">
        <v>1.1427461000000001</v>
      </c>
      <c r="I455" s="15">
        <f>SUMIFS([1]Master!$K$2:$K$10000,[1]Master!$A$2:$A$10000,$I$12,[1]Master!$F$2:$F$10000,"&lt;="&amp;$C455)</f>
        <v>8969518.5146372244</v>
      </c>
      <c r="J455" s="15">
        <f t="shared" ref="J455" si="2150">K455*L455</f>
        <v>0</v>
      </c>
      <c r="K455" s="43">
        <v>0</v>
      </c>
      <c r="L455" s="40">
        <v>0</v>
      </c>
      <c r="M455" s="15">
        <f t="shared" ref="M455" si="2151">N455*O455</f>
        <v>0</v>
      </c>
      <c r="N455" s="32">
        <v>0</v>
      </c>
      <c r="O455" s="40">
        <v>0</v>
      </c>
      <c r="P455" s="15">
        <f t="shared" ref="P455" si="2152">R455*Q455</f>
        <v>25557.051158780265</v>
      </c>
      <c r="Q455" s="32">
        <v>4.3660256999999998</v>
      </c>
      <c r="R455" s="40">
        <v>5853.6190381976603</v>
      </c>
      <c r="S455" s="15">
        <f t="shared" ref="S455" si="2153">(((1+1.35%)^(1/252))-1)*D454+SUM(S454)</f>
        <v>5795.3443270871066</v>
      </c>
      <c r="T455" s="15">
        <f>IF((NETWORKDAYS(DATE(YEAR(C455),MONTH(C455),1),C455,Feriados!$A$2:$A$842))&gt;=5,0,IF(NETWORKDAYS(DATE(YEAR(C455),MONTH(C455),1),C455,Feriados!$A$2:$A$842)=1,S454,T454))</f>
        <v>0</v>
      </c>
      <c r="U455" s="26">
        <v>0</v>
      </c>
      <c r="V455" s="26">
        <v>0</v>
      </c>
      <c r="W455" s="15">
        <f t="shared" ref="W455" si="2154">SUM(G455+J455+M455+P455)</f>
        <v>10275439.352638261</v>
      </c>
      <c r="X455" s="50">
        <f>'Fluxo de Caixa_'!AD461</f>
        <v>0</v>
      </c>
      <c r="AB455" s="26">
        <v>7660.5586999999996</v>
      </c>
      <c r="AC455" s="26">
        <v>0</v>
      </c>
      <c r="AD455">
        <f>SUMIFS([1]Master!$J$2:$J$100,[1]Master!$A$2:$A$100,"="&amp;$I$12,[1]Master!$E$2:$E$100,"="&amp;C455,[1]Master!$J$2:$J$100,"&gt;"&amp;0)</f>
        <v>0</v>
      </c>
      <c r="AE455">
        <f ca="1">-SUMIF('[1]Fluxo de Movimentações'!$A$5:$F$10001,"="&amp;$C455,'[1]Fluxo de Movimentações'!$H$5:$H$10001)</f>
        <v>0</v>
      </c>
      <c r="AF455" s="26">
        <v>0</v>
      </c>
      <c r="AG455" s="26">
        <v>0</v>
      </c>
      <c r="AH455" s="26">
        <v>0</v>
      </c>
      <c r="AI455" s="26">
        <v>0</v>
      </c>
      <c r="AJ455" s="26">
        <v>-1558.01</v>
      </c>
      <c r="AK455" s="68">
        <v>4.49979</v>
      </c>
      <c r="AL455" s="15">
        <f>-SUMIFS([1]Master!$J$1:$J$200,[1]Master!$A$1:$A$200,"="&amp;$I$12,[1]Master!$G$1:$G$200,"&gt;"&amp;C455,[1]Master!$E$1:$E$200,"&lt;="&amp;C455)</f>
        <v>0</v>
      </c>
      <c r="AM455" s="26">
        <v>0</v>
      </c>
      <c r="AN455" s="26">
        <v>0</v>
      </c>
    </row>
    <row r="456" spans="3:40">
      <c r="C456" s="1">
        <f>WORKDAY(C455,1,Feriados!A264:A1103)</f>
        <v>45520</v>
      </c>
      <c r="D456" s="39">
        <v>10272877.2139</v>
      </c>
      <c r="E456" s="32">
        <v>4.4978514000000001</v>
      </c>
      <c r="F456" s="88">
        <v>2283952.1146062999</v>
      </c>
      <c r="G456" s="15">
        <f t="shared" ref="G456" si="2155">H456*I456</f>
        <v>10247585.207787883</v>
      </c>
      <c r="H456" s="32">
        <v>1.14249</v>
      </c>
      <c r="I456" s="15">
        <f>SUMIFS([1]Master!$K$2:$K$10000,[1]Master!$A$2:$A$10000,$I$12,[1]Master!$F$2:$F$10000,"&lt;="&amp;$C456)</f>
        <v>8969518.5146372244</v>
      </c>
      <c r="J456" s="15">
        <f t="shared" ref="J456" si="2156">K456*L456</f>
        <v>0</v>
      </c>
      <c r="K456" s="43">
        <v>0</v>
      </c>
      <c r="L456" s="40">
        <v>0</v>
      </c>
      <c r="M456" s="15">
        <f t="shared" ref="M456" si="2157">N456*O456</f>
        <v>0</v>
      </c>
      <c r="N456" s="32">
        <v>0</v>
      </c>
      <c r="O456" s="40">
        <v>0</v>
      </c>
      <c r="P456" s="15">
        <f t="shared" ref="P456" si="2158">R456*Q456</f>
        <v>25421.651091849471</v>
      </c>
      <c r="Q456" s="32">
        <v>4.3676656999999999</v>
      </c>
      <c r="R456" s="40">
        <v>5820.4205261976604</v>
      </c>
      <c r="S456" s="15">
        <f t="shared" ref="S456" si="2159">(((1+1.35%)^(1/252))-1)*D455+SUM(S455)</f>
        <v>6342.1626367592226</v>
      </c>
      <c r="T456" s="15">
        <f>IF((NETWORKDAYS(DATE(YEAR(C456),MONTH(C456),1),C456,Feriados!$A$2:$A$842))&gt;=5,0,IF(NETWORKDAYS(DATE(YEAR(C456),MONTH(C456),1),C456,Feriados!$A$2:$A$842)=1,S455,T455))</f>
        <v>0</v>
      </c>
      <c r="U456" s="26">
        <v>0</v>
      </c>
      <c r="V456" s="26">
        <v>0</v>
      </c>
      <c r="W456" s="15">
        <f t="shared" ref="W456" si="2160">SUM(G456+J456+M456+P456)</f>
        <v>10273006.858879732</v>
      </c>
      <c r="X456" s="50">
        <f>'Fluxo de Caixa_'!AD462</f>
        <v>2.1534381176024908E-6</v>
      </c>
      <c r="AB456" s="26">
        <v>7757.1738999999998</v>
      </c>
      <c r="AC456" s="26">
        <v>0</v>
      </c>
      <c r="AD456">
        <f>SUMIFS([1]Master!$J$2:$J$100,[1]Master!$A$2:$A$100,"="&amp;$I$12,[1]Master!$E$2:$E$100,"="&amp;C456,[1]Master!$J$2:$J$100,"&gt;"&amp;0)</f>
        <v>0</v>
      </c>
      <c r="AE456">
        <f ca="1">-SUMIF('[1]Fluxo de Movimentações'!$A$5:$F$10001,"="&amp;$C456,'[1]Fluxo de Movimentações'!$H$5:$H$10001)</f>
        <v>0</v>
      </c>
      <c r="AF456" s="26">
        <v>0</v>
      </c>
      <c r="AG456" s="26">
        <v>0</v>
      </c>
      <c r="AH456" s="26">
        <v>0</v>
      </c>
      <c r="AI456" s="26">
        <v>0</v>
      </c>
      <c r="AJ456" s="26">
        <v>-1544.94</v>
      </c>
      <c r="AK456" s="68">
        <v>4.4985277999999997</v>
      </c>
      <c r="AL456" s="15">
        <f>-SUMIFS([1]Master!$J$1:$J$200,[1]Master!$A$1:$A$200,"="&amp;$I$12,[1]Master!$G$1:$G$200,"&gt;"&amp;C456,[1]Master!$E$1:$E$200,"&lt;="&amp;C456)</f>
        <v>0</v>
      </c>
      <c r="AM456" s="26">
        <v>0</v>
      </c>
      <c r="AN456" s="26">
        <v>0</v>
      </c>
    </row>
    <row r="457" spans="3:40">
      <c r="C457" s="1">
        <f>WORKDAY(C456,1,Feriados!A265:A1104)</f>
        <v>45523</v>
      </c>
      <c r="D457" s="39">
        <v>10388662.557</v>
      </c>
      <c r="E457" s="32">
        <v>4.5485465999999999</v>
      </c>
      <c r="F457" s="88">
        <v>2283952.1146062999</v>
      </c>
      <c r="G457" s="15">
        <f t="shared" ref="G457" si="2161">H457*I457</f>
        <v>10364245.456444809</v>
      </c>
      <c r="H457" s="32">
        <v>1.1554963</v>
      </c>
      <c r="I457" s="15">
        <f>SUMIFS([1]Master!$K$2:$K$10000,[1]Master!$A$2:$A$10000,$I$12,[1]Master!$F$2:$F$10000,"&lt;="&amp;$C457)</f>
        <v>8969518.5146372244</v>
      </c>
      <c r="J457" s="15">
        <f t="shared" ref="J457" si="2162">K457*L457</f>
        <v>0</v>
      </c>
      <c r="K457" s="43">
        <v>0</v>
      </c>
      <c r="L457" s="40">
        <v>0</v>
      </c>
      <c r="M457" s="15">
        <f t="shared" ref="M457" si="2163">N457*O457</f>
        <v>0</v>
      </c>
      <c r="N457" s="32">
        <v>0</v>
      </c>
      <c r="O457" s="40">
        <v>0</v>
      </c>
      <c r="P457" s="15">
        <f t="shared" ref="P457" si="2164">R457*Q457</f>
        <v>25431.133720970753</v>
      </c>
      <c r="Q457" s="32">
        <v>4.3692948999999999</v>
      </c>
      <c r="R457" s="40">
        <v>5820.4205261976604</v>
      </c>
      <c r="S457" s="15">
        <f t="shared" ref="S457" si="2165">(((1+1.35%)^(1/252))-1)*D456+SUM(S456)</f>
        <v>6888.8282414318383</v>
      </c>
      <c r="T457" s="15">
        <f>IF((NETWORKDAYS(DATE(YEAR(C457),MONTH(C457),1),C457,Feriados!$A$2:$A$842))&gt;=5,0,IF(NETWORKDAYS(DATE(YEAR(C457),MONTH(C457),1),C457,Feriados!$A$2:$A$842)=1,S456,T456))</f>
        <v>0</v>
      </c>
      <c r="U457" s="26">
        <v>0</v>
      </c>
      <c r="V457" s="26">
        <v>0</v>
      </c>
      <c r="W457" s="15">
        <f t="shared" ref="W457" si="2166">SUM(G457+J457+M457+P457)</f>
        <v>10389676.590165781</v>
      </c>
      <c r="X457" s="50">
        <f>'Fluxo de Caixa_'!AD463</f>
        <v>0</v>
      </c>
      <c r="AB457" s="26">
        <v>7705.4170000000004</v>
      </c>
      <c r="AC457" s="26">
        <v>0</v>
      </c>
      <c r="AD457">
        <f>SUMIFS([1]Master!$J$2:$J$100,[1]Master!$A$2:$A$100,"="&amp;$I$12,[1]Master!$E$2:$E$100,"="&amp;C457,[1]Master!$J$2:$J$100,"&gt;"&amp;0)</f>
        <v>0</v>
      </c>
      <c r="AE457">
        <f ca="1">-SUMIF('[1]Fluxo de Movimentações'!$A$5:$F$10001,"="&amp;$C457,'[1]Fluxo de Movimentações'!$H$5:$H$10001)</f>
        <v>0</v>
      </c>
      <c r="AF457" s="26">
        <v>0</v>
      </c>
      <c r="AG457" s="26">
        <v>0</v>
      </c>
      <c r="AH457" s="26">
        <v>0</v>
      </c>
      <c r="AI457" s="26">
        <v>0</v>
      </c>
      <c r="AJ457" s="26">
        <v>-1830.91</v>
      </c>
      <c r="AK457" s="68">
        <v>4.5493481999999998</v>
      </c>
      <c r="AL457" s="15">
        <f>-SUMIFS([1]Master!$J$1:$J$200,[1]Master!$A$1:$A$200,"="&amp;$I$12,[1]Master!$G$1:$G$200,"&gt;"&amp;C457,[1]Master!$E$1:$E$200,"&lt;="&amp;C457)</f>
        <v>0</v>
      </c>
      <c r="AM457" s="26">
        <v>0</v>
      </c>
      <c r="AN457" s="26">
        <v>0</v>
      </c>
    </row>
    <row r="458" spans="3:40">
      <c r="C458" s="1">
        <f>WORKDAY(C457,1,Feriados!A266:A1105)</f>
        <v>45524</v>
      </c>
      <c r="D458" s="39">
        <v>10347348.450099999</v>
      </c>
      <c r="E458" s="32">
        <v>4.5304577000000004</v>
      </c>
      <c r="F458" s="88">
        <v>2283952.1146062999</v>
      </c>
      <c r="G458" s="15">
        <f t="shared" ref="G458" si="2167">H458*I458</f>
        <v>10323416.20816618</v>
      </c>
      <c r="H458" s="32">
        <v>1.1509442999999999</v>
      </c>
      <c r="I458" s="15">
        <f>SUMIFS([1]Master!$K$2:$K$10000,[1]Master!$A$2:$A$10000,$I$12,[1]Master!$F$2:$F$10000,"&lt;="&amp;$C458)</f>
        <v>8969518.5146372244</v>
      </c>
      <c r="J458" s="15">
        <f t="shared" ref="J458" si="2168">K458*L458</f>
        <v>0</v>
      </c>
      <c r="K458" s="43">
        <v>0</v>
      </c>
      <c r="L458" s="40">
        <v>0</v>
      </c>
      <c r="M458" s="15">
        <f t="shared" ref="M458" si="2169">N458*O458</f>
        <v>0</v>
      </c>
      <c r="N458" s="32">
        <v>0</v>
      </c>
      <c r="O458" s="40">
        <v>0</v>
      </c>
      <c r="P458" s="15">
        <f t="shared" ref="P458" si="2170">R458*Q458</f>
        <v>25440.768845109818</v>
      </c>
      <c r="Q458" s="32">
        <v>4.3709502999999996</v>
      </c>
      <c r="R458" s="40">
        <v>5820.4205261976604</v>
      </c>
      <c r="S458" s="15">
        <f t="shared" ref="S458" si="2171">(((1+1.35%)^(1/252))-1)*D457+SUM(S457)</f>
        <v>7441.6553005129954</v>
      </c>
      <c r="T458" s="15">
        <f>IF((NETWORKDAYS(DATE(YEAR(C458),MONTH(C458),1),C458,Feriados!$A$2:$A$842))&gt;=5,0,IF(NETWORKDAYS(DATE(YEAR(C458),MONTH(C458),1),C458,Feriados!$A$2:$A$842)=1,S457,T457))</f>
        <v>0</v>
      </c>
      <c r="U458" s="26">
        <v>0</v>
      </c>
      <c r="V458" s="26">
        <v>0</v>
      </c>
      <c r="W458" s="15">
        <f t="shared" ref="W458" si="2172">SUM(G458+J458+M458+P458)</f>
        <v>10348856.977011289</v>
      </c>
      <c r="X458" s="50">
        <f>'Fluxo de Caixa_'!AD464</f>
        <v>0</v>
      </c>
      <c r="AB458" s="26">
        <v>7653.6601000000001</v>
      </c>
      <c r="AC458" s="26">
        <v>0</v>
      </c>
      <c r="AD458">
        <f>SUMIFS([1]Master!$J$2:$J$100,[1]Master!$A$2:$A$100,"="&amp;$I$12,[1]Master!$E$2:$E$100,"="&amp;C458,[1]Master!$J$2:$J$100,"&gt;"&amp;0)</f>
        <v>0</v>
      </c>
      <c r="AE458">
        <f ca="1">-SUMIF('[1]Fluxo de Movimentações'!$A$5:$F$10001,"="&amp;$C458,'[1]Fluxo de Movimentações'!$H$5:$H$10001)</f>
        <v>0</v>
      </c>
      <c r="AF458" s="26">
        <v>0</v>
      </c>
      <c r="AG458" s="26">
        <v>0</v>
      </c>
      <c r="AH458" s="26">
        <v>0</v>
      </c>
      <c r="AI458" s="26">
        <v>0</v>
      </c>
      <c r="AJ458" s="26">
        <v>-1720.83</v>
      </c>
      <c r="AK458" s="68">
        <v>4.5312111000000002</v>
      </c>
      <c r="AL458" s="15">
        <f>-SUMIFS([1]Master!$J$1:$J$200,[1]Master!$A$1:$A$200,"="&amp;$I$12,[1]Master!$G$1:$G$200,"&gt;"&amp;C458,[1]Master!$E$1:$E$200,"&lt;="&amp;C458)</f>
        <v>0</v>
      </c>
      <c r="AM458" s="26">
        <v>0</v>
      </c>
      <c r="AN458" s="26">
        <v>0</v>
      </c>
    </row>
    <row r="459" spans="3:40">
      <c r="C459" s="1">
        <f>WORKDAY(C458,1,Feriados!A267:A1106)</f>
        <v>45525</v>
      </c>
      <c r="D459" s="39">
        <v>10314440.7432</v>
      </c>
      <c r="E459" s="32">
        <v>4.5160495000000003</v>
      </c>
      <c r="F459" s="88">
        <v>2283952.1146062999</v>
      </c>
      <c r="G459" s="15">
        <f t="shared" ref="G459" si="2173">H459*I459</f>
        <v>10291012.028628349</v>
      </c>
      <c r="H459" s="32">
        <v>1.1473316</v>
      </c>
      <c r="I459" s="15">
        <f>SUMIFS([1]Master!$K$2:$K$10000,[1]Master!$A$2:$A$10000,$I$12,[1]Master!$F$2:$F$10000,"&lt;="&amp;$C459)</f>
        <v>8969518.5146372244</v>
      </c>
      <c r="J459" s="15">
        <f t="shared" ref="J459" si="2174">K459*L459</f>
        <v>0</v>
      </c>
      <c r="K459" s="43">
        <v>0</v>
      </c>
      <c r="L459" s="40">
        <v>0</v>
      </c>
      <c r="M459" s="15">
        <f t="shared" ref="M459" si="2175">N459*O459</f>
        <v>0</v>
      </c>
      <c r="N459" s="32">
        <v>0</v>
      </c>
      <c r="O459" s="40">
        <v>0</v>
      </c>
      <c r="P459" s="15">
        <f t="shared" ref="P459" si="2176">R459*Q459</f>
        <v>25450.73747934504</v>
      </c>
      <c r="Q459" s="32">
        <v>4.3726630000000002</v>
      </c>
      <c r="R459" s="40">
        <v>5820.4205261976604</v>
      </c>
      <c r="S459" s="15">
        <f t="shared" ref="S459" si="2177">(((1+1.35%)^(1/252))-1)*D458+SUM(S458)</f>
        <v>7992.2838517409245</v>
      </c>
      <c r="T459" s="15">
        <f>IF((NETWORKDAYS(DATE(YEAR(C459),MONTH(C459),1),C459,Feriados!$A$2:$A$842))&gt;=5,0,IF(NETWORKDAYS(DATE(YEAR(C459),MONTH(C459),1),C459,Feriados!$A$2:$A$842)=1,S458,T458))</f>
        <v>0</v>
      </c>
      <c r="U459" s="26">
        <v>0</v>
      </c>
      <c r="V459" s="26">
        <v>0</v>
      </c>
      <c r="W459" s="15">
        <f t="shared" ref="W459" si="2178">SUM(G459+J459+M459+P459)</f>
        <v>10316462.766107695</v>
      </c>
      <c r="X459" s="50">
        <f>'Fluxo de Caixa_'!AD465</f>
        <v>0</v>
      </c>
      <c r="AB459" s="26">
        <v>7601.9031999999997</v>
      </c>
      <c r="AC459" s="26">
        <v>0</v>
      </c>
      <c r="AD459">
        <f>SUMIFS([1]Master!$J$2:$J$100,[1]Master!$A$2:$A$100,"="&amp;$I$12,[1]Master!$E$2:$E$100,"="&amp;C459,[1]Master!$J$2:$J$100,"&gt;"&amp;0)</f>
        <v>0</v>
      </c>
      <c r="AE459">
        <f ca="1">-SUMIF('[1]Fluxo de Movimentações'!$A$5:$F$10001,"="&amp;$C459,'[1]Fluxo de Movimentações'!$H$5:$H$10001)</f>
        <v>0</v>
      </c>
      <c r="AF459" s="26">
        <v>0</v>
      </c>
      <c r="AG459" s="26">
        <v>0</v>
      </c>
      <c r="AH459" s="26">
        <v>0</v>
      </c>
      <c r="AI459" s="26">
        <v>0</v>
      </c>
      <c r="AJ459" s="26">
        <v>-1631.95</v>
      </c>
      <c r="AK459" s="68">
        <v>4.5167640000000002</v>
      </c>
      <c r="AL459" s="15">
        <f>-SUMIFS([1]Master!$J$1:$J$200,[1]Master!$A$1:$A$200,"="&amp;$I$12,[1]Master!$G$1:$G$200,"&gt;"&amp;C459,[1]Master!$E$1:$E$200,"&lt;="&amp;C459)</f>
        <v>0</v>
      </c>
      <c r="AM459" s="26">
        <v>0</v>
      </c>
      <c r="AN459" s="26">
        <v>0</v>
      </c>
    </row>
    <row r="460" spans="3:40">
      <c r="C460" s="1">
        <f>WORKDAY(C459,1,Feriados!A268:A1107)</f>
        <v>45526</v>
      </c>
      <c r="D460" s="39">
        <v>10152699.836300001</v>
      </c>
      <c r="E460" s="32">
        <v>4.4452331999999997</v>
      </c>
      <c r="F460" s="88">
        <v>2283952.1146062999</v>
      </c>
      <c r="G460" s="15">
        <f t="shared" ref="G460" si="2179">H460*I460</f>
        <v>10129447.679431595</v>
      </c>
      <c r="H460" s="32">
        <v>1.129319</v>
      </c>
      <c r="I460" s="15">
        <f>SUMIFS([1]Master!$K$2:$K$10000,[1]Master!$A$2:$A$10000,$I$12,[1]Master!$F$2:$F$10000,"&lt;="&amp;$C460)</f>
        <v>8969518.5146372244</v>
      </c>
      <c r="J460" s="15">
        <f t="shared" ref="J460" si="2180">K460*L460</f>
        <v>0</v>
      </c>
      <c r="K460" s="43">
        <v>0</v>
      </c>
      <c r="L460" s="40">
        <v>0</v>
      </c>
      <c r="M460" s="15">
        <f t="shared" ref="M460" si="2181">N460*O460</f>
        <v>0</v>
      </c>
      <c r="N460" s="32">
        <v>0</v>
      </c>
      <c r="O460" s="40">
        <v>0</v>
      </c>
      <c r="P460" s="15">
        <f t="shared" ref="P460" si="2182">R460*Q460</f>
        <v>25461.17058313825</v>
      </c>
      <c r="Q460" s="32">
        <v>4.3744554999999998</v>
      </c>
      <c r="R460" s="40">
        <v>5820.4205261976604</v>
      </c>
      <c r="S460" s="15">
        <f t="shared" ref="S460" si="2183">(((1+1.35%)^(1/252))-1)*D459+SUM(S459)</f>
        <v>8541.1612371448791</v>
      </c>
      <c r="T460" s="15">
        <f>IF((NETWORKDAYS(DATE(YEAR(C460),MONTH(C460),1),C460,Feriados!$A$2:$A$842))&gt;=5,0,IF(NETWORKDAYS(DATE(YEAR(C460),MONTH(C460),1),C460,Feriados!$A$2:$A$842)=1,S459,T459))</f>
        <v>0</v>
      </c>
      <c r="U460" s="26">
        <v>0</v>
      </c>
      <c r="V460" s="26">
        <v>0</v>
      </c>
      <c r="W460" s="15">
        <f t="shared" ref="W460" si="2184">SUM(G460+J460+M460+P460)</f>
        <v>10154908.850014733</v>
      </c>
      <c r="X460" s="50">
        <f>'Fluxo de Caixa_'!AD466</f>
        <v>0</v>
      </c>
      <c r="AB460" s="26">
        <v>7550.1463000000003</v>
      </c>
      <c r="AC460" s="26">
        <v>0</v>
      </c>
      <c r="AD460">
        <f>SUMIFS([1]Master!$J$2:$J$100,[1]Master!$A$2:$A$100,"="&amp;$I$12,[1]Master!$E$2:$E$100,"="&amp;C460,[1]Master!$J$2:$J$100,"&gt;"&amp;0)</f>
        <v>0</v>
      </c>
      <c r="AE460">
        <f ca="1">-SUMIF('[1]Fluxo de Movimentações'!$A$5:$F$10001,"="&amp;$C460,'[1]Fluxo de Movimentações'!$H$5:$H$10001)</f>
        <v>0</v>
      </c>
      <c r="AF460" s="26">
        <v>0</v>
      </c>
      <c r="AG460" s="26">
        <v>0</v>
      </c>
      <c r="AH460" s="26">
        <v>0</v>
      </c>
      <c r="AI460" s="26">
        <v>0</v>
      </c>
      <c r="AJ460" s="26">
        <v>-1218.31</v>
      </c>
      <c r="AK460" s="68">
        <v>4.4457667000000001</v>
      </c>
      <c r="AL460" s="15">
        <f>-SUMIFS([1]Master!$J$1:$J$200,[1]Master!$A$1:$A$200,"="&amp;$I$12,[1]Master!$G$1:$G$200,"&gt;"&amp;C460,[1]Master!$E$1:$E$200,"&lt;="&amp;C460)</f>
        <v>0</v>
      </c>
      <c r="AM460" s="26">
        <v>0</v>
      </c>
      <c r="AN460" s="26">
        <v>0</v>
      </c>
    </row>
    <row r="461" spans="3:40">
      <c r="C461" s="1">
        <f>WORKDAY(C460,1,Feriados!A269:A1108)</f>
        <v>45527</v>
      </c>
      <c r="D461" s="39">
        <v>10258378.919399999</v>
      </c>
      <c r="E461" s="32">
        <v>4.4915035000000003</v>
      </c>
      <c r="F461" s="88">
        <v>2283952.1146062999</v>
      </c>
      <c r="G461" s="15">
        <f t="shared" ref="G461" si="2185">H461*I461</f>
        <v>10235968.784359574</v>
      </c>
      <c r="H461" s="32">
        <v>1.1411948999999999</v>
      </c>
      <c r="I461" s="15">
        <f>SUMIFS([1]Master!$K$2:$K$10000,[1]Master!$A$2:$A$10000,$I$12,[1]Master!$F$2:$F$10000,"&lt;="&amp;$C461)</f>
        <v>8969518.5146372244</v>
      </c>
      <c r="J461" s="15">
        <f t="shared" ref="J461" si="2186">K461*L461</f>
        <v>0</v>
      </c>
      <c r="K461" s="43">
        <v>0</v>
      </c>
      <c r="L461" s="40">
        <v>0</v>
      </c>
      <c r="M461" s="15">
        <f t="shared" ref="M461" si="2187">N461*O461</f>
        <v>0</v>
      </c>
      <c r="N461" s="32">
        <v>0</v>
      </c>
      <c r="O461" s="40">
        <v>0</v>
      </c>
      <c r="P461" s="15">
        <f t="shared" ref="P461" si="2188">R461*Q461</f>
        <v>25471.636863328462</v>
      </c>
      <c r="Q461" s="32">
        <v>4.3762537000000004</v>
      </c>
      <c r="R461" s="40">
        <v>5820.4205261976604</v>
      </c>
      <c r="S461" s="15">
        <f t="shared" ref="S461" si="2189">(((1+1.35%)^(1/252))-1)*D460+SUM(S460)</f>
        <v>9081.4316676685448</v>
      </c>
      <c r="T461" s="15">
        <f>IF((NETWORKDAYS(DATE(YEAR(C461),MONTH(C461),1),C461,Feriados!$A$2:$A$842))&gt;=5,0,IF(NETWORKDAYS(DATE(YEAR(C461),MONTH(C461),1),C461,Feriados!$A$2:$A$842)=1,S460,T460))</f>
        <v>0</v>
      </c>
      <c r="U461" s="26">
        <v>0</v>
      </c>
      <c r="V461" s="26">
        <v>0</v>
      </c>
      <c r="W461" s="15">
        <f t="shared" ref="W461" si="2190">SUM(G461+J461+M461+P461)</f>
        <v>10261440.421222903</v>
      </c>
      <c r="X461" s="50">
        <f>'Fluxo de Caixa_'!AD467</f>
        <v>0</v>
      </c>
      <c r="AB461" s="26">
        <v>7498.3894</v>
      </c>
      <c r="AC461" s="26">
        <v>0</v>
      </c>
      <c r="AD461">
        <f>SUMIFS([1]Master!$J$2:$J$100,[1]Master!$A$2:$A$100,"="&amp;$I$12,[1]Master!$E$2:$E$100,"="&amp;C461,[1]Master!$J$2:$J$100,"&gt;"&amp;0)</f>
        <v>0</v>
      </c>
      <c r="AE461">
        <f ca="1">-SUMIF('[1]Fluxo de Movimentações'!$A$5:$F$10001,"="&amp;$C461,'[1]Fluxo de Movimentações'!$H$5:$H$10001)</f>
        <v>0</v>
      </c>
      <c r="AF461" s="26">
        <v>0</v>
      </c>
      <c r="AG461" s="26">
        <v>0</v>
      </c>
      <c r="AH461" s="26">
        <v>0</v>
      </c>
      <c r="AI461" s="26">
        <v>0</v>
      </c>
      <c r="AJ461" s="26">
        <v>-1478.77</v>
      </c>
      <c r="AK461" s="68">
        <v>4.4921509999999998</v>
      </c>
      <c r="AL461" s="15">
        <f>-SUMIFS([1]Master!$J$1:$J$200,[1]Master!$A$1:$A$200,"="&amp;$I$12,[1]Master!$G$1:$G$200,"&gt;"&amp;C461,[1]Master!$E$1:$E$200,"&lt;="&amp;C461)</f>
        <v>0</v>
      </c>
      <c r="AM461" s="26">
        <v>0</v>
      </c>
      <c r="AN461" s="26">
        <v>0</v>
      </c>
    </row>
    <row r="462" spans="3:40">
      <c r="C462" s="1">
        <f>WORKDAY(C461,1,Feriados!A270:A1109)</f>
        <v>45530</v>
      </c>
      <c r="D462" s="39">
        <v>10222884.8915</v>
      </c>
      <c r="E462" s="32">
        <v>4.4759628999999999</v>
      </c>
      <c r="F462" s="88">
        <v>2283952.1146062999</v>
      </c>
      <c r="G462" s="15">
        <f t="shared" ref="G462" si="2191">H462*I462</f>
        <v>10200967.032259908</v>
      </c>
      <c r="H462" s="32">
        <v>1.1372926000000001</v>
      </c>
      <c r="I462" s="15">
        <f>SUMIFS([1]Master!$K$2:$K$10000,[1]Master!$A$2:$A$10000,$I$12,[1]Master!$F$2:$F$10000,"&lt;="&amp;$C462)</f>
        <v>8969518.5146372244</v>
      </c>
      <c r="J462" s="15">
        <f t="shared" ref="J462" si="2192">K462*L462</f>
        <v>0</v>
      </c>
      <c r="K462" s="43">
        <v>0</v>
      </c>
      <c r="L462" s="40">
        <v>0</v>
      </c>
      <c r="M462" s="15">
        <f t="shared" ref="M462" si="2193">N462*O462</f>
        <v>0</v>
      </c>
      <c r="N462" s="32">
        <v>0</v>
      </c>
      <c r="O462" s="40">
        <v>0</v>
      </c>
      <c r="P462" s="15">
        <f t="shared" ref="P462" si="2194">R462*Q462</f>
        <v>25481.600259185205</v>
      </c>
      <c r="Q462" s="32">
        <v>4.3779655000000002</v>
      </c>
      <c r="R462" s="40">
        <v>5820.4205261976604</v>
      </c>
      <c r="S462" s="15">
        <f t="shared" ref="S462" si="2195">(((1+1.35%)^(1/252))-1)*D461+SUM(S461)</f>
        <v>9627.3257534409986</v>
      </c>
      <c r="T462" s="15">
        <f>IF((NETWORKDAYS(DATE(YEAR(C462),MONTH(C462),1),C462,Feriados!$A$2:$A$842))&gt;=5,0,IF(NETWORKDAYS(DATE(YEAR(C462),MONTH(C462),1),C462,Feriados!$A$2:$A$842)=1,S461,T461))</f>
        <v>0</v>
      </c>
      <c r="U462" s="26">
        <v>0</v>
      </c>
      <c r="V462" s="26">
        <v>0</v>
      </c>
      <c r="W462" s="15">
        <f t="shared" ref="W462" si="2196">SUM(G462+J462+M462+P462)</f>
        <v>10226448.632519092</v>
      </c>
      <c r="X462" s="50">
        <f>'Fluxo de Caixa_'!AD468</f>
        <v>0</v>
      </c>
      <c r="AB462" s="26">
        <v>7446.6315000000004</v>
      </c>
      <c r="AC462" s="26">
        <v>0</v>
      </c>
      <c r="AD462">
        <f>SUMIFS([1]Master!$J$2:$J$100,[1]Master!$A$2:$A$100,"="&amp;$I$12,[1]Master!$E$2:$E$100,"="&amp;C462,[1]Master!$J$2:$J$100,"&gt;"&amp;0)</f>
        <v>0</v>
      </c>
      <c r="AE462">
        <f ca="1">-SUMIF('[1]Fluxo de Movimentações'!$A$5:$F$10001,"="&amp;$C462,'[1]Fluxo de Movimentações'!$H$5:$H$10001)</f>
        <v>0</v>
      </c>
      <c r="AF462" s="26">
        <v>0</v>
      </c>
      <c r="AG462" s="26">
        <v>0</v>
      </c>
      <c r="AH462" s="26">
        <v>0</v>
      </c>
      <c r="AI462" s="26">
        <v>0</v>
      </c>
      <c r="AJ462" s="26">
        <v>-1383.36</v>
      </c>
      <c r="AK462" s="68">
        <v>4.4765686000000002</v>
      </c>
      <c r="AL462" s="15">
        <f>-SUMIFS([1]Master!$J$1:$J$200,[1]Master!$A$1:$A$200,"="&amp;$I$12,[1]Master!$G$1:$G$200,"&gt;"&amp;C462,[1]Master!$E$1:$E$200,"&lt;="&amp;C462)</f>
        <v>0</v>
      </c>
      <c r="AM462" s="26">
        <v>0</v>
      </c>
      <c r="AN462" s="26">
        <v>0</v>
      </c>
    </row>
    <row r="463" spans="3:40">
      <c r="C463" s="1">
        <f>WORKDAY(C462,1,Feriados!A271:A1110)</f>
        <v>45531</v>
      </c>
      <c r="D463" s="39">
        <v>10252944.186799999</v>
      </c>
      <c r="E463" s="32">
        <v>4.4891240000000003</v>
      </c>
      <c r="F463" s="88">
        <v>2283952.1146062999</v>
      </c>
      <c r="G463" s="15">
        <f t="shared" ref="G463" si="2197">H463*I463</f>
        <v>10231678.663654024</v>
      </c>
      <c r="H463" s="32">
        <v>1.1407166</v>
      </c>
      <c r="I463" s="15">
        <f>SUMIFS([1]Master!$K$2:$K$10000,[1]Master!$A$2:$A$10000,$I$12,[1]Master!$F$2:$F$10000,"&lt;="&amp;$C463)</f>
        <v>8969518.5146372244</v>
      </c>
      <c r="J463" s="15">
        <f t="shared" ref="J463" si="2198">K463*L463</f>
        <v>0</v>
      </c>
      <c r="K463" s="43">
        <v>0</v>
      </c>
      <c r="L463" s="40">
        <v>0</v>
      </c>
      <c r="M463" s="15">
        <f t="shared" ref="M463" si="2199">N463*O463</f>
        <v>0</v>
      </c>
      <c r="N463" s="32">
        <v>0</v>
      </c>
      <c r="O463" s="40">
        <v>0</v>
      </c>
      <c r="P463" s="15">
        <f t="shared" ref="P463" si="2200">R463*Q463</f>
        <v>25491.597413481002</v>
      </c>
      <c r="Q463" s="32">
        <v>4.3796831000000003</v>
      </c>
      <c r="R463" s="40">
        <v>5820.4205261976604</v>
      </c>
      <c r="S463" s="15">
        <f t="shared" ref="S463" si="2201">(((1+1.35%)^(1/252))-1)*D462+SUM(S462)</f>
        <v>10171.331043716318</v>
      </c>
      <c r="T463" s="15">
        <f>IF((NETWORKDAYS(DATE(YEAR(C463),MONTH(C463),1),C463,Feriados!$A$2:$A$842))&gt;=5,0,IF(NETWORKDAYS(DATE(YEAR(C463),MONTH(C463),1),C463,Feriados!$A$2:$A$842)=1,S462,T462))</f>
        <v>0</v>
      </c>
      <c r="U463" s="26">
        <v>0</v>
      </c>
      <c r="V463" s="26">
        <v>0</v>
      </c>
      <c r="W463" s="15">
        <f t="shared" ref="W463" si="2202">SUM(G463+J463+M463+P463)</f>
        <v>10257170.261067504</v>
      </c>
      <c r="X463" s="50">
        <f>'Fluxo de Caixa_'!AD469</f>
        <v>0</v>
      </c>
      <c r="AB463" s="26">
        <v>7398.0968000000003</v>
      </c>
      <c r="AC463" s="26">
        <v>0</v>
      </c>
      <c r="AD463">
        <f>SUMIFS([1]Master!$J$2:$J$100,[1]Master!$A$2:$A$100,"="&amp;$I$12,[1]Master!$E$2:$E$100,"="&amp;C463,[1]Master!$J$2:$J$100,"&gt;"&amp;0)</f>
        <v>0</v>
      </c>
      <c r="AE463">
        <f ca="1">-SUMIF('[1]Fluxo de Movimentações'!$A$5:$F$10001,"="&amp;$C463,'[1]Fluxo de Movimentações'!$H$5:$H$10001)</f>
        <v>0</v>
      </c>
      <c r="AF463" s="26">
        <v>0</v>
      </c>
      <c r="AG463" s="26">
        <v>0</v>
      </c>
      <c r="AH463" s="26">
        <v>0</v>
      </c>
      <c r="AI463" s="26">
        <v>0</v>
      </c>
      <c r="AJ463" s="26">
        <v>-1453.16</v>
      </c>
      <c r="AK463" s="68">
        <v>4.4897602000000001</v>
      </c>
      <c r="AL463" s="15">
        <f>-SUMIFS([1]Master!$J$1:$J$200,[1]Master!$A$1:$A$200,"="&amp;$I$12,[1]Master!$G$1:$G$200,"&gt;"&amp;C463,[1]Master!$E$1:$E$200,"&lt;="&amp;C463)</f>
        <v>0</v>
      </c>
      <c r="AM463" s="26">
        <v>0</v>
      </c>
      <c r="AN463" s="26">
        <v>0</v>
      </c>
    </row>
    <row r="464" spans="3:40">
      <c r="C464" s="1">
        <f>WORKDAY(C463,1,Feriados!A272:A1111)</f>
        <v>45532</v>
      </c>
      <c r="D464" s="39">
        <v>10228420.0721</v>
      </c>
      <c r="E464" s="32">
        <v>4.4783863999999998</v>
      </c>
      <c r="F464" s="88">
        <v>2283952.1146062999</v>
      </c>
      <c r="G464" s="15">
        <f t="shared" ref="G464" si="2203">H464*I464</f>
        <v>10207671.747349598</v>
      </c>
      <c r="H464" s="32">
        <v>1.1380401</v>
      </c>
      <c r="I464" s="15">
        <f>SUMIFS([1]Master!$K$2:$K$10000,[1]Master!$A$2:$A$10000,$I$12,[1]Master!$F$2:$F$10000,"&lt;="&amp;$C464)</f>
        <v>8969518.5146372244</v>
      </c>
      <c r="J464" s="15">
        <f t="shared" ref="J464" si="2204">K464*L464</f>
        <v>0</v>
      </c>
      <c r="K464" s="43">
        <v>0</v>
      </c>
      <c r="L464" s="40">
        <v>0</v>
      </c>
      <c r="M464" s="15">
        <f t="shared" ref="M464" si="2205">N464*O464</f>
        <v>0</v>
      </c>
      <c r="N464" s="32">
        <v>0</v>
      </c>
      <c r="O464" s="40">
        <v>0</v>
      </c>
      <c r="P464" s="15">
        <f t="shared" ref="P464" si="2206">R464*Q464</f>
        <v>25501.700499430375</v>
      </c>
      <c r="Q464" s="32">
        <v>4.3814188999999999</v>
      </c>
      <c r="R464" s="40">
        <v>5820.4205261976604</v>
      </c>
      <c r="S464" s="15">
        <f t="shared" ref="S464" si="2207">(((1+1.35%)^(1/252))-1)*D463+SUM(S463)</f>
        <v>10716.935923132933</v>
      </c>
      <c r="T464" s="15">
        <f>IF((NETWORKDAYS(DATE(YEAR(C464),MONTH(C464),1),C464,Feriados!$A$2:$A$842))&gt;=5,0,IF(NETWORKDAYS(DATE(YEAR(C464),MONTH(C464),1),C464,Feriados!$A$2:$A$842)=1,S463,T463))</f>
        <v>0</v>
      </c>
      <c r="U464" s="26">
        <v>0</v>
      </c>
      <c r="V464" s="26">
        <v>0</v>
      </c>
      <c r="W464" s="15">
        <f t="shared" ref="W464" si="2208">SUM(G464+J464+M464+P464)</f>
        <v>10233173.447849028</v>
      </c>
      <c r="X464" s="50">
        <f>'Fluxo de Caixa_'!AD470</f>
        <v>0</v>
      </c>
      <c r="AB464" s="26">
        <v>7349.5621000000001</v>
      </c>
      <c r="AC464" s="26">
        <v>0</v>
      </c>
      <c r="AD464">
        <f>SUMIFS([1]Master!$J$2:$J$100,[1]Master!$A$2:$A$100,"="&amp;$I$12,[1]Master!$E$2:$E$100,"="&amp;C464,[1]Master!$J$2:$J$100,"&gt;"&amp;0)</f>
        <v>0</v>
      </c>
      <c r="AE464">
        <f ca="1">-SUMIF('[1]Fluxo de Movimentações'!$A$5:$F$10001,"="&amp;$C464,'[1]Fluxo de Movimentações'!$H$5:$H$10001)</f>
        <v>0</v>
      </c>
      <c r="AF464" s="26">
        <v>0</v>
      </c>
      <c r="AG464" s="26">
        <v>0</v>
      </c>
      <c r="AH464" s="26">
        <v>0</v>
      </c>
      <c r="AI464" s="26">
        <v>0</v>
      </c>
      <c r="AJ464" s="26">
        <v>-1386.33</v>
      </c>
      <c r="AK464" s="68">
        <v>4.4789934000000002</v>
      </c>
      <c r="AL464" s="15">
        <f>-SUMIFS([1]Master!$J$1:$J$200,[1]Master!$A$1:$A$200,"="&amp;$I$12,[1]Master!$G$1:$G$200,"&gt;"&amp;C464,[1]Master!$E$1:$E$200,"&lt;="&amp;C464)</f>
        <v>0</v>
      </c>
      <c r="AM464" s="26">
        <v>0</v>
      </c>
      <c r="AN464" s="26">
        <v>0</v>
      </c>
    </row>
    <row r="465" spans="3:40">
      <c r="C465" s="1">
        <f>WORKDAY(C464,1,Feriados!A273:A1112)</f>
        <v>45533</v>
      </c>
      <c r="D465" s="39">
        <v>10052298.717399999</v>
      </c>
      <c r="E465" s="32">
        <v>4.4012738999999996</v>
      </c>
      <c r="F465" s="88">
        <v>2283952.1146062999</v>
      </c>
      <c r="G465" s="15">
        <f t="shared" ref="G465" si="2209">H465*I465</f>
        <v>10031683.515429456</v>
      </c>
      <c r="H465" s="32">
        <v>1.1184194000000001</v>
      </c>
      <c r="I465" s="15">
        <f>SUMIFS([1]Master!$K$2:$K$10000,[1]Master!$A$2:$A$10000,$I$12,[1]Master!$F$2:$F$10000,"&lt;="&amp;$C465)</f>
        <v>8969518.5146372244</v>
      </c>
      <c r="J465" s="15">
        <f t="shared" ref="J465" si="2210">K465*L465</f>
        <v>0</v>
      </c>
      <c r="K465" s="43">
        <v>0</v>
      </c>
      <c r="L465" s="40">
        <v>0</v>
      </c>
      <c r="M465" s="15">
        <f t="shared" ref="M465" si="2211">N465*O465</f>
        <v>0</v>
      </c>
      <c r="N465" s="32">
        <v>0</v>
      </c>
      <c r="O465" s="40">
        <v>0</v>
      </c>
      <c r="P465" s="15">
        <f t="shared" ref="P465" si="2212">R465*Q465</f>
        <v>25511.550397086859</v>
      </c>
      <c r="Q465" s="32">
        <v>4.3831112000000001</v>
      </c>
      <c r="R465" s="40">
        <v>5820.4205261976604</v>
      </c>
      <c r="S465" s="15">
        <f t="shared" ref="S465" si="2213">(((1+1.35%)^(1/252))-1)*D464+SUM(S464)</f>
        <v>11261.235765050084</v>
      </c>
      <c r="T465" s="15">
        <f>IF((NETWORKDAYS(DATE(YEAR(C465),MONTH(C465),1),C465,Feriados!$A$2:$A$842))&gt;=5,0,IF(NETWORKDAYS(DATE(YEAR(C465),MONTH(C465),1),C465,Feriados!$A$2:$A$842)=1,S464,T464))</f>
        <v>0</v>
      </c>
      <c r="U465" s="26">
        <v>0</v>
      </c>
      <c r="V465" s="26">
        <v>0</v>
      </c>
      <c r="W465" s="15">
        <f t="shared" ref="W465" si="2214">SUM(G465+J465+M465+P465)</f>
        <v>10057195.065826543</v>
      </c>
      <c r="X465" s="50">
        <f>'Fluxo de Caixa_'!AD471</f>
        <v>0</v>
      </c>
      <c r="AB465" s="26">
        <v>7301.0273999999999</v>
      </c>
      <c r="AC465" s="26">
        <v>0</v>
      </c>
      <c r="AD465">
        <f>SUMIFS([1]Master!$J$2:$J$100,[1]Master!$A$2:$A$100,"="&amp;$I$12,[1]Master!$E$2:$E$100,"="&amp;C465,[1]Master!$J$2:$J$100,"&gt;"&amp;0)</f>
        <v>0</v>
      </c>
      <c r="AE465">
        <f ca="1">-SUMIF('[1]Fluxo de Movimentações'!$A$5:$F$10001,"="&amp;$C465,'[1]Fluxo de Movimentações'!$H$5:$H$10001)</f>
        <v>0</v>
      </c>
      <c r="AF465" s="26">
        <v>0</v>
      </c>
      <c r="AG465" s="26">
        <v>0</v>
      </c>
      <c r="AH465" s="26">
        <v>0</v>
      </c>
      <c r="AI465" s="26">
        <v>0</v>
      </c>
      <c r="AJ465" s="26">
        <v>-936.48</v>
      </c>
      <c r="AK465" s="68">
        <v>4.4016839000000001</v>
      </c>
      <c r="AL465" s="15">
        <f>-SUMIFS([1]Master!$J$1:$J$200,[1]Master!$A$1:$A$200,"="&amp;$I$12,[1]Master!$G$1:$G$200,"&gt;"&amp;C465,[1]Master!$E$1:$E$200,"&lt;="&amp;C465)</f>
        <v>0</v>
      </c>
      <c r="AM465" s="26">
        <v>0</v>
      </c>
      <c r="AN465" s="26">
        <v>0</v>
      </c>
    </row>
    <row r="466" spans="3:40">
      <c r="C466" s="1">
        <f>WORKDAY(C465,1,Feriados!A274:A1113)</f>
        <v>45534</v>
      </c>
      <c r="D466" s="39">
        <v>10075629.012700001</v>
      </c>
      <c r="E466" s="32">
        <v>4.4114886999999996</v>
      </c>
      <c r="F466" s="88">
        <v>2283952.1146062999</v>
      </c>
      <c r="G466" s="15">
        <f t="shared" ref="G466" si="2215">H466*I466</f>
        <v>10055640.202430202</v>
      </c>
      <c r="H466" s="32">
        <v>1.1210903000000001</v>
      </c>
      <c r="I466" s="15">
        <f>SUMIFS([1]Master!$K$2:$K$10000,[1]Master!$A$2:$A$10000,$I$12,[1]Master!$F$2:$F$10000,"&lt;="&amp;$C466)</f>
        <v>8969518.5146372244</v>
      </c>
      <c r="J466" s="15">
        <f t="shared" ref="J466" si="2216">K466*L466</f>
        <v>0</v>
      </c>
      <c r="K466" s="43">
        <v>0</v>
      </c>
      <c r="L466" s="40">
        <v>0</v>
      </c>
      <c r="M466" s="15">
        <f t="shared" ref="M466" si="2217">N466*O466</f>
        <v>0</v>
      </c>
      <c r="N466" s="32">
        <v>0</v>
      </c>
      <c r="O466" s="40">
        <v>0</v>
      </c>
      <c r="P466" s="15">
        <f t="shared" ref="P466" si="2218">R466*Q466</f>
        <v>25521.445111981393</v>
      </c>
      <c r="Q466" s="32">
        <v>4.3848111999999997</v>
      </c>
      <c r="R466" s="40">
        <v>5820.4205261976604</v>
      </c>
      <c r="S466" s="15">
        <f t="shared" ref="S466:S468" si="2219">(((1+1.35%)^(1/252))-1)*D465+SUM(S465)</f>
        <v>11796.163404335184</v>
      </c>
      <c r="T466" s="15">
        <f>IF((NETWORKDAYS(DATE(YEAR(C466),MONTH(C466),1),C466,Feriados!$A$2:$A$842))&gt;=5,0,IF(NETWORKDAYS(DATE(YEAR(C466),MONTH(C466),1),C466,Feriados!$A$2:$A$842)=1,S465,T465))</f>
        <v>0</v>
      </c>
      <c r="U466" s="26">
        <v>0</v>
      </c>
      <c r="V466" s="26">
        <v>0</v>
      </c>
      <c r="W466" s="15">
        <f t="shared" ref="W466" si="2220">SUM(G466+J466+M466+P466)</f>
        <v>10081161.647542182</v>
      </c>
      <c r="X466" s="50">
        <f>'Fluxo de Caixa_'!AD472</f>
        <v>0</v>
      </c>
      <c r="AB466" s="26">
        <v>7252.4926999999998</v>
      </c>
      <c r="AC466" s="26">
        <v>0</v>
      </c>
      <c r="AD466">
        <f>SUMIFS([1]Master!$J$2:$J$100,[1]Master!$A$2:$A$100,"="&amp;$I$12,[1]Master!$E$2:$E$100,"="&amp;C466,[1]Master!$J$2:$J$100,"&gt;"&amp;0)</f>
        <v>0</v>
      </c>
      <c r="AE466">
        <f ca="1">-SUMIF('[1]Fluxo de Movimentações'!$A$5:$F$10001,"="&amp;$C466,'[1]Fluxo de Movimentações'!$H$5:$H$10001)</f>
        <v>0</v>
      </c>
      <c r="AF466" s="26">
        <v>0</v>
      </c>
      <c r="AG466" s="26">
        <v>0</v>
      </c>
      <c r="AH466" s="26">
        <v>0</v>
      </c>
      <c r="AI466" s="26">
        <v>0</v>
      </c>
      <c r="AJ466" s="26">
        <v>-989.31</v>
      </c>
      <c r="AK466" s="68">
        <v>4.4119219000000003</v>
      </c>
      <c r="AL466" s="15">
        <f>-SUMIFS([1]Master!$J$1:$J$200,[1]Master!$A$1:$A$200,"="&amp;$I$12,[1]Master!$G$1:$G$200,"&gt;"&amp;C466,[1]Master!$E$1:$E$200,"&lt;="&amp;C466)</f>
        <v>0</v>
      </c>
      <c r="AM466" s="26">
        <v>0</v>
      </c>
      <c r="AN466" s="26">
        <v>0</v>
      </c>
    </row>
    <row r="467" spans="3:40">
      <c r="C467" s="1">
        <f>WORKDAY(C466,1,Feriados!A275:A1114)</f>
        <v>45537</v>
      </c>
      <c r="D467" s="39">
        <v>10045638.738</v>
      </c>
      <c r="E467" s="32">
        <v>4.3983578999999997</v>
      </c>
      <c r="F467" s="88">
        <v>2283952.1146062999</v>
      </c>
      <c r="G467" s="15">
        <f t="shared" ref="G467" si="2221">H467*I467</f>
        <v>10026143.043842964</v>
      </c>
      <c r="H467" s="32">
        <v>1.1178017</v>
      </c>
      <c r="I467" s="15">
        <f>SUMIFS([1]Master!$K$2:$K$10000,[1]Master!$A$2:$A$10000,$I$12,[1]Master!$F$2:$F$10000,"&lt;="&amp;$C467)</f>
        <v>8969518.5146372244</v>
      </c>
      <c r="J467" s="15">
        <f t="shared" ref="J467" si="2222">K467*L467</f>
        <v>0</v>
      </c>
      <c r="K467" s="43">
        <v>0</v>
      </c>
      <c r="L467" s="40">
        <v>0</v>
      </c>
      <c r="M467" s="15">
        <f t="shared" ref="M467" si="2223">N467*O467</f>
        <v>0</v>
      </c>
      <c r="N467" s="32">
        <v>0</v>
      </c>
      <c r="O467" s="40">
        <v>0</v>
      </c>
      <c r="P467" s="15">
        <f t="shared" ref="P467" si="2224">R467*Q467</f>
        <v>25531.437027898719</v>
      </c>
      <c r="Q467" s="32">
        <v>4.3865278999999999</v>
      </c>
      <c r="R467" s="40">
        <v>5820.4205261976604</v>
      </c>
      <c r="S467" s="54">
        <f>(((1+1.35%)^(1/252))-1)*D466</f>
        <v>536.1691483308922</v>
      </c>
      <c r="T467" s="15">
        <f>IF((NETWORKDAYS(DATE(YEAR(C467),MONTH(C467),1),C467,Feriados!$A$2:$A$842))&gt;=5,0,IF(NETWORKDAYS(DATE(YEAR(C467),MONTH(C467),1),C467,Feriados!$A$2:$A$842)=1,S466,T466))</f>
        <v>11796.163404335184</v>
      </c>
      <c r="U467" s="26">
        <v>0</v>
      </c>
      <c r="V467" s="26">
        <v>0</v>
      </c>
      <c r="W467" s="15">
        <f t="shared" ref="W467" si="2225">SUM(G467+J467+M467+P467)</f>
        <v>10051674.480870863</v>
      </c>
      <c r="X467" s="50">
        <f>'Fluxo de Caixa_'!AD473</f>
        <v>0</v>
      </c>
      <c r="AB467" s="26">
        <v>7203.9579999999996</v>
      </c>
      <c r="AC467" s="26">
        <v>0</v>
      </c>
      <c r="AD467">
        <f>SUMIFS([1]Master!$J$2:$J$100,[1]Master!$A$2:$A$100,"="&amp;$I$12,[1]Master!$E$2:$E$100,"="&amp;C467,[1]Master!$J$2:$J$100,"&gt;"&amp;0)</f>
        <v>0</v>
      </c>
      <c r="AE467">
        <f ca="1">-SUMIF('[1]Fluxo de Movimentações'!$A$5:$F$10001,"="&amp;$C467,'[1]Fluxo de Movimentações'!$H$5:$H$10001)</f>
        <v>0</v>
      </c>
      <c r="AF467" s="26">
        <v>0</v>
      </c>
      <c r="AG467" s="26">
        <v>0</v>
      </c>
      <c r="AH467" s="26">
        <v>0</v>
      </c>
      <c r="AI467" s="26">
        <v>0</v>
      </c>
      <c r="AJ467" s="26">
        <v>-907.72</v>
      </c>
      <c r="AK467" s="68">
        <v>4.3987553000000004</v>
      </c>
      <c r="AL467" s="15">
        <f>-SUMIFS([1]Master!$J$1:$J$200,[1]Master!$A$1:$A$200,"="&amp;$I$12,[1]Master!$G$1:$G$200,"&gt;"&amp;C467,[1]Master!$E$1:$E$200,"&lt;="&amp;C467)</f>
        <v>0</v>
      </c>
      <c r="AM467" s="26">
        <v>0</v>
      </c>
      <c r="AN467" s="26">
        <v>0</v>
      </c>
    </row>
    <row r="468" spans="3:40">
      <c r="C468" s="1">
        <f>WORKDAY(C467,1,Feriados!A276:A1115)</f>
        <v>45538</v>
      </c>
      <c r="D468" s="39">
        <v>10059864.1633</v>
      </c>
      <c r="E468" s="32">
        <v>4.4045863000000001</v>
      </c>
      <c r="F468" s="88">
        <v>2283952.1146062999</v>
      </c>
      <c r="G468" s="15">
        <f t="shared" ref="G468" si="2226">H468*I468</f>
        <v>10040971.451851362</v>
      </c>
      <c r="H468" s="32">
        <v>1.1194549</v>
      </c>
      <c r="I468" s="15">
        <f>SUMIFS([1]Master!$K$2:$K$10000,[1]Master!$A$2:$A$10000,$I$12,[1]Master!$F$2:$F$10000,"&lt;="&amp;$C468)</f>
        <v>8969518.5146372244</v>
      </c>
      <c r="J468" s="15">
        <f t="shared" ref="J468" si="2227">K468*L468</f>
        <v>0</v>
      </c>
      <c r="K468" s="43">
        <v>0</v>
      </c>
      <c r="L468" s="40">
        <v>0</v>
      </c>
      <c r="M468" s="15">
        <f t="shared" ref="M468" si="2228">N468*O468</f>
        <v>0</v>
      </c>
      <c r="N468" s="32">
        <v>0</v>
      </c>
      <c r="O468" s="40">
        <v>0</v>
      </c>
      <c r="P468" s="15">
        <f t="shared" ref="P468" si="2229">R468*Q468</f>
        <v>25541.402169881618</v>
      </c>
      <c r="Q468" s="32">
        <v>4.3882399999999997</v>
      </c>
      <c r="R468" s="40">
        <v>5820.4205261976604</v>
      </c>
      <c r="S468" s="15">
        <f t="shared" si="2219"/>
        <v>1070.7423804143878</v>
      </c>
      <c r="T468" s="15">
        <f>IF((NETWORKDAYS(DATE(YEAR(C468),MONTH(C468),1),C468,Feriados!$A$2:$A$842))&gt;=5,0,IF(NETWORKDAYS(DATE(YEAR(C468),MONTH(C468),1),C468,Feriados!$A$2:$A$842)=1,S467,T467))</f>
        <v>11796.163404335184</v>
      </c>
      <c r="U468" s="26">
        <v>0</v>
      </c>
      <c r="V468" s="26">
        <v>0</v>
      </c>
      <c r="W468" s="15">
        <f t="shared" ref="W468" si="2230">SUM(G468+J468+M468+P468)</f>
        <v>10066512.854021244</v>
      </c>
      <c r="X468" s="50">
        <f>'Fluxo de Caixa_'!AD474</f>
        <v>0</v>
      </c>
      <c r="AB468" s="26">
        <v>7155.4233000000004</v>
      </c>
      <c r="AC468" s="26">
        <v>0</v>
      </c>
      <c r="AD468">
        <f>SUMIFS([1]Master!$J$2:$J$100,[1]Master!$A$2:$A$100,"="&amp;$I$12,[1]Master!$E$2:$E$100,"="&amp;C468,[1]Master!$J$2:$J$100,"&gt;"&amp;0)</f>
        <v>0</v>
      </c>
      <c r="AE468">
        <f ca="1">-SUMIF('[1]Fluxo de Movimentações'!$A$5:$F$10001,"="&amp;$C468,'[1]Fluxo de Movimentações'!$H$5:$H$10001)</f>
        <v>0</v>
      </c>
      <c r="AF468" s="26">
        <v>0</v>
      </c>
      <c r="AG468" s="26">
        <v>0</v>
      </c>
      <c r="AH468" s="26">
        <v>0</v>
      </c>
      <c r="AI468" s="26">
        <v>0</v>
      </c>
      <c r="AJ468" s="26">
        <v>-937.56</v>
      </c>
      <c r="AK468" s="68">
        <v>4.4049968000000002</v>
      </c>
      <c r="AL468" s="15">
        <f>-SUMIFS([1]Master!$J$1:$J$200,[1]Master!$A$1:$A$200,"="&amp;$I$12,[1]Master!$G$1:$G$200,"&gt;"&amp;C468,[1]Master!$E$1:$E$200,"&lt;="&amp;C468)</f>
        <v>0</v>
      </c>
      <c r="AM468" s="26">
        <v>0</v>
      </c>
      <c r="AN468" s="26">
        <v>0</v>
      </c>
    </row>
    <row r="469" spans="3:40">
      <c r="C469" s="1">
        <f>WORKDAY(C468,1,Feriados!A277:A1116)</f>
        <v>45539</v>
      </c>
      <c r="D469" s="39">
        <v>10213154.138599999</v>
      </c>
      <c r="E469" s="32">
        <v>4.4717023999999999</v>
      </c>
      <c r="F469" s="88">
        <v>2283952.1146062999</v>
      </c>
      <c r="G469" s="15">
        <f t="shared" ref="G469" si="2231">H469*I469</f>
        <v>10182715.776988564</v>
      </c>
      <c r="H469" s="32">
        <v>1.1366514000000001</v>
      </c>
      <c r="I469" s="15">
        <f>SUMIFS([1]Master!$K$2:$K$10000,[1]Master!$A$2:$A$10000,$I$12,[1]Master!$F$2:$F$10000,"&lt;="&amp;$C469)</f>
        <v>8958521.299484225</v>
      </c>
      <c r="J469" s="15">
        <f t="shared" ref="J469" si="2232">K469*L469</f>
        <v>0</v>
      </c>
      <c r="K469" s="43">
        <v>0</v>
      </c>
      <c r="L469" s="40">
        <v>0</v>
      </c>
      <c r="M469" s="15">
        <f t="shared" ref="M469" si="2233">N469*O469</f>
        <v>0</v>
      </c>
      <c r="N469" s="32">
        <v>0</v>
      </c>
      <c r="O469" s="40">
        <v>0</v>
      </c>
      <c r="P469" s="15">
        <f t="shared" ref="P469" si="2234">R469*Q469</f>
        <v>25551.298048860262</v>
      </c>
      <c r="Q469" s="32">
        <v>4.3899401999999998</v>
      </c>
      <c r="R469" s="40">
        <v>5820.4205261976604</v>
      </c>
      <c r="S469" s="15">
        <f t="shared" ref="S469" si="2235">(((1+1.35%)^(1/252))-1)*D468+SUM(S468)</f>
        <v>1606.072610811153</v>
      </c>
      <c r="T469" s="15">
        <f>IF((NETWORKDAYS(DATE(YEAR(C469),MONTH(C469),1),C469,Feriados!$A$2:$A$842))&gt;=5,0,IF(NETWORKDAYS(DATE(YEAR(C469),MONTH(C469),1),C469,Feriados!$A$2:$A$842)=1,S468,T468))</f>
        <v>11796.163404335184</v>
      </c>
      <c r="U469" s="26">
        <v>0</v>
      </c>
      <c r="V469" s="26">
        <v>0</v>
      </c>
      <c r="W469" s="15">
        <f t="shared" ref="W469" si="2236">SUM(G469+J469+M469+P469)</f>
        <v>10208267.075037424</v>
      </c>
      <c r="X469" s="50">
        <f>'Fluxo de Caixa_'!AD475</f>
        <v>0</v>
      </c>
      <c r="AB469" s="26">
        <v>7106.8886000000002</v>
      </c>
      <c r="AC469" s="26">
        <v>0</v>
      </c>
      <c r="AD469">
        <f>SUMIFS([1]Master!$J$2:$J$100,[1]Master!$A$2:$A$100,"="&amp;$I$12,[1]Master!$E$2:$E$100,"="&amp;C469,[1]Master!$J$2:$J$100,"&gt;"&amp;0)</f>
        <v>0</v>
      </c>
      <c r="AE469">
        <f ca="1">-SUMIF('[1]Fluxo de Movimentações'!$A$5:$F$10001,"="&amp;$C469,'[1]Fluxo de Movimentações'!$H$5:$H$10001)</f>
        <v>0</v>
      </c>
      <c r="AF469" s="26">
        <v>0</v>
      </c>
      <c r="AG469" s="26">
        <v>0</v>
      </c>
      <c r="AH469" s="26">
        <v>0</v>
      </c>
      <c r="AI469" s="26">
        <v>0</v>
      </c>
      <c r="AJ469" s="26">
        <v>-1317.95</v>
      </c>
      <c r="AK469" s="68">
        <v>4.4722793999999997</v>
      </c>
      <c r="AL469" s="15">
        <f>-SUMIFS([1]Master!$J$1:$J$200,[1]Master!$A$1:$A$200,"="&amp;$I$12,[1]Master!$G$1:$G$200,"&gt;"&amp;C469,[1]Master!$E$1:$E$200,"&lt;="&amp;C469)</f>
        <v>12500</v>
      </c>
      <c r="AM469" s="26">
        <v>0</v>
      </c>
      <c r="AN469" s="26">
        <v>0</v>
      </c>
    </row>
    <row r="470" spans="3:40">
      <c r="C470" s="1">
        <f>WORKDAY(C469,1,Feriados!A278:A1117)</f>
        <v>45540</v>
      </c>
      <c r="D470" s="39">
        <v>10207536.8839</v>
      </c>
      <c r="E470" s="32">
        <v>4.4692429000000002</v>
      </c>
      <c r="F470" s="88">
        <v>2283952.1146062999</v>
      </c>
      <c r="G470" s="15">
        <f t="shared" ref="G470" si="2237">H470*I470</f>
        <v>10177660.483419264</v>
      </c>
      <c r="H470" s="32">
        <v>1.1360870999999999</v>
      </c>
      <c r="I470" s="15">
        <f>SUMIFS([1]Master!$K$2:$K$10000,[1]Master!$A$2:$A$10000,$I$12,[1]Master!$F$2:$F$10000,"&lt;="&amp;$C470)</f>
        <v>8958521.299484225</v>
      </c>
      <c r="J470" s="15">
        <f t="shared" ref="J470" si="2238">K470*L470</f>
        <v>0</v>
      </c>
      <c r="K470" s="43">
        <v>0</v>
      </c>
      <c r="L470" s="40">
        <v>0</v>
      </c>
      <c r="M470" s="15">
        <f t="shared" ref="M470" si="2239">N470*O470</f>
        <v>0</v>
      </c>
      <c r="N470" s="32">
        <v>0</v>
      </c>
      <c r="O470" s="40">
        <v>0</v>
      </c>
      <c r="P470" s="15">
        <f t="shared" ref="P470" si="2240">R470*Q470</f>
        <v>25561.254460212374</v>
      </c>
      <c r="Q470" s="32">
        <v>4.3916507999999999</v>
      </c>
      <c r="R470" s="40">
        <v>5820.4205261976604</v>
      </c>
      <c r="S470" s="15">
        <f t="shared" ref="S470" si="2241">(((1+1.35%)^(1/252))-1)*D469+SUM(S469)</f>
        <v>2149.5600843339471</v>
      </c>
      <c r="T470" s="15">
        <f>IF((NETWORKDAYS(DATE(YEAR(C470),MONTH(C470),1),C470,Feriados!$A$2:$A$842))&gt;=5,0,IF(NETWORKDAYS(DATE(YEAR(C470),MONTH(C470),1),C470,Feriados!$A$2:$A$842)=1,S469,T469))</f>
        <v>11796.163404335184</v>
      </c>
      <c r="U470" s="26">
        <v>0</v>
      </c>
      <c r="V470" s="26">
        <v>0</v>
      </c>
      <c r="W470" s="15">
        <f t="shared" ref="W470" si="2242">SUM(G470+J470+M470+P470)</f>
        <v>10203221.737879476</v>
      </c>
      <c r="X470" s="50">
        <f>'Fluxo de Caixa_'!AD476</f>
        <v>0</v>
      </c>
      <c r="AB470" s="26">
        <v>7058.3539000000001</v>
      </c>
      <c r="AC470" s="26">
        <v>0</v>
      </c>
      <c r="AD470">
        <f>SUMIFS([1]Master!$J$2:$J$100,[1]Master!$A$2:$A$100,"="&amp;$I$12,[1]Master!$E$2:$E$100,"="&amp;C470,[1]Master!$J$2:$J$100,"&gt;"&amp;0)</f>
        <v>0</v>
      </c>
      <c r="AE470">
        <f ca="1">-SUMIF('[1]Fluxo de Movimentações'!$A$5:$F$10001,"="&amp;$C470,'[1]Fluxo de Movimentações'!$H$5:$H$10001)</f>
        <v>0</v>
      </c>
      <c r="AF470" s="26">
        <v>0</v>
      </c>
      <c r="AG470" s="26">
        <v>0</v>
      </c>
      <c r="AH470" s="26">
        <v>0</v>
      </c>
      <c r="AI470" s="26">
        <v>0</v>
      </c>
      <c r="AJ470" s="26">
        <v>-1297.8499999999999</v>
      </c>
      <c r="AK470" s="68">
        <v>4.4698111999999997</v>
      </c>
      <c r="AL470" s="15">
        <f>-SUMIFS([1]Master!$J$1:$J$200,[1]Master!$A$1:$A$200,"="&amp;$I$12,[1]Master!$G$1:$G$200,"&gt;"&amp;C470,[1]Master!$E$1:$E$200,"&lt;="&amp;C470)</f>
        <v>12500</v>
      </c>
      <c r="AM470" s="26">
        <v>0</v>
      </c>
      <c r="AN470" s="26">
        <v>0</v>
      </c>
    </row>
    <row r="471" spans="3:40">
      <c r="C471" s="1">
        <f>WORKDAY(C470,1,Feriados!A279:A1118)</f>
        <v>45541</v>
      </c>
      <c r="D471" s="39">
        <v>10069933.5792</v>
      </c>
      <c r="E471" s="32">
        <v>4.4089951000000003</v>
      </c>
      <c r="F471" s="88">
        <v>2283952.1146062999</v>
      </c>
      <c r="G471" s="15">
        <f t="shared" ref="G471" si="2243">H471*I471</f>
        <v>10040286.038552325</v>
      </c>
      <c r="H471" s="32">
        <v>1.1207526000000001</v>
      </c>
      <c r="I471" s="15">
        <f>SUMIFS([1]Master!$K$2:$K$10000,[1]Master!$A$2:$A$10000,$I$12,[1]Master!$F$2:$F$10000,"&lt;="&amp;$C471)</f>
        <v>8958521.299484225</v>
      </c>
      <c r="J471" s="15">
        <f t="shared" ref="J471" si="2244">K471*L471</f>
        <v>0</v>
      </c>
      <c r="K471" s="43">
        <v>0</v>
      </c>
      <c r="L471" s="40">
        <v>0</v>
      </c>
      <c r="M471" s="15">
        <f t="shared" ref="M471" si="2245">N471*O471</f>
        <v>0</v>
      </c>
      <c r="N471" s="32">
        <v>0</v>
      </c>
      <c r="O471" s="40">
        <v>0</v>
      </c>
      <c r="P471" s="15">
        <f t="shared" ref="P471" si="2246">R471*Q471</f>
        <v>26275.525325189039</v>
      </c>
      <c r="Q471" s="32">
        <v>4.3933844999999998</v>
      </c>
      <c r="R471" s="40">
        <v>5980.7024231976602</v>
      </c>
      <c r="S471" s="15">
        <f t="shared" ref="S471" si="2247">(((1+1.35%)^(1/252))-1)*D470+SUM(S470)</f>
        <v>2692.748638686071</v>
      </c>
      <c r="T471" s="15">
        <f>IF((NETWORKDAYS(DATE(YEAR(C471),MONTH(C471),1),C471,Feriados!$A$2:$A$842))&gt;=5,0,IF(NETWORKDAYS(DATE(YEAR(C471),MONTH(C471),1),C471,Feriados!$A$2:$A$842)=1,S470,T470))</f>
        <v>0</v>
      </c>
      <c r="U471" s="26">
        <v>0</v>
      </c>
      <c r="V471" s="26">
        <v>0</v>
      </c>
      <c r="W471" s="15">
        <f t="shared" ref="W471" si="2248">SUM(G471+J471+M471+P471)</f>
        <v>10066561.563877514</v>
      </c>
      <c r="X471" s="50">
        <f>'Fluxo de Caixa_'!AD477</f>
        <v>-0.34340624557989941</v>
      </c>
      <c r="AB471" s="26">
        <v>7009.8191999999999</v>
      </c>
      <c r="AC471" s="26">
        <v>0</v>
      </c>
      <c r="AD471">
        <f>SUMIFS([1]Master!$J$2:$J$100,[1]Master!$A$2:$A$100,"="&amp;$I$12,[1]Master!$E$2:$E$100,"="&amp;C471,[1]Master!$J$2:$J$100,"&gt;"&amp;0)</f>
        <v>0</v>
      </c>
      <c r="AE471">
        <f ca="1">-SUMIF('[1]Fluxo de Movimentações'!$A$5:$F$10001,"="&amp;$C471,'[1]Fluxo de Movimentações'!$H$5:$H$10001)</f>
        <v>0</v>
      </c>
      <c r="AF471" s="26">
        <v>0</v>
      </c>
      <c r="AG471" s="26">
        <v>0</v>
      </c>
      <c r="AH471" s="26">
        <v>0</v>
      </c>
      <c r="AI471" s="26">
        <v>0</v>
      </c>
      <c r="AJ471" s="26">
        <v>-945.08</v>
      </c>
      <c r="AK471" s="68">
        <v>4.4094087999999996</v>
      </c>
      <c r="AL471" s="15">
        <f>-SUMIFS([1]Master!$J$1:$J$200,[1]Master!$A$1:$A$200,"="&amp;$I$12,[1]Master!$G$1:$G$200,"&gt;"&amp;C471,[1]Master!$E$1:$E$200,"&lt;="&amp;C471)</f>
        <v>0</v>
      </c>
      <c r="AM471" s="26">
        <v>0</v>
      </c>
      <c r="AN471" s="26">
        <v>0</v>
      </c>
    </row>
    <row r="472" spans="3:40">
      <c r="C472" s="1">
        <f>WORKDAY(C471,1,Feriados!A280:A1119)</f>
        <v>45544</v>
      </c>
      <c r="D472" s="39">
        <v>10019984.6845</v>
      </c>
      <c r="E472" s="32">
        <v>4.3871256000000001</v>
      </c>
      <c r="F472" s="88">
        <v>2283952.1146062999</v>
      </c>
      <c r="G472" s="15">
        <f t="shared" ref="G472" si="2249">H472*I472</f>
        <v>9990779.4581471141</v>
      </c>
      <c r="H472" s="32">
        <v>1.1152264000000001</v>
      </c>
      <c r="I472" s="15">
        <f>SUMIFS([1]Master!$K$2:$K$10000,[1]Master!$A$2:$A$10000,$I$12,[1]Master!$F$2:$F$10000,"&lt;="&amp;$C472)</f>
        <v>8958521.299484225</v>
      </c>
      <c r="J472" s="15">
        <f t="shared" ref="J472" si="2250">K472*L472</f>
        <v>0</v>
      </c>
      <c r="K472" s="43">
        <v>0</v>
      </c>
      <c r="L472" s="40">
        <v>0</v>
      </c>
      <c r="M472" s="15">
        <f t="shared" ref="M472" si="2251">N472*O472</f>
        <v>0</v>
      </c>
      <c r="N472" s="32">
        <v>0</v>
      </c>
      <c r="O472" s="40">
        <v>0</v>
      </c>
      <c r="P472" s="15">
        <f t="shared" ref="P472" si="2252">R472*Q472</f>
        <v>26285.749934051739</v>
      </c>
      <c r="Q472" s="32">
        <v>4.3950940999999997</v>
      </c>
      <c r="R472" s="40">
        <v>5980.7024231976602</v>
      </c>
      <c r="S472" s="15">
        <f t="shared" ref="S472" si="2253">(((1+1.35%)^(1/252))-1)*D471+SUM(S471)</f>
        <v>3228.6147076037355</v>
      </c>
      <c r="T472" s="15">
        <f>IF((NETWORKDAYS(DATE(YEAR(C472),MONTH(C472),1),C472,Feriados!$A$2:$A$842))&gt;=5,0,IF(NETWORKDAYS(DATE(YEAR(C472),MONTH(C472),1),C472,Feriados!$A$2:$A$842)=1,S471,T471))</f>
        <v>0</v>
      </c>
      <c r="U472" s="26">
        <v>0</v>
      </c>
      <c r="V472" s="26">
        <v>0</v>
      </c>
      <c r="W472" s="15">
        <f t="shared" ref="W472" si="2254">SUM(G472+J472+M472+P472)</f>
        <v>10017065.208081165</v>
      </c>
      <c r="X472" s="50">
        <f>'Fluxo de Caixa_'!AD478</f>
        <v>0</v>
      </c>
      <c r="AB472" s="26">
        <v>6961.2844999999998</v>
      </c>
      <c r="AC472" s="26">
        <v>0</v>
      </c>
      <c r="AD472">
        <f>SUMIFS([1]Master!$J$2:$J$100,[1]Master!$A$2:$A$100,"="&amp;$I$12,[1]Master!$E$2:$E$100,"="&amp;C472,[1]Master!$J$2:$J$100,"&gt;"&amp;0)</f>
        <v>0</v>
      </c>
      <c r="AE472">
        <f ca="1">-SUMIF('[1]Fluxo de Movimentações'!$A$5:$F$10001,"="&amp;$C472,'[1]Fluxo de Movimentações'!$H$5:$H$10001)</f>
        <v>0</v>
      </c>
      <c r="AF472" s="26">
        <v>0</v>
      </c>
      <c r="AG472" s="26">
        <v>0</v>
      </c>
      <c r="AH472" s="26">
        <v>0</v>
      </c>
      <c r="AI472" s="26">
        <v>0</v>
      </c>
      <c r="AJ472" s="26">
        <v>-813.23</v>
      </c>
      <c r="AK472" s="68">
        <v>4.3874816000000001</v>
      </c>
      <c r="AL472" s="15">
        <f>-SUMIFS([1]Master!$J$1:$J$200,[1]Master!$A$1:$A$200,"="&amp;$I$12,[1]Master!$G$1:$G$200,"&gt;"&amp;C472,[1]Master!$E$1:$E$200,"&lt;="&amp;C472)</f>
        <v>0</v>
      </c>
      <c r="AM472" s="26">
        <v>0</v>
      </c>
      <c r="AN472" s="26">
        <v>0</v>
      </c>
    </row>
    <row r="473" spans="3:40">
      <c r="C473" s="1">
        <f>WORKDAY(C472,1,Feriados!A281:A1120)</f>
        <v>45545</v>
      </c>
      <c r="D473" s="39">
        <v>10030570.309800001</v>
      </c>
      <c r="E473" s="32">
        <v>4.3917602999999996</v>
      </c>
      <c r="F473" s="88">
        <v>2283952.1146062999</v>
      </c>
      <c r="G473" s="15">
        <f t="shared" ref="G473" si="2255">H473*I473</f>
        <v>10001963.276137389</v>
      </c>
      <c r="H473" s="32">
        <v>1.1164748</v>
      </c>
      <c r="I473" s="15">
        <f>SUMIFS([1]Master!$K$2:$K$10000,[1]Master!$A$2:$A$10000,$I$12,[1]Master!$F$2:$F$10000,"&lt;="&amp;$C473)</f>
        <v>8958521.299484225</v>
      </c>
      <c r="J473" s="15">
        <f t="shared" ref="J473" si="2256">K473*L473</f>
        <v>0</v>
      </c>
      <c r="K473" s="43">
        <v>0</v>
      </c>
      <c r="L473" s="40">
        <v>0</v>
      </c>
      <c r="M473" s="15">
        <f t="shared" ref="M473" si="2257">N473*O473</f>
        <v>0</v>
      </c>
      <c r="N473" s="32">
        <v>0</v>
      </c>
      <c r="O473" s="40">
        <v>0</v>
      </c>
      <c r="P473" s="15">
        <f t="shared" ref="P473" si="2258">R473*Q473</f>
        <v>26295.990690810981</v>
      </c>
      <c r="Q473" s="32">
        <v>4.3968064</v>
      </c>
      <c r="R473" s="40">
        <v>5980.7024231976602</v>
      </c>
      <c r="S473" s="15">
        <f t="shared" ref="S473" si="2259">(((1+1.35%)^(1/252))-1)*D472+SUM(S472)</f>
        <v>3761.8227731056713</v>
      </c>
      <c r="T473" s="15">
        <f>IF((NETWORKDAYS(DATE(YEAR(C473),MONTH(C473),1),C473,Feriados!$A$2:$A$842))&gt;=5,0,IF(NETWORKDAYS(DATE(YEAR(C473),MONTH(C473),1),C473,Feriados!$A$2:$A$842)=1,S472,T472))</f>
        <v>0</v>
      </c>
      <c r="U473" s="26">
        <v>0</v>
      </c>
      <c r="V473" s="26">
        <v>0</v>
      </c>
      <c r="W473" s="15">
        <f t="shared" ref="W473" si="2260">SUM(G473+J473+M473+P473)</f>
        <v>10028259.2668282</v>
      </c>
      <c r="X473" s="50">
        <f>'Fluxo de Caixa_'!AD479</f>
        <v>0</v>
      </c>
      <c r="AB473" s="26">
        <v>6912.7497999999996</v>
      </c>
      <c r="AC473" s="26">
        <v>0</v>
      </c>
      <c r="AD473">
        <f>SUMIFS([1]Master!$J$2:$J$100,[1]Master!$A$2:$A$100,"="&amp;$I$12,[1]Master!$E$2:$E$100,"="&amp;C473,[1]Master!$J$2:$J$100,"&gt;"&amp;0)</f>
        <v>0</v>
      </c>
      <c r="AE473">
        <f ca="1">-SUMIF('[1]Fluxo de Movimentações'!$A$5:$F$10001,"="&amp;$C473,'[1]Fluxo de Movimentações'!$H$5:$H$10001)</f>
        <v>0</v>
      </c>
      <c r="AF473" s="26">
        <v>0</v>
      </c>
      <c r="AG473" s="26">
        <v>0</v>
      </c>
      <c r="AH473" s="26">
        <v>0</v>
      </c>
      <c r="AI473" s="26">
        <v>0</v>
      </c>
      <c r="AJ473" s="26">
        <v>-839.93</v>
      </c>
      <c r="AK473" s="68">
        <v>4.3921280999999999</v>
      </c>
      <c r="AL473" s="15">
        <f>-SUMIFS([1]Master!$J$1:$J$200,[1]Master!$A$1:$A$200,"="&amp;$I$12,[1]Master!$G$1:$G$200,"&gt;"&amp;C473,[1]Master!$E$1:$E$200,"&lt;="&amp;C473)</f>
        <v>0</v>
      </c>
      <c r="AM473" s="26">
        <v>0</v>
      </c>
      <c r="AN473" s="26">
        <v>0</v>
      </c>
    </row>
    <row r="474" spans="3:40">
      <c r="C474" s="1">
        <f>WORKDAY(C473,1,Feriados!A282:A1121)</f>
        <v>45546</v>
      </c>
      <c r="D474" s="39">
        <v>10055823.2051</v>
      </c>
      <c r="E474" s="32">
        <v>4.4028169999999998</v>
      </c>
      <c r="F474" s="88">
        <v>2283952.1146062999</v>
      </c>
      <c r="G474" s="15">
        <f t="shared" ref="G474" si="2261">H474*I474</f>
        <v>10027846.23587586</v>
      </c>
      <c r="H474" s="32">
        <v>1.119364</v>
      </c>
      <c r="I474" s="15">
        <f>SUMIFS([1]Master!$K$2:$K$10000,[1]Master!$A$2:$A$10000,$I$12,[1]Master!$F$2:$F$10000,"&lt;="&amp;$C474)</f>
        <v>8958521.299484225</v>
      </c>
      <c r="J474" s="15">
        <f t="shared" ref="J474" si="2262">K474*L474</f>
        <v>0</v>
      </c>
      <c r="K474" s="43">
        <v>0</v>
      </c>
      <c r="L474" s="40">
        <v>0</v>
      </c>
      <c r="M474" s="15">
        <f t="shared" ref="M474" si="2263">N474*O474</f>
        <v>0</v>
      </c>
      <c r="N474" s="32">
        <v>0</v>
      </c>
      <c r="O474" s="40">
        <v>0</v>
      </c>
      <c r="P474" s="15">
        <f t="shared" ref="P474" si="2264">R474*Q474</f>
        <v>26306.240418623856</v>
      </c>
      <c r="Q474" s="32">
        <v>4.3985202000000001</v>
      </c>
      <c r="R474" s="40">
        <v>5980.7024231976602</v>
      </c>
      <c r="S474" s="15">
        <f t="shared" ref="S474" si="2265">(((1+1.35%)^(1/252))-1)*D473+SUM(S473)</f>
        <v>4295.5941469325262</v>
      </c>
      <c r="T474" s="15">
        <f>IF((NETWORKDAYS(DATE(YEAR(C474),MONTH(C474),1),C474,Feriados!$A$2:$A$842))&gt;=5,0,IF(NETWORKDAYS(DATE(YEAR(C474),MONTH(C474),1),C474,Feriados!$A$2:$A$842)=1,S473,T473))</f>
        <v>0</v>
      </c>
      <c r="U474" s="26">
        <v>0</v>
      </c>
      <c r="V474" s="26">
        <v>0</v>
      </c>
      <c r="W474" s="15">
        <f t="shared" ref="W474" si="2266">SUM(G474+J474+M474+P474)</f>
        <v>10054152.476294484</v>
      </c>
      <c r="X474" s="50">
        <f>'Fluxo de Caixa_'!AD480</f>
        <v>0</v>
      </c>
      <c r="AB474" s="26">
        <v>6864.2151000000003</v>
      </c>
      <c r="AC474" s="26">
        <v>0</v>
      </c>
      <c r="AD474">
        <f>SUMIFS([1]Master!$J$2:$J$100,[1]Master!$A$2:$A$100,"="&amp;$I$12,[1]Master!$E$2:$E$100,"="&amp;C474,[1]Master!$J$2:$J$100,"&gt;"&amp;0)</f>
        <v>0</v>
      </c>
      <c r="AE474">
        <f ca="1">-SUMIF('[1]Fluxo de Movimentações'!$A$5:$F$10001,"="&amp;$C474,'[1]Fluxo de Movimentações'!$H$5:$H$10001)</f>
        <v>0</v>
      </c>
      <c r="AF474" s="26">
        <v>0</v>
      </c>
      <c r="AG474" s="26">
        <v>0</v>
      </c>
      <c r="AH474" s="26">
        <v>0</v>
      </c>
      <c r="AI474" s="26">
        <v>0</v>
      </c>
      <c r="AJ474" s="26">
        <v>-897.94</v>
      </c>
      <c r="AK474" s="68">
        <v>4.4032102000000002</v>
      </c>
      <c r="AL474" s="15">
        <f>-SUMIFS([1]Master!$J$1:$J$200,[1]Master!$A$1:$A$200,"="&amp;$I$12,[1]Master!$G$1:$G$200,"&gt;"&amp;C474,[1]Master!$E$1:$E$200,"&lt;="&amp;C474)</f>
        <v>0</v>
      </c>
      <c r="AM474" s="26">
        <v>0</v>
      </c>
      <c r="AN474" s="26">
        <v>0</v>
      </c>
    </row>
    <row r="475" spans="3:40">
      <c r="C475" s="1">
        <f>WORKDAY(C474,1,Feriados!A283:A1122)</f>
        <v>45547</v>
      </c>
      <c r="D475" s="39">
        <v>9993628.8804000001</v>
      </c>
      <c r="E475" s="32">
        <v>4.3755860000000002</v>
      </c>
      <c r="F475" s="88">
        <v>2283952.1146062999</v>
      </c>
      <c r="G475" s="15">
        <f t="shared" ref="G475" si="2267">H475*I475</f>
        <v>9966062.8978818376</v>
      </c>
      <c r="H475" s="32">
        <v>1.1124674000000001</v>
      </c>
      <c r="I475" s="15">
        <f>SUMIFS([1]Master!$K$2:$K$10000,[1]Master!$A$2:$A$10000,$I$12,[1]Master!$F$2:$F$10000,"&lt;="&amp;$C475)</f>
        <v>8958521.299484225</v>
      </c>
      <c r="J475" s="15">
        <f t="shared" ref="J475" si="2268">K475*L475</f>
        <v>0</v>
      </c>
      <c r="K475" s="43">
        <v>0</v>
      </c>
      <c r="L475" s="40">
        <v>0</v>
      </c>
      <c r="M475" s="15">
        <f t="shared" ref="M475" si="2269">N475*O475</f>
        <v>0</v>
      </c>
      <c r="N475" s="32">
        <v>0</v>
      </c>
      <c r="O475" s="40">
        <v>0</v>
      </c>
      <c r="P475" s="15">
        <f t="shared" ref="P475" si="2270">R475*Q475</f>
        <v>26316.419574148138</v>
      </c>
      <c r="Q475" s="32">
        <v>4.4002222</v>
      </c>
      <c r="R475" s="40">
        <v>5980.7024231976602</v>
      </c>
      <c r="S475" s="15">
        <f t="shared" ref="S475" si="2271">(((1+1.35%)^(1/252))-1)*D474+SUM(S474)</f>
        <v>4830.7093399243013</v>
      </c>
      <c r="T475" s="15">
        <f>IF((NETWORKDAYS(DATE(YEAR(C475),MONTH(C475),1),C475,Feriados!$A$2:$A$842))&gt;=5,0,IF(NETWORKDAYS(DATE(YEAR(C475),MONTH(C475),1),C475,Feriados!$A$2:$A$842)=1,S474,T474))</f>
        <v>0</v>
      </c>
      <c r="U475" s="26">
        <v>0</v>
      </c>
      <c r="V475" s="26">
        <v>0</v>
      </c>
      <c r="W475" s="15">
        <f t="shared" ref="W475" si="2272">SUM(G475+J475+M475+P475)</f>
        <v>9992379.3174559865</v>
      </c>
      <c r="X475" s="50">
        <f>'Fluxo de Caixa_'!AD481</f>
        <v>0</v>
      </c>
      <c r="AB475" s="26">
        <v>6815.6804000000002</v>
      </c>
      <c r="AC475" s="26">
        <v>0</v>
      </c>
      <c r="AD475">
        <f>SUMIFS([1]Master!$J$2:$J$100,[1]Master!$A$2:$A$100,"="&amp;$I$12,[1]Master!$E$2:$E$100,"="&amp;C475,[1]Master!$J$2:$J$100,"&gt;"&amp;0)</f>
        <v>0</v>
      </c>
      <c r="AE475">
        <f ca="1">-SUMIF('[1]Fluxo de Movimentações'!$A$5:$F$10001,"="&amp;$C475,'[1]Fluxo de Movimentações'!$H$5:$H$10001)</f>
        <v>0</v>
      </c>
      <c r="AF475" s="26">
        <v>0</v>
      </c>
      <c r="AG475" s="26">
        <v>0</v>
      </c>
      <c r="AH475" s="26">
        <v>0</v>
      </c>
      <c r="AI475" s="26">
        <v>0</v>
      </c>
      <c r="AJ475" s="26">
        <v>-735.46</v>
      </c>
      <c r="AK475" s="68">
        <v>4.3759079999999999</v>
      </c>
      <c r="AL475" s="15">
        <f>-SUMIFS([1]Master!$J$1:$J$200,[1]Master!$A$1:$A$200,"="&amp;$I$12,[1]Master!$G$1:$G$200,"&gt;"&amp;C475,[1]Master!$E$1:$E$200,"&lt;="&amp;C475)</f>
        <v>0</v>
      </c>
      <c r="AM475" s="26">
        <v>0</v>
      </c>
      <c r="AN475" s="26">
        <v>0</v>
      </c>
    </row>
    <row r="476" spans="3:40">
      <c r="C476" s="1">
        <f>WORKDAY(C475,1,Feriados!A284:A1123)</f>
        <v>45548</v>
      </c>
      <c r="D476" s="39">
        <v>10104996.3357</v>
      </c>
      <c r="E476" s="32">
        <v>4.4243468000000004</v>
      </c>
      <c r="F476" s="88">
        <v>2283952.1146062999</v>
      </c>
      <c r="G476" s="15">
        <f t="shared" ref="G476" si="2273">H476*I476</f>
        <v>10078275.543974917</v>
      </c>
      <c r="H476" s="32">
        <v>1.1249932</v>
      </c>
      <c r="I476" s="15">
        <f>SUMIFS([1]Master!$K$2:$K$10000,[1]Master!$A$2:$A$10000,$I$12,[1]Master!$F$2:$F$10000,"&lt;="&amp;$C476)</f>
        <v>8958521.299484225</v>
      </c>
      <c r="J476" s="15">
        <f t="shared" ref="J476" si="2274">K476*L476</f>
        <v>0</v>
      </c>
      <c r="K476" s="43">
        <v>0</v>
      </c>
      <c r="L476" s="40">
        <v>0</v>
      </c>
      <c r="M476" s="15">
        <f t="shared" ref="M476" si="2275">N476*O476</f>
        <v>0</v>
      </c>
      <c r="N476" s="32">
        <v>0</v>
      </c>
      <c r="O476" s="40">
        <v>0</v>
      </c>
      <c r="P476" s="15">
        <f t="shared" ref="P476" si="2276">R476*Q476</f>
        <v>26326.599327742664</v>
      </c>
      <c r="Q476" s="32">
        <v>4.4019243000000001</v>
      </c>
      <c r="R476" s="40">
        <v>5980.7024231976602</v>
      </c>
      <c r="S476" s="15">
        <f t="shared" ref="S476" si="2277">(((1+1.35%)^(1/252))-1)*D475+SUM(S475)</f>
        <v>5362.5148955660525</v>
      </c>
      <c r="T476" s="15">
        <f>IF((NETWORKDAYS(DATE(YEAR(C476),MONTH(C476),1),C476,Feriados!$A$2:$A$842))&gt;=5,0,IF(NETWORKDAYS(DATE(YEAR(C476),MONTH(C476),1),C476,Feriados!$A$2:$A$842)=1,S475,T475))</f>
        <v>0</v>
      </c>
      <c r="U476" s="26">
        <v>0</v>
      </c>
      <c r="V476" s="26">
        <v>0</v>
      </c>
      <c r="W476" s="15">
        <f t="shared" ref="W476" si="2278">SUM(G476+J476+M476+P476)</f>
        <v>10104602.14330266</v>
      </c>
      <c r="X476" s="50">
        <f>'Fluxo de Caixa_'!AD482</f>
        <v>0</v>
      </c>
      <c r="AB476" s="26">
        <v>6767.1457</v>
      </c>
      <c r="AC476" s="26">
        <v>0</v>
      </c>
      <c r="AD476">
        <f>SUMIFS([1]Master!$J$2:$J$100,[1]Master!$A$2:$A$100,"="&amp;$I$12,[1]Master!$E$2:$E$100,"="&amp;C476,[1]Master!$J$2:$J$100,"&gt;"&amp;0)</f>
        <v>0</v>
      </c>
      <c r="AE476">
        <f ca="1">-SUMIF('[1]Fluxo de Movimentações'!$A$5:$F$10001,"="&amp;$C476,'[1]Fluxo de Movimentações'!$H$5:$H$10001)</f>
        <v>0</v>
      </c>
      <c r="AF476" s="26">
        <v>0</v>
      </c>
      <c r="AG476" s="26">
        <v>0</v>
      </c>
      <c r="AH476" s="26">
        <v>0</v>
      </c>
      <c r="AI476" s="26">
        <v>0</v>
      </c>
      <c r="AJ476" s="26">
        <v>-1010.49</v>
      </c>
      <c r="AK476" s="68">
        <v>4.4247892999999996</v>
      </c>
      <c r="AL476" s="15">
        <f>-SUMIFS([1]Master!$J$1:$J$200,[1]Master!$A$1:$A$200,"="&amp;$I$12,[1]Master!$G$1:$G$200,"&gt;"&amp;C476,[1]Master!$E$1:$E$200,"&lt;="&amp;C476)</f>
        <v>0</v>
      </c>
      <c r="AM476" s="26">
        <v>0</v>
      </c>
      <c r="AN476" s="26">
        <v>0</v>
      </c>
    </row>
    <row r="477" spans="3:40">
      <c r="C477" s="1">
        <f>WORKDAY(C476,1,Feriados!A285:A1124)</f>
        <v>45551</v>
      </c>
      <c r="D477" s="39">
        <v>10082407.450999999</v>
      </c>
      <c r="E477" s="32">
        <v>4.4144566000000003</v>
      </c>
      <c r="F477" s="88">
        <v>2283952.1146062999</v>
      </c>
      <c r="G477" s="15">
        <f t="shared" ref="G477" si="2279">H477*I477</f>
        <v>10056199.955788728</v>
      </c>
      <c r="H477" s="32">
        <v>1.1225290000000001</v>
      </c>
      <c r="I477" s="15">
        <f>SUMIFS([1]Master!$K$2:$K$10000,[1]Master!$A$2:$A$10000,$I$12,[1]Master!$F$2:$F$10000,"&lt;="&amp;$C477)</f>
        <v>8958521.299484225</v>
      </c>
      <c r="J477" s="15">
        <f t="shared" ref="J477" si="2280">K477*L477</f>
        <v>0</v>
      </c>
      <c r="K477" s="43">
        <v>0</v>
      </c>
      <c r="L477" s="40">
        <v>0</v>
      </c>
      <c r="M477" s="15">
        <f t="shared" ref="M477" si="2281">N477*O477</f>
        <v>0</v>
      </c>
      <c r="N477" s="32">
        <v>0</v>
      </c>
      <c r="O477" s="40">
        <v>0</v>
      </c>
      <c r="P477" s="15">
        <f t="shared" ref="P477" si="2282">R477*Q477</f>
        <v>26336.910058720259</v>
      </c>
      <c r="Q477" s="32">
        <v>4.4036483000000004</v>
      </c>
      <c r="R477" s="40">
        <v>5980.7024231976602</v>
      </c>
      <c r="S477" s="15">
        <f t="shared" ref="S477" si="2283">(((1+1.35%)^(1/252))-1)*D476+SUM(S476)</f>
        <v>5900.2468101065597</v>
      </c>
      <c r="T477" s="15">
        <f>IF((NETWORKDAYS(DATE(YEAR(C477),MONTH(C477),1),C477,Feriados!$A$2:$A$842))&gt;=5,0,IF(NETWORKDAYS(DATE(YEAR(C477),MONTH(C477),1),C477,Feriados!$A$2:$A$842)=1,S476,T476))</f>
        <v>0</v>
      </c>
      <c r="U477" s="26">
        <v>0</v>
      </c>
      <c r="V477" s="26">
        <v>0</v>
      </c>
      <c r="W477" s="15">
        <f t="shared" ref="W477" si="2284">SUM(G477+J477+M477+P477)</f>
        <v>10082536.865847448</v>
      </c>
      <c r="X477" s="50">
        <f>'Fluxo de Caixa_'!AD483</f>
        <v>0</v>
      </c>
      <c r="AB477" s="26">
        <v>6718.6109999999999</v>
      </c>
      <c r="AC477" s="26">
        <v>0</v>
      </c>
      <c r="AD477">
        <f>SUMIFS([1]Master!$J$2:$J$100,[1]Master!$A$2:$A$100,"="&amp;$I$12,[1]Master!$E$2:$E$100,"="&amp;C477,[1]Master!$J$2:$J$100,"&gt;"&amp;0)</f>
        <v>0</v>
      </c>
      <c r="AE477">
        <f ca="1">-SUMIF('[1]Fluxo de Movimentações'!$A$5:$F$10001,"="&amp;$C477,'[1]Fluxo de Movimentações'!$H$5:$H$10001)</f>
        <v>0</v>
      </c>
      <c r="AF477" s="26">
        <v>0</v>
      </c>
      <c r="AG477" s="26">
        <v>0</v>
      </c>
      <c r="AH477" s="26">
        <v>0</v>
      </c>
      <c r="AI477" s="26">
        <v>0</v>
      </c>
      <c r="AJ477" s="26">
        <v>-947.84</v>
      </c>
      <c r="AK477" s="68">
        <v>4.4148715999999997</v>
      </c>
      <c r="AL477" s="15">
        <f>-SUMIFS([1]Master!$J$1:$J$200,[1]Master!$A$1:$A$200,"="&amp;$I$12,[1]Master!$G$1:$G$200,"&gt;"&amp;C477,[1]Master!$E$1:$E$200,"&lt;="&amp;C477)</f>
        <v>0</v>
      </c>
      <c r="AM477" s="26">
        <v>0</v>
      </c>
      <c r="AN477" s="26">
        <v>0</v>
      </c>
    </row>
    <row r="478" spans="3:40">
      <c r="C478" s="1">
        <f>WORKDAY(C477,1,Feriados!A286:A1125)</f>
        <v>45552</v>
      </c>
      <c r="D478" s="39">
        <v>10123672.2663</v>
      </c>
      <c r="E478" s="32">
        <v>4.4325238999999996</v>
      </c>
      <c r="F478" s="88">
        <v>2283952.1146062999</v>
      </c>
      <c r="G478" s="15">
        <f t="shared" ref="G478" si="2285">H478*I478</f>
        <v>10098131.210583095</v>
      </c>
      <c r="H478" s="32">
        <v>1.1272096</v>
      </c>
      <c r="I478" s="15">
        <f>SUMIFS([1]Master!$K$2:$K$10000,[1]Master!$A$2:$A$10000,$I$12,[1]Master!$F$2:$F$10000,"&lt;="&amp;$C478)</f>
        <v>8958521.299484225</v>
      </c>
      <c r="J478" s="15">
        <f t="shared" ref="J478" si="2286">K478*L478</f>
        <v>0</v>
      </c>
      <c r="K478" s="43">
        <v>0</v>
      </c>
      <c r="L478" s="40">
        <v>0</v>
      </c>
      <c r="M478" s="15">
        <f t="shared" ref="M478" si="2287">N478*O478</f>
        <v>0</v>
      </c>
      <c r="N478" s="32">
        <v>0</v>
      </c>
      <c r="O478" s="40">
        <v>0</v>
      </c>
      <c r="P478" s="15">
        <f t="shared" ref="P478" si="2288">R478*Q478</f>
        <v>26347.087420033815</v>
      </c>
      <c r="Q478" s="32">
        <v>4.4053500000000003</v>
      </c>
      <c r="R478" s="40">
        <v>5980.7024231976602</v>
      </c>
      <c r="S478" s="15">
        <f t="shared" ref="S478" si="2289">(((1+1.35%)^(1/252))-1)*D477+SUM(S477)</f>
        <v>6436.7766693653493</v>
      </c>
      <c r="T478" s="15">
        <f>IF((NETWORKDAYS(DATE(YEAR(C478),MONTH(C478),1),C478,Feriados!$A$2:$A$842))&gt;=5,0,IF(NETWORKDAYS(DATE(YEAR(C478),MONTH(C478),1),C478,Feriados!$A$2:$A$842)=1,S477,T477))</f>
        <v>0</v>
      </c>
      <c r="U478" s="26">
        <v>0</v>
      </c>
      <c r="V478" s="26">
        <v>0</v>
      </c>
      <c r="W478" s="15">
        <f t="shared" ref="W478" si="2290">SUM(G478+J478+M478+P478)</f>
        <v>10124478.298003128</v>
      </c>
      <c r="X478" s="50">
        <f>'Fluxo de Caixa_'!AD484</f>
        <v>0</v>
      </c>
      <c r="AB478" s="26">
        <v>6670.0762999999997</v>
      </c>
      <c r="AC478" s="26">
        <v>0</v>
      </c>
      <c r="AD478">
        <f>SUMIFS([1]Master!$J$2:$J$100,[1]Master!$A$2:$A$100,"="&amp;$I$12,[1]Master!$E$2:$E$100,"="&amp;C478,[1]Master!$J$2:$J$100,"&gt;"&amp;0)</f>
        <v>0</v>
      </c>
      <c r="AE478">
        <f ca="1">-SUMIF('[1]Fluxo de Movimentações'!$A$5:$F$10001,"="&amp;$C478,'[1]Fluxo de Movimentações'!$H$5:$H$10001)</f>
        <v>0</v>
      </c>
      <c r="AF478" s="26">
        <v>0</v>
      </c>
      <c r="AG478" s="26">
        <v>0</v>
      </c>
      <c r="AH478" s="26">
        <v>0</v>
      </c>
      <c r="AI478" s="26">
        <v>0</v>
      </c>
      <c r="AJ478" s="26">
        <v>-1039.4000000000001</v>
      </c>
      <c r="AK478" s="68">
        <v>4.4329789999999996</v>
      </c>
      <c r="AL478" s="15">
        <f>-SUMIFS([1]Master!$J$1:$J$200,[1]Master!$A$1:$A$200,"="&amp;$I$12,[1]Master!$G$1:$G$200,"&gt;"&amp;C478,[1]Master!$E$1:$E$200,"&lt;="&amp;C478)</f>
        <v>0</v>
      </c>
      <c r="AM478" s="26">
        <v>0</v>
      </c>
      <c r="AN478" s="26">
        <v>0</v>
      </c>
    </row>
    <row r="479" spans="3:40">
      <c r="C479" s="1">
        <f>WORKDAY(C478,1,Feriados!A287:A1126)</f>
        <v>45553</v>
      </c>
      <c r="D479" s="39">
        <v>10107692.921599999</v>
      </c>
      <c r="E479" s="32">
        <v>4.4255275000000003</v>
      </c>
      <c r="F479" s="88">
        <v>2283952.1146062999</v>
      </c>
      <c r="G479" s="15">
        <f t="shared" ref="G479" si="2291">H479*I479</f>
        <v>10082675.969637223</v>
      </c>
      <c r="H479" s="32">
        <v>1.1254843999999999</v>
      </c>
      <c r="I479" s="15">
        <f>SUMIFS([1]Master!$K$2:$K$10000,[1]Master!$A$2:$A$10000,$I$12,[1]Master!$F$2:$F$10000,"&lt;="&amp;$C479)</f>
        <v>8958521.299484225</v>
      </c>
      <c r="J479" s="15">
        <f t="shared" ref="J479" si="2292">K479*L479</f>
        <v>0</v>
      </c>
      <c r="K479" s="43">
        <v>0</v>
      </c>
      <c r="L479" s="40">
        <v>0</v>
      </c>
      <c r="M479" s="15">
        <f t="shared" ref="M479" si="2293">N479*O479</f>
        <v>0</v>
      </c>
      <c r="N479" s="32">
        <v>0</v>
      </c>
      <c r="O479" s="40">
        <v>0</v>
      </c>
      <c r="P479" s="15">
        <f t="shared" ref="P479" si="2294">R479*Q479</f>
        <v>26357.51357856817</v>
      </c>
      <c r="Q479" s="32">
        <v>4.4070932999999997</v>
      </c>
      <c r="R479" s="40">
        <v>5980.7024231976602</v>
      </c>
      <c r="S479" s="15">
        <f t="shared" ref="S479" si="2295">(((1+1.35%)^(1/252))-1)*D478+SUM(S478)</f>
        <v>6975.5024134515324</v>
      </c>
      <c r="T479" s="15">
        <f>IF((NETWORKDAYS(DATE(YEAR(C479),MONTH(C479),1),C479,Feriados!$A$2:$A$842))&gt;=5,0,IF(NETWORKDAYS(DATE(YEAR(C479),MONTH(C479),1),C479,Feriados!$A$2:$A$842)=1,S478,T478))</f>
        <v>0</v>
      </c>
      <c r="U479" s="26">
        <v>0</v>
      </c>
      <c r="V479" s="26">
        <v>0</v>
      </c>
      <c r="W479" s="15">
        <f t="shared" ref="W479" si="2296">SUM(G479+J479+M479+P479)</f>
        <v>10109033.48321579</v>
      </c>
      <c r="X479" s="50">
        <f>'Fluxo de Caixa_'!AD485</f>
        <v>0</v>
      </c>
      <c r="AB479" s="26">
        <v>6621.5415999999996</v>
      </c>
      <c r="AC479" s="26">
        <v>0</v>
      </c>
      <c r="AD479">
        <f>SUMIFS([1]Master!$J$2:$J$100,[1]Master!$A$2:$A$100,"="&amp;$I$12,[1]Master!$E$2:$E$100,"="&amp;C479,[1]Master!$J$2:$J$100,"&gt;"&amp;0)</f>
        <v>0</v>
      </c>
      <c r="AE479">
        <f ca="1">-SUMIF('[1]Fluxo de Movimentações'!$A$5:$F$10001,"="&amp;$C479,'[1]Fluxo de Movimentações'!$H$5:$H$10001)</f>
        <v>0</v>
      </c>
      <c r="AF479" s="26">
        <v>0</v>
      </c>
      <c r="AG479" s="26">
        <v>0</v>
      </c>
      <c r="AH479" s="26">
        <v>0</v>
      </c>
      <c r="AI479" s="26">
        <v>0</v>
      </c>
      <c r="AJ479" s="26">
        <v>-986.67</v>
      </c>
      <c r="AK479" s="68">
        <v>4.4259595000000003</v>
      </c>
      <c r="AL479" s="15">
        <f>-SUMIFS([1]Master!$J$1:$J$200,[1]Master!$A$1:$A$200,"="&amp;$I$12,[1]Master!$G$1:$G$200,"&gt;"&amp;C479,[1]Master!$E$1:$E$200,"&lt;="&amp;C479)</f>
        <v>0</v>
      </c>
      <c r="AM479" s="26">
        <v>0</v>
      </c>
      <c r="AN479" s="26">
        <v>0</v>
      </c>
    </row>
    <row r="480" spans="3:40">
      <c r="C480" s="1">
        <f>WORKDAY(C479,1,Feriados!A288:A1127)</f>
        <v>45554</v>
      </c>
      <c r="D480" s="39">
        <v>9972935.9268999994</v>
      </c>
      <c r="E480" s="32">
        <v>4.3665257999999998</v>
      </c>
      <c r="F480" s="88">
        <v>2283952.1146062999</v>
      </c>
      <c r="G480" s="15">
        <f t="shared" ref="G480" si="2297">H480*I480</f>
        <v>9948142.2718743496</v>
      </c>
      <c r="H480" s="32">
        <v>1.1104670000000001</v>
      </c>
      <c r="I480" s="15">
        <f>SUMIFS([1]Master!$K$2:$K$10000,[1]Master!$A$2:$A$10000,$I$12,[1]Master!$F$2:$F$10000,"&lt;="&amp;$C480)</f>
        <v>8958521.299484225</v>
      </c>
      <c r="J480" s="15">
        <f t="shared" ref="J480" si="2298">K480*L480</f>
        <v>0</v>
      </c>
      <c r="K480" s="43">
        <v>0</v>
      </c>
      <c r="L480" s="40">
        <v>0</v>
      </c>
      <c r="M480" s="15">
        <f t="shared" ref="M480" si="2299">N480*O480</f>
        <v>0</v>
      </c>
      <c r="N480" s="32">
        <v>0</v>
      </c>
      <c r="O480" s="40">
        <v>0</v>
      </c>
      <c r="P480" s="15">
        <f t="shared" ref="P480" si="2300">R480*Q480</f>
        <v>26368.399653118875</v>
      </c>
      <c r="Q480" s="32">
        <v>4.4089134999999997</v>
      </c>
      <c r="R480" s="40">
        <v>5980.7024231976602</v>
      </c>
      <c r="S480" s="15">
        <f t="shared" ref="S480" si="2301">(((1+1.35%)^(1/252))-1)*D479+SUM(S479)</f>
        <v>7513.3778253522132</v>
      </c>
      <c r="T480" s="15">
        <f>IF((NETWORKDAYS(DATE(YEAR(C480),MONTH(C480),1),C480,Feriados!$A$2:$A$842))&gt;=5,0,IF(NETWORKDAYS(DATE(YEAR(C480),MONTH(C480),1),C480,Feriados!$A$2:$A$842)=1,S479,T479))</f>
        <v>0</v>
      </c>
      <c r="U480" s="26">
        <v>0</v>
      </c>
      <c r="V480" s="26">
        <v>0</v>
      </c>
      <c r="W480" s="15">
        <f t="shared" ref="W480" si="2302">SUM(G480+J480+M480+P480)</f>
        <v>9974510.6715274677</v>
      </c>
      <c r="X480" s="50">
        <f>'Fluxo de Caixa_'!AD486</f>
        <v>0</v>
      </c>
      <c r="AB480" s="26">
        <v>6573.0069000000003</v>
      </c>
      <c r="AC480" s="26">
        <v>0</v>
      </c>
      <c r="AD480">
        <f>SUMIFS([1]Master!$J$2:$J$100,[1]Master!$A$2:$A$100,"="&amp;$I$12,[1]Master!$E$2:$E$100,"="&amp;C480,[1]Master!$J$2:$J$100,"&gt;"&amp;0)</f>
        <v>0</v>
      </c>
      <c r="AE480">
        <f ca="1">-SUMIF('[1]Fluxo de Movimentações'!$A$5:$F$10001,"="&amp;$C480,'[1]Fluxo de Movimentações'!$H$5:$H$10001)</f>
        <v>0</v>
      </c>
      <c r="AF480" s="26">
        <v>0</v>
      </c>
      <c r="AG480" s="26">
        <v>0</v>
      </c>
      <c r="AH480" s="26">
        <v>0</v>
      </c>
      <c r="AI480" s="26">
        <v>0</v>
      </c>
      <c r="AJ480" s="26">
        <v>-634.45000000000005</v>
      </c>
      <c r="AK480" s="68">
        <v>4.3668035999999999</v>
      </c>
      <c r="AL480" s="15">
        <f>-SUMIFS([1]Master!$J$1:$J$200,[1]Master!$A$1:$A$200,"="&amp;$I$12,[1]Master!$G$1:$G$200,"&gt;"&amp;C480,[1]Master!$E$1:$E$200,"&lt;="&amp;C480)</f>
        <v>0</v>
      </c>
      <c r="AM480" s="26">
        <v>0</v>
      </c>
      <c r="AN480" s="26">
        <v>0</v>
      </c>
    </row>
    <row r="481" spans="3:40">
      <c r="C481" s="1">
        <f>WORKDAY(C480,1,Feriados!A289:A1128)</f>
        <v>45555</v>
      </c>
      <c r="D481" s="39">
        <v>9713862.2821999993</v>
      </c>
      <c r="E481" s="32">
        <v>4.2530937</v>
      </c>
      <c r="F481" s="88">
        <v>2283952.1146062999</v>
      </c>
      <c r="G481" s="15">
        <f t="shared" ref="G481" si="2303">H481*I481</f>
        <v>9689002.7096526884</v>
      </c>
      <c r="H481" s="32">
        <v>1.0815404</v>
      </c>
      <c r="I481" s="15">
        <f>SUMIFS([1]Master!$K$2:$K$10000,[1]Master!$A$2:$A$10000,$I$12,[1]Master!$F$2:$F$10000,"&lt;="&amp;$C481)</f>
        <v>8958521.299484225</v>
      </c>
      <c r="J481" s="15">
        <f t="shared" ref="J481" si="2304">K481*L481</f>
        <v>0</v>
      </c>
      <c r="K481" s="43">
        <v>0</v>
      </c>
      <c r="L481" s="40">
        <v>0</v>
      </c>
      <c r="M481" s="15">
        <f t="shared" ref="M481" si="2305">N481*O481</f>
        <v>0</v>
      </c>
      <c r="N481" s="32">
        <v>0</v>
      </c>
      <c r="O481" s="40">
        <v>0</v>
      </c>
      <c r="P481" s="15">
        <f t="shared" ref="P481" si="2306">R481*Q481</f>
        <v>26379.104512386159</v>
      </c>
      <c r="Q481" s="32">
        <v>4.4107034000000001</v>
      </c>
      <c r="R481" s="40">
        <v>5980.7024231976602</v>
      </c>
      <c r="S481" s="15">
        <f t="shared" ref="S481" si="2307">(((1+1.35%)^(1/252))-1)*D480+SUM(S480)</f>
        <v>8044.0822166656071</v>
      </c>
      <c r="T481" s="15">
        <f>IF((NETWORKDAYS(DATE(YEAR(C481),MONTH(C481),1),C481,Feriados!$A$2:$A$842))&gt;=5,0,IF(NETWORKDAYS(DATE(YEAR(C481),MONTH(C481),1),C481,Feriados!$A$2:$A$842)=1,S480,T480))</f>
        <v>0</v>
      </c>
      <c r="U481" s="26">
        <v>0</v>
      </c>
      <c r="V481" s="26">
        <v>0</v>
      </c>
      <c r="W481" s="15">
        <f t="shared" ref="W481" si="2308">SUM(G481+J481+M481+P481)</f>
        <v>9715381.8141650744</v>
      </c>
      <c r="X481" s="50">
        <f>'Fluxo de Caixa_'!AD487</f>
        <v>0</v>
      </c>
      <c r="AB481" s="26">
        <v>6524.4722000000002</v>
      </c>
      <c r="AC481" s="26">
        <v>0</v>
      </c>
      <c r="AD481">
        <f>SUMIFS([1]Master!$J$2:$J$100,[1]Master!$A$2:$A$100,"="&amp;$I$12,[1]Master!$E$2:$E$100,"="&amp;C481,[1]Master!$J$2:$J$100,"&gt;"&amp;0)</f>
        <v>0</v>
      </c>
      <c r="AE481">
        <f ca="1">-SUMIF('[1]Fluxo de Movimentações'!$A$5:$F$10001,"="&amp;$C481,'[1]Fluxo de Movimentações'!$H$5:$H$10001)</f>
        <v>0</v>
      </c>
      <c r="AF481" s="26">
        <v>0</v>
      </c>
      <c r="AG481" s="26">
        <v>0</v>
      </c>
      <c r="AH481" s="26">
        <v>0</v>
      </c>
      <c r="AI481" s="26">
        <v>0</v>
      </c>
      <c r="AJ481" s="26">
        <v>0</v>
      </c>
      <c r="AK481" s="68">
        <v>4.2530937</v>
      </c>
      <c r="AL481" s="15">
        <f>-SUMIFS([1]Master!$J$1:$J$200,[1]Master!$A$1:$A$200,"="&amp;$I$12,[1]Master!$G$1:$G$200,"&gt;"&amp;C481,[1]Master!$E$1:$E$200,"&lt;="&amp;C481)</f>
        <v>0</v>
      </c>
      <c r="AM481" s="26">
        <v>0</v>
      </c>
      <c r="AN481" s="26">
        <v>0</v>
      </c>
    </row>
    <row r="482" spans="3:40">
      <c r="C482" s="1">
        <f>WORKDAY(C481,1,Feriados!A290:A1129)</f>
        <v>45558</v>
      </c>
      <c r="D482" s="39">
        <v>9612777.5075000003</v>
      </c>
      <c r="E482" s="32">
        <v>4.2088349999999997</v>
      </c>
      <c r="F482" s="88">
        <v>2283952.1146062999</v>
      </c>
      <c r="G482" s="15">
        <f t="shared" ref="G482" si="2309">H482*I482</f>
        <v>9588472.8711862676</v>
      </c>
      <c r="H482" s="32">
        <v>1.0703187000000001</v>
      </c>
      <c r="I482" s="15">
        <f>SUMIFS([1]Master!$K$2:$K$10000,[1]Master!$A$2:$A$10000,$I$12,[1]Master!$F$2:$F$10000,"&lt;="&amp;$C482)</f>
        <v>8958521.299484225</v>
      </c>
      <c r="J482" s="15">
        <f t="shared" ref="J482" si="2310">K482*L482</f>
        <v>0</v>
      </c>
      <c r="K482" s="43">
        <v>0</v>
      </c>
      <c r="L482" s="40">
        <v>0</v>
      </c>
      <c r="M482" s="15">
        <f t="shared" ref="M482" si="2311">N482*O482</f>
        <v>0</v>
      </c>
      <c r="N482" s="32">
        <v>0</v>
      </c>
      <c r="O482" s="40">
        <v>0</v>
      </c>
      <c r="P482" s="15">
        <f t="shared" ref="P482:P483" si="2312">R482*Q482</f>
        <v>26389.607821981779</v>
      </c>
      <c r="Q482" s="32">
        <v>4.4124596</v>
      </c>
      <c r="R482" s="40">
        <v>5980.7024231976602</v>
      </c>
      <c r="S482" s="15">
        <f t="shared" ref="S482" si="2313">(((1+1.35%)^(1/252))-1)*D481+SUM(S481)</f>
        <v>8561.0001441007971</v>
      </c>
      <c r="T482" s="15">
        <f>IF((NETWORKDAYS(DATE(YEAR(C482),MONTH(C482),1),C482,Feriados!$A$2:$A$842))&gt;=5,0,IF(NETWORKDAYS(DATE(YEAR(C482),MONTH(C482),1),C482,Feriados!$A$2:$A$842)=1,S481,T481))</f>
        <v>0</v>
      </c>
      <c r="U482" s="26">
        <v>0</v>
      </c>
      <c r="V482" s="26">
        <v>0</v>
      </c>
      <c r="W482" s="15">
        <f t="shared" ref="W482" si="2314">SUM(G482+J482+M482+P482)</f>
        <v>9614862.4790082499</v>
      </c>
      <c r="X482" s="50">
        <f>'Fluxo de Caixa_'!AD488</f>
        <v>0</v>
      </c>
      <c r="AB482" s="26">
        <v>6475.9375</v>
      </c>
      <c r="AC482" s="26">
        <v>0</v>
      </c>
      <c r="AD482">
        <f>SUMIFS([1]Master!$J$2:$J$100,[1]Master!$A$2:$A$100,"="&amp;$I$12,[1]Master!$E$2:$E$100,"="&amp;C482,[1]Master!$J$2:$J$100,"&gt;"&amp;0)</f>
        <v>0</v>
      </c>
      <c r="AE482">
        <f ca="1">-SUMIF('[1]Fluxo de Movimentações'!$A$5:$F$10001,"="&amp;$C482,'[1]Fluxo de Movimentações'!$H$5:$H$10001)</f>
        <v>0</v>
      </c>
      <c r="AF482" s="26">
        <v>0</v>
      </c>
      <c r="AG482" s="26">
        <v>0</v>
      </c>
      <c r="AH482" s="26">
        <v>0</v>
      </c>
      <c r="AI482" s="26">
        <v>0</v>
      </c>
      <c r="AJ482" s="26">
        <v>0</v>
      </c>
      <c r="AK482" s="68">
        <v>4.2088349999999997</v>
      </c>
      <c r="AL482" s="15">
        <f>-SUMIFS([1]Master!$J$1:$J$200,[1]Master!$A$1:$A$200,"="&amp;$I$12,[1]Master!$G$1:$G$200,"&gt;"&amp;C482,[1]Master!$E$1:$E$200,"&lt;="&amp;C482)</f>
        <v>0</v>
      </c>
      <c r="AM482" s="26">
        <v>0</v>
      </c>
      <c r="AN482" s="26">
        <v>0</v>
      </c>
    </row>
    <row r="483" spans="3:40">
      <c r="C483" s="1">
        <f>WORKDAY(C482,1,Feriados!A291:A1130)</f>
        <v>45559</v>
      </c>
      <c r="D483" s="39">
        <v>9717159.0427999999</v>
      </c>
      <c r="E483" s="32">
        <v>4.2545371000000003</v>
      </c>
      <c r="F483" s="88">
        <v>2283952.1146062999</v>
      </c>
      <c r="G483" s="15">
        <f t="shared" ref="G483" si="2315">H483*I483</f>
        <v>9693404.0311671253</v>
      </c>
      <c r="H483" s="32">
        <v>1.0820316999999999</v>
      </c>
      <c r="I483" s="15">
        <f>SUMIFS([1]Master!$K$2:$K$10000,[1]Master!$A$2:$A$10000,$I$12,[1]Master!$F$2:$F$10000,"&lt;="&amp;$C483)</f>
        <v>8958521.299484225</v>
      </c>
      <c r="J483" s="15">
        <f t="shared" ref="J483" si="2316">K483*L483</f>
        <v>0</v>
      </c>
      <c r="K483" s="43">
        <v>0</v>
      </c>
      <c r="L483" s="40">
        <v>0</v>
      </c>
      <c r="M483" s="15">
        <f t="shared" ref="M483" si="2317">N483*O483</f>
        <v>0</v>
      </c>
      <c r="N483" s="32">
        <v>0</v>
      </c>
      <c r="O483" s="40">
        <v>0</v>
      </c>
      <c r="P483" s="15">
        <f t="shared" si="2312"/>
        <v>26400.047138061473</v>
      </c>
      <c r="Q483" s="32">
        <v>4.4142051000000002</v>
      </c>
      <c r="R483" s="40">
        <v>5980.7024231976602</v>
      </c>
      <c r="S483" s="15">
        <f t="shared" ref="S483" si="2318">(((1+1.35%)^(1/252))-1)*D482+SUM(S482)</f>
        <v>9072.538899923793</v>
      </c>
      <c r="T483" s="15">
        <f>IF((NETWORKDAYS(DATE(YEAR(C483),MONTH(C483),1),C483,Feriados!$A$2:$A$842))&gt;=5,0,IF(NETWORKDAYS(DATE(YEAR(C483),MONTH(C483),1),C483,Feriados!$A$2:$A$842)=1,S482,T482))</f>
        <v>0</v>
      </c>
      <c r="U483" s="26">
        <v>0</v>
      </c>
      <c r="V483" s="26">
        <v>0</v>
      </c>
      <c r="W483" s="15">
        <f t="shared" ref="W483" si="2319">SUM(G483+J483+M483+P483)</f>
        <v>9719804.0783051867</v>
      </c>
      <c r="X483" s="50">
        <f>'Fluxo de Caixa_'!AD489</f>
        <v>0</v>
      </c>
      <c r="AB483" s="26">
        <v>6427.4027999999998</v>
      </c>
      <c r="AC483" s="26">
        <v>0</v>
      </c>
      <c r="AD483">
        <f>SUMIFS([1]Master!$J$2:$J$100,[1]Master!$A$2:$A$100,"="&amp;$I$12,[1]Master!$E$2:$E$100,"="&amp;C483,[1]Master!$J$2:$J$100,"&gt;"&amp;0)</f>
        <v>0</v>
      </c>
      <c r="AE483">
        <f ca="1">-SUMIF('[1]Fluxo de Movimentações'!$A$5:$F$10001,"="&amp;$C483,'[1]Fluxo de Movimentações'!$H$5:$H$10001)</f>
        <v>0</v>
      </c>
      <c r="AF483" s="26">
        <v>0</v>
      </c>
      <c r="AG483" s="26">
        <v>0</v>
      </c>
      <c r="AH483" s="26">
        <v>0</v>
      </c>
      <c r="AI483" s="26">
        <v>0</v>
      </c>
      <c r="AJ483" s="26">
        <v>0</v>
      </c>
      <c r="AK483" s="68">
        <v>4.2545371000000003</v>
      </c>
      <c r="AL483" s="15">
        <f>-SUMIFS([1]Master!$J$1:$J$200,[1]Master!$A$1:$A$200,"="&amp;$I$12,[1]Master!$G$1:$G$200,"&gt;"&amp;C483,[1]Master!$E$1:$E$200,"&lt;="&amp;C483)</f>
        <v>0</v>
      </c>
      <c r="AM483" s="26">
        <v>0</v>
      </c>
      <c r="AN483" s="26">
        <v>0</v>
      </c>
    </row>
    <row r="484" spans="3:40">
      <c r="C484" s="1">
        <f>WORKDAY(C483,1,Feriados!A292:A1131)</f>
        <v>45560</v>
      </c>
      <c r="D484" s="39">
        <v>9547607.2681000009</v>
      </c>
      <c r="E484" s="32">
        <v>4.180301</v>
      </c>
      <c r="F484" s="88">
        <v>2283952.1146062999</v>
      </c>
      <c r="G484" s="15">
        <f t="shared" ref="G484" si="2320">H484*I484</f>
        <v>9524406.9019651338</v>
      </c>
      <c r="H484" s="32">
        <v>1.0631672999999999</v>
      </c>
      <c r="I484" s="15">
        <f>SUMIFS([1]Master!$K$2:$K$10000,[1]Master!$A$2:$A$10000,$I$12,[1]Master!$F$2:$F$10000,"&lt;="&amp;$C484)</f>
        <v>8958521.299484225</v>
      </c>
      <c r="J484" s="15">
        <f t="shared" ref="J484" si="2321">K484*L484</f>
        <v>0</v>
      </c>
      <c r="K484" s="43">
        <v>0</v>
      </c>
      <c r="L484" s="40">
        <v>0</v>
      </c>
      <c r="M484" s="15">
        <f t="shared" ref="M484" si="2322">N484*O484</f>
        <v>0</v>
      </c>
      <c r="N484" s="32">
        <v>0</v>
      </c>
      <c r="O484" s="40">
        <v>0</v>
      </c>
      <c r="P484" s="15">
        <f t="shared" ref="P484" si="2323">R484*Q484</f>
        <v>26411.028903850944</v>
      </c>
      <c r="Q484" s="32">
        <v>4.4160412999999998</v>
      </c>
      <c r="R484" s="40">
        <v>5980.7024231976602</v>
      </c>
      <c r="S484" s="15">
        <f t="shared" ref="S484" si="2324">(((1+1.35%)^(1/252))-1)*D483+SUM(S483)</f>
        <v>9589.6322626912006</v>
      </c>
      <c r="T484" s="15">
        <f>IF((NETWORKDAYS(DATE(YEAR(C484),MONTH(C484),1),C484,Feriados!$A$2:$A$842))&gt;=5,0,IF(NETWORKDAYS(DATE(YEAR(C484),MONTH(C484),1),C484,Feriados!$A$2:$A$842)=1,S483,T483))</f>
        <v>0</v>
      </c>
      <c r="U484" s="26">
        <v>0</v>
      </c>
      <c r="V484" s="26">
        <v>0</v>
      </c>
      <c r="W484" s="15">
        <f t="shared" ref="W484" si="2325">SUM(G484+J484+M484+P484)</f>
        <v>9550817.9308689851</v>
      </c>
      <c r="X484" s="50">
        <f>'Fluxo de Caixa_'!AD490</f>
        <v>0</v>
      </c>
      <c r="AB484" s="26">
        <v>6378.8680999999997</v>
      </c>
      <c r="AC484" s="26">
        <v>0</v>
      </c>
      <c r="AD484">
        <f>SUMIFS([1]Master!$J$2:$J$100,[1]Master!$A$2:$A$100,"="&amp;$I$12,[1]Master!$E$2:$E$100,"="&amp;C484,[1]Master!$J$2:$J$100,"&gt;"&amp;0)</f>
        <v>0</v>
      </c>
      <c r="AE484">
        <f ca="1">-SUMIF('[1]Fluxo de Movimentações'!$A$5:$F$10001,"="&amp;$C484,'[1]Fluxo de Movimentações'!$H$5:$H$10001)</f>
        <v>0</v>
      </c>
      <c r="AF484" s="26">
        <v>0</v>
      </c>
      <c r="AG484" s="26">
        <v>0</v>
      </c>
      <c r="AH484" s="26">
        <v>0</v>
      </c>
      <c r="AI484" s="26">
        <v>0</v>
      </c>
      <c r="AJ484" s="26">
        <v>0</v>
      </c>
      <c r="AK484" s="68">
        <v>4.180301</v>
      </c>
      <c r="AL484" s="15">
        <f>-SUMIFS([1]Master!$J$1:$J$200,[1]Master!$A$1:$A$200,"="&amp;$I$12,[1]Master!$G$1:$G$200,"&gt;"&amp;C484,[1]Master!$E$1:$E$200,"&lt;="&amp;C484)</f>
        <v>0</v>
      </c>
      <c r="AM484" s="26">
        <v>0</v>
      </c>
      <c r="AN484" s="26">
        <v>0</v>
      </c>
    </row>
    <row r="485" spans="3:40">
      <c r="C485" s="1">
        <f>WORKDAY(C484,1,Feriados!A293:A1132)</f>
        <v>45561</v>
      </c>
      <c r="D485" s="39">
        <v>9623855.3134000003</v>
      </c>
      <c r="E485" s="32">
        <v>4.2136851999999996</v>
      </c>
      <c r="F485" s="88">
        <v>2283952.1146062999</v>
      </c>
      <c r="G485" s="15">
        <f t="shared" ref="G485" si="2326">H485*I485</f>
        <v>9601201.138248574</v>
      </c>
      <c r="H485" s="32">
        <v>1.0717395000000001</v>
      </c>
      <c r="I485" s="15">
        <f>SUMIFS([1]Master!$K$2:$K$10000,[1]Master!$A$2:$A$10000,$I$12,[1]Master!$F$2:$F$10000,"&lt;="&amp;$C485)</f>
        <v>8958521.299484225</v>
      </c>
      <c r="J485" s="15">
        <f t="shared" ref="J485" si="2327">K485*L485</f>
        <v>0</v>
      </c>
      <c r="K485" s="43">
        <v>0</v>
      </c>
      <c r="L485" s="40">
        <v>0</v>
      </c>
      <c r="M485" s="15">
        <f t="shared" ref="M485" si="2328">N485*O485</f>
        <v>0</v>
      </c>
      <c r="N485" s="32">
        <v>0</v>
      </c>
      <c r="O485" s="40">
        <v>0</v>
      </c>
      <c r="P485" s="15">
        <f t="shared" ref="P485" si="2329">R485*Q485</f>
        <v>26421.446689401913</v>
      </c>
      <c r="Q485" s="32">
        <v>4.4177831999999997</v>
      </c>
      <c r="R485" s="40">
        <v>5980.7024231976602</v>
      </c>
      <c r="S485" s="15">
        <f t="shared" ref="S485" si="2330">(((1+1.35%)^(1/252))-1)*D484+SUM(S484)</f>
        <v>10097.703019472987</v>
      </c>
      <c r="T485" s="15">
        <f>IF((NETWORKDAYS(DATE(YEAR(C485),MONTH(C485),1),C485,Feriados!$A$2:$A$842))&gt;=5,0,IF(NETWORKDAYS(DATE(YEAR(C485),MONTH(C485),1),C485,Feriados!$A$2:$A$842)=1,S484,T484))</f>
        <v>0</v>
      </c>
      <c r="U485" s="26">
        <v>0</v>
      </c>
      <c r="V485" s="26">
        <v>0</v>
      </c>
      <c r="W485" s="15">
        <f t="shared" ref="W485" si="2331">SUM(G485+J485+M485+P485)</f>
        <v>9627622.5849379767</v>
      </c>
      <c r="X485" s="50">
        <f>'Fluxo de Caixa_'!AD491</f>
        <v>0</v>
      </c>
      <c r="AB485" s="26">
        <v>6330.3334000000004</v>
      </c>
      <c r="AC485" s="26">
        <v>0</v>
      </c>
      <c r="AD485">
        <f>SUMIFS([1]Master!$J$2:$J$100,[1]Master!$A$2:$A$100,"="&amp;$I$12,[1]Master!$E$2:$E$100,"="&amp;C485,[1]Master!$J$2:$J$100,"&gt;"&amp;0)</f>
        <v>0</v>
      </c>
      <c r="AE485">
        <f ca="1">-SUMIF('[1]Fluxo de Movimentações'!$A$5:$F$10001,"="&amp;$C485,'[1]Fluxo de Movimentações'!$H$5:$H$10001)</f>
        <v>0</v>
      </c>
      <c r="AF485" s="26">
        <v>0</v>
      </c>
      <c r="AG485" s="26">
        <v>0</v>
      </c>
      <c r="AH485" s="26">
        <v>0</v>
      </c>
      <c r="AI485" s="26">
        <v>0</v>
      </c>
      <c r="AJ485" s="26">
        <v>0</v>
      </c>
      <c r="AK485" s="68">
        <v>4.2136851999999996</v>
      </c>
      <c r="AL485" s="15">
        <f>-SUMIFS([1]Master!$J$1:$J$200,[1]Master!$A$1:$A$200,"="&amp;$I$12,[1]Master!$G$1:$G$200,"&gt;"&amp;C485,[1]Master!$E$1:$E$200,"&lt;="&amp;C485)</f>
        <v>0</v>
      </c>
      <c r="AM485" s="26">
        <v>0</v>
      </c>
      <c r="AN485" s="26">
        <v>0</v>
      </c>
    </row>
    <row r="486" spans="3:40">
      <c r="C486" s="1">
        <f>WORKDAY(C485,1,Feriados!A294:A1133)</f>
        <v>45562</v>
      </c>
      <c r="D486" s="39">
        <v>9636290.4987000003</v>
      </c>
      <c r="E486" s="32">
        <v>4.2191298000000002</v>
      </c>
      <c r="F486" s="88">
        <v>2283952.1146062999</v>
      </c>
      <c r="G486" s="15">
        <f t="shared" ref="G486" si="2332">H486*I486</f>
        <v>9614186.5148721747</v>
      </c>
      <c r="H486" s="32">
        <v>1.0731889999999999</v>
      </c>
      <c r="I486" s="15">
        <f>SUMIFS([1]Master!$K$2:$K$10000,[1]Master!$A$2:$A$10000,$I$12,[1]Master!$F$2:$F$10000,"&lt;="&amp;$C486)</f>
        <v>8958521.299484225</v>
      </c>
      <c r="J486" s="15">
        <f t="shared" ref="J486" si="2333">K486*L486</f>
        <v>0</v>
      </c>
      <c r="K486" s="43">
        <v>0</v>
      </c>
      <c r="L486" s="40">
        <v>0</v>
      </c>
      <c r="M486" s="15">
        <f t="shared" ref="M486" si="2334">N486*O486</f>
        <v>0</v>
      </c>
      <c r="N486" s="32">
        <v>0</v>
      </c>
      <c r="O486" s="40">
        <v>0</v>
      </c>
      <c r="P486" s="15">
        <f t="shared" ref="P486" si="2335">R486*Q486</f>
        <v>26431.904545659116</v>
      </c>
      <c r="Q486" s="32">
        <v>4.4195317999999997</v>
      </c>
      <c r="R486" s="40">
        <v>5980.7024231976602</v>
      </c>
      <c r="S486" s="15">
        <f t="shared" ref="S486" si="2336">(((1+1.35%)^(1/252))-1)*D485+SUM(S485)</f>
        <v>10609.831274745326</v>
      </c>
      <c r="T486" s="15">
        <f>IF((NETWORKDAYS(DATE(YEAR(C486),MONTH(C486),1),C486,Feriados!$A$2:$A$842))&gt;=5,0,IF(NETWORKDAYS(DATE(YEAR(C486),MONTH(C486),1),C486,Feriados!$A$2:$A$842)=1,S485,T485))</f>
        <v>0</v>
      </c>
      <c r="U486" s="26">
        <v>0</v>
      </c>
      <c r="V486" s="26">
        <v>0</v>
      </c>
      <c r="W486" s="15">
        <f t="shared" ref="W486" si="2337">SUM(G486+J486+M486+P486)</f>
        <v>9640618.4194178339</v>
      </c>
      <c r="X486" s="50">
        <f>'Fluxo de Caixa_'!AD492</f>
        <v>0</v>
      </c>
      <c r="AB486" s="26">
        <v>6281.7987000000003</v>
      </c>
      <c r="AC486" s="26">
        <v>0</v>
      </c>
      <c r="AD486">
        <f>SUMIFS([1]Master!$J$2:$J$100,[1]Master!$A$2:$A$100,"="&amp;$I$12,[1]Master!$E$2:$E$100,"="&amp;C486,[1]Master!$J$2:$J$100,"&gt;"&amp;0)</f>
        <v>0</v>
      </c>
      <c r="AE486">
        <f ca="1">-SUMIF('[1]Fluxo de Movimentações'!$A$5:$F$10001,"="&amp;$C486,'[1]Fluxo de Movimentações'!$H$5:$H$10001)</f>
        <v>0</v>
      </c>
      <c r="AF486" s="26">
        <v>0</v>
      </c>
      <c r="AG486" s="26">
        <v>0</v>
      </c>
      <c r="AH486" s="26">
        <v>0</v>
      </c>
      <c r="AI486" s="26">
        <v>0</v>
      </c>
      <c r="AJ486" s="26">
        <v>0</v>
      </c>
      <c r="AK486" s="68">
        <v>4.2191298000000002</v>
      </c>
      <c r="AL486" s="15">
        <f>-SUMIFS([1]Master!$J$1:$J$200,[1]Master!$A$1:$A$200,"="&amp;$I$12,[1]Master!$G$1:$G$200,"&gt;"&amp;C486,[1]Master!$E$1:$E$200,"&lt;="&amp;C486)</f>
        <v>0</v>
      </c>
      <c r="AM486" s="26">
        <v>0</v>
      </c>
      <c r="AN486" s="26">
        <v>0</v>
      </c>
    </row>
    <row r="487" spans="3:40">
      <c r="C487" s="1">
        <f>WORKDAY(C486,1,Feriados!A295:A1134)</f>
        <v>45565</v>
      </c>
      <c r="D487" s="39">
        <v>9509493.6140000001</v>
      </c>
      <c r="E487" s="32">
        <v>4.1636134</v>
      </c>
      <c r="F487" s="88">
        <v>2283952.1146062999</v>
      </c>
      <c r="G487" s="15">
        <f t="shared" ref="G487" si="2338">H487*I487</f>
        <v>9487940.3451634552</v>
      </c>
      <c r="H487" s="32">
        <v>1.0590967</v>
      </c>
      <c r="I487" s="15">
        <f>SUMIFS([1]Master!$K$2:$K$10000,[1]Master!$A$2:$A$10000,$I$12,[1]Master!$F$2:$F$10000,"&lt;="&amp;$C487)</f>
        <v>8958521.299484225</v>
      </c>
      <c r="J487" s="15">
        <f t="shared" ref="J487" si="2339">K487*L487</f>
        <v>0</v>
      </c>
      <c r="K487" s="43">
        <v>0</v>
      </c>
      <c r="L487" s="40">
        <v>0</v>
      </c>
      <c r="M487" s="15">
        <f t="shared" ref="M487" si="2340">N487*O487</f>
        <v>0</v>
      </c>
      <c r="N487" s="32">
        <v>0</v>
      </c>
      <c r="O487" s="40">
        <v>0</v>
      </c>
      <c r="P487" s="15">
        <f t="shared" ref="P487" si="2341">R487*Q487</f>
        <v>26442.504742633992</v>
      </c>
      <c r="Q487" s="32">
        <v>4.4213041999999998</v>
      </c>
      <c r="R487" s="40">
        <v>5980.7024231976602</v>
      </c>
      <c r="S487" s="15">
        <f t="shared" ref="S487:S489" si="2342">(((1+1.35%)^(1/252))-1)*D486+SUM(S486)</f>
        <v>11122.621261677617</v>
      </c>
      <c r="T487" s="15">
        <f>IF((NETWORKDAYS(DATE(YEAR(C487),MONTH(C487),1),C487,Feriados!$A$2:$A$842))&gt;=5,0,IF(NETWORKDAYS(DATE(YEAR(C487),MONTH(C487),1),C487,Feriados!$A$2:$A$842)=1,S486,T486))</f>
        <v>0</v>
      </c>
      <c r="U487" s="26">
        <v>0</v>
      </c>
      <c r="V487" s="26">
        <v>0</v>
      </c>
      <c r="W487" s="15">
        <f t="shared" ref="W487" si="2343">SUM(G487+J487+M487+P487)</f>
        <v>9514382.8499060888</v>
      </c>
      <c r="X487" s="50">
        <f>'Fluxo de Caixa_'!AD493</f>
        <v>0</v>
      </c>
      <c r="AB487" s="26">
        <v>6233.2640000000001</v>
      </c>
      <c r="AC487" s="26">
        <v>0</v>
      </c>
      <c r="AD487">
        <f>SUMIFS([1]Master!$J$2:$J$100,[1]Master!$A$2:$A$100,"="&amp;$I$12,[1]Master!$E$2:$E$100,"="&amp;C487,[1]Master!$J$2:$J$100,"&gt;"&amp;0)</f>
        <v>0</v>
      </c>
      <c r="AE487">
        <f ca="1">-SUMIF('[1]Fluxo de Movimentações'!$A$5:$F$10001,"="&amp;$C487,'[1]Fluxo de Movimentações'!$H$5:$H$10001)</f>
        <v>0</v>
      </c>
      <c r="AF487" s="26">
        <v>0</v>
      </c>
      <c r="AG487" s="26">
        <v>0</v>
      </c>
      <c r="AH487" s="26">
        <v>0</v>
      </c>
      <c r="AI487" s="26">
        <v>0</v>
      </c>
      <c r="AJ487" s="26">
        <v>0</v>
      </c>
      <c r="AK487" s="68">
        <v>4.1636134</v>
      </c>
      <c r="AL487" s="15">
        <f>-SUMIFS([1]Master!$J$1:$J$200,[1]Master!$A$1:$A$200,"="&amp;$I$12,[1]Master!$G$1:$G$200,"&gt;"&amp;C487,[1]Master!$E$1:$E$200,"&lt;="&amp;C487)</f>
        <v>0</v>
      </c>
      <c r="AM487" s="26">
        <v>0</v>
      </c>
      <c r="AN487" s="26">
        <v>0</v>
      </c>
    </row>
    <row r="488" spans="3:40">
      <c r="C488" s="1">
        <f>WORKDAY(C487,1,Feriados!A296:A1135)</f>
        <v>45566</v>
      </c>
      <c r="D488" s="39">
        <v>9489978.9792999998</v>
      </c>
      <c r="E488" s="32">
        <v>4.1550691999999998</v>
      </c>
      <c r="F488" s="88">
        <v>2283952.1146062999</v>
      </c>
      <c r="G488" s="15">
        <f t="shared" ref="G488" si="2344">H488*I488</f>
        <v>9468969.7804596666</v>
      </c>
      <c r="H488" s="32">
        <v>1.0569790999999999</v>
      </c>
      <c r="I488" s="15">
        <f>SUMIFS([1]Master!$K$2:$K$10000,[1]Master!$A$2:$A$10000,$I$12,[1]Master!$F$2:$F$10000,"&lt;="&amp;$C488)</f>
        <v>8958521.299484225</v>
      </c>
      <c r="J488" s="15">
        <f t="shared" ref="J488" si="2345">K488*L488</f>
        <v>0</v>
      </c>
      <c r="K488" s="43">
        <v>0</v>
      </c>
      <c r="L488" s="40">
        <v>0</v>
      </c>
      <c r="M488" s="15">
        <f t="shared" ref="M488" si="2346">N488*O488</f>
        <v>0</v>
      </c>
      <c r="N488" s="32">
        <v>0</v>
      </c>
      <c r="O488" s="40">
        <v>0</v>
      </c>
      <c r="P488" s="15">
        <f t="shared" ref="P488" si="2347">R488*Q488</f>
        <v>26453.008052229612</v>
      </c>
      <c r="Q488" s="32">
        <v>4.4230603999999998</v>
      </c>
      <c r="R488" s="40">
        <v>5980.7024231976602</v>
      </c>
      <c r="S488" s="54">
        <f>(((1+1.35%)^(1/252))-1)*D487</f>
        <v>506.04255929329054</v>
      </c>
      <c r="T488" s="15">
        <f>IF((NETWORKDAYS(DATE(YEAR(C488),MONTH(C488),1),C488,Feriados!$A$2:$A$842))&gt;=5,0,IF(NETWORKDAYS(DATE(YEAR(C488),MONTH(C488),1),C488,Feriados!$A$2:$A$842)=1,S487,T487))</f>
        <v>11122.621261677617</v>
      </c>
      <c r="U488" s="26">
        <v>0</v>
      </c>
      <c r="V488" s="26">
        <v>0</v>
      </c>
      <c r="W488" s="15">
        <f t="shared" ref="W488" si="2348">SUM(G488+J488+M488+P488)</f>
        <v>9495422.7885118965</v>
      </c>
      <c r="X488" s="50">
        <f>'Fluxo de Caixa_'!AD494</f>
        <v>0</v>
      </c>
      <c r="AB488" s="26">
        <v>6184.7293</v>
      </c>
      <c r="AC488" s="26">
        <v>0</v>
      </c>
      <c r="AD488">
        <f>SUMIFS([1]Master!$J$2:$J$100,[1]Master!$A$2:$A$100,"="&amp;$I$12,[1]Master!$E$2:$E$100,"="&amp;C488,[1]Master!$J$2:$J$100,"&gt;"&amp;0)</f>
        <v>0</v>
      </c>
      <c r="AE488">
        <f ca="1">-SUMIF('[1]Fluxo de Movimentações'!$A$5:$F$10001,"="&amp;$C488,'[1]Fluxo de Movimentações'!$H$5:$H$10001)</f>
        <v>0</v>
      </c>
      <c r="AF488" s="26">
        <v>0</v>
      </c>
      <c r="AG488" s="26">
        <v>0</v>
      </c>
      <c r="AH488" s="26">
        <v>0</v>
      </c>
      <c r="AI488" s="26">
        <v>0</v>
      </c>
      <c r="AJ488" s="26">
        <v>0</v>
      </c>
      <c r="AK488" s="68">
        <v>4.1550691999999998</v>
      </c>
      <c r="AL488" s="15">
        <f>-SUMIFS([1]Master!$J$1:$J$200,[1]Master!$A$1:$A$200,"="&amp;$I$12,[1]Master!$G$1:$G$200,"&gt;"&amp;C488,[1]Master!$E$1:$E$200,"&lt;="&amp;C488)</f>
        <v>0</v>
      </c>
      <c r="AM488" s="26">
        <v>0</v>
      </c>
      <c r="AN488" s="26">
        <v>0</v>
      </c>
    </row>
    <row r="489" spans="3:40">
      <c r="C489" s="1">
        <f>WORKDAY(C488,1,Feriados!A297:A1136)</f>
        <v>45567</v>
      </c>
      <c r="D489" s="39">
        <v>9561285.2545999996</v>
      </c>
      <c r="E489" s="32">
        <v>4.1862896999999997</v>
      </c>
      <c r="F489" s="88">
        <v>2283952.1146062999</v>
      </c>
      <c r="G489" s="15">
        <f t="shared" ref="G489" si="2349">H489*I489</f>
        <v>9540818.9129857905</v>
      </c>
      <c r="H489" s="32">
        <v>1.0649993</v>
      </c>
      <c r="I489" s="15">
        <f>SUMIFS([1]Master!$K$2:$K$10000,[1]Master!$A$2:$A$10000,$I$12,[1]Master!$F$2:$F$10000,"&lt;="&amp;$C489)</f>
        <v>8958521.299484225</v>
      </c>
      <c r="J489" s="15">
        <f t="shared" ref="J489" si="2350">K489*L489</f>
        <v>0</v>
      </c>
      <c r="K489" s="43">
        <v>0</v>
      </c>
      <c r="L489" s="40">
        <v>0</v>
      </c>
      <c r="M489" s="15">
        <f t="shared" ref="M489" si="2351">N489*O489</f>
        <v>0</v>
      </c>
      <c r="N489" s="32">
        <v>0</v>
      </c>
      <c r="O489" s="40">
        <v>0</v>
      </c>
      <c r="P489" s="15">
        <f t="shared" ref="P489" si="2352">R489*Q489</f>
        <v>26463.687792546716</v>
      </c>
      <c r="Q489" s="32">
        <v>4.4248460999999999</v>
      </c>
      <c r="R489" s="40">
        <v>5980.7024231976602</v>
      </c>
      <c r="S489" s="15">
        <f t="shared" si="2342"/>
        <v>1011.0466578558517</v>
      </c>
      <c r="T489" s="15">
        <f>IF((NETWORKDAYS(DATE(YEAR(C489),MONTH(C489),1),C489,Feriados!$A$2:$A$842))&gt;=5,0,IF(NETWORKDAYS(DATE(YEAR(C489),MONTH(C489),1),C489,Feriados!$A$2:$A$842)=1,S488,T488))</f>
        <v>11122.621261677617</v>
      </c>
      <c r="U489" s="26">
        <v>0</v>
      </c>
      <c r="V489" s="26">
        <v>0</v>
      </c>
      <c r="W489" s="15">
        <f t="shared" ref="W489" si="2353">SUM(G489+J489+M489+P489)</f>
        <v>9567282.6007783376</v>
      </c>
      <c r="X489" s="50">
        <f>'Fluxo de Caixa_'!AD495</f>
        <v>0</v>
      </c>
      <c r="AB489" s="26">
        <v>6136.1945999999998</v>
      </c>
      <c r="AC489" s="26">
        <v>0</v>
      </c>
      <c r="AD489">
        <f>SUMIFS([1]Master!$J$2:$J$100,[1]Master!$A$2:$A$100,"="&amp;$I$12,[1]Master!$E$2:$E$100,"="&amp;C489,[1]Master!$J$2:$J$100,"&gt;"&amp;0)</f>
        <v>0</v>
      </c>
      <c r="AE489">
        <f ca="1">-SUMIF('[1]Fluxo de Movimentações'!$A$5:$F$10001,"="&amp;$C489,'[1]Fluxo de Movimentações'!$H$5:$H$10001)</f>
        <v>0</v>
      </c>
      <c r="AF489" s="26">
        <v>0</v>
      </c>
      <c r="AG489" s="26">
        <v>0</v>
      </c>
      <c r="AH489" s="26">
        <v>0</v>
      </c>
      <c r="AI489" s="26">
        <v>0</v>
      </c>
      <c r="AJ489" s="26">
        <v>0</v>
      </c>
      <c r="AK489" s="68">
        <v>4.1862896999999997</v>
      </c>
      <c r="AL489" s="15">
        <f>-SUMIFS([1]Master!$J$1:$J$200,[1]Master!$A$1:$A$200,"="&amp;$I$12,[1]Master!$G$1:$G$200,"&gt;"&amp;C489,[1]Master!$E$1:$E$200,"&lt;="&amp;C489)</f>
        <v>0</v>
      </c>
      <c r="AM489" s="26">
        <v>0</v>
      </c>
      <c r="AN489" s="26">
        <v>0</v>
      </c>
    </row>
    <row r="490" spans="3:40">
      <c r="C490" s="1">
        <f>WORKDAY(C489,1,Feriados!A298:A1137)</f>
        <v>45568</v>
      </c>
      <c r="D490" s="39">
        <v>9370136.8598999996</v>
      </c>
      <c r="E490" s="32">
        <v>4.1025977999999999</v>
      </c>
      <c r="F490" s="88">
        <v>2283952.1146062999</v>
      </c>
      <c r="G490" s="15">
        <f t="shared" ref="G490" si="2354">H490*I490</f>
        <v>9339016.5179658327</v>
      </c>
      <c r="H490" s="32">
        <v>1.0437232000000001</v>
      </c>
      <c r="I490" s="15">
        <f>SUMIFS([1]Master!$K$2:$K$10000,[1]Master!$A$2:$A$10000,$I$12,[1]Master!$F$2:$F$10000,"&lt;="&amp;$C490)</f>
        <v>8947790.4850307368</v>
      </c>
      <c r="J490" s="15">
        <f t="shared" ref="J490" si="2355">K490*L490</f>
        <v>0</v>
      </c>
      <c r="K490" s="43">
        <v>0</v>
      </c>
      <c r="L490" s="40">
        <v>0</v>
      </c>
      <c r="M490" s="15">
        <f t="shared" ref="M490" si="2356">N490*O490</f>
        <v>0</v>
      </c>
      <c r="N490" s="32">
        <v>0</v>
      </c>
      <c r="O490" s="40">
        <v>0</v>
      </c>
      <c r="P490" s="15">
        <f t="shared" ref="P490" si="2357">R490*Q490</f>
        <v>26475.014046795768</v>
      </c>
      <c r="Q490" s="32">
        <v>4.4267399000000003</v>
      </c>
      <c r="R490" s="40">
        <v>5980.7024231976602</v>
      </c>
      <c r="S490" s="15">
        <f t="shared" ref="S490" si="2358">(((1+1.35%)^(1/252))-1)*D489+SUM(S489)</f>
        <v>1519.8452812912578</v>
      </c>
      <c r="T490" s="15">
        <f>IF((NETWORKDAYS(DATE(YEAR(C490),MONTH(C490),1),C490,Feriados!$A$2:$A$842))&gt;=5,0,IF(NETWORKDAYS(DATE(YEAR(C490),MONTH(C490),1),C490,Feriados!$A$2:$A$842)=1,S489,T489))</f>
        <v>11122.621261677617</v>
      </c>
      <c r="U490" s="26">
        <v>0</v>
      </c>
      <c r="V490" s="26">
        <v>0</v>
      </c>
      <c r="W490" s="15">
        <f t="shared" ref="W490" si="2359">SUM(G490+J490+M490+P490)</f>
        <v>9365491.5320126284</v>
      </c>
      <c r="X490" s="50">
        <f>'Fluxo de Caixa_'!AD496</f>
        <v>0</v>
      </c>
      <c r="AB490" s="26">
        <v>6087.6598999999997</v>
      </c>
      <c r="AC490" s="26">
        <v>0</v>
      </c>
      <c r="AD490">
        <f>SUMIFS([1]Master!$J$2:$J$100,[1]Master!$A$2:$A$100,"="&amp;$I$12,[1]Master!$E$2:$E$100,"="&amp;C490,[1]Master!$J$2:$J$100,"&gt;"&amp;0)</f>
        <v>0</v>
      </c>
      <c r="AE490">
        <f ca="1">-SUMIF('[1]Fluxo de Movimentações'!$A$5:$F$10001,"="&amp;$C490,'[1]Fluxo de Movimentações'!$H$5:$H$10001)</f>
        <v>0</v>
      </c>
      <c r="AF490" s="26">
        <v>0</v>
      </c>
      <c r="AG490" s="26">
        <v>0</v>
      </c>
      <c r="AH490" s="26">
        <v>0</v>
      </c>
      <c r="AI490" s="26">
        <v>0</v>
      </c>
      <c r="AJ490" s="26">
        <v>0</v>
      </c>
      <c r="AK490" s="68">
        <v>4.1862896999999997</v>
      </c>
      <c r="AL490" s="15">
        <f>-SUMIFS([1]Master!$J$1:$J$200,[1]Master!$A$1:$A$200,"="&amp;$I$12,[1]Master!$G$1:$G$200,"&gt;"&amp;C490,[1]Master!$E$1:$E$200,"&lt;="&amp;C490)</f>
        <v>11200</v>
      </c>
      <c r="AM490" s="26">
        <v>0</v>
      </c>
      <c r="AN490" s="26">
        <v>0</v>
      </c>
    </row>
    <row r="491" spans="3:40">
      <c r="C491" s="1">
        <f>WORKDAY(C490,1,Feriados!A299:A1138)</f>
        <v>45569</v>
      </c>
      <c r="D491" s="39">
        <v>9470144.3599999994</v>
      </c>
      <c r="E491" s="32">
        <v>4.1463847999999999</v>
      </c>
      <c r="F491" s="88">
        <v>2283952.1146062999</v>
      </c>
      <c r="G491" s="15">
        <f t="shared" ref="G491" si="2360">H491*I491</f>
        <v>9439558.3657508809</v>
      </c>
      <c r="H491" s="32">
        <v>1.0549596999999999</v>
      </c>
      <c r="I491" s="15">
        <f>SUMIFS([1]Master!$K$2:$K$10000,[1]Master!$A$2:$A$10000,$I$12,[1]Master!$F$2:$F$10000,"&lt;="&amp;$C491)</f>
        <v>8947790.4850307368</v>
      </c>
      <c r="J491" s="15">
        <f t="shared" ref="J491" si="2361">K491*L491</f>
        <v>0</v>
      </c>
      <c r="K491" s="43">
        <v>0</v>
      </c>
      <c r="L491" s="40">
        <v>0</v>
      </c>
      <c r="M491" s="15">
        <f t="shared" ref="M491" si="2362">N491*O491</f>
        <v>0</v>
      </c>
      <c r="N491" s="32">
        <v>0</v>
      </c>
      <c r="O491" s="40">
        <v>0</v>
      </c>
      <c r="P491" s="15">
        <f t="shared" ref="P491" si="2363">R491*Q491</f>
        <v>26487.817534543348</v>
      </c>
      <c r="Q491" s="32">
        <v>4.4288806999999997</v>
      </c>
      <c r="R491" s="40">
        <v>5980.7024231976602</v>
      </c>
      <c r="S491" s="15">
        <f t="shared" ref="S491" si="2364">(((1+1.35%)^(1/252))-1)*D490+SUM(S490)</f>
        <v>2018.4720462886514</v>
      </c>
      <c r="T491" s="15">
        <f>IF((NETWORKDAYS(DATE(YEAR(C491),MONTH(C491),1),C491,Feriados!$A$2:$A$842))&gt;=5,0,IF(NETWORKDAYS(DATE(YEAR(C491),MONTH(C491),1),C491,Feriados!$A$2:$A$842)=1,S490,T490))</f>
        <v>11122.621261677617</v>
      </c>
      <c r="U491" s="26">
        <v>0</v>
      </c>
      <c r="V491" s="26">
        <v>0</v>
      </c>
      <c r="W491" s="15">
        <f t="shared" ref="W491" si="2365">SUM(G491+J491+M491+P491)</f>
        <v>9466046.1832854245</v>
      </c>
      <c r="X491" s="50">
        <f>'Fluxo de Caixa_'!AD497</f>
        <v>0</v>
      </c>
      <c r="AB491" s="26">
        <v>6039.1252000000004</v>
      </c>
      <c r="AC491" s="26">
        <v>0</v>
      </c>
      <c r="AD491">
        <f>SUMIFS([1]Master!$J$2:$J$100,[1]Master!$A$2:$A$100,"="&amp;$I$12,[1]Master!$E$2:$E$100,"="&amp;C491,[1]Master!$J$2:$J$100,"&gt;"&amp;0)</f>
        <v>0</v>
      </c>
      <c r="AE491">
        <f ca="1">-SUMIF('[1]Fluxo de Movimentações'!$A$5:$F$10001,"="&amp;$C491,'[1]Fluxo de Movimentações'!$H$5:$H$10001)</f>
        <v>0</v>
      </c>
      <c r="AF491" s="26">
        <v>0</v>
      </c>
      <c r="AG491" s="26">
        <v>0</v>
      </c>
      <c r="AH491" s="26">
        <v>0</v>
      </c>
      <c r="AI491" s="26">
        <v>0</v>
      </c>
      <c r="AJ491" s="26">
        <v>0</v>
      </c>
      <c r="AK491" s="68">
        <v>4.1463847999999999</v>
      </c>
      <c r="AL491" s="15">
        <f>-SUMIFS([1]Master!$J$1:$J$200,[1]Master!$A$1:$A$200,"="&amp;$I$12,[1]Master!$G$1:$G$200,"&gt;"&amp;C491,[1]Master!$E$1:$E$200,"&lt;="&amp;C491)</f>
        <v>11200</v>
      </c>
      <c r="AM491" s="26">
        <v>0</v>
      </c>
      <c r="AN491" s="26">
        <v>0</v>
      </c>
    </row>
    <row r="492" spans="3:40">
      <c r="C492" s="1">
        <f>WORKDAY(C491,1,Feriados!A300:A1139)</f>
        <v>45572</v>
      </c>
      <c r="D492" s="39">
        <v>9411194.9804999996</v>
      </c>
      <c r="E492" s="32">
        <v>4.1205746000000003</v>
      </c>
      <c r="F492" s="88">
        <v>2283952.1146062999</v>
      </c>
      <c r="G492" s="15">
        <f t="shared" ref="G492" si="2366">H492*I492</f>
        <v>9381148.9790226966</v>
      </c>
      <c r="H492" s="32">
        <v>1.0484319</v>
      </c>
      <c r="I492" s="15">
        <f>SUMIFS([1]Master!$K$2:$K$10000,[1]Master!$A$2:$A$10000,$I$12,[1]Master!$F$2:$F$10000,"&lt;="&amp;$C492)</f>
        <v>8947790.4850307368</v>
      </c>
      <c r="J492" s="15">
        <f t="shared" ref="J492" si="2367">K492*L492</f>
        <v>0</v>
      </c>
      <c r="K492" s="43">
        <v>0</v>
      </c>
      <c r="L492" s="40">
        <v>0</v>
      </c>
      <c r="M492" s="15">
        <f t="shared" ref="M492" si="2368">N492*O492</f>
        <v>0</v>
      </c>
      <c r="N492" s="32">
        <v>0</v>
      </c>
      <c r="O492" s="40">
        <v>0</v>
      </c>
      <c r="P492" s="15">
        <f t="shared" ref="P492" si="2369">R492*Q492</f>
        <v>26577.804641222039</v>
      </c>
      <c r="Q492" s="32">
        <v>4.4309685999999999</v>
      </c>
      <c r="R492" s="40">
        <v>5998.19295519766</v>
      </c>
      <c r="S492" s="15">
        <f t="shared" ref="S492" si="2370">(((1+1.35%)^(1/252))-1)*D491+SUM(S491)</f>
        <v>2522.4206563130633</v>
      </c>
      <c r="T492" s="15">
        <f>IF((NETWORKDAYS(DATE(YEAR(C492),MONTH(C492),1),C492,Feriados!$A$2:$A$842))&gt;=5,0,IF(NETWORKDAYS(DATE(YEAR(C492),MONTH(C492),1),C492,Feriados!$A$2:$A$842)=1,S491,T491))</f>
        <v>0</v>
      </c>
      <c r="U492" s="26">
        <v>0</v>
      </c>
      <c r="V492" s="26">
        <v>0</v>
      </c>
      <c r="W492" s="15">
        <f t="shared" ref="W492" si="2371">SUM(G492+J492+M492+P492)</f>
        <v>9407726.7836639192</v>
      </c>
      <c r="X492" s="50">
        <f>'Fluxo de Caixa_'!AD498</f>
        <v>-0.12125976691176277</v>
      </c>
      <c r="AB492" s="26">
        <v>5990.5905000000002</v>
      </c>
      <c r="AC492" s="26">
        <v>0</v>
      </c>
      <c r="AD492">
        <f>SUMIFS([1]Master!$J$2:$J$100,[1]Master!$A$2:$A$100,"="&amp;$I$12,[1]Master!$E$2:$E$100,"="&amp;C492,[1]Master!$J$2:$J$100,"&gt;"&amp;0)</f>
        <v>0</v>
      </c>
      <c r="AE492">
        <f ca="1">-SUMIF('[1]Fluxo de Movimentações'!$A$5:$F$10001,"="&amp;$C492,'[1]Fluxo de Movimentações'!$H$5:$H$10001)</f>
        <v>0</v>
      </c>
      <c r="AF492" s="26">
        <v>0</v>
      </c>
      <c r="AG492" s="26">
        <v>0</v>
      </c>
      <c r="AH492" s="26">
        <v>0</v>
      </c>
      <c r="AI492" s="26">
        <v>0</v>
      </c>
      <c r="AJ492" s="26">
        <v>0</v>
      </c>
      <c r="AK492" s="68">
        <v>4.1205746000000003</v>
      </c>
      <c r="AL492" s="15">
        <f>-SUMIFS([1]Master!$J$1:$J$200,[1]Master!$A$1:$A$200,"="&amp;$I$12,[1]Master!$G$1:$G$200,"&gt;"&amp;C492,[1]Master!$E$1:$E$200,"&lt;="&amp;C492)</f>
        <v>0</v>
      </c>
      <c r="AM492" s="26">
        <v>0</v>
      </c>
      <c r="AN492" s="26">
        <v>0</v>
      </c>
    </row>
    <row r="493" spans="3:40">
      <c r="C493" s="1">
        <f>WORKDAY(C492,1,Feriados!A301:A1140)</f>
        <v>45573</v>
      </c>
      <c r="D493" s="39">
        <v>9479655.2357999999</v>
      </c>
      <c r="E493" s="32">
        <v>4.1505489999999998</v>
      </c>
      <c r="F493" s="88">
        <v>2283952.1146062999</v>
      </c>
      <c r="G493" s="15">
        <f t="shared" ref="G493" si="2372">H493*I493</f>
        <v>9450146.2862318177</v>
      </c>
      <c r="H493" s="32">
        <v>1.0561430000000001</v>
      </c>
      <c r="I493" s="15">
        <f>SUMIFS([1]Master!$K$2:$K$10000,[1]Master!$A$2:$A$10000,$I$12,[1]Master!$F$2:$F$10000,"&lt;="&amp;$C493)</f>
        <v>8947790.4850307368</v>
      </c>
      <c r="J493" s="15">
        <f t="shared" ref="J493" si="2373">K493*L493</f>
        <v>0</v>
      </c>
      <c r="K493" s="43">
        <v>0</v>
      </c>
      <c r="L493" s="40">
        <v>0</v>
      </c>
      <c r="M493" s="15">
        <f t="shared" ref="M493" si="2374">N493*O493</f>
        <v>0</v>
      </c>
      <c r="N493" s="32">
        <v>0</v>
      </c>
      <c r="O493" s="40">
        <v>0</v>
      </c>
      <c r="P493" s="15">
        <f t="shared" ref="P493" si="2375">R493*Q493</f>
        <v>26590.095538406531</v>
      </c>
      <c r="Q493" s="32">
        <v>4.4330176999999997</v>
      </c>
      <c r="R493" s="40">
        <v>5998.19295519766</v>
      </c>
      <c r="S493" s="15">
        <f t="shared" ref="S493" si="2376">(((1+1.35%)^(1/252))-1)*D492+SUM(S492)</f>
        <v>3023.232306991184</v>
      </c>
      <c r="T493" s="15">
        <f>IF((NETWORKDAYS(DATE(YEAR(C493),MONTH(C493),1),C493,Feriados!$A$2:$A$842))&gt;=5,0,IF(NETWORKDAYS(DATE(YEAR(C493),MONTH(C493),1),C493,Feriados!$A$2:$A$842)=1,S492,T492))</f>
        <v>0</v>
      </c>
      <c r="U493" s="26">
        <v>0</v>
      </c>
      <c r="V493" s="26">
        <v>0</v>
      </c>
      <c r="W493" s="15">
        <f t="shared" ref="W493" si="2377">SUM(G493+J493+M493+P493)</f>
        <v>9476736.3817702234</v>
      </c>
      <c r="X493" s="50">
        <f>'Fluxo de Caixa_'!AD499</f>
        <v>0</v>
      </c>
      <c r="AB493" s="26">
        <v>5942.0558000000001</v>
      </c>
      <c r="AC493" s="26">
        <v>0</v>
      </c>
      <c r="AD493">
        <f>SUMIFS([1]Master!$J$2:$J$100,[1]Master!$A$2:$A$100,"="&amp;$I$12,[1]Master!$E$2:$E$100,"="&amp;C493,[1]Master!$J$2:$J$100,"&gt;"&amp;0)</f>
        <v>0</v>
      </c>
      <c r="AE493">
        <f ca="1">-SUMIF('[1]Fluxo de Movimentações'!$A$5:$F$10001,"="&amp;$C493,'[1]Fluxo de Movimentações'!$H$5:$H$10001)</f>
        <v>0</v>
      </c>
      <c r="AF493" s="26">
        <v>0</v>
      </c>
      <c r="AG493" s="26">
        <v>0</v>
      </c>
      <c r="AH493" s="26">
        <v>0</v>
      </c>
      <c r="AI493" s="26">
        <v>0</v>
      </c>
      <c r="AJ493" s="26">
        <v>0</v>
      </c>
      <c r="AK493" s="68">
        <v>4.1505489999999998</v>
      </c>
      <c r="AL493" s="15">
        <f>-SUMIFS([1]Master!$J$1:$J$200,[1]Master!$A$1:$A$200,"="&amp;$I$12,[1]Master!$G$1:$G$200,"&gt;"&amp;C493,[1]Master!$E$1:$E$200,"&lt;="&amp;C493)</f>
        <v>0</v>
      </c>
      <c r="AM493" s="26">
        <v>0</v>
      </c>
      <c r="AN493" s="26">
        <v>0</v>
      </c>
    </row>
    <row r="494" spans="3:40">
      <c r="C494" s="1">
        <f>WORKDAY(C493,1,Feriados!A302:A1141)</f>
        <v>45574</v>
      </c>
      <c r="D494" s="39">
        <v>9309057.0910999998</v>
      </c>
      <c r="E494" s="32">
        <v>4.0758548000000001</v>
      </c>
      <c r="F494" s="88">
        <v>2283952.1146062999</v>
      </c>
      <c r="G494" s="15">
        <f t="shared" ref="G494" si="2378">H494*I494</f>
        <v>9280088.1593895163</v>
      </c>
      <c r="H494" s="32">
        <v>1.0371374</v>
      </c>
      <c r="I494" s="15">
        <f>SUMIFS([1]Master!$K$2:$K$10000,[1]Master!$A$2:$A$10000,$I$12,[1]Master!$F$2:$F$10000,"&lt;="&amp;$C494)</f>
        <v>8947790.4850307368</v>
      </c>
      <c r="J494" s="15">
        <f t="shared" ref="J494" si="2379">K494*L494</f>
        <v>0</v>
      </c>
      <c r="K494" s="43">
        <v>0</v>
      </c>
      <c r="L494" s="40">
        <v>0</v>
      </c>
      <c r="M494" s="15">
        <f t="shared" ref="M494" si="2380">N494*O494</f>
        <v>0</v>
      </c>
      <c r="N494" s="32">
        <v>0</v>
      </c>
      <c r="O494" s="40">
        <v>0</v>
      </c>
      <c r="P494" s="15">
        <f t="shared" ref="P494" si="2381">R494*Q494</f>
        <v>26603.060032659898</v>
      </c>
      <c r="Q494" s="32">
        <v>4.4351791</v>
      </c>
      <c r="R494" s="40">
        <v>5998.19295519766</v>
      </c>
      <c r="S494" s="15">
        <f t="shared" ref="S494" si="2382">(((1+1.35%)^(1/252))-1)*D493+SUM(S493)</f>
        <v>3527.6870331271693</v>
      </c>
      <c r="T494" s="15">
        <f>IF((NETWORKDAYS(DATE(YEAR(C494),MONTH(C494),1),C494,Feriados!$A$2:$A$842))&gt;=5,0,IF(NETWORKDAYS(DATE(YEAR(C494),MONTH(C494),1),C494,Feriados!$A$2:$A$842)=1,S493,T493))</f>
        <v>0</v>
      </c>
      <c r="U494" s="26">
        <v>0</v>
      </c>
      <c r="V494" s="26">
        <v>0</v>
      </c>
      <c r="W494" s="15">
        <f t="shared" ref="W494" si="2383">SUM(G494+J494+M494+P494)</f>
        <v>9306691.2194221765</v>
      </c>
      <c r="X494" s="50">
        <f>'Fluxo de Caixa_'!AD500</f>
        <v>0</v>
      </c>
      <c r="AB494" s="26">
        <v>5893.5210999999999</v>
      </c>
      <c r="AC494" s="26">
        <v>0</v>
      </c>
      <c r="AD494">
        <f>SUMIFS([1]Master!$J$2:$J$100,[1]Master!$A$2:$A$100,"="&amp;$I$12,[1]Master!$E$2:$E$100,"="&amp;C494,[1]Master!$J$2:$J$100,"&gt;"&amp;0)</f>
        <v>0</v>
      </c>
      <c r="AE494">
        <f ca="1">-SUMIF('[1]Fluxo de Movimentações'!$A$5:$F$10001,"="&amp;$C494,'[1]Fluxo de Movimentações'!$H$5:$H$10001)</f>
        <v>0</v>
      </c>
      <c r="AF494" s="26">
        <v>0</v>
      </c>
      <c r="AG494" s="26">
        <v>0</v>
      </c>
      <c r="AH494" s="26">
        <v>0</v>
      </c>
      <c r="AI494" s="26">
        <v>0</v>
      </c>
      <c r="AJ494" s="26">
        <v>0</v>
      </c>
      <c r="AK494" s="68">
        <v>4.0758548000000001</v>
      </c>
      <c r="AL494" s="15">
        <f>-SUMIFS([1]Master!$J$1:$J$200,[1]Master!$A$1:$A$200,"="&amp;$I$12,[1]Master!$G$1:$G$200,"&gt;"&amp;C494,[1]Master!$E$1:$E$200,"&lt;="&amp;C494)</f>
        <v>0</v>
      </c>
      <c r="AM494" s="26">
        <v>0</v>
      </c>
      <c r="AN494" s="26">
        <v>0</v>
      </c>
    </row>
    <row r="495" spans="3:40">
      <c r="C495" s="1">
        <f>WORKDAY(C494,1,Feriados!A303:A1142)</f>
        <v>45575</v>
      </c>
      <c r="D495" s="39">
        <v>9304603.9864000008</v>
      </c>
      <c r="E495" s="32">
        <v>4.0739049999999999</v>
      </c>
      <c r="F495" s="88">
        <v>2283952.1146062999</v>
      </c>
      <c r="G495" s="15">
        <f t="shared" ref="G495" si="2384">H495*I495</f>
        <v>9276169.0271570738</v>
      </c>
      <c r="H495" s="32">
        <v>1.0366994</v>
      </c>
      <c r="I495" s="15">
        <f>SUMIFS([1]Master!$K$2:$K$10000,[1]Master!$A$2:$A$10000,$I$12,[1]Master!$F$2:$F$10000,"&lt;="&amp;$C495)</f>
        <v>8947790.4850307368</v>
      </c>
      <c r="J495" s="15">
        <f t="shared" ref="J495" si="2385">K495*L495</f>
        <v>0</v>
      </c>
      <c r="K495" s="43">
        <v>0</v>
      </c>
      <c r="L495" s="40">
        <v>0</v>
      </c>
      <c r="M495" s="15">
        <f t="shared" ref="M495" si="2386">N495*O495</f>
        <v>0</v>
      </c>
      <c r="N495" s="32">
        <v>0</v>
      </c>
      <c r="O495" s="40">
        <v>0</v>
      </c>
      <c r="P495" s="15">
        <f t="shared" ref="P495" si="2387">R495*Q495</f>
        <v>26612.99004109723</v>
      </c>
      <c r="Q495" s="32">
        <v>4.4368346000000001</v>
      </c>
      <c r="R495" s="40">
        <v>5998.19295519766</v>
      </c>
      <c r="S495" s="15">
        <f t="shared" ref="S495" si="2388">(((1+1.35%)^(1/252))-1)*D494+SUM(S494)</f>
        <v>4023.0634712639308</v>
      </c>
      <c r="T495" s="15">
        <f>IF((NETWORKDAYS(DATE(YEAR(C495),MONTH(C495),1),C495,Feriados!$A$2:$A$842))&gt;=5,0,IF(NETWORKDAYS(DATE(YEAR(C495),MONTH(C495),1),C495,Feriados!$A$2:$A$842)=1,S494,T494))</f>
        <v>0</v>
      </c>
      <c r="U495" s="26">
        <v>0</v>
      </c>
      <c r="V495" s="26">
        <v>0</v>
      </c>
      <c r="W495" s="15">
        <f t="shared" ref="W495" si="2389">SUM(G495+J495+M495+P495)</f>
        <v>9302782.0171981715</v>
      </c>
      <c r="X495" s="50">
        <f>'Fluxo de Caixa_'!AD501</f>
        <v>0</v>
      </c>
      <c r="AB495" s="26">
        <v>5844.9863999999998</v>
      </c>
      <c r="AC495" s="26">
        <v>0</v>
      </c>
      <c r="AD495">
        <f>SUMIFS([1]Master!$J$2:$J$100,[1]Master!$A$2:$A$100,"="&amp;$I$12,[1]Master!$E$2:$E$100,"="&amp;C495,[1]Master!$J$2:$J$100,"&gt;"&amp;0)</f>
        <v>0</v>
      </c>
      <c r="AE495">
        <f ca="1">-SUMIF('[1]Fluxo de Movimentações'!$A$5:$F$10001,"="&amp;$C495,'[1]Fluxo de Movimentações'!$H$5:$H$10001)</f>
        <v>0</v>
      </c>
      <c r="AF495" s="26">
        <v>0</v>
      </c>
      <c r="AG495" s="26">
        <v>0</v>
      </c>
      <c r="AH495" s="26">
        <v>0</v>
      </c>
      <c r="AI495" s="26">
        <v>0</v>
      </c>
      <c r="AJ495" s="26">
        <v>0</v>
      </c>
      <c r="AK495" s="68">
        <v>4.0758548000000001</v>
      </c>
      <c r="AL495" s="15">
        <f>-SUMIFS([1]Master!$J$1:$J$200,[1]Master!$A$1:$A$200,"="&amp;$I$12,[1]Master!$G$1:$G$200,"&gt;"&amp;C495,[1]Master!$E$1:$E$200,"&lt;="&amp;C495)</f>
        <v>0</v>
      </c>
      <c r="AM495" s="26">
        <v>0</v>
      </c>
      <c r="AN495" s="26">
        <v>0</v>
      </c>
    </row>
    <row r="496" spans="3:40">
      <c r="C496" s="1">
        <f>WORKDAY(C495,1,Feriados!A304:A1143)</f>
        <v>45576</v>
      </c>
      <c r="D496" s="39">
        <v>9308304.9317000005</v>
      </c>
      <c r="E496" s="32">
        <v>4.0755254000000001</v>
      </c>
      <c r="F496" s="88">
        <v>2283952.1146062999</v>
      </c>
      <c r="G496" s="15">
        <f t="shared" ref="G496" si="2390">H496*I496</f>
        <v>9280404.911172688</v>
      </c>
      <c r="H496" s="32">
        <v>1.0371728</v>
      </c>
      <c r="I496" s="15">
        <f>SUMIFS([1]Master!$K$2:$K$10000,[1]Master!$A$2:$A$10000,$I$12,[1]Master!$F$2:$F$10000,"&lt;="&amp;$C496)</f>
        <v>8947790.4850307368</v>
      </c>
      <c r="J496" s="15">
        <f t="shared" ref="J496" si="2391">K496*L496</f>
        <v>0</v>
      </c>
      <c r="K496" s="43">
        <v>0</v>
      </c>
      <c r="L496" s="40">
        <v>0</v>
      </c>
      <c r="M496" s="15">
        <f t="shared" ref="M496" si="2392">N496*O496</f>
        <v>0</v>
      </c>
      <c r="N496" s="32">
        <v>0</v>
      </c>
      <c r="O496" s="40">
        <v>0</v>
      </c>
      <c r="P496" s="15">
        <f t="shared" ref="P496" si="2393">R496*Q496</f>
        <v>26621.71861148563</v>
      </c>
      <c r="Q496" s="32">
        <v>4.4382897999999997</v>
      </c>
      <c r="R496" s="40">
        <v>5998.19295519766</v>
      </c>
      <c r="S496" s="15">
        <f t="shared" ref="S496" si="2394">(((1+1.35%)^(1/252))-1)*D495+SUM(S495)</f>
        <v>4518.2029398426212</v>
      </c>
      <c r="T496" s="15">
        <f>IF((NETWORKDAYS(DATE(YEAR(C496),MONTH(C496),1),C496,Feriados!$A$2:$A$842))&gt;=5,0,IF(NETWORKDAYS(DATE(YEAR(C496),MONTH(C496),1),C496,Feriados!$A$2:$A$842)=1,S495,T495))</f>
        <v>0</v>
      </c>
      <c r="U496" s="26">
        <v>0</v>
      </c>
      <c r="V496" s="26">
        <v>0</v>
      </c>
      <c r="W496" s="15">
        <f t="shared" ref="W496" si="2395">SUM(G496+J496+M496+P496)</f>
        <v>9307026.6297841743</v>
      </c>
      <c r="X496" s="50">
        <f>'Fluxo de Caixa_'!AD502</f>
        <v>0</v>
      </c>
      <c r="AB496" s="26">
        <v>5796.4516999999996</v>
      </c>
      <c r="AC496" s="26">
        <v>0</v>
      </c>
      <c r="AD496">
        <f>SUMIFS([1]Master!$J$2:$J$100,[1]Master!$A$2:$A$100,"="&amp;$I$12,[1]Master!$E$2:$E$100,"="&amp;C496,[1]Master!$J$2:$J$100,"&gt;"&amp;0)</f>
        <v>0</v>
      </c>
      <c r="AE496">
        <f ca="1">-SUMIF('[1]Fluxo de Movimentações'!$A$5:$F$10001,"="&amp;$C496,'[1]Fluxo de Movimentações'!$H$5:$H$10001)</f>
        <v>0</v>
      </c>
      <c r="AF496" s="26">
        <v>0</v>
      </c>
      <c r="AG496" s="26">
        <v>0</v>
      </c>
      <c r="AH496" s="26">
        <v>0</v>
      </c>
      <c r="AI496" s="26">
        <v>0</v>
      </c>
      <c r="AJ496" s="26">
        <v>0</v>
      </c>
      <c r="AK496" s="68">
        <v>4.0755254000000001</v>
      </c>
      <c r="AL496" s="15">
        <f>-SUMIFS([1]Master!$J$1:$J$200,[1]Master!$A$1:$A$200,"="&amp;$I$12,[1]Master!$G$1:$G$200,"&gt;"&amp;C496,[1]Master!$E$1:$E$200,"&lt;="&amp;C496)</f>
        <v>0</v>
      </c>
      <c r="AM496" s="26">
        <v>0</v>
      </c>
      <c r="AN496" s="26">
        <v>0</v>
      </c>
    </row>
    <row r="497" spans="3:40">
      <c r="C497" s="1">
        <f>WORKDAY(C496,1,Feriados!A305:A1144)</f>
        <v>45579</v>
      </c>
      <c r="D497" s="39">
        <v>9447175.9470000006</v>
      </c>
      <c r="E497" s="32">
        <v>4.1363284</v>
      </c>
      <c r="F497" s="88">
        <v>2283952.1146062999</v>
      </c>
      <c r="G497" s="15">
        <f t="shared" ref="G497" si="2396">H497*I497</f>
        <v>9419811.4869294651</v>
      </c>
      <c r="H497" s="32">
        <v>1.0527527999999999</v>
      </c>
      <c r="I497" s="15">
        <f>SUMIFS([1]Master!$K$2:$K$10000,[1]Master!$A$2:$A$10000,$I$12,[1]Master!$F$2:$F$10000,"&lt;="&amp;$C497)</f>
        <v>8947790.4850307368</v>
      </c>
      <c r="J497" s="15">
        <f t="shared" ref="J497" si="2397">K497*L497</f>
        <v>0</v>
      </c>
      <c r="K497" s="43">
        <v>0</v>
      </c>
      <c r="L497" s="40">
        <v>0</v>
      </c>
      <c r="M497" s="15">
        <f t="shared" ref="M497" si="2398">N497*O497</f>
        <v>0</v>
      </c>
      <c r="N497" s="32">
        <v>0</v>
      </c>
      <c r="O497" s="40">
        <v>0</v>
      </c>
      <c r="P497" s="15">
        <f t="shared" ref="P497" si="2399">R497*Q497</f>
        <v>26630.023709451401</v>
      </c>
      <c r="Q497" s="32">
        <v>4.4396744000000004</v>
      </c>
      <c r="R497" s="40">
        <v>5998.19295519766</v>
      </c>
      <c r="S497" s="15">
        <f t="shared" ref="S497" si="2400">(((1+1.35%)^(1/252))-1)*D496+SUM(S496)</f>
        <v>5013.53935222373</v>
      </c>
      <c r="T497" s="15">
        <f>IF((NETWORKDAYS(DATE(YEAR(C497),MONTH(C497),1),C497,Feriados!$A$2:$A$842))&gt;=5,0,IF(NETWORKDAYS(DATE(YEAR(C497),MONTH(C497),1),C497,Feriados!$A$2:$A$842)=1,S496,T496))</f>
        <v>0</v>
      </c>
      <c r="U497" s="26">
        <v>0</v>
      </c>
      <c r="V497" s="26">
        <v>0</v>
      </c>
      <c r="W497" s="15">
        <f t="shared" ref="W497" si="2401">SUM(G497+J497+M497+P497)</f>
        <v>9446441.5106389169</v>
      </c>
      <c r="X497" s="50">
        <f>'Fluxo de Caixa_'!AD503</f>
        <v>0</v>
      </c>
      <c r="AB497" s="26">
        <v>5747.9170000000004</v>
      </c>
      <c r="AC497" s="26">
        <v>0</v>
      </c>
      <c r="AD497">
        <f>SUMIFS([1]Master!$J$2:$J$100,[1]Master!$A$2:$A$100,"="&amp;$I$12,[1]Master!$E$2:$E$100,"="&amp;C497,[1]Master!$J$2:$J$100,"&gt;"&amp;0)</f>
        <v>0</v>
      </c>
      <c r="AE497">
        <f ca="1">-SUMIF('[1]Fluxo de Movimentações'!$A$5:$F$10001,"="&amp;$C497,'[1]Fluxo de Movimentações'!$H$5:$H$10001)</f>
        <v>0</v>
      </c>
      <c r="AF497" s="26">
        <v>0</v>
      </c>
      <c r="AG497" s="26">
        <v>0</v>
      </c>
      <c r="AH497" s="26">
        <v>0</v>
      </c>
      <c r="AI497" s="26">
        <v>0</v>
      </c>
      <c r="AJ497" s="26">
        <v>0</v>
      </c>
      <c r="AK497" s="68">
        <v>4.1363284</v>
      </c>
      <c r="AL497" s="15">
        <f>-SUMIFS([1]Master!$J$1:$J$200,[1]Master!$A$1:$A$200,"="&amp;$I$12,[1]Master!$G$1:$G$200,"&gt;"&amp;C497,[1]Master!$E$1:$E$200,"&lt;="&amp;C497)</f>
        <v>0</v>
      </c>
      <c r="AM497" s="26">
        <v>0</v>
      </c>
      <c r="AN497" s="26">
        <v>0</v>
      </c>
    </row>
    <row r="498" spans="3:40">
      <c r="C498" s="1">
        <f>WORKDAY(C497,1,Feriados!A306:A1145)</f>
        <v>45580</v>
      </c>
      <c r="D498" s="39">
        <v>9458441.6223000009</v>
      </c>
      <c r="E498" s="32">
        <v>4.1412608999999998</v>
      </c>
      <c r="F498" s="88">
        <v>2283952.1146062999</v>
      </c>
      <c r="G498" s="15">
        <f t="shared" ref="G498" si="2402">H498*I498</f>
        <v>9431618.096474465</v>
      </c>
      <c r="H498" s="32">
        <v>1.0540723000000001</v>
      </c>
      <c r="I498" s="15">
        <f>SUMIFS([1]Master!$K$2:$K$10000,[1]Master!$A$2:$A$10000,$I$12,[1]Master!$F$2:$F$10000,"&lt;="&amp;$C498)</f>
        <v>8947790.4850307368</v>
      </c>
      <c r="J498" s="15">
        <f t="shared" ref="J498" si="2403">K498*L498</f>
        <v>0</v>
      </c>
      <c r="K498" s="43">
        <v>0</v>
      </c>
      <c r="L498" s="40">
        <v>0</v>
      </c>
      <c r="M498" s="15">
        <f t="shared" ref="M498" si="2404">N498*O498</f>
        <v>0</v>
      </c>
      <c r="N498" s="32">
        <v>0</v>
      </c>
      <c r="O498" s="40">
        <v>0</v>
      </c>
      <c r="P498" s="15">
        <f t="shared" ref="P498" si="2405">R498*Q498</f>
        <v>26640.343600430813</v>
      </c>
      <c r="Q498" s="32">
        <v>4.4413948999999997</v>
      </c>
      <c r="R498" s="40">
        <v>5998.19295519766</v>
      </c>
      <c r="S498" s="15">
        <f t="shared" ref="S498" si="2406">(((1+1.35%)^(1/252))-1)*D497+SUM(S497)</f>
        <v>5516.2657105732142</v>
      </c>
      <c r="T498" s="15">
        <f>IF((NETWORKDAYS(DATE(YEAR(C498),MONTH(C498),1),C498,Feriados!$A$2:$A$842))&gt;=5,0,IF(NETWORKDAYS(DATE(YEAR(C498),MONTH(C498),1),C498,Feriados!$A$2:$A$842)=1,S497,T497))</f>
        <v>0</v>
      </c>
      <c r="U498" s="26">
        <v>0</v>
      </c>
      <c r="V498" s="26">
        <v>0</v>
      </c>
      <c r="W498" s="15">
        <f t="shared" ref="W498" si="2407">SUM(G498+J498+M498+P498)</f>
        <v>9458258.4400748964</v>
      </c>
      <c r="X498" s="50">
        <f>'Fluxo de Caixa_'!AD504</f>
        <v>0</v>
      </c>
      <c r="AB498" s="26">
        <v>5699.3823000000002</v>
      </c>
      <c r="AC498" s="26">
        <v>0</v>
      </c>
      <c r="AD498">
        <f>SUMIFS([1]Master!$J$2:$J$100,[1]Master!$A$2:$A$100,"="&amp;$I$12,[1]Master!$E$2:$E$100,"="&amp;C498,[1]Master!$J$2:$J$100,"&gt;"&amp;0)</f>
        <v>0</v>
      </c>
      <c r="AE498">
        <f ca="1">-SUMIF('[1]Fluxo de Movimentações'!$A$5:$F$10001,"="&amp;$C498,'[1]Fluxo de Movimentações'!$H$5:$H$10001)</f>
        <v>0</v>
      </c>
      <c r="AF498" s="26">
        <v>0</v>
      </c>
      <c r="AG498" s="26">
        <v>0</v>
      </c>
      <c r="AH498" s="26">
        <v>0</v>
      </c>
      <c r="AI498" s="26">
        <v>0</v>
      </c>
      <c r="AJ498" s="26">
        <v>0</v>
      </c>
      <c r="AK498" s="68">
        <v>4.1412608999999998</v>
      </c>
      <c r="AL498" s="15">
        <f>-SUMIFS([1]Master!$J$1:$J$200,[1]Master!$A$1:$A$200,"="&amp;$I$12,[1]Master!$G$1:$G$200,"&gt;"&amp;C498,[1]Master!$E$1:$E$200,"&lt;="&amp;C498)</f>
        <v>0</v>
      </c>
      <c r="AM498" s="26">
        <v>0</v>
      </c>
      <c r="AN498" s="26">
        <v>0</v>
      </c>
    </row>
    <row r="499" spans="3:40">
      <c r="C499" s="1">
        <f>WORKDAY(C498,1,Feriados!A307:A1146)</f>
        <v>45581</v>
      </c>
      <c r="D499" s="39">
        <v>9509723.0479000006</v>
      </c>
      <c r="E499" s="32">
        <v>4.1637138</v>
      </c>
      <c r="F499" s="88">
        <v>2283952.1146062999</v>
      </c>
      <c r="G499" s="15">
        <f t="shared" ref="G499" si="2408">H499*I499</f>
        <v>9483441.9094056655</v>
      </c>
      <c r="H499" s="32">
        <v>1.0598641</v>
      </c>
      <c r="I499" s="15">
        <f>SUMIFS([1]Master!$K$2:$K$10000,[1]Master!$A$2:$A$10000,$I$12,[1]Master!$F$2:$F$10000,"&lt;="&amp;$C499)</f>
        <v>8947790.4850307368</v>
      </c>
      <c r="J499" s="15">
        <f t="shared" ref="J499" si="2409">K499*L499</f>
        <v>0</v>
      </c>
      <c r="K499" s="43">
        <v>0</v>
      </c>
      <c r="L499" s="40">
        <v>0</v>
      </c>
      <c r="M499" s="15">
        <f t="shared" ref="M499" si="2410">N499*O499</f>
        <v>0</v>
      </c>
      <c r="N499" s="32">
        <v>0</v>
      </c>
      <c r="O499" s="40">
        <v>0</v>
      </c>
      <c r="P499" s="15">
        <f t="shared" ref="P499" si="2411">R499*Q499</f>
        <v>26649.810548372003</v>
      </c>
      <c r="Q499" s="32">
        <v>4.4429732</v>
      </c>
      <c r="R499" s="40">
        <v>5998.19295519766</v>
      </c>
      <c r="S499" s="15">
        <f t="shared" ref="S499" si="2412">(((1+1.35%)^(1/252))-1)*D498+SUM(S498)</f>
        <v>6019.5915657405503</v>
      </c>
      <c r="T499" s="15">
        <f>IF((NETWORKDAYS(DATE(YEAR(C499),MONTH(C499),1),C499,Feriados!$A$2:$A$842))&gt;=5,0,IF(NETWORKDAYS(DATE(YEAR(C499),MONTH(C499),1),C499,Feriados!$A$2:$A$842)=1,S498,T498))</f>
        <v>0</v>
      </c>
      <c r="U499" s="26">
        <v>0</v>
      </c>
      <c r="V499" s="26">
        <v>0</v>
      </c>
      <c r="W499" s="15">
        <f t="shared" ref="W499" si="2413">SUM(G499+J499+M499+P499)</f>
        <v>9510091.719954038</v>
      </c>
      <c r="X499" s="50">
        <f>'Fluxo de Caixa_'!AD505</f>
        <v>0</v>
      </c>
      <c r="AB499" s="26">
        <v>5650.8478999999998</v>
      </c>
      <c r="AC499" s="26">
        <v>0</v>
      </c>
      <c r="AD499">
        <f>SUMIFS([1]Master!$J$2:$J$100,[1]Master!$A$2:$A$100,"="&amp;$I$12,[1]Master!$E$2:$E$100,"="&amp;C499,[1]Master!$J$2:$J$100,"&gt;"&amp;0)</f>
        <v>0</v>
      </c>
      <c r="AE499">
        <f ca="1">-SUMIF('[1]Fluxo de Movimentações'!$A$5:$F$10001,"="&amp;$C499,'[1]Fluxo de Movimentações'!$H$5:$H$10001)</f>
        <v>0</v>
      </c>
      <c r="AF499" s="26">
        <v>0</v>
      </c>
      <c r="AG499" s="26">
        <v>0</v>
      </c>
      <c r="AH499" s="26">
        <v>0</v>
      </c>
      <c r="AI499" s="26">
        <v>0</v>
      </c>
      <c r="AJ499" s="26">
        <v>0</v>
      </c>
      <c r="AK499" s="68">
        <v>4.1637138</v>
      </c>
      <c r="AL499" s="15">
        <f>-SUMIFS([1]Master!$J$1:$J$200,[1]Master!$A$1:$A$200,"="&amp;$I$12,[1]Master!$G$1:$G$200,"&gt;"&amp;C499,[1]Master!$E$1:$E$200,"&lt;="&amp;C499)</f>
        <v>0</v>
      </c>
      <c r="AM499" s="26">
        <v>0</v>
      </c>
      <c r="AN499" s="26">
        <v>0</v>
      </c>
    </row>
    <row r="500" spans="3:40">
      <c r="C500" s="1">
        <f>WORKDAY(C499,1,Feriados!A308:A1147)</f>
        <v>45582</v>
      </c>
      <c r="D500" s="39">
        <v>9456558.5853000004</v>
      </c>
      <c r="E500" s="32">
        <v>4.1404363999999996</v>
      </c>
      <c r="F500" s="88">
        <v>2283952.1146062999</v>
      </c>
      <c r="G500" s="15">
        <f t="shared" ref="G500" si="2414">H500*I500</f>
        <v>9430819.9535631984</v>
      </c>
      <c r="H500" s="32">
        <v>1.0539831</v>
      </c>
      <c r="I500" s="15">
        <f>SUMIFS([1]Master!$K$2:$K$10000,[1]Master!$A$2:$A$10000,$I$12,[1]Master!$F$2:$F$10000,"&lt;="&amp;$C500)</f>
        <v>8947790.4850307368</v>
      </c>
      <c r="J500" s="15">
        <f t="shared" ref="J500" si="2415">K500*L500</f>
        <v>0</v>
      </c>
      <c r="K500" s="43">
        <v>0</v>
      </c>
      <c r="L500" s="40">
        <v>0</v>
      </c>
      <c r="M500" s="15">
        <f t="shared" ref="M500" si="2416">N500*O500</f>
        <v>0</v>
      </c>
      <c r="N500" s="32">
        <v>0</v>
      </c>
      <c r="O500" s="40">
        <v>0</v>
      </c>
      <c r="P500" s="15">
        <f t="shared" ref="P500:P501" si="2417">R500*Q500</f>
        <v>26513.515126608199</v>
      </c>
      <c r="Q500" s="32">
        <v>4.4444243999999999</v>
      </c>
      <c r="R500" s="40">
        <v>5965.5678081976603</v>
      </c>
      <c r="S500" s="15">
        <f t="shared" ref="S500" si="2418">(((1+1.35%)^(1/252))-1)*D499+SUM(S499)</f>
        <v>6525.6463342347361</v>
      </c>
      <c r="T500" s="15">
        <f>IF((NETWORKDAYS(DATE(YEAR(C500),MONTH(C500),1),C500,Feriados!$A$2:$A$842))&gt;=5,0,IF(NETWORKDAYS(DATE(YEAR(C500),MONTH(C500),1),C500,Feriados!$A$2:$A$842)=1,S499,T499))</f>
        <v>0</v>
      </c>
      <c r="U500" s="26">
        <v>0</v>
      </c>
      <c r="V500" s="26">
        <v>0</v>
      </c>
      <c r="W500" s="15">
        <f t="shared" ref="W500" si="2419">SUM(G500+J500+M500+P500)</f>
        <v>9457333.4686898068</v>
      </c>
      <c r="X500" s="50">
        <f>'Fluxo de Caixa_'!AD506</f>
        <v>-6.1961435449120472E-7</v>
      </c>
      <c r="AB500" s="26">
        <v>5750.6853000000001</v>
      </c>
      <c r="AC500" s="26">
        <v>0</v>
      </c>
      <c r="AD500">
        <f>SUMIFS([1]Master!$J$2:$J$100,[1]Master!$A$2:$A$100,"="&amp;$I$12,[1]Master!$E$2:$E$100,"="&amp;C500,[1]Master!$J$2:$J$100,"&gt;"&amp;0)</f>
        <v>0</v>
      </c>
      <c r="AE500">
        <f ca="1">-SUMIF('[1]Fluxo de Movimentações'!$A$5:$F$10001,"="&amp;$C500,'[1]Fluxo de Movimentações'!$H$5:$H$10001)</f>
        <v>0</v>
      </c>
      <c r="AF500" s="26">
        <v>0</v>
      </c>
      <c r="AG500" s="26">
        <v>0</v>
      </c>
      <c r="AH500" s="26">
        <v>0</v>
      </c>
      <c r="AI500" s="26">
        <v>0</v>
      </c>
      <c r="AJ500" s="26">
        <v>0</v>
      </c>
      <c r="AK500" s="68">
        <v>4.1404363999999996</v>
      </c>
      <c r="AL500" s="15">
        <f>-SUMIFS([1]Master!$J$1:$J$200,[1]Master!$A$1:$A$200,"="&amp;$I$12,[1]Master!$G$1:$G$200,"&gt;"&amp;C500,[1]Master!$E$1:$E$200,"&lt;="&amp;C500)</f>
        <v>0</v>
      </c>
      <c r="AM500" s="26">
        <v>0</v>
      </c>
      <c r="AN500" s="26">
        <v>0</v>
      </c>
    </row>
    <row r="501" spans="3:40">
      <c r="C501" s="1">
        <f>WORKDAY(C500,1,Feriados!A309:A1148)</f>
        <v>45583</v>
      </c>
      <c r="D501" s="39">
        <v>9419275.5660999995</v>
      </c>
      <c r="E501" s="32">
        <v>4.1241124999999998</v>
      </c>
      <c r="F501" s="88">
        <v>2283952.1146062999</v>
      </c>
      <c r="G501" s="15">
        <f t="shared" ref="G501" si="2420">H501*I501</f>
        <v>9394080.3258316629</v>
      </c>
      <c r="H501" s="32">
        <v>1.0498771</v>
      </c>
      <c r="I501" s="15">
        <f>SUMIFS([1]Master!$K$2:$K$10000,[1]Master!$A$2:$A$10000,$I$12,[1]Master!$F$2:$F$10000,"&lt;="&amp;$C501)</f>
        <v>8947790.4850307368</v>
      </c>
      <c r="J501" s="15">
        <f t="shared" ref="J501" si="2421">K501*L501</f>
        <v>0</v>
      </c>
      <c r="K501" s="43">
        <v>0</v>
      </c>
      <c r="L501" s="40">
        <v>0</v>
      </c>
      <c r="M501" s="15">
        <f t="shared" ref="M501" si="2422">N501*O501</f>
        <v>0</v>
      </c>
      <c r="N501" s="32">
        <v>0</v>
      </c>
      <c r="O501" s="40">
        <v>0</v>
      </c>
      <c r="P501" s="15">
        <f t="shared" si="2417"/>
        <v>26522.044098903581</v>
      </c>
      <c r="Q501" s="32">
        <v>4.4458541</v>
      </c>
      <c r="R501" s="40">
        <v>5965.5678081976603</v>
      </c>
      <c r="S501" s="15">
        <f t="shared" ref="S501" si="2423">(((1+1.35%)^(1/252))-1)*D500+SUM(S500)</f>
        <v>7028.8719846065906</v>
      </c>
      <c r="T501" s="15">
        <f>IF((NETWORKDAYS(DATE(YEAR(C501),MONTH(C501),1),C501,Feriados!$A$2:$A$842))&gt;=5,0,IF(NETWORKDAYS(DATE(YEAR(C501),MONTH(C501),1),C501,Feriados!$A$2:$A$842)=1,S500,T500))</f>
        <v>0</v>
      </c>
      <c r="U501" s="26">
        <v>0</v>
      </c>
      <c r="V501" s="26">
        <v>0</v>
      </c>
      <c r="W501" s="15">
        <f t="shared" ref="W501" si="2424">SUM(G501+J501+M501+P501)</f>
        <v>9420602.3699305672</v>
      </c>
      <c r="X501" s="50">
        <f>'Fluxo de Caixa_'!AD507</f>
        <v>0</v>
      </c>
      <c r="AB501" s="26">
        <v>5701.9861000000001</v>
      </c>
      <c r="AC501" s="26">
        <v>0</v>
      </c>
      <c r="AD501">
        <f>SUMIFS([1]Master!$J$2:$J$100,[1]Master!$A$2:$A$100,"="&amp;$I$12,[1]Master!$E$2:$E$100,"="&amp;C501,[1]Master!$J$2:$J$100,"&gt;"&amp;0)</f>
        <v>0</v>
      </c>
      <c r="AE501">
        <f ca="1">-SUMIF('[1]Fluxo de Movimentações'!$A$5:$F$10001,"="&amp;$C501,'[1]Fluxo de Movimentações'!$H$5:$H$10001)</f>
        <v>0</v>
      </c>
      <c r="AF501" s="26">
        <v>0</v>
      </c>
      <c r="AG501" s="26">
        <v>0</v>
      </c>
      <c r="AH501" s="26">
        <v>0</v>
      </c>
      <c r="AI501" s="26">
        <v>0</v>
      </c>
      <c r="AJ501" s="26">
        <v>0</v>
      </c>
      <c r="AK501" s="68">
        <v>4.1241124999999998</v>
      </c>
      <c r="AL501" s="15">
        <f>-SUMIFS([1]Master!$J$1:$J$200,[1]Master!$A$1:$A$200,"="&amp;$I$12,[1]Master!$G$1:$G$200,"&gt;"&amp;C501,[1]Master!$E$1:$E$200,"&lt;="&amp;C501)</f>
        <v>0</v>
      </c>
      <c r="AM501" s="26">
        <v>0</v>
      </c>
      <c r="AN501" s="26">
        <v>0</v>
      </c>
    </row>
    <row r="502" spans="3:40">
      <c r="C502" s="1">
        <f>WORKDAY(C501,1,Feriados!A310:A1149)</f>
        <v>45586</v>
      </c>
      <c r="D502" s="39">
        <v>9443674.3969000001</v>
      </c>
      <c r="E502" s="32">
        <v>4.1347953000000004</v>
      </c>
      <c r="F502" s="88">
        <v>2283952.1146062999</v>
      </c>
      <c r="G502" s="15">
        <f t="shared" ref="G502" si="2425">H502*I502</f>
        <v>9419018.7126924917</v>
      </c>
      <c r="H502" s="32">
        <v>1.0526641999999999</v>
      </c>
      <c r="I502" s="15">
        <f>SUMIFS([1]Master!$K$2:$K$10000,[1]Master!$A$2:$A$10000,$I$12,[1]Master!$F$2:$F$10000,"&lt;="&amp;$C502)</f>
        <v>8947790.4850307368</v>
      </c>
      <c r="J502" s="15">
        <f t="shared" ref="J502" si="2426">K502*L502</f>
        <v>0</v>
      </c>
      <c r="K502" s="43">
        <v>0</v>
      </c>
      <c r="L502" s="40">
        <v>0</v>
      </c>
      <c r="M502" s="15">
        <f t="shared" ref="M502" si="2427">N502*O502</f>
        <v>0</v>
      </c>
      <c r="N502" s="32">
        <v>0</v>
      </c>
      <c r="O502" s="40">
        <v>0</v>
      </c>
      <c r="P502" s="15">
        <f t="shared" ref="P502" si="2428">R502*Q502</f>
        <v>26532.424186889846</v>
      </c>
      <c r="Q502" s="32">
        <v>4.4475940999999999</v>
      </c>
      <c r="R502" s="40">
        <v>5965.5678081976603</v>
      </c>
      <c r="S502" s="15">
        <f t="shared" ref="S502" si="2429">(((1+1.35%)^(1/252))-1)*D501+SUM(S501)</f>
        <v>7530.1136392768894</v>
      </c>
      <c r="T502" s="15">
        <f>IF((NETWORKDAYS(DATE(YEAR(C502),MONTH(C502),1),C502,Feriados!$A$2:$A$842))&gt;=5,0,IF(NETWORKDAYS(DATE(YEAR(C502),MONTH(C502),1),C502,Feriados!$A$2:$A$842)=1,S501,T501))</f>
        <v>0</v>
      </c>
      <c r="U502" s="26">
        <v>0</v>
      </c>
      <c r="V502" s="26">
        <v>0</v>
      </c>
      <c r="W502" s="15">
        <f t="shared" ref="W502" si="2430">SUM(G502+J502+M502+P502)</f>
        <v>9445551.1368793808</v>
      </c>
      <c r="X502" s="50">
        <f>'Fluxo de Caixa_'!AD508</f>
        <v>0</v>
      </c>
      <c r="AB502" s="26">
        <v>5653.2869000000001</v>
      </c>
      <c r="AC502" s="26">
        <v>0</v>
      </c>
      <c r="AD502">
        <f>SUMIFS([1]Master!$J$2:$J$100,[1]Master!$A$2:$A$100,"="&amp;$I$12,[1]Master!$E$2:$E$100,"="&amp;C502,[1]Master!$J$2:$J$100,"&gt;"&amp;0)</f>
        <v>0</v>
      </c>
      <c r="AE502">
        <f ca="1">-SUMIF('[1]Fluxo de Movimentações'!$A$5:$F$10001,"="&amp;$C502,'[1]Fluxo de Movimentações'!$H$5:$H$10001)</f>
        <v>0</v>
      </c>
      <c r="AF502" s="26">
        <v>0</v>
      </c>
      <c r="AG502" s="26">
        <v>0</v>
      </c>
      <c r="AH502" s="26">
        <v>0</v>
      </c>
      <c r="AI502" s="26">
        <v>0</v>
      </c>
      <c r="AJ502" s="26">
        <v>0</v>
      </c>
      <c r="AK502" s="68">
        <v>4.1347953000000004</v>
      </c>
      <c r="AL502" s="15">
        <f>-SUMIFS([1]Master!$J$1:$J$200,[1]Master!$A$1:$A$200,"="&amp;$I$12,[1]Master!$G$1:$G$200,"&gt;"&amp;C502,[1]Master!$E$1:$E$200,"&lt;="&amp;C502)</f>
        <v>0</v>
      </c>
      <c r="AM502" s="26">
        <v>0</v>
      </c>
      <c r="AN502" s="26">
        <v>0</v>
      </c>
    </row>
    <row r="503" spans="3:40">
      <c r="C503" s="1">
        <f>WORKDAY(C502,1,Feriados!A311:A1150)</f>
        <v>45587</v>
      </c>
      <c r="D503" s="39">
        <v>9401442.3676999994</v>
      </c>
      <c r="E503" s="32">
        <v>4.1163045</v>
      </c>
      <c r="F503" s="88">
        <v>2283952.1146062999</v>
      </c>
      <c r="G503" s="15">
        <f t="shared" ref="G503" si="2431">H503*I503</f>
        <v>9377327.3777065407</v>
      </c>
      <c r="H503" s="32">
        <v>1.0480048</v>
      </c>
      <c r="I503" s="15">
        <f>SUMIFS([1]Master!$K$2:$K$10000,[1]Master!$A$2:$A$10000,$I$12,[1]Master!$F$2:$F$10000,"&lt;="&amp;$C503)</f>
        <v>8947790.4850307368</v>
      </c>
      <c r="J503" s="15">
        <f t="shared" ref="J503" si="2432">K503*L503</f>
        <v>0</v>
      </c>
      <c r="K503" s="43">
        <v>0</v>
      </c>
      <c r="L503" s="40">
        <v>0</v>
      </c>
      <c r="M503" s="15">
        <f t="shared" ref="M503" si="2433">N503*O503</f>
        <v>0</v>
      </c>
      <c r="N503" s="32">
        <v>0</v>
      </c>
      <c r="O503" s="40">
        <v>0</v>
      </c>
      <c r="P503" s="15">
        <f t="shared" ref="P503" si="2434">R503*Q503</f>
        <v>26542.971310774741</v>
      </c>
      <c r="Q503" s="32">
        <v>4.4493621000000001</v>
      </c>
      <c r="R503" s="40">
        <v>5965.5678081976603</v>
      </c>
      <c r="S503" s="15">
        <f t="shared" ref="S503" si="2435">(((1+1.35%)^(1/252))-1)*D502+SUM(S502)</f>
        <v>8032.6536645316764</v>
      </c>
      <c r="T503" s="15">
        <f>IF((NETWORKDAYS(DATE(YEAR(C503),MONTH(C503),1),C503,Feriados!$A$2:$A$842))&gt;=5,0,IF(NETWORKDAYS(DATE(YEAR(C503),MONTH(C503),1),C503,Feriados!$A$2:$A$842)=1,S502,T502))</f>
        <v>0</v>
      </c>
      <c r="U503" s="26">
        <v>0</v>
      </c>
      <c r="V503" s="26">
        <v>0</v>
      </c>
      <c r="W503" s="15">
        <f t="shared" ref="W503" si="2436">SUM(G503+J503+M503+P503)</f>
        <v>9403870.3490173146</v>
      </c>
      <c r="X503" s="50">
        <f>'Fluxo de Caixa_'!AD509</f>
        <v>0</v>
      </c>
      <c r="AB503" s="26">
        <v>5604.5877</v>
      </c>
      <c r="AC503" s="26">
        <v>0</v>
      </c>
      <c r="AD503">
        <f>SUMIFS([1]Master!$J$2:$J$100,[1]Master!$A$2:$A$100,"="&amp;$I$12,[1]Master!$E$2:$E$100,"="&amp;C503,[1]Master!$J$2:$J$100,"&gt;"&amp;0)</f>
        <v>0</v>
      </c>
      <c r="AE503">
        <f ca="1">-SUMIF('[1]Fluxo de Movimentações'!$A$5:$F$10001,"="&amp;$C503,'[1]Fluxo de Movimentações'!$H$5:$H$10001)</f>
        <v>0</v>
      </c>
      <c r="AF503" s="26">
        <v>0</v>
      </c>
      <c r="AG503" s="26">
        <v>0</v>
      </c>
      <c r="AH503" s="26">
        <v>0</v>
      </c>
      <c r="AI503" s="26">
        <v>0</v>
      </c>
      <c r="AJ503" s="26">
        <v>0</v>
      </c>
      <c r="AK503" s="68">
        <v>4.1163045</v>
      </c>
      <c r="AL503" s="15">
        <f>-SUMIFS([1]Master!$J$1:$J$200,[1]Master!$A$1:$A$200,"="&amp;$I$12,[1]Master!$G$1:$G$200,"&gt;"&amp;C503,[1]Master!$E$1:$E$200,"&lt;="&amp;C503)</f>
        <v>0</v>
      </c>
      <c r="AM503" s="26">
        <v>0</v>
      </c>
      <c r="AN503" s="26">
        <v>0</v>
      </c>
    </row>
    <row r="504" spans="3:40">
      <c r="C504" s="1">
        <f>WORKDAY(C503,1,Feriados!A312:A1151)</f>
        <v>45588</v>
      </c>
      <c r="D504" s="39">
        <v>9375402.4684999995</v>
      </c>
      <c r="E504" s="32">
        <v>4.1049033000000001</v>
      </c>
      <c r="F504" s="88">
        <v>2283952.1146062999</v>
      </c>
      <c r="G504" s="15">
        <f t="shared" ref="G504" si="2437">H504*I504</f>
        <v>9351825.2800451554</v>
      </c>
      <c r="H504" s="32">
        <v>1.0451547000000001</v>
      </c>
      <c r="I504" s="15">
        <f>SUMIFS([1]Master!$K$2:$K$10000,[1]Master!$A$2:$A$10000,$I$12,[1]Master!$F$2:$F$10000,"&lt;="&amp;$C504)</f>
        <v>8947790.4850307368</v>
      </c>
      <c r="J504" s="15">
        <f t="shared" ref="J504" si="2438">K504*L504</f>
        <v>0</v>
      </c>
      <c r="K504" s="43">
        <v>0</v>
      </c>
      <c r="L504" s="40">
        <v>0</v>
      </c>
      <c r="M504" s="15">
        <f t="shared" ref="M504" si="2439">N504*O504</f>
        <v>0</v>
      </c>
      <c r="N504" s="32">
        <v>0</v>
      </c>
      <c r="O504" s="40">
        <v>0</v>
      </c>
      <c r="P504" s="15">
        <f t="shared" ref="P504" si="2440">R504*Q504</f>
        <v>26554.162715982919</v>
      </c>
      <c r="Q504" s="32">
        <v>4.4512381000000003</v>
      </c>
      <c r="R504" s="40">
        <v>5965.5678081976603</v>
      </c>
      <c r="S504" s="15">
        <f t="shared" ref="S504" si="2441">(((1+1.35%)^(1/252))-1)*D503+SUM(S503)</f>
        <v>8532.946335194516</v>
      </c>
      <c r="T504" s="15">
        <f>IF((NETWORKDAYS(DATE(YEAR(C504),MONTH(C504),1),C504,Feriados!$A$2:$A$842))&gt;=5,0,IF(NETWORKDAYS(DATE(YEAR(C504),MONTH(C504),1),C504,Feriados!$A$2:$A$842)=1,S503,T503))</f>
        <v>0</v>
      </c>
      <c r="U504" s="26">
        <v>0</v>
      </c>
      <c r="V504" s="26">
        <v>0</v>
      </c>
      <c r="W504" s="15">
        <f t="shared" ref="W504" si="2442">SUM(G504+J504+M504+P504)</f>
        <v>9378379.4427611381</v>
      </c>
      <c r="X504" s="50">
        <f>'Fluxo de Caixa_'!AD510</f>
        <v>0</v>
      </c>
      <c r="AB504" s="26">
        <v>5555.8885</v>
      </c>
      <c r="AC504" s="26">
        <v>0</v>
      </c>
      <c r="AD504">
        <f>SUMIFS([1]Master!$J$2:$J$100,[1]Master!$A$2:$A$100,"="&amp;$I$12,[1]Master!$E$2:$E$100,"="&amp;C504,[1]Master!$J$2:$J$100,"&gt;"&amp;0)</f>
        <v>0</v>
      </c>
      <c r="AE504">
        <f ca="1">-SUMIF('[1]Fluxo de Movimentações'!$A$5:$F$10001,"="&amp;$C504,'[1]Fluxo de Movimentações'!$H$5:$H$10001)</f>
        <v>0</v>
      </c>
      <c r="AF504" s="26">
        <v>0</v>
      </c>
      <c r="AG504" s="26">
        <v>0</v>
      </c>
      <c r="AH504" s="26">
        <v>0</v>
      </c>
      <c r="AI504" s="26">
        <v>0</v>
      </c>
      <c r="AJ504" s="26">
        <v>0</v>
      </c>
      <c r="AK504" s="68">
        <v>4.1049033000000001</v>
      </c>
      <c r="AL504" s="15">
        <f>-SUMIFS([1]Master!$J$1:$J$200,[1]Master!$A$1:$A$200,"="&amp;$I$12,[1]Master!$G$1:$G$200,"&gt;"&amp;C504,[1]Master!$E$1:$E$200,"&lt;="&amp;C504)</f>
        <v>0</v>
      </c>
      <c r="AM504" s="26">
        <v>0</v>
      </c>
      <c r="AN504" s="26">
        <v>0</v>
      </c>
    </row>
    <row r="505" spans="3:40">
      <c r="C505" s="1">
        <f>WORKDAY(C504,1,Feriados!A313:A1152)</f>
        <v>45589</v>
      </c>
      <c r="D505" s="39">
        <v>9466766.6093000006</v>
      </c>
      <c r="E505" s="32">
        <v>4.1449059000000004</v>
      </c>
      <c r="F505" s="88">
        <v>2283952.1146062999</v>
      </c>
      <c r="G505" s="15">
        <f t="shared" ref="G505" si="2443">H505*I505</f>
        <v>9443726.2465588078</v>
      </c>
      <c r="H505" s="32">
        <v>1.0554254999999999</v>
      </c>
      <c r="I505" s="15">
        <f>SUMIFS([1]Master!$K$2:$K$10000,[1]Master!$A$2:$A$10000,$I$12,[1]Master!$F$2:$F$10000,"&lt;="&amp;$C505)</f>
        <v>8947790.4850307368</v>
      </c>
      <c r="J505" s="15">
        <f t="shared" ref="J505" si="2444">K505*L505</f>
        <v>0</v>
      </c>
      <c r="K505" s="43">
        <v>0</v>
      </c>
      <c r="L505" s="40">
        <v>0</v>
      </c>
      <c r="M505" s="15">
        <f t="shared" ref="M505" si="2445">N505*O505</f>
        <v>0</v>
      </c>
      <c r="N505" s="32">
        <v>0</v>
      </c>
      <c r="O505" s="40">
        <v>0</v>
      </c>
      <c r="P505" s="15">
        <f t="shared" ref="P505" si="2446">R505*Q505</f>
        <v>26564.931162433495</v>
      </c>
      <c r="Q505" s="32">
        <v>4.4530431999999998</v>
      </c>
      <c r="R505" s="40">
        <v>5965.5678081976603</v>
      </c>
      <c r="S505" s="15">
        <f t="shared" ref="S505" si="2447">(((1+1.35%)^(1/252))-1)*D504+SUM(S504)</f>
        <v>9031.8533067055614</v>
      </c>
      <c r="T505" s="15">
        <f>IF((NETWORKDAYS(DATE(YEAR(C505),MONTH(C505),1),C505,Feriados!$A$2:$A$842))&gt;=5,0,IF(NETWORKDAYS(DATE(YEAR(C505),MONTH(C505),1),C505,Feriados!$A$2:$A$842)=1,S504,T504))</f>
        <v>0</v>
      </c>
      <c r="U505" s="26">
        <v>0</v>
      </c>
      <c r="V505" s="26">
        <v>0</v>
      </c>
      <c r="W505" s="15">
        <f t="shared" ref="W505" si="2448">SUM(G505+J505+M505+P505)</f>
        <v>9470291.1777212415</v>
      </c>
      <c r="X505" s="50">
        <f>'Fluxo de Caixa_'!AD511</f>
        <v>0</v>
      </c>
      <c r="AB505" s="26">
        <v>5507.1893</v>
      </c>
      <c r="AC505" s="26">
        <v>0</v>
      </c>
      <c r="AD505">
        <f>SUMIFS([1]Master!$J$2:$J$100,[1]Master!$A$2:$A$100,"="&amp;$I$12,[1]Master!$E$2:$E$100,"="&amp;C505,[1]Master!$J$2:$J$100,"&gt;"&amp;0)</f>
        <v>0</v>
      </c>
      <c r="AE505">
        <f ca="1">-SUMIF('[1]Fluxo de Movimentações'!$A$5:$F$10001,"="&amp;$C505,'[1]Fluxo de Movimentações'!$H$5:$H$10001)</f>
        <v>0</v>
      </c>
      <c r="AF505" s="26">
        <v>0</v>
      </c>
      <c r="AG505" s="26">
        <v>0</v>
      </c>
      <c r="AH505" s="26">
        <v>0</v>
      </c>
      <c r="AI505" s="26">
        <v>0</v>
      </c>
      <c r="AJ505" s="26">
        <v>0</v>
      </c>
      <c r="AK505" s="68">
        <v>4.1449059000000004</v>
      </c>
      <c r="AL505" s="15">
        <f>-SUMIFS([1]Master!$J$1:$J$200,[1]Master!$A$1:$A$200,"="&amp;$I$12,[1]Master!$G$1:$G$200,"&gt;"&amp;C505,[1]Master!$E$1:$E$200,"&lt;="&amp;C505)</f>
        <v>0</v>
      </c>
      <c r="AM505" s="26">
        <v>0</v>
      </c>
      <c r="AN505" s="26">
        <v>0</v>
      </c>
    </row>
    <row r="506" spans="3:40">
      <c r="C506" s="1">
        <f>WORKDAY(C505,1,Feriados!A314:A1153)</f>
        <v>45590</v>
      </c>
      <c r="D506" s="39">
        <v>9371592.0800999999</v>
      </c>
      <c r="E506" s="32">
        <v>4.1032349000000004</v>
      </c>
      <c r="F506" s="88">
        <v>2283952.1146062999</v>
      </c>
      <c r="G506" s="15">
        <f t="shared" ref="G506" si="2449">H506*I506</f>
        <v>9349092.6248310264</v>
      </c>
      <c r="H506" s="32">
        <v>1.0448493000000001</v>
      </c>
      <c r="I506" s="15">
        <f>SUMIFS([1]Master!$K$2:$K$10000,[1]Master!$A$2:$A$10000,$I$12,[1]Master!$F$2:$F$10000,"&lt;="&amp;$C506)</f>
        <v>8947790.4850307368</v>
      </c>
      <c r="J506" s="15">
        <f t="shared" ref="J506" si="2450">K506*L506</f>
        <v>0</v>
      </c>
      <c r="K506" s="43">
        <v>0</v>
      </c>
      <c r="L506" s="40">
        <v>0</v>
      </c>
      <c r="M506" s="15">
        <f t="shared" ref="M506" si="2451">N506*O506</f>
        <v>0</v>
      </c>
      <c r="N506" s="32">
        <v>0</v>
      </c>
      <c r="O506" s="40">
        <v>0</v>
      </c>
      <c r="P506" s="15">
        <f t="shared" ref="P506" si="2452">R506*Q506</f>
        <v>26576.485274164414</v>
      </c>
      <c r="Q506" s="32">
        <v>4.4549799999999999</v>
      </c>
      <c r="R506" s="40">
        <v>5965.5678081976603</v>
      </c>
      <c r="S506" s="15">
        <f t="shared" ref="S506" si="2453">(((1+1.35%)^(1/252))-1)*D505+SUM(S505)</f>
        <v>9535.6221715533884</v>
      </c>
      <c r="T506" s="15">
        <f>IF((NETWORKDAYS(DATE(YEAR(C506),MONTH(C506),1),C506,Feriados!$A$2:$A$842))&gt;=5,0,IF(NETWORKDAYS(DATE(YEAR(C506),MONTH(C506),1),C506,Feriados!$A$2:$A$842)=1,S505,T505))</f>
        <v>0</v>
      </c>
      <c r="U506" s="26">
        <v>0</v>
      </c>
      <c r="V506" s="26">
        <v>0</v>
      </c>
      <c r="W506" s="15">
        <f t="shared" ref="W506" si="2454">SUM(G506+J506+M506+P506)</f>
        <v>9375669.1101051904</v>
      </c>
      <c r="X506" s="50">
        <f>'Fluxo de Caixa_'!AD512</f>
        <v>0</v>
      </c>
      <c r="AB506" s="26">
        <v>5458.4901</v>
      </c>
      <c r="AC506" s="26">
        <v>0</v>
      </c>
      <c r="AD506">
        <f>SUMIFS([1]Master!$J$2:$J$100,[1]Master!$A$2:$A$100,"="&amp;$I$12,[1]Master!$E$2:$E$100,"="&amp;C506,[1]Master!$J$2:$J$100,"&gt;"&amp;0)</f>
        <v>0</v>
      </c>
      <c r="AE506">
        <f ca="1">-SUMIF('[1]Fluxo de Movimentações'!$A$5:$F$10001,"="&amp;$C506,'[1]Fluxo de Movimentações'!$H$5:$H$10001)</f>
        <v>0</v>
      </c>
      <c r="AF506" s="26">
        <v>0</v>
      </c>
      <c r="AG506" s="26">
        <v>0</v>
      </c>
      <c r="AH506" s="26">
        <v>0</v>
      </c>
      <c r="AI506" s="26">
        <v>0</v>
      </c>
      <c r="AJ506" s="26">
        <v>0</v>
      </c>
      <c r="AK506" s="68">
        <v>4.1032349000000004</v>
      </c>
      <c r="AL506" s="15">
        <f>-SUMIFS([1]Master!$J$1:$J$200,[1]Master!$A$1:$A$200,"="&amp;$I$12,[1]Master!$G$1:$G$200,"&gt;"&amp;C506,[1]Master!$E$1:$E$200,"&lt;="&amp;C506)</f>
        <v>0</v>
      </c>
      <c r="AM506" s="26">
        <v>0</v>
      </c>
      <c r="AN506" s="26">
        <v>0</v>
      </c>
    </row>
    <row r="507" spans="3:40">
      <c r="C507" s="1">
        <f>WORKDAY(C506,1,Feriados!A315:A1154)</f>
        <v>45593</v>
      </c>
      <c r="D507" s="39">
        <v>9438777.6208999995</v>
      </c>
      <c r="E507" s="32">
        <v>4.1326513</v>
      </c>
      <c r="F507" s="88">
        <v>2283952.1146062999</v>
      </c>
      <c r="G507" s="15">
        <f t="shared" ref="G507" si="2455">H507*I507</f>
        <v>9416813.9771169797</v>
      </c>
      <c r="H507" s="32">
        <v>1.0524178</v>
      </c>
      <c r="I507" s="15">
        <f>SUMIFS([1]Master!$K$2:$K$10000,[1]Master!$A$2:$A$10000,$I$12,[1]Master!$F$2:$F$10000,"&lt;="&amp;$C507)</f>
        <v>8947790.4850307368</v>
      </c>
      <c r="J507" s="15">
        <f t="shared" ref="J507" si="2456">K507*L507</f>
        <v>0</v>
      </c>
      <c r="K507" s="43">
        <v>0</v>
      </c>
      <c r="L507" s="40">
        <v>0</v>
      </c>
      <c r="M507" s="15">
        <f t="shared" ref="M507" si="2457">N507*O507</f>
        <v>0</v>
      </c>
      <c r="N507" s="32">
        <v>0</v>
      </c>
      <c r="O507" s="40">
        <v>0</v>
      </c>
      <c r="P507" s="15">
        <f t="shared" ref="P507" si="2458">R507*Q507</f>
        <v>26588.069810291152</v>
      </c>
      <c r="Q507" s="32">
        <v>4.4569219000000002</v>
      </c>
      <c r="R507" s="40">
        <v>5965.5678081976603</v>
      </c>
      <c r="S507" s="15">
        <f t="shared" ref="S507" si="2459">(((1+1.35%)^(1/252))-1)*D506+SUM(S506)</f>
        <v>10034.326375306644</v>
      </c>
      <c r="T507" s="15">
        <f>IF((NETWORKDAYS(DATE(YEAR(C507),MONTH(C507),1),C507,Feriados!$A$2:$A$842))&gt;=5,0,IF(NETWORKDAYS(DATE(YEAR(C507),MONTH(C507),1),C507,Feriados!$A$2:$A$842)=1,S506,T506))</f>
        <v>0</v>
      </c>
      <c r="U507" s="26">
        <v>0</v>
      </c>
      <c r="V507" s="26">
        <v>0</v>
      </c>
      <c r="W507" s="15">
        <f t="shared" ref="W507" si="2460">SUM(G507+J507+M507+P507)</f>
        <v>9443402.0469272714</v>
      </c>
      <c r="X507" s="50">
        <f>'Fluxo de Caixa_'!AD513</f>
        <v>0</v>
      </c>
      <c r="AB507" s="26">
        <v>5409.7909</v>
      </c>
      <c r="AC507" s="26">
        <v>0</v>
      </c>
      <c r="AD507">
        <f>SUMIFS([1]Master!$J$2:$J$100,[1]Master!$A$2:$A$100,"="&amp;$I$12,[1]Master!$E$2:$E$100,"="&amp;C507,[1]Master!$J$2:$J$100,"&gt;"&amp;0)</f>
        <v>0</v>
      </c>
      <c r="AE507">
        <f ca="1">-SUMIF('[1]Fluxo de Movimentações'!$A$5:$F$10001,"="&amp;$C507,'[1]Fluxo de Movimentações'!$H$5:$H$10001)</f>
        <v>0</v>
      </c>
      <c r="AF507" s="26">
        <v>0</v>
      </c>
      <c r="AG507" s="26">
        <v>0</v>
      </c>
      <c r="AH507" s="26">
        <v>0</v>
      </c>
      <c r="AI507" s="26">
        <v>0</v>
      </c>
      <c r="AJ507" s="26">
        <v>0</v>
      </c>
      <c r="AK507" s="68">
        <v>4.1326513</v>
      </c>
      <c r="AL507" s="15">
        <f>-SUMIFS([1]Master!$J$1:$J$200,[1]Master!$A$1:$A$200,"="&amp;$I$12,[1]Master!$G$1:$G$200,"&gt;"&amp;C507,[1]Master!$E$1:$E$200,"&lt;="&amp;C507)</f>
        <v>0</v>
      </c>
      <c r="AM507" s="26">
        <v>0</v>
      </c>
      <c r="AN507" s="26">
        <v>0</v>
      </c>
    </row>
    <row r="508" spans="3:40">
      <c r="C508" s="1">
        <f>WORKDAY(C507,1,Feriados!A316:A1155)</f>
        <v>45594</v>
      </c>
      <c r="D508" s="39">
        <v>9438813.5616999995</v>
      </c>
      <c r="E508" s="32">
        <v>4.1326669999999996</v>
      </c>
      <c r="F508" s="88">
        <v>2283952.1146062999</v>
      </c>
      <c r="G508" s="15">
        <f t="shared" ref="G508" si="2461">H508*I508</f>
        <v>9417390.2148242164</v>
      </c>
      <c r="H508" s="32">
        <v>1.0524822</v>
      </c>
      <c r="I508" s="15">
        <f>SUMIFS([1]Master!$K$2:$K$10000,[1]Master!$A$2:$A$10000,$I$12,[1]Master!$F$2:$F$10000,"&lt;="&amp;$C508)</f>
        <v>8947790.4850307368</v>
      </c>
      <c r="J508" s="15">
        <f t="shared" ref="J508" si="2462">K508*L508</f>
        <v>0</v>
      </c>
      <c r="K508" s="43">
        <v>0</v>
      </c>
      <c r="L508" s="40">
        <v>0</v>
      </c>
      <c r="M508" s="15">
        <f t="shared" ref="M508" si="2463">N508*O508</f>
        <v>0</v>
      </c>
      <c r="N508" s="32">
        <v>0</v>
      </c>
      <c r="O508" s="40">
        <v>0</v>
      </c>
      <c r="P508" s="15">
        <f t="shared" ref="P508" si="2464">R508*Q508</f>
        <v>26598.748176667825</v>
      </c>
      <c r="Q508" s="32">
        <v>4.4587119</v>
      </c>
      <c r="R508" s="40">
        <v>5965.5678081976603</v>
      </c>
      <c r="S508" s="15">
        <f t="shared" ref="S508" si="2465">(((1+1.35%)^(1/252))-1)*D507+SUM(S507)</f>
        <v>10536.605821275098</v>
      </c>
      <c r="T508" s="15">
        <f>IF((NETWORKDAYS(DATE(YEAR(C508),MONTH(C508),1),C508,Feriados!$A$2:$A$842))&gt;=5,0,IF(NETWORKDAYS(DATE(YEAR(C508),MONTH(C508),1),C508,Feriados!$A$2:$A$842)=1,S507,T507))</f>
        <v>0</v>
      </c>
      <c r="U508" s="26">
        <v>0</v>
      </c>
      <c r="V508" s="26">
        <v>0</v>
      </c>
      <c r="W508" s="15">
        <f t="shared" ref="W508" si="2466">SUM(G508+J508+M508+P508)</f>
        <v>9443988.9630008843</v>
      </c>
      <c r="X508" s="50">
        <f>'Fluxo de Caixa_'!AD514</f>
        <v>0</v>
      </c>
      <c r="AB508" s="26">
        <v>5361.0916999999999</v>
      </c>
      <c r="AC508" s="26">
        <v>0</v>
      </c>
      <c r="AD508">
        <f>SUMIFS([1]Master!$J$2:$J$100,[1]Master!$A$2:$A$100,"="&amp;$I$12,[1]Master!$E$2:$E$100,"="&amp;C508,[1]Master!$J$2:$J$100,"&gt;"&amp;0)</f>
        <v>0</v>
      </c>
      <c r="AE508">
        <f ca="1">-SUMIF('[1]Fluxo de Movimentações'!$A$5:$F$10001,"="&amp;$C508,'[1]Fluxo de Movimentações'!$H$5:$H$10001)</f>
        <v>0</v>
      </c>
      <c r="AF508" s="26">
        <v>0</v>
      </c>
      <c r="AG508" s="26">
        <v>0</v>
      </c>
      <c r="AH508" s="26">
        <v>0</v>
      </c>
      <c r="AI508" s="26">
        <v>0</v>
      </c>
      <c r="AJ508" s="26">
        <v>0</v>
      </c>
      <c r="AK508" s="68">
        <v>4.1326669999999996</v>
      </c>
      <c r="AL508" s="15">
        <f>-SUMIFS([1]Master!$J$1:$J$200,[1]Master!$A$1:$A$200,"="&amp;$I$12,[1]Master!$G$1:$G$200,"&gt;"&amp;C508,[1]Master!$E$1:$E$200,"&lt;="&amp;C508)</f>
        <v>0</v>
      </c>
      <c r="AM508" s="26">
        <v>0</v>
      </c>
      <c r="AN508" s="26">
        <v>0</v>
      </c>
    </row>
    <row r="509" spans="3:40">
      <c r="C509" s="1">
        <f>WORKDAY(C508,1,Feriados!A317:A1156)</f>
        <v>45595</v>
      </c>
      <c r="D509" s="39">
        <v>9522604.4924999997</v>
      </c>
      <c r="E509" s="32">
        <v>4.1693537999999997</v>
      </c>
      <c r="F509" s="88">
        <v>2283952.1146062999</v>
      </c>
      <c r="G509" s="15">
        <f t="shared" ref="G509" si="2467">H509*I509</f>
        <v>9501721.3505875338</v>
      </c>
      <c r="H509" s="32">
        <v>1.0619069999999999</v>
      </c>
      <c r="I509" s="15">
        <f>SUMIFS([1]Master!$K$2:$K$10000,[1]Master!$A$2:$A$10000,$I$12,[1]Master!$F$2:$F$10000,"&lt;="&amp;$C509)</f>
        <v>8947790.4850307368</v>
      </c>
      <c r="J509" s="15">
        <f t="shared" ref="J509" si="2468">K509*L509</f>
        <v>0</v>
      </c>
      <c r="K509" s="43">
        <v>0</v>
      </c>
      <c r="L509" s="40">
        <v>0</v>
      </c>
      <c r="M509" s="15">
        <f t="shared" ref="M509" si="2469">N509*O509</f>
        <v>0</v>
      </c>
      <c r="N509" s="32">
        <v>0</v>
      </c>
      <c r="O509" s="40">
        <v>0</v>
      </c>
      <c r="P509" s="15">
        <f t="shared" ref="P509" si="2470">R509*Q509</f>
        <v>26609.52139557265</v>
      </c>
      <c r="Q509" s="32">
        <v>4.4605177999999999</v>
      </c>
      <c r="R509" s="40">
        <v>5965.5678081976603</v>
      </c>
      <c r="S509" s="15">
        <f t="shared" ref="S509:S512" si="2471">(((1+1.35%)^(1/252))-1)*D508+SUM(S508)</f>
        <v>11038.887179813784</v>
      </c>
      <c r="T509" s="15">
        <f>IF((NETWORKDAYS(DATE(YEAR(C509),MONTH(C509),1),C509,Feriados!$A$2:$A$842))&gt;=5,0,IF(NETWORKDAYS(DATE(YEAR(C509),MONTH(C509),1),C509,Feriados!$A$2:$A$842)=1,S508,T508))</f>
        <v>0</v>
      </c>
      <c r="U509" s="26">
        <v>0</v>
      </c>
      <c r="V509" s="26">
        <v>0</v>
      </c>
      <c r="W509" s="15">
        <f t="shared" ref="W509" si="2472">SUM(G509+J509+M509+P509)</f>
        <v>9528330.8719831072</v>
      </c>
      <c r="X509" s="50">
        <f>'Fluxo de Caixa_'!AD515</f>
        <v>0</v>
      </c>
      <c r="AB509" s="26">
        <v>5312.3924999999999</v>
      </c>
      <c r="AC509" s="26">
        <v>0</v>
      </c>
      <c r="AD509">
        <f>SUMIFS([1]Master!$J$2:$J$100,[1]Master!$A$2:$A$100,"="&amp;$I$12,[1]Master!$E$2:$E$100,"="&amp;C509,[1]Master!$J$2:$J$100,"&gt;"&amp;0)</f>
        <v>0</v>
      </c>
      <c r="AE509">
        <f ca="1">-SUMIF('[1]Fluxo de Movimentações'!$A$5:$F$10001,"="&amp;$C509,'[1]Fluxo de Movimentações'!$H$5:$H$10001)</f>
        <v>0</v>
      </c>
      <c r="AF509" s="26">
        <v>0</v>
      </c>
      <c r="AG509" s="26">
        <v>0</v>
      </c>
      <c r="AH509" s="26">
        <v>0</v>
      </c>
      <c r="AI509" s="26">
        <v>0</v>
      </c>
      <c r="AJ509" s="26">
        <v>0</v>
      </c>
      <c r="AK509" s="68">
        <v>4.1693537999999997</v>
      </c>
      <c r="AL509" s="15">
        <f>-SUMIFS([1]Master!$J$1:$J$200,[1]Master!$A$1:$A$200,"="&amp;$I$12,[1]Master!$G$1:$G$200,"&gt;"&amp;C509,[1]Master!$E$1:$E$200,"&lt;="&amp;C509)</f>
        <v>0</v>
      </c>
      <c r="AM509" s="26">
        <v>0</v>
      </c>
      <c r="AN509" s="26">
        <v>0</v>
      </c>
    </row>
    <row r="510" spans="3:40">
      <c r="C510" s="1">
        <f>WORKDAY(C509,1,Feriados!A318:A1157)</f>
        <v>45596</v>
      </c>
      <c r="D510" s="39">
        <v>9441703.6232999992</v>
      </c>
      <c r="E510" s="32">
        <v>4.1339324</v>
      </c>
      <c r="F510" s="88">
        <v>2283952.1146062999</v>
      </c>
      <c r="G510" s="15">
        <f t="shared" ref="G510" si="2473">H510*I510</f>
        <v>9421364.8233576678</v>
      </c>
      <c r="H510" s="32">
        <v>1.0529264</v>
      </c>
      <c r="I510" s="15">
        <f>SUMIFS([1]Master!$K$2:$K$10000,[1]Master!$A$2:$A$10000,$I$12,[1]Master!$F$2:$F$10000,"&lt;="&amp;$C510)</f>
        <v>8947790.4850307368</v>
      </c>
      <c r="J510" s="15">
        <f t="shared" ref="J510" si="2474">K510*L510</f>
        <v>0</v>
      </c>
      <c r="K510" s="43">
        <v>0</v>
      </c>
      <c r="L510" s="40">
        <v>0</v>
      </c>
      <c r="M510" s="15">
        <f t="shared" ref="M510" si="2475">N510*O510</f>
        <v>0</v>
      </c>
      <c r="N510" s="32">
        <v>0</v>
      </c>
      <c r="O510" s="40">
        <v>0</v>
      </c>
      <c r="P510" s="15">
        <f t="shared" ref="P510" si="2476">R510*Q510</f>
        <v>26620.620931036585</v>
      </c>
      <c r="Q510" s="32">
        <v>4.4623784000000004</v>
      </c>
      <c r="R510" s="40">
        <v>5965.5678081976603</v>
      </c>
      <c r="S510" s="15">
        <f t="shared" si="2471"/>
        <v>11545.627427415206</v>
      </c>
      <c r="T510" s="15">
        <f>IF((NETWORKDAYS(DATE(YEAR(C510),MONTH(C510),1),C510,Feriados!$A$2:$A$842))&gt;=5,0,IF(NETWORKDAYS(DATE(YEAR(C510),MONTH(C510),1),C510,Feriados!$A$2:$A$842)=1,S509,T509))</f>
        <v>0</v>
      </c>
      <c r="U510" s="26">
        <v>0</v>
      </c>
      <c r="V510" s="26">
        <v>0</v>
      </c>
      <c r="W510" s="15">
        <f t="shared" ref="W510" si="2477">SUM(G510+J510+M510+P510)</f>
        <v>9447985.4442887045</v>
      </c>
      <c r="X510" s="50">
        <f>'Fluxo de Caixa_'!AD516</f>
        <v>0</v>
      </c>
      <c r="AB510" s="26">
        <v>5263.6932999999999</v>
      </c>
      <c r="AC510" s="26">
        <v>0</v>
      </c>
      <c r="AD510">
        <f>SUMIFS([1]Master!$J$2:$J$100,[1]Master!$A$2:$A$100,"="&amp;$I$12,[1]Master!$E$2:$E$100,"="&amp;C510,[1]Master!$J$2:$J$100,"&gt;"&amp;0)</f>
        <v>0</v>
      </c>
      <c r="AE510">
        <f ca="1">-SUMIF('[1]Fluxo de Movimentações'!$A$5:$F$10001,"="&amp;$C510,'[1]Fluxo de Movimentações'!$H$5:$H$10001)</f>
        <v>0</v>
      </c>
      <c r="AF510" s="26">
        <v>0</v>
      </c>
      <c r="AG510" s="26">
        <v>0</v>
      </c>
      <c r="AH510" s="26">
        <v>0</v>
      </c>
      <c r="AI510" s="26">
        <v>0</v>
      </c>
      <c r="AJ510" s="26">
        <v>0</v>
      </c>
      <c r="AK510" s="68">
        <v>4.1339324</v>
      </c>
      <c r="AL510" s="15">
        <f>-SUMIFS([1]Master!$J$1:$J$200,[1]Master!$A$1:$A$200,"="&amp;$I$12,[1]Master!$G$1:$G$200,"&gt;"&amp;C510,[1]Master!$E$1:$E$200,"&lt;="&amp;C510)</f>
        <v>0</v>
      </c>
      <c r="AM510" s="26">
        <v>0</v>
      </c>
      <c r="AN510" s="26">
        <v>0</v>
      </c>
    </row>
    <row r="511" spans="3:40">
      <c r="C511" s="1">
        <f>WORKDAY(C510,1,Feriados!A319:A1158)</f>
        <v>45597</v>
      </c>
      <c r="D511" s="39">
        <v>9242954.6041000001</v>
      </c>
      <c r="E511" s="32">
        <v>4.0469125999999997</v>
      </c>
      <c r="F511" s="88">
        <v>2283952.1146062999</v>
      </c>
      <c r="G511" s="15">
        <f t="shared" ref="G511" si="2478">H511*I511</f>
        <v>9223156.0528704133</v>
      </c>
      <c r="H511" s="32">
        <v>1.0307747</v>
      </c>
      <c r="I511" s="15">
        <f>SUMIFS([1]Master!$K$2:$K$10000,[1]Master!$A$2:$A$10000,$I$12,[1]Master!$F$2:$F$10000,"&lt;="&amp;$C511)</f>
        <v>8947790.4850307368</v>
      </c>
      <c r="J511" s="15">
        <f t="shared" ref="J511" si="2479">K511*L511</f>
        <v>0</v>
      </c>
      <c r="K511" s="43">
        <v>0</v>
      </c>
      <c r="L511" s="40">
        <v>0</v>
      </c>
      <c r="M511" s="15">
        <f t="shared" ref="M511" si="2480">N511*O511</f>
        <v>0</v>
      </c>
      <c r="N511" s="32">
        <v>0</v>
      </c>
      <c r="O511" s="40">
        <v>0</v>
      </c>
      <c r="P511" s="15">
        <f t="shared" ref="P511" si="2481">R511*Q511</f>
        <v>26631.498547378047</v>
      </c>
      <c r="Q511" s="32">
        <v>4.4642017999999997</v>
      </c>
      <c r="R511" s="40">
        <v>5965.5678081976603</v>
      </c>
      <c r="S511" s="54">
        <f>(((1+1.35%)^(1/252))-1)*D510</f>
        <v>502.4351516035905</v>
      </c>
      <c r="T511" s="15">
        <f>IF((NETWORKDAYS(DATE(YEAR(C511),MONTH(C511),1),C511,Feriados!$A$2:$A$842))&gt;=5,0,IF(NETWORKDAYS(DATE(YEAR(C511),MONTH(C511),1),C511,Feriados!$A$2:$A$842)=1,S510,T510))</f>
        <v>11545.627427415206</v>
      </c>
      <c r="U511" s="26">
        <v>0</v>
      </c>
      <c r="V511" s="26">
        <v>0</v>
      </c>
      <c r="W511" s="15">
        <f t="shared" ref="W511" si="2482">SUM(G511+J511+M511+P511)</f>
        <v>9249787.5514177922</v>
      </c>
      <c r="X511" s="50">
        <f>'Fluxo de Caixa_'!AD517</f>
        <v>0</v>
      </c>
      <c r="AB511" s="26">
        <v>5214.9940999999999</v>
      </c>
      <c r="AC511" s="26">
        <v>0</v>
      </c>
      <c r="AD511">
        <f>SUMIFS([1]Master!$J$2:$J$100,[1]Master!$A$2:$A$100,"="&amp;$I$12,[1]Master!$E$2:$E$100,"="&amp;C511,[1]Master!$J$2:$J$100,"&gt;"&amp;0)</f>
        <v>0</v>
      </c>
      <c r="AE511">
        <f ca="1">-SUMIF('[1]Fluxo de Movimentações'!$A$5:$F$10001,"="&amp;$C511,'[1]Fluxo de Movimentações'!$H$5:$H$10001)</f>
        <v>0</v>
      </c>
      <c r="AF511" s="26">
        <v>0</v>
      </c>
      <c r="AG511" s="26">
        <v>0</v>
      </c>
      <c r="AH511" s="26">
        <v>0</v>
      </c>
      <c r="AI511" s="26">
        <v>0</v>
      </c>
      <c r="AJ511" s="26">
        <v>0</v>
      </c>
      <c r="AK511" s="68">
        <v>4.0469125999999997</v>
      </c>
      <c r="AL511" s="15">
        <f>-SUMIFS([1]Master!$J$1:$J$200,[1]Master!$A$1:$A$200,"="&amp;$I$12,[1]Master!$G$1:$G$200,"&gt;"&amp;C511,[1]Master!$E$1:$E$200,"&lt;="&amp;C511)</f>
        <v>0</v>
      </c>
      <c r="AM511" s="26">
        <v>0</v>
      </c>
      <c r="AN511" s="26">
        <v>0</v>
      </c>
    </row>
    <row r="512" spans="3:40">
      <c r="C512" s="1">
        <f>WORKDAY(C511,1,Feriados!A320:A1159)</f>
        <v>45600</v>
      </c>
      <c r="D512" s="39">
        <v>9520522.2649000008</v>
      </c>
      <c r="E512" s="32">
        <v>4.1684422000000003</v>
      </c>
      <c r="F512" s="88">
        <v>2283952.1146062999</v>
      </c>
      <c r="G512" s="15">
        <f t="shared" ref="G512" si="2483">H512*I512</f>
        <v>9501253.3811451681</v>
      </c>
      <c r="H512" s="32">
        <v>1.0618547</v>
      </c>
      <c r="I512" s="15">
        <f>SUMIFS([1]Master!$K$2:$K$10000,[1]Master!$A$2:$A$10000,$I$12,[1]Master!$F$2:$F$10000,"&lt;="&amp;$C512)</f>
        <v>8947790.4850307368</v>
      </c>
      <c r="J512" s="15">
        <f t="shared" ref="J512" si="2484">K512*L512</f>
        <v>0</v>
      </c>
      <c r="K512" s="43">
        <v>0</v>
      </c>
      <c r="L512" s="40">
        <v>0</v>
      </c>
      <c r="M512" s="15">
        <f t="shared" ref="M512" si="2485">N512*O512</f>
        <v>0</v>
      </c>
      <c r="N512" s="32">
        <v>0</v>
      </c>
      <c r="O512" s="40">
        <v>0</v>
      </c>
      <c r="P512" s="15">
        <f t="shared" ref="P512" si="2486">R512*Q512</f>
        <v>26642.380339616982</v>
      </c>
      <c r="Q512" s="32">
        <v>4.4660259</v>
      </c>
      <c r="R512" s="40">
        <v>5965.5678081976603</v>
      </c>
      <c r="S512" s="15">
        <f t="shared" si="2471"/>
        <v>994.29398164733152</v>
      </c>
      <c r="T512" s="15">
        <f>IF((NETWORKDAYS(DATE(YEAR(C512),MONTH(C512),1),C512,Feriados!$A$2:$A$842))&gt;=5,0,IF(NETWORKDAYS(DATE(YEAR(C512),MONTH(C512),1),C512,Feriados!$A$2:$A$842)=1,S511,T511))</f>
        <v>11545.627427415206</v>
      </c>
      <c r="U512" s="26">
        <v>0</v>
      </c>
      <c r="V512" s="26">
        <v>0</v>
      </c>
      <c r="W512" s="15">
        <f t="shared" ref="W512" si="2487">SUM(G512+J512+M512+P512)</f>
        <v>9527895.761484785</v>
      </c>
      <c r="X512" s="50">
        <f>'Fluxo de Caixa_'!AD518</f>
        <v>0</v>
      </c>
      <c r="AB512" s="26">
        <v>5166.2948999999999</v>
      </c>
      <c r="AC512" s="26">
        <v>0</v>
      </c>
      <c r="AD512">
        <f>SUMIFS([1]Master!$J$2:$J$100,[1]Master!$A$2:$A$100,"="&amp;$I$12,[1]Master!$E$2:$E$100,"="&amp;C512,[1]Master!$J$2:$J$100,"&gt;"&amp;0)</f>
        <v>0</v>
      </c>
      <c r="AE512">
        <f ca="1">-SUMIF('[1]Fluxo de Movimentações'!$A$5:$F$10001,"="&amp;$C512,'[1]Fluxo de Movimentações'!$H$5:$H$10001)</f>
        <v>0</v>
      </c>
      <c r="AF512" s="26">
        <v>0</v>
      </c>
      <c r="AG512" s="26">
        <v>0</v>
      </c>
      <c r="AH512" s="26">
        <v>0</v>
      </c>
      <c r="AI512" s="26">
        <v>0</v>
      </c>
      <c r="AJ512" s="26">
        <v>0</v>
      </c>
      <c r="AK512" s="68">
        <v>4.1684422000000003</v>
      </c>
      <c r="AL512" s="15">
        <f>-SUMIFS([1]Master!$J$1:$J$200,[1]Master!$A$1:$A$200,"="&amp;$I$12,[1]Master!$G$1:$G$200,"&gt;"&amp;C512,[1]Master!$E$1:$E$200,"&lt;="&amp;C512)</f>
        <v>0</v>
      </c>
      <c r="AM512" s="26">
        <v>0</v>
      </c>
      <c r="AN512" s="26">
        <v>0</v>
      </c>
    </row>
    <row r="513" spans="3:40">
      <c r="C513" s="1">
        <f>WORKDAY(C512,1,Feriados!A321:A1160)</f>
        <v>45601</v>
      </c>
      <c r="D513" s="39">
        <v>9495902.6756999996</v>
      </c>
      <c r="E513" s="32">
        <v>4.1576627999999998</v>
      </c>
      <c r="F513" s="88">
        <v>2283952.1146062999</v>
      </c>
      <c r="G513" s="15">
        <f t="shared" ref="G513" si="2488">H513*I513</f>
        <v>9465178.4560661446</v>
      </c>
      <c r="H513" s="32">
        <v>1.0591641000000001</v>
      </c>
      <c r="I513" s="15">
        <f>SUMIFS([1]Master!$K$2:$K$10000,[1]Master!$A$2:$A$10000,$I$12,[1]Master!$F$2:$F$10000,"&lt;="&amp;$C513)</f>
        <v>8936460.7958919145</v>
      </c>
      <c r="J513" s="15">
        <f t="shared" ref="J513" si="2489">K513*L513</f>
        <v>0</v>
      </c>
      <c r="K513" s="43">
        <v>0</v>
      </c>
      <c r="L513" s="40">
        <v>0</v>
      </c>
      <c r="M513" s="15">
        <f t="shared" ref="M513" si="2490">N513*O513</f>
        <v>0</v>
      </c>
      <c r="N513" s="32">
        <v>0</v>
      </c>
      <c r="O513" s="40">
        <v>0</v>
      </c>
      <c r="P513" s="15">
        <f t="shared" ref="P513" si="2491">R513*Q513</f>
        <v>26653.035440279207</v>
      </c>
      <c r="Q513" s="32">
        <v>4.4678120000000003</v>
      </c>
      <c r="R513" s="40">
        <v>5965.5678081976603</v>
      </c>
      <c r="S513" s="15">
        <f t="shared" ref="S513" si="2492">(((1+1.35%)^(1/252))-1)*D512+SUM(S512)</f>
        <v>1500.9234246332271</v>
      </c>
      <c r="T513" s="15">
        <f>IF((NETWORKDAYS(DATE(YEAR(C513),MONTH(C513),1),C513,Feriados!$A$2:$A$842))&gt;=5,0,IF(NETWORKDAYS(DATE(YEAR(C513),MONTH(C513),1),C513,Feriados!$A$2:$A$842)=1,S512,T512))</f>
        <v>11545.627427415206</v>
      </c>
      <c r="U513" s="26">
        <v>0</v>
      </c>
      <c r="V513" s="26">
        <v>0</v>
      </c>
      <c r="W513" s="15">
        <f t="shared" ref="W513" si="2493">SUM(G513+J513+M513+P513)</f>
        <v>9491831.4915064238</v>
      </c>
      <c r="X513" s="50">
        <f>'Fluxo de Caixa_'!AD519</f>
        <v>0</v>
      </c>
      <c r="AB513" s="26">
        <v>5117.5956999999999</v>
      </c>
      <c r="AC513" s="26">
        <v>0</v>
      </c>
      <c r="AD513">
        <f>SUMIFS([1]Master!$J$2:$J$100,[1]Master!$A$2:$A$100,"="&amp;$I$12,[1]Master!$E$2:$E$100,"="&amp;C513,[1]Master!$J$2:$J$100,"&gt;"&amp;0)</f>
        <v>0</v>
      </c>
      <c r="AE513">
        <f ca="1">-SUMIF('[1]Fluxo de Movimentações'!$A$5:$F$10001,"="&amp;$C513,'[1]Fluxo de Movimentações'!$H$5:$H$10001)</f>
        <v>0</v>
      </c>
      <c r="AF513" s="26">
        <v>0</v>
      </c>
      <c r="AG513" s="26">
        <v>0</v>
      </c>
      <c r="AH513" s="26">
        <v>0</v>
      </c>
      <c r="AI513" s="26">
        <v>0</v>
      </c>
      <c r="AJ513" s="26">
        <v>0</v>
      </c>
      <c r="AK513" s="68">
        <v>4.1576627999999998</v>
      </c>
      <c r="AL513" s="15">
        <f>-SUMIFS([1]Master!$J$1:$J$200,[1]Master!$A$1:$A$200,"="&amp;$I$12,[1]Master!$G$1:$G$200,"&gt;"&amp;C513,[1]Master!$E$1:$E$200,"&lt;="&amp;C513)</f>
        <v>12000</v>
      </c>
      <c r="AM513" s="26">
        <v>0</v>
      </c>
      <c r="AN513" s="26">
        <v>0</v>
      </c>
    </row>
    <row r="514" spans="3:40">
      <c r="C514" s="1">
        <f>WORKDAY(C513,1,Feriados!A322:A1161)</f>
        <v>45602</v>
      </c>
      <c r="D514" s="39">
        <v>9493433.4564999994</v>
      </c>
      <c r="E514" s="32">
        <v>4.1565817000000003</v>
      </c>
      <c r="F514" s="88">
        <v>2283952.1146062999</v>
      </c>
      <c r="G514" s="15">
        <f t="shared" ref="G514" si="2494">H514*I514</f>
        <v>9463252.6487646271</v>
      </c>
      <c r="H514" s="32">
        <v>1.0589485999999999</v>
      </c>
      <c r="I514" s="15">
        <f>SUMIFS([1]Master!$K$2:$K$10000,[1]Master!$A$2:$A$10000,$I$12,[1]Master!$F$2:$F$10000,"&lt;="&amp;$C514)</f>
        <v>8936460.7958919145</v>
      </c>
      <c r="J514" s="15">
        <f t="shared" ref="J514" si="2495">K514*L514</f>
        <v>0</v>
      </c>
      <c r="K514" s="43">
        <v>0</v>
      </c>
      <c r="L514" s="40">
        <v>0</v>
      </c>
      <c r="M514" s="15">
        <f t="shared" ref="M514" si="2496">N514*O514</f>
        <v>0</v>
      </c>
      <c r="N514" s="32">
        <v>0</v>
      </c>
      <c r="O514" s="40">
        <v>0</v>
      </c>
      <c r="P514" s="15">
        <f t="shared" ref="P514" si="2497">R514*Q514</f>
        <v>26663.633271490471</v>
      </c>
      <c r="Q514" s="32">
        <v>4.4695885000000004</v>
      </c>
      <c r="R514" s="40">
        <v>5965.5678081976603</v>
      </c>
      <c r="S514" s="15">
        <f t="shared" ref="S514" si="2498">(((1+1.35%)^(1/252))-1)*D513+SUM(S513)</f>
        <v>2006.2427494957794</v>
      </c>
      <c r="T514" s="15">
        <f>IF((NETWORKDAYS(DATE(YEAR(C514),MONTH(C514),1),C514,Feriados!$A$2:$A$842))&gt;=5,0,IF(NETWORKDAYS(DATE(YEAR(C514),MONTH(C514),1),C514,Feriados!$A$2:$A$842)=1,S513,T513))</f>
        <v>11545.627427415206</v>
      </c>
      <c r="U514" s="26">
        <v>0</v>
      </c>
      <c r="V514" s="26">
        <v>0</v>
      </c>
      <c r="W514" s="15">
        <f t="shared" ref="W514" si="2499">SUM(G514+J514+M514+P514)</f>
        <v>9489916.2820361182</v>
      </c>
      <c r="X514" s="50">
        <f>'Fluxo de Caixa_'!AD520</f>
        <v>0</v>
      </c>
      <c r="AB514" s="26">
        <v>5068.8964999999998</v>
      </c>
      <c r="AC514" s="26">
        <v>0</v>
      </c>
      <c r="AD514">
        <f>SUMIFS([1]Master!$J$2:$J$100,[1]Master!$A$2:$A$100,"="&amp;$I$12,[1]Master!$E$2:$E$100,"="&amp;C514,[1]Master!$J$2:$J$100,"&gt;"&amp;0)</f>
        <v>0</v>
      </c>
      <c r="AE514">
        <f ca="1">-SUMIF('[1]Fluxo de Movimentações'!$A$5:$F$10001,"="&amp;$C514,'[1]Fluxo de Movimentações'!$H$5:$H$10001)</f>
        <v>0</v>
      </c>
      <c r="AF514" s="26">
        <v>0</v>
      </c>
      <c r="AG514" s="26">
        <v>0</v>
      </c>
      <c r="AH514" s="26">
        <v>0</v>
      </c>
      <c r="AI514" s="26">
        <v>0</v>
      </c>
      <c r="AJ514" s="26">
        <v>0</v>
      </c>
      <c r="AK514" s="68">
        <v>4.1565817000000003</v>
      </c>
      <c r="AL514" s="15">
        <f>-SUMIFS([1]Master!$J$1:$J$200,[1]Master!$A$1:$A$200,"="&amp;$I$12,[1]Master!$G$1:$G$200,"&gt;"&amp;C514,[1]Master!$E$1:$E$200,"&lt;="&amp;C514)</f>
        <v>12000</v>
      </c>
      <c r="AM514" s="26">
        <v>0</v>
      </c>
      <c r="AN514" s="26">
        <v>0</v>
      </c>
    </row>
    <row r="515" spans="3:40">
      <c r="C515" s="1">
        <f>WORKDAY(C514,1,Feriados!A323:A1162)</f>
        <v>45603</v>
      </c>
      <c r="D515" s="39">
        <v>9270932.6973000001</v>
      </c>
      <c r="E515" s="32">
        <v>4.0591625000000002</v>
      </c>
      <c r="F515" s="88">
        <v>2283952.1146062999</v>
      </c>
      <c r="G515" s="15">
        <f t="shared" ref="G515" si="2500">H515*I515</f>
        <v>9241295.0910388213</v>
      </c>
      <c r="H515" s="32">
        <v>1.0341113</v>
      </c>
      <c r="I515" s="15">
        <f>SUMIFS([1]Master!$K$2:$K$10000,[1]Master!$A$2:$A$10000,$I$12,[1]Master!$F$2:$F$10000,"&lt;="&amp;$C515)</f>
        <v>8936460.7958919145</v>
      </c>
      <c r="J515" s="15">
        <f t="shared" ref="J515" si="2501">K515*L515</f>
        <v>0</v>
      </c>
      <c r="K515" s="43">
        <v>0</v>
      </c>
      <c r="L515" s="40">
        <v>0</v>
      </c>
      <c r="M515" s="15">
        <f t="shared" ref="M515" si="2502">N515*O515</f>
        <v>0</v>
      </c>
      <c r="N515" s="32">
        <v>0</v>
      </c>
      <c r="O515" s="40">
        <v>0</v>
      </c>
      <c r="P515" s="15">
        <f t="shared" ref="P515" si="2503">R515*Q515</f>
        <v>27128.797461415546</v>
      </c>
      <c r="Q515" s="32">
        <v>4.4713778</v>
      </c>
      <c r="R515" s="40">
        <v>6067.2120931976597</v>
      </c>
      <c r="S515" s="15">
        <f t="shared" ref="S515" si="2504">(((1+1.35%)^(1/252))-1)*D514+SUM(S514)</f>
        <v>2511.4306761941243</v>
      </c>
      <c r="T515" s="15">
        <f>IF((NETWORKDAYS(DATE(YEAR(C515),MONTH(C515),1),C515,Feriados!$A$2:$A$842))&gt;=5,0,IF(NETWORKDAYS(DATE(YEAR(C515),MONTH(C515),1),C515,Feriados!$A$2:$A$842)=1,S514,T514))</f>
        <v>0</v>
      </c>
      <c r="U515" s="26">
        <v>0</v>
      </c>
      <c r="V515" s="26">
        <v>0</v>
      </c>
      <c r="W515" s="15">
        <f t="shared" ref="W515" si="2505">SUM(G515+J515+M515+P515)</f>
        <v>9268423.888500236</v>
      </c>
      <c r="X515" s="50">
        <f>'Fluxo de Caixa_'!AD521</f>
        <v>-0.11742686107589861</v>
      </c>
      <c r="AB515" s="26">
        <v>5020.1972999999998</v>
      </c>
      <c r="AC515" s="26">
        <v>0</v>
      </c>
      <c r="AD515">
        <f>SUMIFS([1]Master!$J$2:$J$100,[1]Master!$A$2:$A$100,"="&amp;$I$12,[1]Master!$E$2:$E$100,"="&amp;C515,[1]Master!$J$2:$J$100,"&gt;"&amp;0)</f>
        <v>0</v>
      </c>
      <c r="AE515">
        <f ca="1">-SUMIF('[1]Fluxo de Movimentações'!$A$5:$F$10001,"="&amp;$C515,'[1]Fluxo de Movimentações'!$H$5:$H$10001)</f>
        <v>0</v>
      </c>
      <c r="AF515" s="26">
        <v>0</v>
      </c>
      <c r="AG515" s="26">
        <v>0</v>
      </c>
      <c r="AH515" s="26">
        <v>0</v>
      </c>
      <c r="AI515" s="26">
        <v>0</v>
      </c>
      <c r="AJ515" s="26">
        <v>0</v>
      </c>
      <c r="AK515" s="68">
        <v>4.0591625000000002</v>
      </c>
      <c r="AL515" s="15">
        <f>-SUMIFS([1]Master!$J$1:$J$200,[1]Master!$A$1:$A$200,"="&amp;$I$12,[1]Master!$G$1:$G$200,"&gt;"&amp;C515,[1]Master!$E$1:$E$200,"&lt;="&amp;C515)</f>
        <v>0</v>
      </c>
      <c r="AM515" s="26">
        <v>0</v>
      </c>
      <c r="AN515" s="26">
        <v>0</v>
      </c>
    </row>
    <row r="516" spans="3:40">
      <c r="C516" s="1">
        <f>WORKDAY(C515,1,Feriados!A324:A1163)</f>
        <v>45604</v>
      </c>
      <c r="D516" s="39">
        <v>9138212.1680999994</v>
      </c>
      <c r="E516" s="32">
        <v>4.0010523999999998</v>
      </c>
      <c r="F516" s="88">
        <v>2283952.1146062999</v>
      </c>
      <c r="G516" s="15">
        <f t="shared" ref="G516" si="2506">H516*I516</f>
        <v>9109105.1756538302</v>
      </c>
      <c r="H516" s="32">
        <v>1.0193190999999999</v>
      </c>
      <c r="I516" s="15">
        <f>SUMIFS([1]Master!$K$2:$K$10000,[1]Master!$A$2:$A$10000,$I$12,[1]Master!$F$2:$F$10000,"&lt;="&amp;$C516)</f>
        <v>8936460.7958919145</v>
      </c>
      <c r="J516" s="15">
        <f t="shared" ref="J516" si="2507">K516*L516</f>
        <v>0</v>
      </c>
      <c r="K516" s="43">
        <v>0</v>
      </c>
      <c r="L516" s="40">
        <v>0</v>
      </c>
      <c r="M516" s="15">
        <f t="shared" ref="M516" si="2508">N516*O516</f>
        <v>0</v>
      </c>
      <c r="N516" s="32">
        <v>0</v>
      </c>
      <c r="O516" s="40">
        <v>0</v>
      </c>
      <c r="P516" s="15">
        <f t="shared" ref="P516" si="2509">R516*Q516</f>
        <v>27140.223841950668</v>
      </c>
      <c r="Q516" s="32">
        <v>4.4732611000000002</v>
      </c>
      <c r="R516" s="40">
        <v>6067.2120931976597</v>
      </c>
      <c r="S516" s="15">
        <f t="shared" ref="S516" si="2510">(((1+1.35%)^(1/252))-1)*D515+SUM(S515)</f>
        <v>3004.778345335063</v>
      </c>
      <c r="T516" s="15">
        <f>IF((NETWORKDAYS(DATE(YEAR(C516),MONTH(C516),1),C516,Feriados!$A$2:$A$842))&gt;=5,0,IF(NETWORKDAYS(DATE(YEAR(C516),MONTH(C516),1),C516,Feriados!$A$2:$A$842)=1,S515,T515))</f>
        <v>0</v>
      </c>
      <c r="U516" s="26">
        <v>0</v>
      </c>
      <c r="V516" s="26">
        <v>0</v>
      </c>
      <c r="W516" s="15">
        <f t="shared" ref="W516" si="2511">SUM(G516+J516+M516+P516)</f>
        <v>9136245.3994957805</v>
      </c>
      <c r="X516" s="50">
        <f>'Fluxo de Caixa_'!AD522</f>
        <v>0</v>
      </c>
      <c r="AB516" s="26">
        <v>4971.4980999999998</v>
      </c>
      <c r="AC516" s="26">
        <v>0</v>
      </c>
      <c r="AD516">
        <f>SUMIFS([1]Master!$J$2:$J$100,[1]Master!$A$2:$A$100,"="&amp;$I$12,[1]Master!$E$2:$E$100,"="&amp;C516,[1]Master!$J$2:$J$100,"&gt;"&amp;0)</f>
        <v>0</v>
      </c>
      <c r="AE516">
        <f ca="1">-SUMIF('[1]Fluxo de Movimentações'!$A$5:$F$10001,"="&amp;$C516,'[1]Fluxo de Movimentações'!$H$5:$H$10001)</f>
        <v>0</v>
      </c>
      <c r="AF516" s="26">
        <v>0</v>
      </c>
      <c r="AG516" s="26">
        <v>0</v>
      </c>
      <c r="AH516" s="26">
        <v>0</v>
      </c>
      <c r="AI516" s="26">
        <v>0</v>
      </c>
      <c r="AJ516" s="26">
        <v>0</v>
      </c>
      <c r="AK516" s="68">
        <v>4.0010523999999998</v>
      </c>
      <c r="AL516" s="15">
        <f>-SUMIFS([1]Master!$J$1:$J$200,[1]Master!$A$1:$A$200,"="&amp;$I$12,[1]Master!$G$1:$G$200,"&gt;"&amp;C516,[1]Master!$E$1:$E$200,"&lt;="&amp;C516)</f>
        <v>0</v>
      </c>
      <c r="AM516" s="26">
        <v>0</v>
      </c>
      <c r="AN516" s="26">
        <v>0</v>
      </c>
    </row>
    <row r="517" spans="3:40">
      <c r="C517" s="1">
        <f>WORKDAY(C516,1,Feriados!A325:A1164)</f>
        <v>45607</v>
      </c>
      <c r="D517" s="39">
        <v>9181171.4989</v>
      </c>
      <c r="E517" s="32">
        <v>4.0198615999999996</v>
      </c>
      <c r="F517" s="88">
        <v>2283952.1146062999</v>
      </c>
      <c r="G517" s="15">
        <f t="shared" ref="G517" si="2512">H517*I517</f>
        <v>9152588.2065944821</v>
      </c>
      <c r="H517" s="32">
        <v>1.0241849000000001</v>
      </c>
      <c r="I517" s="15">
        <f>SUMIFS([1]Master!$K$2:$K$10000,[1]Master!$A$2:$A$10000,$I$12,[1]Master!$F$2:$F$10000,"&lt;="&amp;$C517)</f>
        <v>8936460.7958919145</v>
      </c>
      <c r="J517" s="15">
        <f t="shared" ref="J517" si="2513">K517*L517</f>
        <v>0</v>
      </c>
      <c r="K517" s="43">
        <v>0</v>
      </c>
      <c r="L517" s="40">
        <v>0</v>
      </c>
      <c r="M517" s="15">
        <f t="shared" ref="M517" si="2514">N517*O517</f>
        <v>0</v>
      </c>
      <c r="N517" s="32">
        <v>0</v>
      </c>
      <c r="O517" s="40">
        <v>0</v>
      </c>
      <c r="P517" s="15">
        <f t="shared" ref="P517" si="2515">R517*Q517</f>
        <v>27151.507643001598</v>
      </c>
      <c r="Q517" s="32">
        <v>4.4751209000000003</v>
      </c>
      <c r="R517" s="40">
        <v>6067.2120931976597</v>
      </c>
      <c r="S517" s="15">
        <f t="shared" ref="S517" si="2516">(((1+1.35%)^(1/252))-1)*D516+SUM(S516)</f>
        <v>3491.0633632988402</v>
      </c>
      <c r="T517" s="15">
        <f>IF((NETWORKDAYS(DATE(YEAR(C517),MONTH(C517),1),C517,Feriados!$A$2:$A$842))&gt;=5,0,IF(NETWORKDAYS(DATE(YEAR(C517),MONTH(C517),1),C517,Feriados!$A$2:$A$842)=1,S516,T516))</f>
        <v>0</v>
      </c>
      <c r="U517" s="26">
        <v>0</v>
      </c>
      <c r="V517" s="26">
        <v>0</v>
      </c>
      <c r="W517" s="15">
        <f t="shared" ref="W517" si="2517">SUM(G517+J517+M517+P517)</f>
        <v>9179739.7142374832</v>
      </c>
      <c r="X517" s="50">
        <f>'Fluxo de Caixa_'!AD523</f>
        <v>0</v>
      </c>
      <c r="AB517" s="26">
        <v>4922.7988999999998</v>
      </c>
      <c r="AC517" s="26">
        <v>0</v>
      </c>
      <c r="AD517">
        <f>SUMIFS([1]Master!$J$2:$J$100,[1]Master!$A$2:$A$100,"="&amp;$I$12,[1]Master!$E$2:$E$100,"="&amp;C517,[1]Master!$J$2:$J$100,"&gt;"&amp;0)</f>
        <v>0</v>
      </c>
      <c r="AE517">
        <f ca="1">-SUMIF('[1]Fluxo de Movimentações'!$A$5:$F$10001,"="&amp;$C517,'[1]Fluxo de Movimentações'!$H$5:$H$10001)</f>
        <v>0</v>
      </c>
      <c r="AF517" s="26">
        <v>0</v>
      </c>
      <c r="AG517" s="26">
        <v>0</v>
      </c>
      <c r="AH517" s="26">
        <v>0</v>
      </c>
      <c r="AI517" s="26">
        <v>0</v>
      </c>
      <c r="AJ517" s="26">
        <v>0</v>
      </c>
      <c r="AK517" s="68">
        <v>4.0198615999999996</v>
      </c>
      <c r="AL517" s="15">
        <f>-SUMIFS([1]Master!$J$1:$J$200,[1]Master!$A$1:$A$200,"="&amp;$I$12,[1]Master!$G$1:$G$200,"&gt;"&amp;C517,[1]Master!$E$1:$E$200,"&lt;="&amp;C517)</f>
        <v>0</v>
      </c>
      <c r="AM517" s="26">
        <v>0</v>
      </c>
      <c r="AN517" s="26">
        <v>0</v>
      </c>
    </row>
    <row r="518" spans="3:40">
      <c r="C518" s="1">
        <f>WORKDAY(C517,1,Feriados!A326:A1165)</f>
        <v>45608</v>
      </c>
      <c r="D518" s="39">
        <v>9249719.9197000004</v>
      </c>
      <c r="E518" s="32">
        <v>4.0498747000000002</v>
      </c>
      <c r="F518" s="88">
        <v>2283952.1146062999</v>
      </c>
      <c r="G518" s="15">
        <f t="shared" ref="G518" si="2518">H518*I518</f>
        <v>9221662.5803163275</v>
      </c>
      <c r="H518" s="32">
        <v>1.0319144</v>
      </c>
      <c r="I518" s="15">
        <f>SUMIFS([1]Master!$K$2:$K$10000,[1]Master!$A$2:$A$10000,$I$12,[1]Master!$F$2:$F$10000,"&lt;="&amp;$C518)</f>
        <v>8936460.7958919145</v>
      </c>
      <c r="J518" s="15">
        <f t="shared" ref="J518" si="2519">K518*L518</f>
        <v>0</v>
      </c>
      <c r="K518" s="43">
        <v>0</v>
      </c>
      <c r="L518" s="40">
        <v>0</v>
      </c>
      <c r="M518" s="15">
        <f t="shared" ref="M518" si="2520">N518*O518</f>
        <v>0</v>
      </c>
      <c r="N518" s="32">
        <v>0</v>
      </c>
      <c r="O518" s="40">
        <v>0</v>
      </c>
      <c r="P518" s="15">
        <f t="shared" ref="P518" si="2521">R518*Q518</f>
        <v>27162.823600276617</v>
      </c>
      <c r="Q518" s="32">
        <v>4.4769860000000001</v>
      </c>
      <c r="R518" s="40">
        <v>6067.2120931976597</v>
      </c>
      <c r="S518" s="15">
        <f t="shared" ref="S518" si="2522">(((1+1.35%)^(1/252))-1)*D517+SUM(S517)</f>
        <v>3979.634438815835</v>
      </c>
      <c r="T518" s="15">
        <f>IF((NETWORKDAYS(DATE(YEAR(C518),MONTH(C518),1),C518,Feriados!$A$2:$A$842))&gt;=5,0,IF(NETWORKDAYS(DATE(YEAR(C518),MONTH(C518),1),C518,Feriados!$A$2:$A$842)=1,S517,T517))</f>
        <v>0</v>
      </c>
      <c r="U518" s="26">
        <v>0</v>
      </c>
      <c r="V518" s="26">
        <v>0</v>
      </c>
      <c r="W518" s="15">
        <f t="shared" ref="W518" si="2523">SUM(G518+J518+M518+P518)</f>
        <v>9248825.4039166048</v>
      </c>
      <c r="X518" s="50">
        <f>'Fluxo de Caixa_'!AD524</f>
        <v>0</v>
      </c>
      <c r="AB518" s="26">
        <v>4874.0996999999998</v>
      </c>
      <c r="AC518" s="26">
        <v>0</v>
      </c>
      <c r="AD518">
        <f>SUMIFS([1]Master!$J$2:$J$100,[1]Master!$A$2:$A$100,"="&amp;$I$12,[1]Master!$E$2:$E$100,"="&amp;C518,[1]Master!$J$2:$J$100,"&gt;"&amp;0)</f>
        <v>0</v>
      </c>
      <c r="AE518">
        <f ca="1">-SUMIF('[1]Fluxo de Movimentações'!$A$5:$F$10001,"="&amp;$C518,'[1]Fluxo de Movimentações'!$H$5:$H$10001)</f>
        <v>0</v>
      </c>
      <c r="AF518" s="26">
        <v>0</v>
      </c>
      <c r="AG518" s="26">
        <v>0</v>
      </c>
      <c r="AH518" s="26">
        <v>0</v>
      </c>
      <c r="AI518" s="26">
        <v>0</v>
      </c>
      <c r="AJ518" s="26">
        <v>0</v>
      </c>
      <c r="AK518" s="68">
        <v>4.0498747000000002</v>
      </c>
      <c r="AL518" s="15">
        <f>-SUMIFS([1]Master!$J$1:$J$200,[1]Master!$A$1:$A$200,"="&amp;$I$12,[1]Master!$G$1:$G$200,"&gt;"&amp;C518,[1]Master!$E$1:$E$200,"&lt;="&amp;C518)</f>
        <v>0</v>
      </c>
      <c r="AM518" s="26">
        <v>0</v>
      </c>
      <c r="AN518" s="26">
        <v>0</v>
      </c>
    </row>
    <row r="519" spans="3:40">
      <c r="C519" s="1">
        <f>WORKDAY(C518,1,Feriados!A327:A1166)</f>
        <v>45609</v>
      </c>
      <c r="D519" s="39">
        <v>9219203.4505000003</v>
      </c>
      <c r="E519" s="32">
        <v>4.0365134999999999</v>
      </c>
      <c r="F519" s="88">
        <v>2283952.1146062999</v>
      </c>
      <c r="G519" s="15">
        <f t="shared" ref="G519" si="2524">H519*I519</f>
        <v>9191675.3924696334</v>
      </c>
      <c r="H519" s="32">
        <v>1.0285588000000001</v>
      </c>
      <c r="I519" s="15">
        <f>SUMIFS([1]Master!$K$2:$K$10000,[1]Master!$A$2:$A$10000,$I$12,[1]Master!$F$2:$F$10000,"&lt;="&amp;$C519)</f>
        <v>8936460.7958919145</v>
      </c>
      <c r="J519" s="15">
        <f t="shared" ref="J519" si="2525">K519*L519</f>
        <v>0</v>
      </c>
      <c r="K519" s="43">
        <v>0</v>
      </c>
      <c r="L519" s="40">
        <v>0</v>
      </c>
      <c r="M519" s="15">
        <f t="shared" ref="M519" si="2526">N519*O519</f>
        <v>0</v>
      </c>
      <c r="N519" s="32">
        <v>0</v>
      </c>
      <c r="O519" s="40">
        <v>0</v>
      </c>
      <c r="P519" s="15">
        <f t="shared" ref="P519" si="2527">R519*Q519</f>
        <v>27174.445345041138</v>
      </c>
      <c r="Q519" s="32">
        <v>4.4789015000000001</v>
      </c>
      <c r="R519" s="40">
        <v>6067.2120931976597</v>
      </c>
      <c r="S519" s="15">
        <f t="shared" ref="S519" si="2528">(((1+1.35%)^(1/252))-1)*D518+SUM(S518)</f>
        <v>4471.8532814700911</v>
      </c>
      <c r="T519" s="15">
        <f>IF((NETWORKDAYS(DATE(YEAR(C519),MONTH(C519),1),C519,Feriados!$A$2:$A$842))&gt;=5,0,IF(NETWORKDAYS(DATE(YEAR(C519),MONTH(C519),1),C519,Feriados!$A$2:$A$842)=1,S518,T518))</f>
        <v>0</v>
      </c>
      <c r="U519" s="26">
        <v>0</v>
      </c>
      <c r="V519" s="26">
        <v>0</v>
      </c>
      <c r="W519" s="15">
        <f t="shared" ref="W519" si="2529">SUM(G519+J519+M519+P519)</f>
        <v>9218849.8378146738</v>
      </c>
      <c r="X519" s="50">
        <f>'Fluxo de Caixa_'!AD525</f>
        <v>0</v>
      </c>
      <c r="AB519" s="26">
        <v>4825.4004999999997</v>
      </c>
      <c r="AC519" s="26">
        <v>0</v>
      </c>
      <c r="AD519">
        <f>SUMIFS([1]Master!$J$2:$J$100,[1]Master!$A$2:$A$100,"="&amp;$I$12,[1]Master!$E$2:$E$100,"="&amp;C519,[1]Master!$J$2:$J$100,"&gt;"&amp;0)</f>
        <v>0</v>
      </c>
      <c r="AE519">
        <f ca="1">-SUMIF('[1]Fluxo de Movimentações'!$A$5:$F$10001,"="&amp;$C519,'[1]Fluxo de Movimentações'!$H$5:$H$10001)</f>
        <v>0</v>
      </c>
      <c r="AF519" s="26">
        <v>0</v>
      </c>
      <c r="AG519" s="26">
        <v>0</v>
      </c>
      <c r="AH519" s="26">
        <v>0</v>
      </c>
      <c r="AI519" s="26">
        <v>0</v>
      </c>
      <c r="AJ519" s="26">
        <v>0</v>
      </c>
      <c r="AK519" s="68">
        <v>4.0365134999999999</v>
      </c>
      <c r="AL519" s="15">
        <f>-SUMIFS([1]Master!$J$1:$J$200,[1]Master!$A$1:$A$200,"="&amp;$I$12,[1]Master!$G$1:$G$200,"&gt;"&amp;C519,[1]Master!$E$1:$E$200,"&lt;="&amp;C519)</f>
        <v>0</v>
      </c>
      <c r="AM519" s="26">
        <v>0</v>
      </c>
      <c r="AN519" s="26">
        <v>0</v>
      </c>
    </row>
    <row r="520" spans="3:40">
      <c r="C520" s="1">
        <f>WORKDAY(C519,1,Feriados!$A$2:A1167)</f>
        <v>45610</v>
      </c>
      <c r="D520" s="39">
        <v>9240203.4613000005</v>
      </c>
      <c r="E520" s="32">
        <v>4.0457080999999997</v>
      </c>
      <c r="F520" s="88">
        <v>2283952.1146062999</v>
      </c>
      <c r="G520" s="15">
        <f t="shared" ref="G520" si="2530">H520*I520</f>
        <v>9213203.3265269361</v>
      </c>
      <c r="H520" s="32">
        <v>1.0309678</v>
      </c>
      <c r="I520" s="15">
        <f>SUMIFS([1]Master!$K$2:$K$10000,[1]Master!$A$2:$A$10000,$I$12,[1]Master!$F$2:$F$10000,"&lt;="&amp;$C520)</f>
        <v>8936460.7958919145</v>
      </c>
      <c r="J520" s="15">
        <f t="shared" ref="J520" si="2531">K520*L520</f>
        <v>0</v>
      </c>
      <c r="K520" s="43">
        <v>0</v>
      </c>
      <c r="L520" s="40">
        <v>0</v>
      </c>
      <c r="M520" s="15">
        <f t="shared" ref="M520" si="2532">N520*O520</f>
        <v>0</v>
      </c>
      <c r="N520" s="32">
        <v>0</v>
      </c>
      <c r="O520" s="40">
        <v>0</v>
      </c>
      <c r="P520" s="15">
        <f t="shared" ref="P520" si="2533">R520*Q520</f>
        <v>27185.808626570484</v>
      </c>
      <c r="Q520" s="32">
        <v>4.4807743999999996</v>
      </c>
      <c r="R520" s="40">
        <v>6067.2120931976597</v>
      </c>
      <c r="S520" s="15">
        <f t="shared" ref="S520" si="2534">(((1+1.35%)^(1/252))-1)*D519+SUM(S519)</f>
        <v>4962.4482067212348</v>
      </c>
      <c r="T520" s="15">
        <f>IF((NETWORKDAYS(DATE(YEAR(C520),MONTH(C520),1),C520,Feriados!$A$2:$A$842))&gt;=5,0,IF(NETWORKDAYS(DATE(YEAR(C520),MONTH(C520),1),C520,Feriados!$A$2:$A$842)=1,S519,T519))</f>
        <v>0</v>
      </c>
      <c r="U520" s="26">
        <v>0</v>
      </c>
      <c r="V520" s="26">
        <v>0</v>
      </c>
      <c r="W520" s="15">
        <f t="shared" ref="W520" si="2535">SUM(G520+J520+M520+P520)</f>
        <v>9240389.135153506</v>
      </c>
      <c r="X520" s="50">
        <f>'Fluxo de Caixa_'!AD526</f>
        <v>0</v>
      </c>
      <c r="AB520" s="26">
        <v>4776.7012999999997</v>
      </c>
      <c r="AC520" s="26">
        <v>0</v>
      </c>
      <c r="AD520">
        <f>SUMIFS([1]Master!$J$2:$J$100,[1]Master!$A$2:$A$100,"="&amp;$I$12,[1]Master!$E$2:$E$100,"="&amp;C520,[1]Master!$J$2:$J$100,"&gt;"&amp;0)</f>
        <v>0</v>
      </c>
      <c r="AE520">
        <f ca="1">-SUMIF('[1]Fluxo de Movimentações'!$A$5:$F$10001,"="&amp;$C520,'[1]Fluxo de Movimentações'!$H$5:$H$10001)</f>
        <v>0</v>
      </c>
      <c r="AF520" s="26">
        <v>0</v>
      </c>
      <c r="AG520" s="26">
        <v>0</v>
      </c>
      <c r="AH520" s="26">
        <v>0</v>
      </c>
      <c r="AI520" s="26">
        <v>0</v>
      </c>
      <c r="AJ520" s="26">
        <v>0</v>
      </c>
      <c r="AK520" s="68">
        <v>4.0457080999999997</v>
      </c>
      <c r="AL520" s="15">
        <f>-SUMIFS([1]Master!$J$1:$J$200,[1]Master!$A$1:$A$200,"="&amp;$I$12,[1]Master!$G$1:$G$200,"&gt;"&amp;C520,[1]Master!$E$1:$E$200,"&lt;="&amp;C520)</f>
        <v>0</v>
      </c>
      <c r="AM520" s="26">
        <v>0</v>
      </c>
      <c r="AN520" s="26">
        <v>0</v>
      </c>
    </row>
    <row r="521" spans="3:40">
      <c r="C521" s="1">
        <f>WORKDAY(C520,1,Feriados!$A$2:A1168)</f>
        <v>45614</v>
      </c>
      <c r="D521" s="39">
        <v>9180520.2920999993</v>
      </c>
      <c r="E521" s="32">
        <v>4.0195765000000003</v>
      </c>
      <c r="F521" s="88">
        <v>2283952.1146062999</v>
      </c>
      <c r="G521" s="15">
        <f t="shared" ref="G521" si="2536">H521*I521</f>
        <v>9154049.3179346099</v>
      </c>
      <c r="H521" s="32">
        <v>1.0243484</v>
      </c>
      <c r="I521" s="15">
        <f>SUMIFS([1]Master!$K$2:$K$10000,[1]Master!$A$2:$A$10000,$I$12,[1]Master!$F$2:$F$10000,"&lt;="&amp;$C521)</f>
        <v>8936460.7958919145</v>
      </c>
      <c r="J521" s="15">
        <f t="shared" ref="J521" si="2537">K521*L521</f>
        <v>0</v>
      </c>
      <c r="K521" s="43">
        <v>0</v>
      </c>
      <c r="L521" s="40">
        <v>0</v>
      </c>
      <c r="M521" s="15">
        <f t="shared" ref="M521" si="2538">N521*O521</f>
        <v>0</v>
      </c>
      <c r="N521" s="32">
        <v>0</v>
      </c>
      <c r="O521" s="40">
        <v>0</v>
      </c>
      <c r="P521" s="15">
        <f t="shared" ref="P521" si="2539">R521*Q521</f>
        <v>27197.059057954906</v>
      </c>
      <c r="Q521" s="32">
        <v>4.4826287000000002</v>
      </c>
      <c r="R521" s="40">
        <v>6067.2120931976597</v>
      </c>
      <c r="S521" s="15">
        <f t="shared" ref="S521" si="2540">(((1+1.35%)^(1/252))-1)*D520+SUM(S520)</f>
        <v>5454.1606361888771</v>
      </c>
      <c r="T521" s="15">
        <f>IF((NETWORKDAYS(DATE(YEAR(C521),MONTH(C521),1),C521,Feriados!$A$2:$A$842))&gt;=5,0,IF(NETWORKDAYS(DATE(YEAR(C521),MONTH(C521),1),C521,Feriados!$A$2:$A$842)=1,S520,T520))</f>
        <v>0</v>
      </c>
      <c r="U521" s="26">
        <v>0</v>
      </c>
      <c r="V521" s="26">
        <v>0</v>
      </c>
      <c r="W521" s="15">
        <f t="shared" ref="W521" si="2541">SUM(G521+J521+M521+P521)</f>
        <v>9181246.3769925646</v>
      </c>
      <c r="X521" s="50">
        <f>'Fluxo de Caixa_'!AD527</f>
        <v>0</v>
      </c>
      <c r="AB521" s="26">
        <v>4728.0020999999997</v>
      </c>
      <c r="AC521" s="26">
        <v>0</v>
      </c>
      <c r="AD521">
        <f>SUMIFS([1]Master!$J$2:$J$100,[1]Master!$A$2:$A$100,"="&amp;$I$12,[1]Master!$E$2:$E$100,"="&amp;C521,[1]Master!$J$2:$J$100,"&gt;"&amp;0)</f>
        <v>0</v>
      </c>
      <c r="AE521">
        <f ca="1">-SUMIF('[1]Fluxo de Movimentações'!$A$5:$F$10001,"="&amp;$C521,'[1]Fluxo de Movimentações'!$H$5:$H$10001)</f>
        <v>0</v>
      </c>
      <c r="AF521" s="26">
        <v>0</v>
      </c>
      <c r="AG521" s="26">
        <v>0</v>
      </c>
      <c r="AH521" s="26">
        <v>0</v>
      </c>
      <c r="AI521" s="26">
        <v>0</v>
      </c>
      <c r="AJ521" s="26">
        <v>0</v>
      </c>
      <c r="AK521" s="68">
        <v>4.0195765000000003</v>
      </c>
      <c r="AL521" s="15">
        <f>-SUMIFS([1]Master!$J$1:$J$200,[1]Master!$A$1:$A$200,"="&amp;$I$12,[1]Master!$G$1:$G$200,"&gt;"&amp;C521,[1]Master!$E$1:$E$200,"&lt;="&amp;C521)</f>
        <v>0</v>
      </c>
      <c r="AM521" s="26">
        <v>0</v>
      </c>
      <c r="AN521" s="26">
        <v>0</v>
      </c>
    </row>
    <row r="522" spans="3:40">
      <c r="C522" s="1">
        <f>WORKDAY(C521,1,Feriados!$A$2:A1169)</f>
        <v>45615</v>
      </c>
      <c r="D522" s="39">
        <v>9206057.5528999995</v>
      </c>
      <c r="E522" s="32">
        <v>4.0307576999999997</v>
      </c>
      <c r="F522" s="88">
        <v>2283952.1146062999</v>
      </c>
      <c r="G522" s="15">
        <f t="shared" ref="G522" si="2542">H522*I522</f>
        <v>9180112.505845828</v>
      </c>
      <c r="H522" s="32">
        <v>1.0272649</v>
      </c>
      <c r="I522" s="15">
        <f>SUMIFS([1]Master!$K$2:$K$10000,[1]Master!$A$2:$A$10000,$I$12,[1]Master!$F$2:$F$10000,"&lt;="&amp;$C522)</f>
        <v>8936460.7958919145</v>
      </c>
      <c r="J522" s="15">
        <f t="shared" ref="J522" si="2543">K522*L522</f>
        <v>0</v>
      </c>
      <c r="K522" s="43">
        <v>0</v>
      </c>
      <c r="L522" s="40">
        <v>0</v>
      </c>
      <c r="M522" s="15">
        <f t="shared" ref="M522" si="2544">N522*O522</f>
        <v>0</v>
      </c>
      <c r="N522" s="32">
        <v>0</v>
      </c>
      <c r="O522" s="40">
        <v>0</v>
      </c>
      <c r="P522" s="15">
        <f t="shared" ref="P522:P523" si="2545">R522*Q522</f>
        <v>27208.36288080574</v>
      </c>
      <c r="Q522" s="32">
        <v>4.4844917999999998</v>
      </c>
      <c r="R522" s="40">
        <v>6067.2120931976597</v>
      </c>
      <c r="S522" s="15">
        <f t="shared" ref="S522" si="2546">(((1+1.35%)^(1/252))-1)*D521+SUM(S521)</f>
        <v>5942.6970580882262</v>
      </c>
      <c r="T522" s="15">
        <f>IF((NETWORKDAYS(DATE(YEAR(C522),MONTH(C522),1),C522,Feriados!$A$2:$A$842))&gt;=5,0,IF(NETWORKDAYS(DATE(YEAR(C522),MONTH(C522),1),C522,Feriados!$A$2:$A$842)=1,S521,T521))</f>
        <v>0</v>
      </c>
      <c r="U522" s="26">
        <v>0</v>
      </c>
      <c r="V522" s="26">
        <v>0</v>
      </c>
      <c r="W522" s="15">
        <f t="shared" ref="W522" si="2547">SUM(G522+J522+M522+P522)</f>
        <v>9207320.8687266335</v>
      </c>
      <c r="X522" s="50">
        <f>'Fluxo de Caixa_'!AD528</f>
        <v>0</v>
      </c>
      <c r="AB522" s="26">
        <v>4679.3028999999997</v>
      </c>
      <c r="AC522" s="26">
        <v>0</v>
      </c>
      <c r="AD522">
        <f>SUMIFS([1]Master!$J$2:$J$100,[1]Master!$A$2:$A$100,"="&amp;$I$12,[1]Master!$E$2:$E$100,"="&amp;C522,[1]Master!$J$2:$J$100,"&gt;"&amp;0)</f>
        <v>0</v>
      </c>
      <c r="AE522">
        <f ca="1">-SUMIF('[1]Fluxo de Movimentações'!$A$5:$F$10001,"="&amp;$C522,'[1]Fluxo de Movimentações'!$H$5:$H$10001)</f>
        <v>0</v>
      </c>
      <c r="AF522" s="26">
        <v>0</v>
      </c>
      <c r="AG522" s="26">
        <v>0</v>
      </c>
      <c r="AH522" s="26">
        <v>0</v>
      </c>
      <c r="AI522" s="26">
        <v>0</v>
      </c>
      <c r="AJ522" s="26">
        <v>0</v>
      </c>
      <c r="AK522" s="68">
        <v>4.0307576999999997</v>
      </c>
      <c r="AL522" s="15">
        <f>-SUMIFS([1]Master!$J$1:$J$200,[1]Master!$A$1:$A$200,"="&amp;$I$12,[1]Master!$G$1:$G$200,"&gt;"&amp;C522,[1]Master!$E$1:$E$200,"&lt;="&amp;C522)</f>
        <v>0</v>
      </c>
      <c r="AM522" s="26">
        <v>0</v>
      </c>
      <c r="AN522" s="26">
        <v>0</v>
      </c>
    </row>
    <row r="523" spans="3:40">
      <c r="C523" s="1">
        <f>WORKDAY(C522,1,Feriados!$A$2:A1170)</f>
        <v>45617</v>
      </c>
      <c r="D523" s="39">
        <v>9084916.8537000008</v>
      </c>
      <c r="E523" s="32">
        <v>3.9777176999999999</v>
      </c>
      <c r="F523" s="88">
        <v>2283952.1146062999</v>
      </c>
      <c r="G523" s="15">
        <f t="shared" ref="G523" si="2548">H523*I523</f>
        <v>9059498.8817758337</v>
      </c>
      <c r="H523" s="32">
        <v>1.0137681000000001</v>
      </c>
      <c r="I523" s="15">
        <f>SUMIFS([1]Master!$K$2:$K$10000,[1]Master!$A$2:$A$10000,$I$12,[1]Master!$F$2:$F$10000,"&lt;="&amp;$C523)</f>
        <v>8936460.7958919145</v>
      </c>
      <c r="J523" s="15">
        <f t="shared" ref="J523" si="2549">K523*L523</f>
        <v>0</v>
      </c>
      <c r="K523" s="43">
        <v>0</v>
      </c>
      <c r="L523" s="40">
        <v>0</v>
      </c>
      <c r="M523" s="15">
        <f t="shared" ref="M523" si="2550">N523*O523</f>
        <v>0</v>
      </c>
      <c r="N523" s="32">
        <v>0</v>
      </c>
      <c r="O523" s="40">
        <v>0</v>
      </c>
      <c r="P523" s="15">
        <f t="shared" si="2545"/>
        <v>27219.876022473793</v>
      </c>
      <c r="Q523" s="32">
        <v>4.4863894000000002</v>
      </c>
      <c r="R523" s="40">
        <v>6067.2120931976597</v>
      </c>
      <c r="S523" s="15">
        <f t="shared" ref="S523" si="2551">(((1+1.35%)^(1/252))-1)*D522+SUM(S522)</f>
        <v>6432.5924315087741</v>
      </c>
      <c r="T523" s="15">
        <f>IF((NETWORKDAYS(DATE(YEAR(C523),MONTH(C523),1),C523,Feriados!$A$2:$A$842))&gt;=5,0,IF(NETWORKDAYS(DATE(YEAR(C523),MONTH(C523),1),C523,Feriados!$A$2:$A$842)=1,S522,T522))</f>
        <v>0</v>
      </c>
      <c r="U523" s="26">
        <v>0</v>
      </c>
      <c r="V523" s="26">
        <v>0</v>
      </c>
      <c r="W523" s="15">
        <f t="shared" ref="W523" si="2552">SUM(G523+J523+M523+P523)</f>
        <v>9086718.7577983066</v>
      </c>
      <c r="X523" s="50">
        <f>'Fluxo de Caixa_'!AD529</f>
        <v>0</v>
      </c>
      <c r="AB523" s="26">
        <v>4630.6036999999997</v>
      </c>
      <c r="AC523" s="26">
        <v>0</v>
      </c>
      <c r="AD523">
        <f>SUMIFS([1]Master!$J$2:$J$100,[1]Master!$A$2:$A$100,"="&amp;$I$12,[1]Master!$E$2:$E$100,"="&amp;C523,[1]Master!$J$2:$J$100,"&gt;"&amp;0)</f>
        <v>0</v>
      </c>
      <c r="AE523">
        <f ca="1">-SUMIF('[1]Fluxo de Movimentações'!$A$5:$F$10001,"="&amp;$C523,'[1]Fluxo de Movimentações'!$H$5:$H$10001)</f>
        <v>0</v>
      </c>
      <c r="AF523" s="26">
        <v>0</v>
      </c>
      <c r="AG523" s="26">
        <v>0</v>
      </c>
      <c r="AH523" s="26">
        <v>0</v>
      </c>
      <c r="AI523" s="26">
        <v>0</v>
      </c>
      <c r="AJ523" s="26">
        <v>0</v>
      </c>
      <c r="AK523" s="68">
        <v>3.9777176999999999</v>
      </c>
      <c r="AL523" s="15">
        <f>-SUMIFS([1]Master!$J$1:$J$200,[1]Master!$A$1:$A$200,"="&amp;$I$12,[1]Master!$G$1:$G$200,"&gt;"&amp;C523,[1]Master!$E$1:$E$200,"&lt;="&amp;C523)</f>
        <v>0</v>
      </c>
      <c r="AM523" s="26">
        <v>0</v>
      </c>
      <c r="AN523" s="26">
        <v>0</v>
      </c>
    </row>
    <row r="524" spans="3:40">
      <c r="C524" s="1">
        <f>WORKDAY(C523,1,Feriados!$A$2:A1171)</f>
        <v>45618</v>
      </c>
      <c r="D524" s="39">
        <v>9227407.0844999999</v>
      </c>
      <c r="E524" s="32">
        <v>4.0401052999999996</v>
      </c>
      <c r="F524" s="88">
        <v>2283952.1146062999</v>
      </c>
      <c r="G524" s="15">
        <f t="shared" ref="G524" si="2553">H524*I524</f>
        <v>9202509.9575385731</v>
      </c>
      <c r="H524" s="32">
        <v>1.0297712000000001</v>
      </c>
      <c r="I524" s="15">
        <f>SUMIFS([1]Master!$K$2:$K$10000,[1]Master!$A$2:$A$10000,$I$12,[1]Master!$F$2:$F$10000,"&lt;="&amp;$C524)</f>
        <v>8936460.7958919145</v>
      </c>
      <c r="J524" s="15">
        <f t="shared" ref="J524" si="2554">K524*L524</f>
        <v>0</v>
      </c>
      <c r="K524" s="43">
        <v>0</v>
      </c>
      <c r="L524" s="40">
        <v>0</v>
      </c>
      <c r="M524" s="15">
        <f t="shared" ref="M524" si="2555">N524*O524</f>
        <v>0</v>
      </c>
      <c r="N524" s="32">
        <v>0</v>
      </c>
      <c r="O524" s="40">
        <v>0</v>
      </c>
      <c r="P524" s="15">
        <f t="shared" ref="P524" si="2556">R524*Q524</f>
        <v>27231.173778112534</v>
      </c>
      <c r="Q524" s="32">
        <v>4.4882514999999996</v>
      </c>
      <c r="R524" s="40">
        <v>6067.2120931976597</v>
      </c>
      <c r="S524" s="15">
        <f t="shared" ref="S524" si="2557">(((1+1.35%)^(1/252))-1)*D523+SUM(S523)</f>
        <v>6916.041368142457</v>
      </c>
      <c r="T524" s="15">
        <f>IF((NETWORKDAYS(DATE(YEAR(C524),MONTH(C524),1),C524,Feriados!$A$2:$A$842))&gt;=5,0,IF(NETWORKDAYS(DATE(YEAR(C524),MONTH(C524),1),C524,Feriados!$A$2:$A$842)=1,S523,T523))</f>
        <v>0</v>
      </c>
      <c r="U524" s="26">
        <v>0</v>
      </c>
      <c r="V524" s="26">
        <v>0</v>
      </c>
      <c r="W524" s="15">
        <f t="shared" ref="W524" si="2558">SUM(G524+J524+M524+P524)</f>
        <v>9229741.131316686</v>
      </c>
      <c r="X524" s="50">
        <f>'Fluxo de Caixa_'!AD530</f>
        <v>0</v>
      </c>
      <c r="AB524" s="26">
        <v>4581.9044999999996</v>
      </c>
      <c r="AC524" s="26">
        <v>0</v>
      </c>
      <c r="AD524">
        <f>SUMIFS([1]Master!$J$2:$J$100,[1]Master!$A$2:$A$100,"="&amp;$I$12,[1]Master!$E$2:$E$100,"="&amp;C524,[1]Master!$J$2:$J$100,"&gt;"&amp;0)</f>
        <v>0</v>
      </c>
      <c r="AE524">
        <f ca="1">-SUMIF('[1]Fluxo de Movimentações'!$A$5:$F$10001,"="&amp;$C524,'[1]Fluxo de Movimentações'!$H$5:$H$10001)</f>
        <v>0</v>
      </c>
      <c r="AF524" s="26">
        <v>0</v>
      </c>
      <c r="AG524" s="26">
        <v>0</v>
      </c>
      <c r="AH524" s="26">
        <v>0</v>
      </c>
      <c r="AI524" s="26">
        <v>0</v>
      </c>
      <c r="AJ524" s="26">
        <v>0</v>
      </c>
      <c r="AK524" s="68">
        <v>4.0401052999999996</v>
      </c>
      <c r="AL524" s="15">
        <f>-SUMIFS([1]Master!$J$1:$J$200,[1]Master!$A$1:$A$200,"="&amp;$I$12,[1]Master!$G$1:$G$200,"&gt;"&amp;C524,[1]Master!$E$1:$E$200,"&lt;="&amp;C524)</f>
        <v>0</v>
      </c>
      <c r="AM524" s="26">
        <v>0</v>
      </c>
      <c r="AN524" s="26">
        <v>0</v>
      </c>
    </row>
    <row r="525" spans="3:40">
      <c r="C525" s="1">
        <f>WORKDAY(C524,1,Feriados!$A$2:A1172)</f>
        <v>45621</v>
      </c>
      <c r="D525" s="39">
        <v>9311825.9552999996</v>
      </c>
      <c r="E525" s="32">
        <v>4.0770670999999998</v>
      </c>
      <c r="F525" s="88">
        <v>2283952.1146062999</v>
      </c>
      <c r="G525" s="15">
        <f t="shared" ref="G525" si="2559">H525*I525</f>
        <v>9287457.272926081</v>
      </c>
      <c r="H525" s="32">
        <v>1.0392768999999999</v>
      </c>
      <c r="I525" s="15">
        <f>SUMIFS([1]Master!$K$2:$K$10000,[1]Master!$A$2:$A$10000,$I$12,[1]Master!$F$2:$F$10000,"&lt;="&amp;$C525)</f>
        <v>8936460.7958919145</v>
      </c>
      <c r="J525" s="15">
        <f t="shared" ref="J525" si="2560">K525*L525</f>
        <v>0</v>
      </c>
      <c r="K525" s="43">
        <v>0</v>
      </c>
      <c r="L525" s="40">
        <v>0</v>
      </c>
      <c r="M525" s="15">
        <f t="shared" ref="M525" si="2561">N525*O525</f>
        <v>0</v>
      </c>
      <c r="N525" s="32">
        <v>0</v>
      </c>
      <c r="O525" s="40">
        <v>0</v>
      </c>
      <c r="P525" s="15">
        <f t="shared" ref="P525" si="2562">R525*Q525</f>
        <v>27242.457579163463</v>
      </c>
      <c r="Q525" s="32">
        <v>4.4901112999999997</v>
      </c>
      <c r="R525" s="40">
        <v>6067.2120931976597</v>
      </c>
      <c r="S525" s="15">
        <f t="shared" ref="S525" si="2563">(((1+1.35%)^(1/252))-1)*D524+SUM(S524)</f>
        <v>7407.0728453398315</v>
      </c>
      <c r="T525" s="15">
        <f>IF((NETWORKDAYS(DATE(YEAR(C525),MONTH(C525),1),C525,Feriados!$A$2:$A$842))&gt;=5,0,IF(NETWORKDAYS(DATE(YEAR(C525),MONTH(C525),1),C525,Feriados!$A$2:$A$842)=1,S524,T524))</f>
        <v>0</v>
      </c>
      <c r="U525" s="26">
        <v>0</v>
      </c>
      <c r="V525" s="26">
        <v>0</v>
      </c>
      <c r="W525" s="15">
        <f t="shared" ref="W525" si="2564">SUM(G525+J525+M525+P525)</f>
        <v>9314699.7305052448</v>
      </c>
      <c r="X525" s="50">
        <f>'Fluxo de Caixa_'!AD531</f>
        <v>0</v>
      </c>
      <c r="AB525" s="26">
        <v>4533.2052999999996</v>
      </c>
      <c r="AC525" s="26">
        <v>0</v>
      </c>
      <c r="AD525">
        <f>SUMIFS([1]Master!$J$2:$J$100,[1]Master!$A$2:$A$100,"="&amp;$I$12,[1]Master!$E$2:$E$100,"="&amp;C525,[1]Master!$J$2:$J$100,"&gt;"&amp;0)</f>
        <v>0</v>
      </c>
      <c r="AE525">
        <f ca="1">-SUMIF('[1]Fluxo de Movimentações'!$A$5:$F$10001,"="&amp;$C525,'[1]Fluxo de Movimentações'!$H$5:$H$10001)</f>
        <v>0</v>
      </c>
      <c r="AF525" s="26">
        <v>0</v>
      </c>
      <c r="AG525" s="26">
        <v>0</v>
      </c>
      <c r="AH525" s="26">
        <v>0</v>
      </c>
      <c r="AI525" s="26">
        <v>0</v>
      </c>
      <c r="AJ525" s="26">
        <v>0</v>
      </c>
      <c r="AK525" s="68">
        <v>4.0770670999999998</v>
      </c>
      <c r="AL525" s="15">
        <f>-SUMIFS([1]Master!$J$1:$J$200,[1]Master!$A$1:$A$200,"="&amp;$I$12,[1]Master!$G$1:$G$200,"&gt;"&amp;C525,[1]Master!$E$1:$E$200,"&lt;="&amp;C525)</f>
        <v>0</v>
      </c>
      <c r="AM525" s="26">
        <v>0</v>
      </c>
      <c r="AN525" s="26">
        <v>0</v>
      </c>
    </row>
    <row r="526" spans="3:40">
      <c r="C526" s="1">
        <f>WORKDAY(C525,1,Feriados!$A$2:A1173)</f>
        <v>45622</v>
      </c>
      <c r="D526" s="39">
        <v>9524307.8960999995</v>
      </c>
      <c r="E526" s="32">
        <v>4.1700996000000004</v>
      </c>
      <c r="F526" s="88">
        <v>2283952.1146062999</v>
      </c>
      <c r="G526" s="15">
        <f t="shared" ref="G526" si="2565">H526*I526</f>
        <v>9500472.1143334396</v>
      </c>
      <c r="H526" s="32">
        <v>1.0631135</v>
      </c>
      <c r="I526" s="15">
        <f>SUMIFS([1]Master!$K$2:$K$10000,[1]Master!$A$2:$A$10000,$I$12,[1]Master!$F$2:$F$10000,"&lt;="&amp;$C526)</f>
        <v>8936460.7958919145</v>
      </c>
      <c r="J526" s="15">
        <f t="shared" ref="J526" si="2566">K526*L526</f>
        <v>0</v>
      </c>
      <c r="K526" s="43">
        <v>0</v>
      </c>
      <c r="L526" s="40">
        <v>0</v>
      </c>
      <c r="M526" s="15">
        <f t="shared" ref="M526" si="2567">N526*O526</f>
        <v>0</v>
      </c>
      <c r="N526" s="32">
        <v>0</v>
      </c>
      <c r="O526" s="40">
        <v>0</v>
      </c>
      <c r="P526" s="15">
        <f t="shared" ref="P526" si="2568">R526*Q526</f>
        <v>27253.774143159695</v>
      </c>
      <c r="Q526" s="32">
        <v>4.4919764999999998</v>
      </c>
      <c r="R526" s="40">
        <v>6067.2120931976597</v>
      </c>
      <c r="S526" s="15">
        <f t="shared" ref="S526" si="2569">(((1+1.35%)^(1/252))-1)*D525+SUM(S525)</f>
        <v>7902.5966270874069</v>
      </c>
      <c r="T526" s="15">
        <f>IF((NETWORKDAYS(DATE(YEAR(C526),MONTH(C526),1),C526,Feriados!$A$2:$A$842))&gt;=5,0,IF(NETWORKDAYS(DATE(YEAR(C526),MONTH(C526),1),C526,Feriados!$A$2:$A$842)=1,S525,T525))</f>
        <v>0</v>
      </c>
      <c r="U526" s="26">
        <v>0</v>
      </c>
      <c r="V526" s="26">
        <v>0</v>
      </c>
      <c r="W526" s="15">
        <f t="shared" ref="W526" si="2570">SUM(G526+J526+M526+P526)</f>
        <v>9527725.888476599</v>
      </c>
      <c r="X526" s="50">
        <f>'Fluxo de Caixa_'!AD532</f>
        <v>0</v>
      </c>
      <c r="AB526" s="26">
        <v>4484.5060999999996</v>
      </c>
      <c r="AC526" s="26">
        <v>0</v>
      </c>
      <c r="AD526">
        <f>SUMIFS([1]Master!$J$2:$J$100,[1]Master!$A$2:$A$100,"="&amp;$I$12,[1]Master!$E$2:$E$100,"="&amp;C526,[1]Master!$J$2:$J$100,"&gt;"&amp;0)</f>
        <v>0</v>
      </c>
      <c r="AE526">
        <f ca="1">-SUMIF('[1]Fluxo de Movimentações'!$A$5:$F$10001,"="&amp;$C526,'[1]Fluxo de Movimentações'!$H$5:$H$10001)</f>
        <v>0</v>
      </c>
      <c r="AF526" s="26">
        <v>0</v>
      </c>
      <c r="AG526" s="26">
        <v>0</v>
      </c>
      <c r="AH526" s="26">
        <v>0</v>
      </c>
      <c r="AI526" s="26">
        <v>0</v>
      </c>
      <c r="AJ526" s="26">
        <v>0</v>
      </c>
      <c r="AK526" s="68">
        <v>4.1700996000000004</v>
      </c>
      <c r="AL526" s="15">
        <f>-SUMIFS([1]Master!$J$1:$J$200,[1]Master!$A$1:$A$200,"="&amp;$I$12,[1]Master!$G$1:$G$200,"&gt;"&amp;C526,[1]Master!$E$1:$E$200,"&lt;="&amp;C526)</f>
        <v>0</v>
      </c>
      <c r="AM526" s="26">
        <v>0</v>
      </c>
      <c r="AN526" s="26">
        <v>0</v>
      </c>
    </row>
    <row r="527" spans="3:40">
      <c r="C527" s="1">
        <f>WORKDAY(C526,1,Feriados!$A$2:A1174)</f>
        <v>45623</v>
      </c>
      <c r="D527" s="39">
        <v>9198238.8368999995</v>
      </c>
      <c r="E527" s="32">
        <v>4.0273344</v>
      </c>
      <c r="F527" s="88">
        <v>2283952.1146062999</v>
      </c>
      <c r="G527" s="15">
        <f t="shared" ref="G527" si="2571">H527*I527</f>
        <v>9174947.2315058038</v>
      </c>
      <c r="H527" s="32">
        <v>1.0266869000000001</v>
      </c>
      <c r="I527" s="15">
        <f>SUMIFS([1]Master!$K$2:$K$10000,[1]Master!$A$2:$A$10000,$I$12,[1]Master!$F$2:$F$10000,"&lt;="&amp;$C527)</f>
        <v>8936460.7958919145</v>
      </c>
      <c r="J527" s="15">
        <f t="shared" ref="J527" si="2572">K527*L527</f>
        <v>0</v>
      </c>
      <c r="K527" s="43">
        <v>0</v>
      </c>
      <c r="L527" s="40">
        <v>0</v>
      </c>
      <c r="M527" s="15">
        <f t="shared" ref="M527" si="2573">N527*O527</f>
        <v>0</v>
      </c>
      <c r="N527" s="32">
        <v>0</v>
      </c>
      <c r="O527" s="40">
        <v>0</v>
      </c>
      <c r="P527" s="15">
        <f t="shared" ref="P527" si="2574">R527*Q527</f>
        <v>27265.129537313325</v>
      </c>
      <c r="Q527" s="32">
        <v>4.4938481000000001</v>
      </c>
      <c r="R527" s="40">
        <v>6067.2120931976597</v>
      </c>
      <c r="S527" s="15">
        <f t="shared" ref="S527" si="2575">(((1+1.35%)^(1/252))-1)*D526+SUM(S526)</f>
        <v>8409.4275203900852</v>
      </c>
      <c r="T527" s="15">
        <f>IF((NETWORKDAYS(DATE(YEAR(C527),MONTH(C527),1),C527,Feriados!$A$2:$A$842))&gt;=5,0,IF(NETWORKDAYS(DATE(YEAR(C527),MONTH(C527),1),C527,Feriados!$A$2:$A$842)=1,S526,T526))</f>
        <v>0</v>
      </c>
      <c r="U527" s="26">
        <v>0</v>
      </c>
      <c r="V527" s="26">
        <v>0</v>
      </c>
      <c r="W527" s="15">
        <f t="shared" ref="W527" si="2576">SUM(G527+J527+M527+P527)</f>
        <v>9202212.3610431179</v>
      </c>
      <c r="X527" s="50">
        <f>'Fluxo de Caixa_'!AD533</f>
        <v>0</v>
      </c>
      <c r="AB527" s="26">
        <v>4435.8068999999996</v>
      </c>
      <c r="AC527" s="26">
        <v>0</v>
      </c>
      <c r="AD527">
        <f>SUMIFS([1]Master!$J$2:$J$100,[1]Master!$A$2:$A$100,"="&amp;$I$12,[1]Master!$E$2:$E$100,"="&amp;C527,[1]Master!$J$2:$J$100,"&gt;"&amp;0)</f>
        <v>0</v>
      </c>
      <c r="AE527">
        <f ca="1">-SUMIF('[1]Fluxo de Movimentações'!$A$5:$F$10001,"="&amp;$C527,'[1]Fluxo de Movimentações'!$H$5:$H$10001)</f>
        <v>0</v>
      </c>
      <c r="AF527" s="26">
        <v>0</v>
      </c>
      <c r="AG527" s="26">
        <v>0</v>
      </c>
      <c r="AH527" s="26">
        <v>0</v>
      </c>
      <c r="AI527" s="26">
        <v>0</v>
      </c>
      <c r="AJ527" s="26">
        <v>0</v>
      </c>
      <c r="AK527" s="68">
        <v>4.0273344</v>
      </c>
      <c r="AL527" s="15">
        <f>-SUMIFS([1]Master!$J$1:$J$200,[1]Master!$A$1:$A$200,"="&amp;$I$12,[1]Master!$G$1:$G$200,"&gt;"&amp;C527,[1]Master!$E$1:$E$200,"&lt;="&amp;C527)</f>
        <v>0</v>
      </c>
      <c r="AM527" s="26">
        <v>0</v>
      </c>
      <c r="AN527" s="26">
        <v>0</v>
      </c>
    </row>
    <row r="528" spans="3:40">
      <c r="C528" s="1">
        <f>WORKDAY(C527,1,Feriados!$A$2:A1175)</f>
        <v>45624</v>
      </c>
      <c r="D528" s="39">
        <v>8850795.0777000003</v>
      </c>
      <c r="E528" s="32">
        <v>3.8752103999999998</v>
      </c>
      <c r="F528" s="88">
        <v>2283952.1146062999</v>
      </c>
      <c r="G528" s="15">
        <f t="shared" ref="G528" si="2577">H528*I528</f>
        <v>8828030.2488249596</v>
      </c>
      <c r="H528" s="32">
        <v>0.98786649999999998</v>
      </c>
      <c r="I528" s="15">
        <f>SUMIFS([1]Master!$K$2:$K$10000,[1]Master!$A$2:$A$10000,$I$12,[1]Master!$F$2:$F$10000,"&lt;="&amp;$C528)</f>
        <v>8936460.7958919145</v>
      </c>
      <c r="J528" s="15">
        <f t="shared" ref="J528" si="2578">K528*L528</f>
        <v>0</v>
      </c>
      <c r="K528" s="43">
        <v>0</v>
      </c>
      <c r="L528" s="40">
        <v>0</v>
      </c>
      <c r="M528" s="15">
        <f t="shared" ref="M528" si="2579">N528*O528</f>
        <v>0</v>
      </c>
      <c r="N528" s="32">
        <v>0</v>
      </c>
      <c r="O528" s="40">
        <v>0</v>
      </c>
      <c r="P528" s="15">
        <f t="shared" ref="P528" si="2580">R528*Q528</f>
        <v>27276.518907854679</v>
      </c>
      <c r="Q528" s="32">
        <v>4.4957253000000001</v>
      </c>
      <c r="R528" s="40">
        <v>6067.2120931976597</v>
      </c>
      <c r="S528" s="15">
        <f t="shared" ref="S528" si="2581">(((1+1.35%)^(1/252))-1)*D527+SUM(S527)</f>
        <v>8898.9068250675828</v>
      </c>
      <c r="T528" s="15">
        <f>IF((NETWORKDAYS(DATE(YEAR(C528),MONTH(C528),1),C528,Feriados!$A$2:$A$842))&gt;=5,0,IF(NETWORKDAYS(DATE(YEAR(C528),MONTH(C528),1),C528,Feriados!$A$2:$A$842)=1,S527,T527))</f>
        <v>0</v>
      </c>
      <c r="U528" s="26">
        <v>0</v>
      </c>
      <c r="V528" s="26">
        <v>0</v>
      </c>
      <c r="W528" s="15">
        <f t="shared" ref="W528" si="2582">SUM(G528+J528+M528+P528)</f>
        <v>8855306.767732814</v>
      </c>
      <c r="X528" s="50">
        <f>'Fluxo de Caixa_'!AD534</f>
        <v>0</v>
      </c>
      <c r="AB528" s="26">
        <v>4387.1076999999996</v>
      </c>
      <c r="AC528" s="26">
        <v>0</v>
      </c>
      <c r="AD528">
        <f>SUMIFS([1]Master!$J$2:$J$100,[1]Master!$A$2:$A$100,"="&amp;$I$12,[1]Master!$E$2:$E$100,"="&amp;C528,[1]Master!$J$2:$J$100,"&gt;"&amp;0)</f>
        <v>0</v>
      </c>
      <c r="AE528">
        <f ca="1">-SUMIF('[1]Fluxo de Movimentações'!$A$5:$F$10001,"="&amp;$C528,'[1]Fluxo de Movimentações'!$H$5:$H$10001)</f>
        <v>0</v>
      </c>
      <c r="AF528" s="26">
        <v>0</v>
      </c>
      <c r="AG528" s="26">
        <v>0</v>
      </c>
      <c r="AH528" s="26">
        <v>0</v>
      </c>
      <c r="AI528" s="26">
        <v>0</v>
      </c>
      <c r="AJ528" s="26">
        <v>0</v>
      </c>
      <c r="AK528" s="68">
        <v>3.8752103999999998</v>
      </c>
      <c r="AL528" s="15">
        <f>-SUMIFS([1]Master!$J$1:$J$200,[1]Master!$A$1:$A$200,"="&amp;$I$12,[1]Master!$G$1:$G$200,"&gt;"&amp;C528,[1]Master!$E$1:$E$200,"&lt;="&amp;C528)</f>
        <v>0</v>
      </c>
      <c r="AM528" s="26">
        <v>0</v>
      </c>
      <c r="AN528" s="26">
        <v>0</v>
      </c>
    </row>
    <row r="529" spans="3:40">
      <c r="C529" s="1">
        <f>WORKDAY(C528,1,Feriados!$A$2:A1176)</f>
        <v>45625</v>
      </c>
      <c r="D529" s="39">
        <v>8859137.4484999999</v>
      </c>
      <c r="E529" s="32">
        <v>3.8788629999999999</v>
      </c>
      <c r="F529" s="88">
        <v>2283952.1146062999</v>
      </c>
      <c r="G529" s="15">
        <f t="shared" ref="G529" si="2583">H529*I529</f>
        <v>8836880.9195972122</v>
      </c>
      <c r="H529" s="32">
        <v>0.98885690000000004</v>
      </c>
      <c r="I529" s="15">
        <f>SUMIFS([1]Master!$K$2:$K$10000,[1]Master!$A$2:$A$10000,$I$12,[1]Master!$F$2:$F$10000,"&lt;="&amp;$C529)</f>
        <v>8936460.7958919145</v>
      </c>
      <c r="J529" s="15">
        <f t="shared" ref="J529" si="2584">K529*L529</f>
        <v>0</v>
      </c>
      <c r="K529" s="43">
        <v>0</v>
      </c>
      <c r="L529" s="40">
        <v>0</v>
      </c>
      <c r="M529" s="15">
        <f t="shared" ref="M529" si="2585">N529*O529</f>
        <v>0</v>
      </c>
      <c r="N529" s="32">
        <v>0</v>
      </c>
      <c r="O529" s="40">
        <v>0</v>
      </c>
      <c r="P529" s="15">
        <f t="shared" ref="P529:P530" si="2586">R529*Q529</f>
        <v>27287.910705280869</v>
      </c>
      <c r="Q529" s="32">
        <v>4.4976029000000004</v>
      </c>
      <c r="R529" s="40">
        <v>6067.2120931976597</v>
      </c>
      <c r="S529" s="15">
        <f t="shared" ref="S529:S531" si="2587">(((1+1.35%)^(1/252))-1)*D528+SUM(S528)</f>
        <v>9369.8970980202776</v>
      </c>
      <c r="T529" s="15">
        <f>IF((NETWORKDAYS(DATE(YEAR(C529),MONTH(C529),1),C529,Feriados!$A$2:$A$842))&gt;=5,0,IF(NETWORKDAYS(DATE(YEAR(C529),MONTH(C529),1),C529,Feriados!$A$2:$A$842)=1,S528,T528))</f>
        <v>0</v>
      </c>
      <c r="U529" s="26">
        <v>0</v>
      </c>
      <c r="V529" s="26">
        <v>0</v>
      </c>
      <c r="W529" s="15">
        <f t="shared" ref="W529" si="2588">SUM(G529+J529+M529+P529)</f>
        <v>8864168.8303024936</v>
      </c>
      <c r="X529" s="50">
        <f>'Fluxo de Caixa_'!AD535</f>
        <v>0</v>
      </c>
      <c r="AB529" s="26">
        <v>4338.4084999999995</v>
      </c>
      <c r="AC529" s="26">
        <v>0</v>
      </c>
      <c r="AD529">
        <f>SUMIFS([1]Master!$J$2:$J$100,[1]Master!$A$2:$A$100,"="&amp;$I$12,[1]Master!$E$2:$E$100,"="&amp;C529,[1]Master!$J$2:$J$100,"&gt;"&amp;0)</f>
        <v>0</v>
      </c>
      <c r="AE529">
        <f ca="1">-SUMIF('[1]Fluxo de Movimentações'!$A$5:$F$10001,"="&amp;$C529,'[1]Fluxo de Movimentações'!$H$5:$H$10001)</f>
        <v>0</v>
      </c>
      <c r="AF529" s="26">
        <v>0</v>
      </c>
      <c r="AG529" s="26">
        <v>0</v>
      </c>
      <c r="AH529" s="26">
        <v>0</v>
      </c>
      <c r="AI529" s="26">
        <v>0</v>
      </c>
      <c r="AJ529" s="26">
        <v>0</v>
      </c>
      <c r="AK529" s="68">
        <v>3.8788629999999999</v>
      </c>
      <c r="AL529" s="15">
        <f>-SUMIFS([1]Master!$J$1:$J$200,[1]Master!$A$1:$A$200,"="&amp;$I$12,[1]Master!$G$1:$G$200,"&gt;"&amp;C529,[1]Master!$E$1:$E$200,"&lt;="&amp;C529)</f>
        <v>0</v>
      </c>
      <c r="AM529" s="26">
        <v>0</v>
      </c>
      <c r="AN529" s="26">
        <v>0</v>
      </c>
    </row>
    <row r="530" spans="3:40">
      <c r="C530" s="1">
        <f>WORKDAY(C529,1,Feriados!$A$2:A1177)</f>
        <v>45628</v>
      </c>
      <c r="D530" s="39">
        <v>8758038.2392999995</v>
      </c>
      <c r="E530" s="32">
        <v>3.8345980000000002</v>
      </c>
      <c r="F530" s="88">
        <v>2283952.1146062999</v>
      </c>
      <c r="G530" s="15">
        <f t="shared" ref="G530" si="2589">H530*I530</f>
        <v>8736290.3295864929</v>
      </c>
      <c r="H530" s="32">
        <v>0.97760069999999999</v>
      </c>
      <c r="I530" s="15">
        <f>SUMIFS([1]Master!$K$2:$K$10000,[1]Master!$A$2:$A$10000,$I$12,[1]Master!$F$2:$F$10000,"&lt;="&amp;$C530)</f>
        <v>8936460.7958919145</v>
      </c>
      <c r="J530" s="15">
        <f t="shared" ref="J530" si="2590">K530*L530</f>
        <v>0</v>
      </c>
      <c r="K530" s="43">
        <v>0</v>
      </c>
      <c r="L530" s="40">
        <v>0</v>
      </c>
      <c r="M530" s="15">
        <f t="shared" ref="M530" si="2591">N530*O530</f>
        <v>0</v>
      </c>
      <c r="N530" s="32">
        <v>0</v>
      </c>
      <c r="O530" s="40">
        <v>0</v>
      </c>
      <c r="P530" s="15">
        <f t="shared" si="2586"/>
        <v>27299.417779736821</v>
      </c>
      <c r="Q530" s="32">
        <v>4.4994994999999998</v>
      </c>
      <c r="R530" s="40">
        <v>6067.2120931976597</v>
      </c>
      <c r="S530" s="54">
        <f>(((1+1.35%)^(1/252))-1)*D529</f>
        <v>471.43420770269967</v>
      </c>
      <c r="T530" s="15">
        <f>IF((NETWORKDAYS(DATE(YEAR(C530),MONTH(C530),1),C530,Feriados!$A$2:$A$842))&gt;=5,0,IF(NETWORKDAYS(DATE(YEAR(C530),MONTH(C530),1),C530,Feriados!$A$2:$A$842)=1,S529,T529))</f>
        <v>9369.8970980202776</v>
      </c>
      <c r="U530" s="26">
        <v>0</v>
      </c>
      <c r="V530" s="26">
        <v>0</v>
      </c>
      <c r="W530" s="15">
        <f t="shared" ref="W530" si="2592">SUM(G530+J530+M530+P530)</f>
        <v>8763589.7473662291</v>
      </c>
      <c r="X530" s="50">
        <f>'Fluxo de Caixa_'!AD536</f>
        <v>0</v>
      </c>
      <c r="AB530" s="26">
        <v>4289.7093000000004</v>
      </c>
      <c r="AC530" s="26">
        <v>0</v>
      </c>
      <c r="AD530">
        <f>SUMIFS([1]Master!$J$2:$J$100,[1]Master!$A$2:$A$100,"="&amp;$I$12,[1]Master!$E$2:$E$100,"="&amp;C530,[1]Master!$J$2:$J$100,"&gt;"&amp;0)</f>
        <v>0</v>
      </c>
      <c r="AE530">
        <f ca="1">-SUMIF('[1]Fluxo de Movimentações'!$A$5:$F$10001,"="&amp;$C530,'[1]Fluxo de Movimentações'!$H$5:$H$10001)</f>
        <v>0</v>
      </c>
      <c r="AF530" s="26">
        <v>0</v>
      </c>
      <c r="AG530" s="26">
        <v>0</v>
      </c>
      <c r="AH530" s="26">
        <v>0</v>
      </c>
      <c r="AI530" s="26">
        <v>0</v>
      </c>
      <c r="AJ530" s="26">
        <v>0</v>
      </c>
      <c r="AK530" s="68">
        <v>3.8345980000000002</v>
      </c>
      <c r="AL530" s="15">
        <f>-SUMIFS([1]Master!$J$1:$J$200,[1]Master!$A$1:$A$200,"="&amp;$I$12,[1]Master!$G$1:$G$200,"&gt;"&amp;C530,[1]Master!$E$1:$E$200,"&lt;="&amp;C530)</f>
        <v>0</v>
      </c>
      <c r="AM530" s="26">
        <v>0</v>
      </c>
      <c r="AN530" s="26">
        <v>0</v>
      </c>
    </row>
    <row r="531" spans="3:40">
      <c r="C531" s="1">
        <f>WORKDAY(C530,1,Feriados!$A$2:A1178)</f>
        <v>45629</v>
      </c>
      <c r="D531" s="39">
        <v>8814898.9901000001</v>
      </c>
      <c r="E531" s="32">
        <v>3.8594938000000001</v>
      </c>
      <c r="F531" s="88">
        <v>2283952.1146062999</v>
      </c>
      <c r="G531" s="15">
        <f t="shared" ref="G531" si="2593">H531*I531</f>
        <v>8793654.3650814034</v>
      </c>
      <c r="H531" s="32">
        <v>0.9840198</v>
      </c>
      <c r="I531" s="15">
        <f>SUMIFS([1]Master!$K$2:$K$10000,[1]Master!$A$2:$A$10000,$I$12,[1]Master!$F$2:$F$10000,"&lt;="&amp;$C531)</f>
        <v>8936460.7958919145</v>
      </c>
      <c r="J531" s="15">
        <f t="shared" ref="J531" si="2594">K531*L531</f>
        <v>0</v>
      </c>
      <c r="K531" s="43">
        <v>0</v>
      </c>
      <c r="L531" s="40">
        <v>0</v>
      </c>
      <c r="M531" s="15">
        <f t="shared" ref="M531" si="2595">N531*O531</f>
        <v>0</v>
      </c>
      <c r="N531" s="32">
        <v>0</v>
      </c>
      <c r="O531" s="40">
        <v>0</v>
      </c>
      <c r="P531" s="15">
        <f t="shared" ref="P531" si="2596">R531*Q531</f>
        <v>27310.886630756595</v>
      </c>
      <c r="Q531" s="32">
        <v>4.5013898000000001</v>
      </c>
      <c r="R531" s="40">
        <v>6067.2120931976597</v>
      </c>
      <c r="S531" s="15">
        <f t="shared" si="2587"/>
        <v>937.48847566909444</v>
      </c>
      <c r="T531" s="15">
        <f>IF((NETWORKDAYS(DATE(YEAR(C531),MONTH(C531),1),C531,Feriados!$A$2:$A$842))&gt;=5,0,IF(NETWORKDAYS(DATE(YEAR(C531),MONTH(C531),1),C531,Feriados!$A$2:$A$842)=1,S530,T530))</f>
        <v>9369.8970980202776</v>
      </c>
      <c r="U531" s="26">
        <v>0</v>
      </c>
      <c r="V531" s="26">
        <v>0</v>
      </c>
      <c r="W531" s="15">
        <f t="shared" ref="W531" si="2597">SUM(G531+J531+M531+P531)</f>
        <v>8820965.2517121602</v>
      </c>
      <c r="X531" s="50">
        <f>'Fluxo de Caixa_'!AD537</f>
        <v>0</v>
      </c>
      <c r="AB531" s="26">
        <v>4241.0101000000004</v>
      </c>
      <c r="AC531" s="26">
        <v>0</v>
      </c>
      <c r="AD531">
        <f>SUMIFS([1]Master!$J$2:$J$100,[1]Master!$A$2:$A$100,"="&amp;$I$12,[1]Master!$E$2:$E$100,"="&amp;C531,[1]Master!$J$2:$J$100,"&gt;"&amp;0)</f>
        <v>0</v>
      </c>
      <c r="AE531">
        <f ca="1">-SUMIF('[1]Fluxo de Movimentações'!$A$5:$F$10001,"="&amp;$C531,'[1]Fluxo de Movimentações'!$H$5:$H$10001)</f>
        <v>0</v>
      </c>
      <c r="AF531" s="26">
        <v>0</v>
      </c>
      <c r="AG531" s="26">
        <v>0</v>
      </c>
      <c r="AH531" s="26">
        <v>0</v>
      </c>
      <c r="AI531" s="26">
        <v>0</v>
      </c>
      <c r="AJ531" s="26">
        <v>0</v>
      </c>
      <c r="AK531" s="68">
        <v>3.8594938000000001</v>
      </c>
      <c r="AL531" s="15">
        <f>-SUMIFS([1]Master!$J$1:$J$200,[1]Master!$A$1:$A$200,"="&amp;$I$12,[1]Master!$G$1:$G$200,"&gt;"&amp;C531,[1]Master!$E$1:$E$200,"&lt;="&amp;C531)</f>
        <v>0</v>
      </c>
      <c r="AM531" s="26">
        <v>0</v>
      </c>
      <c r="AN531" s="26">
        <v>0</v>
      </c>
    </row>
    <row r="532" spans="3:40">
      <c r="C532" s="1">
        <f>WORKDAY(C531,1,Feriados!$A$2:A1179)</f>
        <v>45630</v>
      </c>
      <c r="D532" s="39">
        <v>8797923.8109000009</v>
      </c>
      <c r="E532" s="32">
        <v>3.8520614000000002</v>
      </c>
      <c r="F532" s="88">
        <v>2283952.1146062999</v>
      </c>
      <c r="G532" s="15">
        <f t="shared" ref="G532" si="2598">H532*I532</f>
        <v>8767485.3614811543</v>
      </c>
      <c r="H532" s="32">
        <v>0.98217690000000002</v>
      </c>
      <c r="I532" s="15">
        <f>SUMIFS([1]Master!$K$2:$K$10000,[1]Master!$A$2:$A$10000,$I$12,[1]Master!$F$2:$F$10000,"&lt;="&amp;$C532)</f>
        <v>8926584.7745769154</v>
      </c>
      <c r="J532" s="15">
        <f t="shared" ref="J532" si="2599">K532*L532</f>
        <v>0</v>
      </c>
      <c r="K532" s="43">
        <v>0</v>
      </c>
      <c r="L532" s="40">
        <v>0</v>
      </c>
      <c r="M532" s="15">
        <f t="shared" ref="M532" si="2600">N532*O532</f>
        <v>0</v>
      </c>
      <c r="N532" s="32">
        <v>0</v>
      </c>
      <c r="O532" s="40">
        <v>0</v>
      </c>
      <c r="P532" s="15">
        <f t="shared" ref="P532" si="2601">R532*Q532</f>
        <v>27322.488353721204</v>
      </c>
      <c r="Q532" s="32">
        <v>4.5033019999999997</v>
      </c>
      <c r="R532" s="40">
        <v>6067.2120931976597</v>
      </c>
      <c r="S532" s="15">
        <f t="shared" ref="S532" si="2602">(((1+1.35%)^(1/252))-1)*D531+SUM(S531)</f>
        <v>1406.568557735181</v>
      </c>
      <c r="T532" s="15">
        <f>IF((NETWORKDAYS(DATE(YEAR(C532),MONTH(C532),1),C532,Feriados!$A$2:$A$842))&gt;=5,0,IF(NETWORKDAYS(DATE(YEAR(C532),MONTH(C532),1),C532,Feriados!$A$2:$A$842)=1,S531,T531))</f>
        <v>9369.8970980202776</v>
      </c>
      <c r="U532" s="26">
        <v>0</v>
      </c>
      <c r="V532" s="26">
        <v>0</v>
      </c>
      <c r="W532" s="15">
        <f t="shared" ref="W532" si="2603">SUM(G532+J532+M532+P532)</f>
        <v>8794807.8498348761</v>
      </c>
      <c r="X532" s="50">
        <f>'Fluxo de Caixa_'!AD538</f>
        <v>0</v>
      </c>
      <c r="AB532" s="26">
        <v>4192.3109000000004</v>
      </c>
      <c r="AC532" s="26">
        <v>0</v>
      </c>
      <c r="AD532">
        <f>SUMIFS([1]Master!$J$2:$J$100,[1]Master!$A$2:$A$100,"="&amp;$I$12,[1]Master!$E$2:$E$100,"="&amp;C532,[1]Master!$J$2:$J$100,"&gt;"&amp;0)</f>
        <v>0</v>
      </c>
      <c r="AE532">
        <f ca="1">-SUMIF('[1]Fluxo de Movimentações'!$A$5:$F$10001,"="&amp;$C532,'[1]Fluxo de Movimentações'!$H$5:$H$10001)</f>
        <v>0</v>
      </c>
      <c r="AF532" s="26">
        <v>0</v>
      </c>
      <c r="AG532" s="26">
        <v>0</v>
      </c>
      <c r="AH532" s="26">
        <v>0</v>
      </c>
      <c r="AI532" s="26">
        <v>0</v>
      </c>
      <c r="AJ532" s="26">
        <v>0</v>
      </c>
      <c r="AK532" s="68">
        <v>3.8520614000000002</v>
      </c>
      <c r="AL532" s="15">
        <f>-SUMIFS([1]Master!$J$1:$J$200,[1]Master!$A$1:$A$200,"="&amp;$I$12,[1]Master!$G$1:$G$200,"&gt;"&amp;C532,[1]Master!$E$1:$E$200,"&lt;="&amp;C532)</f>
        <v>9700</v>
      </c>
      <c r="AM532" s="26">
        <v>0</v>
      </c>
      <c r="AN532" s="26">
        <v>0</v>
      </c>
    </row>
    <row r="533" spans="3:40">
      <c r="C533" s="1">
        <f>WORKDAY(C532,1,Feriados!$A$2:A1180)</f>
        <v>45631</v>
      </c>
      <c r="D533" s="39">
        <v>8934420.0416999999</v>
      </c>
      <c r="E533" s="32">
        <v>3.9118246000000001</v>
      </c>
      <c r="F533" s="88">
        <v>2283952.1146062999</v>
      </c>
      <c r="G533" s="15">
        <f t="shared" ref="G533" si="2604">H533*I533</f>
        <v>8904487.0139674507</v>
      </c>
      <c r="H533" s="32">
        <v>0.99752450000000004</v>
      </c>
      <c r="I533" s="15">
        <f>SUMIFS([1]Master!$K$2:$K$10000,[1]Master!$A$2:$A$10000,$I$12,[1]Master!$F$2:$F$10000,"&lt;="&amp;$C533)</f>
        <v>8926584.7745769154</v>
      </c>
      <c r="J533" s="15">
        <f t="shared" ref="J533" si="2605">K533*L533</f>
        <v>0</v>
      </c>
      <c r="K533" s="43">
        <v>0</v>
      </c>
      <c r="L533" s="40">
        <v>0</v>
      </c>
      <c r="M533" s="15">
        <f t="shared" ref="M533" si="2606">N533*O533</f>
        <v>0</v>
      </c>
      <c r="N533" s="32">
        <v>0</v>
      </c>
      <c r="O533" s="40">
        <v>0</v>
      </c>
      <c r="P533" s="15">
        <f t="shared" ref="P533" si="2607">R533*Q533</f>
        <v>27333.939003104697</v>
      </c>
      <c r="Q533" s="32">
        <v>4.5051892999999996</v>
      </c>
      <c r="R533" s="40">
        <v>6067.2120931976597</v>
      </c>
      <c r="S533" s="15">
        <f t="shared" ref="S533" si="2608">(((1+1.35%)^(1/252))-1)*D532+SUM(S532)</f>
        <v>1874.7453148214618</v>
      </c>
      <c r="T533" s="15">
        <f>IF((NETWORKDAYS(DATE(YEAR(C533),MONTH(C533),1),C533,Feriados!$A$2:$A$842))&gt;=5,0,IF(NETWORKDAYS(DATE(YEAR(C533),MONTH(C533),1),C533,Feriados!$A$2:$A$842)=1,S532,T532))</f>
        <v>9369.8970980202776</v>
      </c>
      <c r="U533" s="26">
        <v>0</v>
      </c>
      <c r="V533" s="26">
        <v>0</v>
      </c>
      <c r="W533" s="15">
        <f t="shared" ref="W533" si="2609">SUM(G533+J533+M533+P533)</f>
        <v>8931820.9529705551</v>
      </c>
      <c r="X533" s="50">
        <f>'Fluxo de Caixa_'!AD539</f>
        <v>0</v>
      </c>
      <c r="AB533" s="26">
        <v>4143.6117000000004</v>
      </c>
      <c r="AC533" s="26">
        <v>0</v>
      </c>
      <c r="AD533">
        <f>SUMIFS([1]Master!$J$2:$J$100,[1]Master!$A$2:$A$100,"="&amp;$I$12,[1]Master!$E$2:$E$100,"="&amp;C533,[1]Master!$J$2:$J$100,"&gt;"&amp;0)</f>
        <v>0</v>
      </c>
      <c r="AE533">
        <f ca="1">-SUMIF('[1]Fluxo de Movimentações'!$A$5:$F$10001,"="&amp;$C533,'[1]Fluxo de Movimentações'!$H$5:$H$10001)</f>
        <v>0</v>
      </c>
      <c r="AF533" s="26">
        <v>0</v>
      </c>
      <c r="AG533" s="26">
        <v>0</v>
      </c>
      <c r="AH533" s="26">
        <v>0</v>
      </c>
      <c r="AI533" s="26">
        <v>0</v>
      </c>
      <c r="AJ533" s="26">
        <v>0</v>
      </c>
      <c r="AK533" s="68">
        <v>3.9118246000000001</v>
      </c>
      <c r="AL533" s="15">
        <f>-SUMIFS([1]Master!$J$1:$J$200,[1]Master!$A$1:$A$200,"="&amp;$I$12,[1]Master!$G$1:$G$200,"&gt;"&amp;C533,[1]Master!$E$1:$E$200,"&lt;="&amp;C533)</f>
        <v>9700</v>
      </c>
      <c r="AM533" s="26">
        <v>0</v>
      </c>
      <c r="AN533" s="26">
        <v>0</v>
      </c>
    </row>
    <row r="534" spans="3:40">
      <c r="C534" s="1">
        <f>WORKDAY(C533,1,Feriados!$A$2:A1181)</f>
        <v>45632</v>
      </c>
      <c r="D534" s="39">
        <v>8788411.9224999994</v>
      </c>
      <c r="E534" s="32">
        <v>3.8478968</v>
      </c>
      <c r="F534" s="88">
        <v>2283952.1146062999</v>
      </c>
      <c r="G534" s="15">
        <f t="shared" ref="G534" si="2610">H534*I534</f>
        <v>8758991.716068143</v>
      </c>
      <c r="H534" s="32">
        <v>0.98122540000000003</v>
      </c>
      <c r="I534" s="15">
        <f>SUMIFS([1]Master!$K$2:$K$10000,[1]Master!$A$2:$A$10000,$I$12,[1]Master!$F$2:$F$10000,"&lt;="&amp;$C534)</f>
        <v>8926584.7745769154</v>
      </c>
      <c r="J534" s="15">
        <f t="shared" ref="J534" si="2611">K534*L534</f>
        <v>0</v>
      </c>
      <c r="K534" s="43">
        <v>0</v>
      </c>
      <c r="L534" s="40">
        <v>0</v>
      </c>
      <c r="M534" s="15">
        <f t="shared" ref="M534" si="2612">N534*O534</f>
        <v>0</v>
      </c>
      <c r="N534" s="32">
        <v>0</v>
      </c>
      <c r="O534" s="40">
        <v>0</v>
      </c>
      <c r="P534" s="15">
        <f t="shared" ref="P534" si="2613">R534*Q534</f>
        <v>27675.467388174231</v>
      </c>
      <c r="Q534" s="32">
        <v>4.5070547999999997</v>
      </c>
      <c r="R534" s="40">
        <v>6140.4772331976601</v>
      </c>
      <c r="S534" s="15">
        <f t="shared" ref="S534" si="2614">(((1+1.35%)^(1/252))-1)*D533+SUM(S533)</f>
        <v>2350.1856450033938</v>
      </c>
      <c r="T534" s="15">
        <f>IF((NETWORKDAYS(DATE(YEAR(C534),MONTH(C534),1),C534,Feriados!$A$2:$A$842))&gt;=5,0,IF(NETWORKDAYS(DATE(YEAR(C534),MONTH(C534),1),C534,Feriados!$A$2:$A$842)=1,S533,T533))</f>
        <v>0</v>
      </c>
      <c r="U534" s="26">
        <v>0</v>
      </c>
      <c r="V534" s="26">
        <v>0</v>
      </c>
      <c r="W534" s="15">
        <f t="shared" ref="W534" si="2615">SUM(G534+J534+M534+P534)</f>
        <v>8786667.1834563166</v>
      </c>
      <c r="X534" s="50">
        <f>'Fluxo de Caixa_'!AD540</f>
        <v>-9.0967478172387928E-7</v>
      </c>
      <c r="AB534" s="26">
        <v>4094.9124999999999</v>
      </c>
      <c r="AC534" s="26">
        <v>0</v>
      </c>
      <c r="AD534">
        <f>SUMIFS([1]Master!$J$2:$J$100,[1]Master!$A$2:$A$100,"="&amp;$I$12,[1]Master!$E$2:$E$100,"="&amp;C534,[1]Master!$J$2:$J$100,"&gt;"&amp;0)</f>
        <v>0</v>
      </c>
      <c r="AE534">
        <f ca="1">-SUMIF('[1]Fluxo de Movimentações'!$A$5:$F$10001,"="&amp;$C534,'[1]Fluxo de Movimentações'!$H$5:$H$10001)</f>
        <v>0</v>
      </c>
      <c r="AF534" s="26">
        <v>0</v>
      </c>
      <c r="AG534" s="26">
        <v>0</v>
      </c>
      <c r="AH534" s="26">
        <v>0</v>
      </c>
      <c r="AI534" s="26">
        <v>0</v>
      </c>
      <c r="AJ534" s="26">
        <v>0</v>
      </c>
      <c r="AK534" s="68">
        <v>3.8478968</v>
      </c>
      <c r="AL534" s="15">
        <f>-SUMIFS([1]Master!$J$1:$J$200,[1]Master!$A$1:$A$200,"="&amp;$I$12,[1]Master!$G$1:$G$200,"&gt;"&amp;C534,[1]Master!$E$1:$E$200,"&lt;="&amp;C534)</f>
        <v>0</v>
      </c>
      <c r="AM534" s="26">
        <v>0</v>
      </c>
      <c r="AN534" s="26">
        <v>0</v>
      </c>
    </row>
    <row r="535" spans="3:40">
      <c r="C535" s="1">
        <f>WORKDAY(C534,1,Feriados!$A$2:A1182)</f>
        <v>45635</v>
      </c>
      <c r="D535" s="39">
        <v>8744450.6633000001</v>
      </c>
      <c r="E535" s="32">
        <v>3.8286489000000001</v>
      </c>
      <c r="F535" s="88">
        <v>2283952.1146062999</v>
      </c>
      <c r="G535" s="15">
        <f t="shared" ref="G535" si="2616">H535*I535</f>
        <v>8715535.3160685487</v>
      </c>
      <c r="H535" s="32">
        <v>0.97635720000000004</v>
      </c>
      <c r="I535" s="15">
        <f>SUMIFS([1]Master!$K$2:$K$10000,[1]Master!$A$2:$A$10000,$I$12,[1]Master!$F$2:$F$10000,"&lt;="&amp;$C535)</f>
        <v>8926584.7745769154</v>
      </c>
      <c r="J535" s="15">
        <f t="shared" ref="J535" si="2617">K535*L535</f>
        <v>0</v>
      </c>
      <c r="K535" s="43">
        <v>0</v>
      </c>
      <c r="L535" s="40">
        <v>0</v>
      </c>
      <c r="M535" s="15">
        <f t="shared" ref="M535" si="2618">N535*O535</f>
        <v>0</v>
      </c>
      <c r="N535" s="32">
        <v>0</v>
      </c>
      <c r="O535" s="40">
        <v>0</v>
      </c>
      <c r="P535" s="15">
        <f t="shared" ref="P535" si="2619">R535*Q535</f>
        <v>27686.975870604692</v>
      </c>
      <c r="Q535" s="32">
        <v>4.5089290000000002</v>
      </c>
      <c r="R535" s="40">
        <v>6140.4772331976601</v>
      </c>
      <c r="S535" s="15">
        <f t="shared" ref="S535" si="2620">(((1+1.35%)^(1/252))-1)*D534+SUM(S534)</f>
        <v>2817.8562320931396</v>
      </c>
      <c r="T535" s="15">
        <f>IF((NETWORKDAYS(DATE(YEAR(C535),MONTH(C535),1),C535,Feriados!$A$2:$A$842))&gt;=5,0,IF(NETWORKDAYS(DATE(YEAR(C535),MONTH(C535),1),C535,Feriados!$A$2:$A$842)=1,S534,T534))</f>
        <v>0</v>
      </c>
      <c r="U535" s="26">
        <v>0</v>
      </c>
      <c r="V535" s="26">
        <v>0</v>
      </c>
      <c r="W535" s="15">
        <f t="shared" ref="W535" si="2621">SUM(G535+J535+M535+P535)</f>
        <v>8743222.2919391543</v>
      </c>
      <c r="X535" s="50">
        <f>'Fluxo de Caixa_'!AD541</f>
        <v>0</v>
      </c>
      <c r="AB535" s="26">
        <v>4046.2132999999999</v>
      </c>
      <c r="AC535" s="26">
        <v>0</v>
      </c>
      <c r="AD535">
        <f>SUMIFS([1]Master!$J$2:$J$100,[1]Master!$A$2:$A$100,"="&amp;$I$12,[1]Master!$E$2:$E$100,"="&amp;C535,[1]Master!$J$2:$J$100,"&gt;"&amp;0)</f>
        <v>0</v>
      </c>
      <c r="AE535">
        <f ca="1">-SUMIF('[1]Fluxo de Movimentações'!$A$5:$F$10001,"="&amp;$C535,'[1]Fluxo de Movimentações'!$H$5:$H$10001)</f>
        <v>0</v>
      </c>
      <c r="AF535" s="26">
        <v>0</v>
      </c>
      <c r="AG535" s="26">
        <v>0</v>
      </c>
      <c r="AH535" s="26">
        <v>0</v>
      </c>
      <c r="AI535" s="26">
        <v>0</v>
      </c>
      <c r="AJ535" s="26">
        <v>0</v>
      </c>
      <c r="AK535" s="68">
        <v>3.8286489000000001</v>
      </c>
      <c r="AL535" s="15">
        <f>-SUMIFS([1]Master!$J$1:$J$200,[1]Master!$A$1:$A$200,"="&amp;$I$12,[1]Master!$G$1:$G$200,"&gt;"&amp;C535,[1]Master!$E$1:$E$200,"&lt;="&amp;C535)</f>
        <v>0</v>
      </c>
      <c r="AM535" s="26">
        <v>0</v>
      </c>
      <c r="AN535" s="26">
        <v>0</v>
      </c>
    </row>
    <row r="536" spans="3:40">
      <c r="C536" s="1">
        <f>WORKDAY(C535,1,Feriados!$A$2:A1183)</f>
        <v>45636</v>
      </c>
      <c r="D536" s="39">
        <v>8885098.9341000002</v>
      </c>
      <c r="E536" s="32">
        <v>3.8902299999999999</v>
      </c>
      <c r="F536" s="88">
        <v>2283952.1146062999</v>
      </c>
      <c r="G536" s="15">
        <f t="shared" ref="G536" si="2622">H536*I536</f>
        <v>8856686.0451580677</v>
      </c>
      <c r="H536" s="32">
        <v>0.99216959999999998</v>
      </c>
      <c r="I536" s="15">
        <f>SUMIFS([1]Master!$K$2:$K$10000,[1]Master!$A$2:$A$10000,$I$12,[1]Master!$F$2:$F$10000,"&lt;="&amp;$C536)</f>
        <v>8926584.7745769154</v>
      </c>
      <c r="J536" s="15">
        <f t="shared" ref="J536" si="2623">K536*L536</f>
        <v>0</v>
      </c>
      <c r="K536" s="43">
        <v>0</v>
      </c>
      <c r="L536" s="40">
        <v>0</v>
      </c>
      <c r="M536" s="15">
        <f t="shared" ref="M536" si="2624">N536*O536</f>
        <v>0</v>
      </c>
      <c r="N536" s="32">
        <v>0</v>
      </c>
      <c r="O536" s="40">
        <v>0</v>
      </c>
      <c r="P536" s="15">
        <f t="shared" ref="P536" si="2625">R536*Q536</f>
        <v>27698.547599950656</v>
      </c>
      <c r="Q536" s="32">
        <v>4.5108135000000003</v>
      </c>
      <c r="R536" s="40">
        <v>6140.4772331976601</v>
      </c>
      <c r="S536" s="15">
        <f t="shared" ref="S536" si="2626">(((1+1.35%)^(1/252))-1)*D535+SUM(S535)</f>
        <v>3283.1874445517724</v>
      </c>
      <c r="T536" s="15">
        <f>IF((NETWORKDAYS(DATE(YEAR(C536),MONTH(C536),1),C536,Feriados!$A$2:$A$842))&gt;=5,0,IF(NETWORKDAYS(DATE(YEAR(C536),MONTH(C536),1),C536,Feriados!$A$2:$A$842)=1,S535,T535))</f>
        <v>0</v>
      </c>
      <c r="U536" s="26">
        <v>0</v>
      </c>
      <c r="V536" s="26">
        <v>0</v>
      </c>
      <c r="W536" s="15">
        <f t="shared" ref="W536" si="2627">SUM(G536+J536+M536+P536)</f>
        <v>8884384.5927580185</v>
      </c>
      <c r="X536" s="50">
        <f>'Fluxo de Caixa_'!AD542</f>
        <v>0</v>
      </c>
      <c r="AB536" s="26">
        <v>3997.5140999999999</v>
      </c>
      <c r="AC536" s="26">
        <v>0</v>
      </c>
      <c r="AD536">
        <f>SUMIFS([1]Master!$J$2:$J$100,[1]Master!$A$2:$A$100,"="&amp;$I$12,[1]Master!$E$2:$E$100,"="&amp;C536,[1]Master!$J$2:$J$100,"&gt;"&amp;0)</f>
        <v>0</v>
      </c>
      <c r="AE536">
        <f ca="1">-SUMIF('[1]Fluxo de Movimentações'!$A$5:$F$10001,"="&amp;$C536,'[1]Fluxo de Movimentações'!$H$5:$H$10001)</f>
        <v>0</v>
      </c>
      <c r="AF536" s="26">
        <v>0</v>
      </c>
      <c r="AG536" s="26">
        <v>0</v>
      </c>
      <c r="AH536" s="26">
        <v>0</v>
      </c>
      <c r="AI536" s="26">
        <v>0</v>
      </c>
      <c r="AJ536" s="26">
        <v>0</v>
      </c>
      <c r="AK536" s="68">
        <v>3.8902299999999999</v>
      </c>
      <c r="AL536" s="15">
        <f>-SUMIFS([1]Master!$J$1:$J$200,[1]Master!$A$1:$A$200,"="&amp;$I$12,[1]Master!$G$1:$G$200,"&gt;"&amp;C536,[1]Master!$E$1:$E$200,"&lt;="&amp;C536)</f>
        <v>0</v>
      </c>
      <c r="AM536" s="26">
        <v>0</v>
      </c>
      <c r="AN536" s="26">
        <v>0</v>
      </c>
    </row>
    <row r="537" spans="3:40">
      <c r="C537" s="1">
        <f>WORKDAY(C536,1,Feriados!$A$2:A1184)</f>
        <v>45637</v>
      </c>
      <c r="D537" s="39">
        <v>9032292.6548999995</v>
      </c>
      <c r="E537" s="32">
        <v>3.9546768999999999</v>
      </c>
      <c r="F537" s="88">
        <v>2283952.1146062999</v>
      </c>
      <c r="G537" s="15">
        <f t="shared" ref="G537" si="2628">H537*I537</f>
        <v>9004389.7801306061</v>
      </c>
      <c r="H537" s="32">
        <v>1.0087161</v>
      </c>
      <c r="I537" s="15">
        <f>SUMIFS([1]Master!$K$2:$K$10000,[1]Master!$A$2:$A$10000,$I$12,[1]Master!$F$2:$F$10000,"&lt;="&amp;$C537)</f>
        <v>8926584.7745769154</v>
      </c>
      <c r="J537" s="15">
        <f t="shared" ref="J537" si="2629">K537*L537</f>
        <v>0</v>
      </c>
      <c r="K537" s="43">
        <v>0</v>
      </c>
      <c r="L537" s="40">
        <v>0</v>
      </c>
      <c r="M537" s="15">
        <f t="shared" ref="M537" si="2630">N537*O537</f>
        <v>0</v>
      </c>
      <c r="N537" s="32">
        <v>0</v>
      </c>
      <c r="O537" s="40">
        <v>0</v>
      </c>
      <c r="P537" s="15">
        <f t="shared" ref="P537" si="2631">R537*Q537</f>
        <v>27710.036432853965</v>
      </c>
      <c r="Q537" s="32">
        <v>4.5126844999999998</v>
      </c>
      <c r="R537" s="40">
        <v>6140.4772331976601</v>
      </c>
      <c r="S537" s="15">
        <f t="shared" ref="S537" si="2632">(((1+1.35%)^(1/252))-1)*D536+SUM(S536)</f>
        <v>3756.0031786689533</v>
      </c>
      <c r="T537" s="15">
        <f>IF((NETWORKDAYS(DATE(YEAR(C537),MONTH(C537),1),C537,Feriados!$A$2:$A$842))&gt;=5,0,IF(NETWORKDAYS(DATE(YEAR(C537),MONTH(C537),1),C537,Feriados!$A$2:$A$842)=1,S536,T536))</f>
        <v>0</v>
      </c>
      <c r="U537" s="26">
        <v>0</v>
      </c>
      <c r="V537" s="26">
        <v>0</v>
      </c>
      <c r="W537" s="15">
        <f t="shared" ref="W537" si="2633">SUM(G537+J537+M537+P537)</f>
        <v>9032099.816563461</v>
      </c>
      <c r="X537" s="50">
        <f>'Fluxo de Caixa_'!AD543</f>
        <v>0</v>
      </c>
      <c r="AB537" s="26">
        <v>3948.8148999999999</v>
      </c>
      <c r="AC537" s="26">
        <v>0</v>
      </c>
      <c r="AD537">
        <f>SUMIFS([1]Master!$J$2:$J$100,[1]Master!$A$2:$A$100,"="&amp;$I$12,[1]Master!$E$2:$E$100,"="&amp;C537,[1]Master!$J$2:$J$100,"&gt;"&amp;0)</f>
        <v>0</v>
      </c>
      <c r="AE537">
        <f ca="1">-SUMIF('[1]Fluxo de Movimentações'!$A$5:$F$10001,"="&amp;$C537,'[1]Fluxo de Movimentações'!$H$5:$H$10001)</f>
        <v>0</v>
      </c>
      <c r="AF537" s="26">
        <v>0</v>
      </c>
      <c r="AG537" s="26">
        <v>0</v>
      </c>
      <c r="AH537" s="26">
        <v>0</v>
      </c>
      <c r="AI537" s="26">
        <v>0</v>
      </c>
      <c r="AJ537" s="26">
        <v>0</v>
      </c>
      <c r="AK537" s="68">
        <v>3.9546768999999999</v>
      </c>
      <c r="AL537" s="15">
        <f>-SUMIFS([1]Master!$J$1:$J$200,[1]Master!$A$1:$A$200,"="&amp;$I$12,[1]Master!$G$1:$G$200,"&gt;"&amp;C537,[1]Master!$E$1:$E$200,"&lt;="&amp;C537)</f>
        <v>0</v>
      </c>
      <c r="AM537" s="26">
        <v>0</v>
      </c>
      <c r="AN537" s="26">
        <v>0</v>
      </c>
    </row>
    <row r="538" spans="3:40">
      <c r="C538" s="1">
        <f>WORKDAY(C537,1,Feriados!$A$2:A1185)</f>
        <v>45638</v>
      </c>
      <c r="D538" s="39">
        <v>8725067.1056999993</v>
      </c>
      <c r="E538" s="32">
        <v>3.8201619999999998</v>
      </c>
      <c r="F538" s="88">
        <v>2283952.1146062999</v>
      </c>
      <c r="G538" s="15">
        <f t="shared" ref="G538" si="2634">H538*I538</f>
        <v>8697682.1465193946</v>
      </c>
      <c r="H538" s="32">
        <v>0.97435720000000003</v>
      </c>
      <c r="I538" s="15">
        <f>SUMIFS([1]Master!$K$2:$K$10000,[1]Master!$A$2:$A$10000,$I$12,[1]Master!$F$2:$F$10000,"&lt;="&amp;$C538)</f>
        <v>8926584.7745769154</v>
      </c>
      <c r="J538" s="15">
        <f t="shared" ref="J538" si="2635">K538*L538</f>
        <v>0</v>
      </c>
      <c r="K538" s="43">
        <v>0</v>
      </c>
      <c r="L538" s="40">
        <v>0</v>
      </c>
      <c r="M538" s="15">
        <f t="shared" ref="M538" si="2636">N538*O538</f>
        <v>0</v>
      </c>
      <c r="N538" s="32">
        <v>0</v>
      </c>
      <c r="O538" s="40">
        <v>0</v>
      </c>
      <c r="P538" s="15">
        <f t="shared" ref="P538" si="2637">R538*Q538</f>
        <v>27721.463246937226</v>
      </c>
      <c r="Q538" s="32">
        <v>4.5145454000000003</v>
      </c>
      <c r="R538" s="40">
        <v>6140.4772331976601</v>
      </c>
      <c r="S538" s="15">
        <f t="shared" ref="S538" si="2638">(((1+1.35%)^(1/252))-1)*D537+SUM(S537)</f>
        <v>4236.6517470262115</v>
      </c>
      <c r="T538" s="15">
        <f>IF((NETWORKDAYS(DATE(YEAR(C538),MONTH(C538),1),C538,Feriados!$A$2:$A$842))&gt;=5,0,IF(NETWORKDAYS(DATE(YEAR(C538),MONTH(C538),1),C538,Feriados!$A$2:$A$842)=1,S537,T537))</f>
        <v>0</v>
      </c>
      <c r="U538" s="26">
        <v>0</v>
      </c>
      <c r="V538" s="26">
        <v>0</v>
      </c>
      <c r="W538" s="15">
        <f t="shared" ref="W538" si="2639">SUM(G538+J538+M538+P538)</f>
        <v>8725403.6097663324</v>
      </c>
      <c r="X538" s="50">
        <f>'Fluxo de Caixa_'!AD544</f>
        <v>0</v>
      </c>
      <c r="AB538" s="26">
        <v>3900.1156999999998</v>
      </c>
      <c r="AC538" s="26">
        <v>0</v>
      </c>
      <c r="AD538">
        <f>SUMIFS([1]Master!$J$2:$J$100,[1]Master!$A$2:$A$100,"="&amp;$I$12,[1]Master!$E$2:$E$100,"="&amp;C538,[1]Master!$J$2:$J$100,"&gt;"&amp;0)</f>
        <v>0</v>
      </c>
      <c r="AE538">
        <f ca="1">-SUMIF('[1]Fluxo de Movimentações'!$A$5:$F$10001,"="&amp;$C538,'[1]Fluxo de Movimentações'!$H$5:$H$10001)</f>
        <v>0</v>
      </c>
      <c r="AF538" s="26">
        <v>0</v>
      </c>
      <c r="AG538" s="26">
        <v>0</v>
      </c>
      <c r="AH538" s="26">
        <v>0</v>
      </c>
      <c r="AI538" s="26">
        <v>0</v>
      </c>
      <c r="AJ538" s="26">
        <v>0</v>
      </c>
      <c r="AK538" s="68">
        <v>3.8201619999999998</v>
      </c>
      <c r="AL538" s="15">
        <f>-SUMIFS([1]Master!$J$1:$J$200,[1]Master!$A$1:$A$200,"="&amp;$I$12,[1]Master!$G$1:$G$200,"&gt;"&amp;C538,[1]Master!$E$1:$E$200,"&lt;="&amp;C538)</f>
        <v>0</v>
      </c>
      <c r="AM538" s="26">
        <v>0</v>
      </c>
      <c r="AN538" s="26">
        <v>0</v>
      </c>
    </row>
    <row r="539" spans="3:40">
      <c r="C539" s="1">
        <f>WORKDAY(C538,1,Feriados!$A$2:A1186)</f>
        <v>45639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D42B9-0F5E-41E2-A81D-7C28BCE957F3}">
  <sheetPr codeName="Planilha4"/>
  <dimension ref="A1:W99"/>
  <sheetViews>
    <sheetView workbookViewId="0"/>
  </sheetViews>
  <sheetFormatPr defaultRowHeight="15"/>
  <cols>
    <col min="1" max="1" width="35.7109375" customWidth="1"/>
    <col min="2" max="2" width="10.7109375" bestFit="1" customWidth="1"/>
    <col min="3" max="3" width="15" bestFit="1" customWidth="1"/>
    <col min="4" max="4" width="15.42578125" bestFit="1" customWidth="1"/>
    <col min="5" max="5" width="12.5703125" bestFit="1" customWidth="1"/>
    <col min="6" max="6" width="11.140625" bestFit="1" customWidth="1"/>
    <col min="7" max="7" width="15.85546875" bestFit="1" customWidth="1"/>
    <col min="8" max="8" width="12" bestFit="1" customWidth="1"/>
    <col min="9" max="9" width="11.7109375" bestFit="1" customWidth="1"/>
    <col min="10" max="10" width="9" bestFit="1" customWidth="1"/>
    <col min="11" max="11" width="1.7109375" customWidth="1"/>
    <col min="12" max="14" width="15.140625" customWidth="1"/>
    <col min="15" max="15" width="1.7109375" customWidth="1"/>
    <col min="16" max="18" width="15.140625" customWidth="1"/>
    <col min="19" max="19" width="1.7109375" customWidth="1"/>
    <col min="20" max="22" width="15.140625" customWidth="1"/>
    <col min="23" max="23" width="1.7109375" customWidth="1"/>
  </cols>
  <sheetData>
    <row r="1" spans="1:23">
      <c r="A1" s="14" t="s">
        <v>0</v>
      </c>
      <c r="B1" s="63">
        <f>Controle!C1</f>
        <v>45638</v>
      </c>
      <c r="K1" s="25"/>
      <c r="O1" s="25"/>
      <c r="R1" s="15"/>
      <c r="S1" s="25"/>
      <c r="U1" s="14" t="s">
        <v>178</v>
      </c>
      <c r="V1" s="64">
        <f>SUM(V4:V9)</f>
        <v>0</v>
      </c>
      <c r="W1" s="25"/>
    </row>
    <row r="2" spans="1:23">
      <c r="K2" s="25"/>
      <c r="O2" s="25"/>
      <c r="S2" s="25"/>
      <c r="W2" s="25"/>
    </row>
    <row r="3" spans="1:23" ht="30">
      <c r="A3" s="69" t="s">
        <v>179</v>
      </c>
      <c r="B3" s="69" t="s">
        <v>180</v>
      </c>
      <c r="C3" s="69" t="s">
        <v>181</v>
      </c>
      <c r="D3" s="69" t="s">
        <v>167</v>
      </c>
      <c r="E3" s="69" t="s">
        <v>182</v>
      </c>
      <c r="F3" s="69" t="s">
        <v>183</v>
      </c>
      <c r="G3" s="69" t="s">
        <v>184</v>
      </c>
      <c r="H3" s="69" t="s">
        <v>185</v>
      </c>
      <c r="I3" s="69" t="s">
        <v>186</v>
      </c>
      <c r="J3" s="69" t="s">
        <v>187</v>
      </c>
      <c r="K3" s="25"/>
      <c r="L3" s="73" t="s">
        <v>188</v>
      </c>
      <c r="M3" s="73" t="s">
        <v>189</v>
      </c>
      <c r="N3" s="73" t="s">
        <v>190</v>
      </c>
      <c r="O3" s="25"/>
      <c r="P3" s="73" t="s">
        <v>191</v>
      </c>
      <c r="Q3" s="73" t="s">
        <v>192</v>
      </c>
      <c r="R3" s="73" t="s">
        <v>193</v>
      </c>
      <c r="S3" s="25"/>
      <c r="T3" s="73" t="s">
        <v>194</v>
      </c>
      <c r="U3" s="73" t="s">
        <v>195</v>
      </c>
      <c r="V3" s="73" t="s">
        <v>196</v>
      </c>
      <c r="W3" s="25"/>
    </row>
    <row r="4" spans="1:23">
      <c r="A4" t="s">
        <v>197</v>
      </c>
      <c r="B4">
        <v>3024544</v>
      </c>
      <c r="C4" s="70" t="s">
        <v>73</v>
      </c>
      <c r="D4" s="79">
        <v>45289</v>
      </c>
      <c r="E4" s="70" t="s">
        <v>73</v>
      </c>
      <c r="F4" t="s">
        <v>198</v>
      </c>
      <c r="G4" t="s">
        <v>199</v>
      </c>
      <c r="H4" s="65">
        <v>8837813.4134999998</v>
      </c>
      <c r="I4" s="65">
        <v>2190574.9782127622</v>
      </c>
      <c r="J4" s="71"/>
      <c r="K4" s="72"/>
      <c r="L4" s="78">
        <f>VLOOKUP($B$1,Resumo_HSF!$C$13:$AK$3000,3,FALSE)/VLOOKUP($D4,Resumo_HSF!$C$13:$AK$3000,3,FALSE)-1</f>
        <v>-0.22175578668790685</v>
      </c>
      <c r="M4" s="78">
        <f>VLOOKUP($B$1,Resumo_HSF!$C$13:$AK$3000,35,FALSE)/VLOOKUP($D4,Resumo_HSF!$C$13:$AK$3000,3,FALSE)-1</f>
        <v>-0.22175578668790685</v>
      </c>
      <c r="N4" s="78">
        <f>VLOOKUP($B$1,[3]Índices!$C$13:$E$10000,2,FALSE)/VLOOKUP($D4,[3]Índices!$C$13:$E$10000,2,FALSE)-1</f>
        <v>0.10791616362048084</v>
      </c>
      <c r="O4" s="72"/>
      <c r="P4" s="66">
        <f t="shared" ref="P4:P9" si="0">1+L4</f>
        <v>0.77824421331209315</v>
      </c>
      <c r="Q4" s="66">
        <f t="shared" ref="Q4:R4" si="1">1+M4</f>
        <v>0.77824421331209315</v>
      </c>
      <c r="R4" s="66">
        <f t="shared" si="1"/>
        <v>1.1079161636204808</v>
      </c>
      <c r="S4" s="72"/>
      <c r="T4" s="66">
        <f t="shared" ref="T4:T9" si="2">P4-R4</f>
        <v>-0.3296719503083877</v>
      </c>
      <c r="U4" s="67">
        <f t="shared" ref="U4:U9" si="3">Q4-R4</f>
        <v>-0.3296719503083877</v>
      </c>
      <c r="V4" s="77">
        <f t="shared" ref="V4:V9" si="4">IF(U4&lt;0,0,H4*U4*12%)</f>
        <v>0</v>
      </c>
      <c r="W4" s="25"/>
    </row>
    <row r="5" spans="1:23">
      <c r="A5" t="s">
        <v>201</v>
      </c>
      <c r="B5">
        <v>261894</v>
      </c>
      <c r="C5" s="70" t="s">
        <v>73</v>
      </c>
      <c r="D5" s="79">
        <v>45289</v>
      </c>
      <c r="F5" t="s">
        <v>198</v>
      </c>
      <c r="G5" t="s">
        <v>199</v>
      </c>
      <c r="H5" s="65">
        <v>50000</v>
      </c>
      <c r="I5" s="65">
        <v>12540.210812982368</v>
      </c>
      <c r="K5" s="25"/>
      <c r="L5" s="78">
        <f>VLOOKUP($B$1,Resumo_HSF!$C$13:$AK$3000,3,FALSE)/VLOOKUP($D5,Resumo_HSF!$C$13:$AK$3000,3,FALSE)-1</f>
        <v>-0.22175578668790685</v>
      </c>
      <c r="M5" s="78">
        <f>VLOOKUP($B$1,Resumo_HSF!$C$13:$AK$3000,35,FALSE)/VLOOKUP($D5,Resumo_HSF!$C$13:$AK$3000,3,FALSE)-1</f>
        <v>-0.22175578668790685</v>
      </c>
      <c r="N5" s="78">
        <f>VLOOKUP($B$1,[3]Índices!$C$13:$E$10000,2,FALSE)/VLOOKUP($D5,[3]Índices!$C$13:$E$10000,2,FALSE)-1</f>
        <v>0.10791616362048084</v>
      </c>
      <c r="O5" s="25"/>
      <c r="P5" s="66">
        <f t="shared" si="0"/>
        <v>0.77824421331209315</v>
      </c>
      <c r="Q5" s="66">
        <f t="shared" ref="Q5" si="5">1+M5</f>
        <v>0.77824421331209315</v>
      </c>
      <c r="R5" s="66">
        <f t="shared" ref="R5" si="6">1+N5</f>
        <v>1.1079161636204808</v>
      </c>
      <c r="S5" s="25"/>
      <c r="T5" s="66">
        <f t="shared" si="2"/>
        <v>-0.3296719503083877</v>
      </c>
      <c r="U5" s="67">
        <f t="shared" si="3"/>
        <v>-0.3296719503083877</v>
      </c>
      <c r="V5" s="77">
        <f t="shared" si="4"/>
        <v>0</v>
      </c>
      <c r="W5" s="25"/>
    </row>
    <row r="6" spans="1:23">
      <c r="A6" t="s">
        <v>201</v>
      </c>
      <c r="B6">
        <v>261894</v>
      </c>
      <c r="C6" s="70" t="s">
        <v>73</v>
      </c>
      <c r="D6" s="79">
        <v>45289</v>
      </c>
      <c r="F6" t="s">
        <v>198</v>
      </c>
      <c r="G6" t="s">
        <v>199</v>
      </c>
      <c r="H6" s="65">
        <v>50000</v>
      </c>
      <c r="I6" s="65">
        <v>11696.211219999999</v>
      </c>
      <c r="K6" s="25"/>
      <c r="L6" s="78">
        <f>VLOOKUP($B$1,Resumo_HSF!$C$13:$AK$3000,3,FALSE)/VLOOKUP($D6,Resumo_HSF!$C$13:$AK$3000,3,FALSE)-1</f>
        <v>-0.22175578668790685</v>
      </c>
      <c r="M6" s="78">
        <f>VLOOKUP($B$1,Resumo_HSF!$C$13:$AK$3000,35,FALSE)/VLOOKUP($D6,Resumo_HSF!$C$13:$AK$3000,3,FALSE)-1</f>
        <v>-0.22175578668790685</v>
      </c>
      <c r="N6" s="78">
        <f>VLOOKUP($B$1,[3]Índices!$C$13:$E$10000,2,FALSE)/VLOOKUP($D6,[3]Índices!$C$13:$E$10000,2,FALSE)-1</f>
        <v>0.10791616362048084</v>
      </c>
      <c r="O6" s="25"/>
      <c r="P6" s="66">
        <f t="shared" si="0"/>
        <v>0.77824421331209315</v>
      </c>
      <c r="Q6" s="66">
        <f t="shared" ref="Q6" si="7">1+M6</f>
        <v>0.77824421331209315</v>
      </c>
      <c r="R6" s="66">
        <f t="shared" ref="R6" si="8">1+N6</f>
        <v>1.1079161636204808</v>
      </c>
      <c r="S6" s="25"/>
      <c r="T6" s="66">
        <f t="shared" si="2"/>
        <v>-0.3296719503083877</v>
      </c>
      <c r="U6" s="67">
        <f t="shared" si="3"/>
        <v>-0.3296719503083877</v>
      </c>
      <c r="V6" s="77">
        <f t="shared" si="4"/>
        <v>0</v>
      </c>
      <c r="W6" s="25"/>
    </row>
    <row r="7" spans="1:23">
      <c r="A7" t="s">
        <v>201</v>
      </c>
      <c r="B7">
        <v>261894</v>
      </c>
      <c r="C7" s="70" t="s">
        <v>73</v>
      </c>
      <c r="D7" s="79">
        <v>45289</v>
      </c>
      <c r="F7" t="s">
        <v>198</v>
      </c>
      <c r="G7" t="s">
        <v>199</v>
      </c>
      <c r="H7" s="65">
        <v>50000</v>
      </c>
      <c r="I7" s="65">
        <v>10688.660109758002</v>
      </c>
      <c r="K7" s="25"/>
      <c r="L7" s="78">
        <f>VLOOKUP($B$1,Resumo_HSF!$C$13:$AK$3000,3,FALSE)/VLOOKUP($D7,Resumo_HSF!$C$13:$AK$3000,3,FALSE)-1</f>
        <v>-0.22175578668790685</v>
      </c>
      <c r="M7" s="78">
        <f>VLOOKUP($B$1,Resumo_HSF!$C$13:$AK$3000,35,FALSE)/VLOOKUP($D7,Resumo_HSF!$C$13:$AK$3000,3,FALSE)-1</f>
        <v>-0.22175578668790685</v>
      </c>
      <c r="N7" s="78">
        <f>VLOOKUP($B$1,[3]Índices!$C$13:$E$10000,2,FALSE)/VLOOKUP($D7,[3]Índices!$C$13:$E$10000,2,FALSE)-1</f>
        <v>0.10791616362048084</v>
      </c>
      <c r="O7" s="25"/>
      <c r="P7" s="66">
        <f t="shared" si="0"/>
        <v>0.77824421331209315</v>
      </c>
      <c r="Q7" s="66">
        <f t="shared" ref="Q7" si="9">1+M7</f>
        <v>0.77824421331209315</v>
      </c>
      <c r="R7" s="66">
        <f t="shared" ref="R7" si="10">1+N7</f>
        <v>1.1079161636204808</v>
      </c>
      <c r="S7" s="25"/>
      <c r="T7" s="66">
        <f t="shared" si="2"/>
        <v>-0.3296719503083877</v>
      </c>
      <c r="U7" s="67">
        <f t="shared" si="3"/>
        <v>-0.3296719503083877</v>
      </c>
      <c r="V7" s="77">
        <f t="shared" si="4"/>
        <v>0</v>
      </c>
      <c r="W7" s="25"/>
    </row>
    <row r="8" spans="1:23">
      <c r="A8" t="s">
        <v>201</v>
      </c>
      <c r="B8">
        <v>261894</v>
      </c>
      <c r="C8" s="70" t="s">
        <v>73</v>
      </c>
      <c r="D8" s="79">
        <v>45345</v>
      </c>
      <c r="F8" t="s">
        <v>198</v>
      </c>
      <c r="G8" t="s">
        <v>199</v>
      </c>
      <c r="H8" s="65">
        <v>50000</v>
      </c>
      <c r="I8" s="65">
        <v>10598.737745447954</v>
      </c>
      <c r="K8" s="25"/>
      <c r="L8" s="78">
        <f>VLOOKUP($B$1,Resumo_HSF!$C$13:$AK$3000,3,FALSE)/VLOOKUP($D8,Resumo_HSF!$C$13:$AK$3000,3,FALSE)-1</f>
        <v>-0.19022209633748111</v>
      </c>
      <c r="M8" s="78">
        <f>VLOOKUP($B$1,Resumo_HSF!$C$13:$AK$3000,35,FALSE)/VLOOKUP($D8,Resumo_HSF!$C$13:$AK$3000,3,FALSE)-1</f>
        <v>-0.19022209633748111</v>
      </c>
      <c r="N8" s="78">
        <f>VLOOKUP($B$1,[3]Índices!$C$13:$E$10000,2,FALSE)/VLOOKUP($D8,[3]Índices!$C$13:$E$10000,2,FALSE)-1</f>
        <v>8.8704280511543221E-2</v>
      </c>
      <c r="O8" s="25"/>
      <c r="P8" s="66">
        <f t="shared" si="0"/>
        <v>0.80977790366251889</v>
      </c>
      <c r="Q8" s="66">
        <f t="shared" ref="Q8" si="11">1+M8</f>
        <v>0.80977790366251889</v>
      </c>
      <c r="R8" s="66">
        <f t="shared" ref="R8" si="12">1+N8</f>
        <v>1.0887042805115432</v>
      </c>
      <c r="S8" s="25"/>
      <c r="T8" s="66">
        <f t="shared" si="2"/>
        <v>-0.27892637684902433</v>
      </c>
      <c r="U8" s="67">
        <f t="shared" si="3"/>
        <v>-0.27892637684902433</v>
      </c>
      <c r="V8" s="77">
        <f t="shared" si="4"/>
        <v>0</v>
      </c>
      <c r="W8" s="25"/>
    </row>
    <row r="9" spans="1:23">
      <c r="A9" t="s">
        <v>224</v>
      </c>
      <c r="B9">
        <v>4291969</v>
      </c>
      <c r="C9" s="70" t="s">
        <v>73</v>
      </c>
      <c r="D9" s="79">
        <v>45477</v>
      </c>
      <c r="F9" t="s">
        <v>198</v>
      </c>
      <c r="G9" t="s">
        <v>199</v>
      </c>
      <c r="H9" s="65">
        <v>200000</v>
      </c>
      <c r="I9" s="65">
        <v>47853.543655400128</v>
      </c>
      <c r="K9" s="25"/>
      <c r="L9" s="78">
        <f>VLOOKUP($B$1,Resumo_HSF!$C$13:$AK$3000,3,FALSE)/VLOOKUP($D9,Resumo_HSF!$C$13:$AK$3000,3,FALSE)-1</f>
        <v>-8.5958554811496724E-2</v>
      </c>
      <c r="M9" s="78">
        <f>VLOOKUP($B$1,Resumo_HSF!$C$13:$AK$3000,35,FALSE)/VLOOKUP($D9,Resumo_HSF!$C$13:$AK$3000,3,FALSE)-1</f>
        <v>-8.5958554811496724E-2</v>
      </c>
      <c r="N9" s="78">
        <f>VLOOKUP($B$1,[3]Índices!$C$13:$E$10000,2,FALSE)/VLOOKUP($D9,[3]Índices!$C$13:$E$10000,2,FALSE)-1</f>
        <v>4.7529384757108106E-2</v>
      </c>
      <c r="O9" s="25"/>
      <c r="P9" s="66">
        <f t="shared" si="0"/>
        <v>0.91404144518850328</v>
      </c>
      <c r="Q9" s="66">
        <f t="shared" ref="Q9" si="13">1+M9</f>
        <v>0.91404144518850328</v>
      </c>
      <c r="R9" s="66">
        <f t="shared" ref="R9" si="14">1+N9</f>
        <v>1.0475293847571081</v>
      </c>
      <c r="S9" s="25"/>
      <c r="T9" s="66">
        <f t="shared" si="2"/>
        <v>-0.13348793956860483</v>
      </c>
      <c r="U9" s="67">
        <f t="shared" si="3"/>
        <v>-0.13348793956860483</v>
      </c>
      <c r="V9" s="77">
        <f t="shared" si="4"/>
        <v>0</v>
      </c>
      <c r="W9" s="25"/>
    </row>
    <row r="10" spans="1:23">
      <c r="K10" s="25"/>
      <c r="O10" s="25"/>
      <c r="S10" s="25"/>
      <c r="W10" s="25"/>
    </row>
    <row r="11" spans="1:23">
      <c r="K11" s="25"/>
      <c r="O11" s="25"/>
      <c r="S11" s="25"/>
      <c r="W11" s="25"/>
    </row>
    <row r="12" spans="1:23">
      <c r="K12" s="25"/>
      <c r="O12" s="25"/>
      <c r="S12" s="25"/>
      <c r="W12" s="25"/>
    </row>
    <row r="13" spans="1:23">
      <c r="K13" s="25"/>
      <c r="O13" s="25"/>
      <c r="S13" s="25"/>
      <c r="W13" s="25"/>
    </row>
    <row r="14" spans="1:23">
      <c r="K14" s="25"/>
      <c r="O14" s="25"/>
      <c r="S14" s="25"/>
      <c r="W14" s="25"/>
    </row>
    <row r="15" spans="1:23">
      <c r="K15" s="25"/>
      <c r="O15" s="25"/>
      <c r="S15" s="25"/>
      <c r="W15" s="25"/>
    </row>
    <row r="16" spans="1:23">
      <c r="K16" s="25"/>
      <c r="O16" s="25"/>
      <c r="S16" s="25"/>
      <c r="W16" s="25"/>
    </row>
    <row r="17" spans="11:23">
      <c r="K17" s="25"/>
      <c r="O17" s="25"/>
      <c r="S17" s="25"/>
      <c r="W17" s="25"/>
    </row>
    <row r="18" spans="11:23">
      <c r="K18" s="25"/>
      <c r="O18" s="25"/>
      <c r="S18" s="25"/>
      <c r="W18" s="25"/>
    </row>
    <row r="19" spans="11:23">
      <c r="K19" s="25"/>
      <c r="O19" s="25"/>
      <c r="S19" s="25"/>
      <c r="W19" s="25"/>
    </row>
    <row r="20" spans="11:23">
      <c r="K20" s="25"/>
      <c r="O20" s="25"/>
      <c r="S20" s="25"/>
      <c r="W20" s="25"/>
    </row>
    <row r="21" spans="11:23">
      <c r="K21" s="25"/>
      <c r="O21" s="25"/>
      <c r="S21" s="25"/>
      <c r="W21" s="25"/>
    </row>
    <row r="22" spans="11:23">
      <c r="K22" s="25"/>
      <c r="O22" s="25"/>
      <c r="S22" s="25"/>
      <c r="W22" s="25"/>
    </row>
    <row r="23" spans="11:23">
      <c r="K23" s="25"/>
      <c r="O23" s="25"/>
      <c r="S23" s="25"/>
      <c r="W23" s="25"/>
    </row>
    <row r="24" spans="11:23">
      <c r="K24" s="25"/>
      <c r="O24" s="25"/>
      <c r="S24" s="25"/>
      <c r="W24" s="25"/>
    </row>
    <row r="25" spans="11:23">
      <c r="K25" s="25"/>
      <c r="O25" s="25"/>
      <c r="S25" s="25"/>
      <c r="W25" s="25"/>
    </row>
    <row r="26" spans="11:23">
      <c r="K26" s="25"/>
      <c r="O26" s="25"/>
      <c r="S26" s="25"/>
      <c r="W26" s="25"/>
    </row>
    <row r="27" spans="11:23">
      <c r="K27" s="25"/>
      <c r="O27" s="25"/>
      <c r="S27" s="25"/>
      <c r="W27" s="25"/>
    </row>
    <row r="28" spans="11:23">
      <c r="K28" s="25"/>
      <c r="O28" s="25"/>
      <c r="S28" s="25"/>
      <c r="W28" s="25"/>
    </row>
    <row r="29" spans="11:23">
      <c r="K29" s="25"/>
      <c r="O29" s="25"/>
      <c r="S29" s="25"/>
      <c r="W29" s="25"/>
    </row>
    <row r="30" spans="11:23">
      <c r="K30" s="25"/>
      <c r="O30" s="25"/>
      <c r="S30" s="25"/>
      <c r="W30" s="25"/>
    </row>
    <row r="31" spans="11:23">
      <c r="K31" s="25"/>
      <c r="O31" s="25"/>
      <c r="S31" s="25"/>
      <c r="W31" s="25"/>
    </row>
    <row r="32" spans="11:23">
      <c r="K32" s="25"/>
      <c r="O32" s="25"/>
      <c r="S32" s="25"/>
      <c r="W32" s="25"/>
    </row>
    <row r="33" spans="11:23">
      <c r="K33" s="25"/>
      <c r="O33" s="25"/>
      <c r="S33" s="25"/>
      <c r="W33" s="25"/>
    </row>
    <row r="34" spans="11:23">
      <c r="K34" s="25"/>
      <c r="O34" s="25"/>
      <c r="S34" s="25"/>
      <c r="W34" s="25"/>
    </row>
    <row r="35" spans="11:23">
      <c r="K35" s="25"/>
      <c r="O35" s="25"/>
      <c r="S35" s="25"/>
      <c r="W35" s="25"/>
    </row>
    <row r="36" spans="11:23">
      <c r="K36" s="25"/>
      <c r="O36" s="25"/>
      <c r="S36" s="25"/>
      <c r="W36" s="25"/>
    </row>
    <row r="37" spans="11:23">
      <c r="K37" s="25"/>
      <c r="O37" s="25"/>
      <c r="S37" s="25"/>
      <c r="W37" s="25"/>
    </row>
    <row r="38" spans="11:23">
      <c r="K38" s="25"/>
      <c r="O38" s="25"/>
      <c r="S38" s="25"/>
      <c r="W38" s="25"/>
    </row>
    <row r="39" spans="11:23">
      <c r="K39" s="25"/>
      <c r="O39" s="25"/>
      <c r="S39" s="25"/>
      <c r="W39" s="25"/>
    </row>
    <row r="40" spans="11:23">
      <c r="K40" s="25"/>
      <c r="O40" s="25"/>
      <c r="S40" s="25"/>
      <c r="W40" s="25"/>
    </row>
    <row r="41" spans="11:23">
      <c r="K41" s="25"/>
      <c r="O41" s="25"/>
      <c r="S41" s="25"/>
      <c r="W41" s="25"/>
    </row>
    <row r="42" spans="11:23">
      <c r="K42" s="25"/>
      <c r="O42" s="25"/>
      <c r="S42" s="25"/>
      <c r="W42" s="25"/>
    </row>
    <row r="43" spans="11:23">
      <c r="K43" s="25"/>
      <c r="O43" s="25"/>
      <c r="S43" s="25"/>
      <c r="W43" s="25"/>
    </row>
    <row r="44" spans="11:23">
      <c r="K44" s="25"/>
      <c r="O44" s="25"/>
      <c r="S44" s="25"/>
      <c r="W44" s="25"/>
    </row>
    <row r="45" spans="11:23">
      <c r="K45" s="25"/>
      <c r="O45" s="25"/>
      <c r="S45" s="25"/>
      <c r="W45" s="25"/>
    </row>
    <row r="46" spans="11:23">
      <c r="K46" s="25"/>
      <c r="O46" s="25"/>
      <c r="S46" s="25"/>
      <c r="W46" s="25"/>
    </row>
    <row r="47" spans="11:23">
      <c r="K47" s="25"/>
      <c r="O47" s="25"/>
      <c r="S47" s="25"/>
      <c r="W47" s="25"/>
    </row>
    <row r="48" spans="11:23">
      <c r="K48" s="25"/>
      <c r="O48" s="25"/>
      <c r="S48" s="25"/>
      <c r="W48" s="25"/>
    </row>
    <row r="49" spans="11:23">
      <c r="K49" s="25"/>
      <c r="O49" s="25"/>
      <c r="S49" s="25"/>
      <c r="W49" s="25"/>
    </row>
    <row r="50" spans="11:23">
      <c r="K50" s="25"/>
      <c r="O50" s="25"/>
      <c r="S50" s="25"/>
      <c r="W50" s="25"/>
    </row>
    <row r="51" spans="11:23">
      <c r="K51" s="25"/>
      <c r="O51" s="25"/>
      <c r="S51" s="25"/>
      <c r="W51" s="25"/>
    </row>
    <row r="52" spans="11:23">
      <c r="K52" s="25"/>
      <c r="O52" s="25"/>
      <c r="S52" s="25"/>
      <c r="W52" s="25"/>
    </row>
    <row r="53" spans="11:23">
      <c r="K53" s="25"/>
      <c r="O53" s="25"/>
      <c r="S53" s="25"/>
      <c r="W53" s="25"/>
    </row>
    <row r="54" spans="11:23">
      <c r="K54" s="25"/>
      <c r="O54" s="25"/>
      <c r="S54" s="25"/>
      <c r="W54" s="25"/>
    </row>
    <row r="55" spans="11:23">
      <c r="K55" s="25"/>
      <c r="O55" s="25"/>
      <c r="S55" s="25"/>
      <c r="W55" s="25"/>
    </row>
    <row r="56" spans="11:23">
      <c r="K56" s="25"/>
      <c r="O56" s="25"/>
      <c r="S56" s="25"/>
      <c r="W56" s="25"/>
    </row>
    <row r="57" spans="11:23">
      <c r="K57" s="25"/>
      <c r="O57" s="25"/>
      <c r="S57" s="25"/>
      <c r="W57" s="25"/>
    </row>
    <row r="58" spans="11:23">
      <c r="K58" s="25"/>
      <c r="O58" s="25"/>
      <c r="S58" s="25"/>
      <c r="W58" s="25"/>
    </row>
    <row r="59" spans="11:23">
      <c r="K59" s="25"/>
      <c r="O59" s="25"/>
      <c r="S59" s="25"/>
      <c r="W59" s="25"/>
    </row>
    <row r="60" spans="11:23">
      <c r="K60" s="25"/>
      <c r="O60" s="25"/>
      <c r="S60" s="25"/>
      <c r="W60" s="25"/>
    </row>
    <row r="61" spans="11:23">
      <c r="K61" s="25"/>
      <c r="O61" s="25"/>
      <c r="S61" s="25"/>
      <c r="W61" s="25"/>
    </row>
    <row r="62" spans="11:23">
      <c r="K62" s="25"/>
      <c r="O62" s="25"/>
      <c r="S62" s="25"/>
      <c r="W62" s="25"/>
    </row>
    <row r="63" spans="11:23">
      <c r="K63" s="25"/>
      <c r="O63" s="25"/>
      <c r="S63" s="25"/>
      <c r="W63" s="25"/>
    </row>
    <row r="64" spans="11:23">
      <c r="K64" s="25"/>
      <c r="O64" s="25"/>
      <c r="S64" s="25"/>
      <c r="W64" s="25"/>
    </row>
    <row r="65" spans="11:23">
      <c r="K65" s="25"/>
      <c r="O65" s="25"/>
      <c r="S65" s="25"/>
      <c r="W65" s="25"/>
    </row>
    <row r="66" spans="11:23">
      <c r="K66" s="25"/>
      <c r="O66" s="25"/>
      <c r="S66" s="25"/>
      <c r="W66" s="25"/>
    </row>
    <row r="67" spans="11:23">
      <c r="K67" s="25"/>
      <c r="O67" s="25"/>
      <c r="S67" s="25"/>
      <c r="W67" s="25"/>
    </row>
    <row r="68" spans="11:23">
      <c r="K68" s="25"/>
      <c r="O68" s="25"/>
      <c r="S68" s="25"/>
      <c r="W68" s="25"/>
    </row>
    <row r="69" spans="11:23">
      <c r="K69" s="25"/>
      <c r="O69" s="25"/>
      <c r="S69" s="25"/>
      <c r="W69" s="25"/>
    </row>
    <row r="70" spans="11:23">
      <c r="K70" s="25"/>
      <c r="O70" s="25"/>
      <c r="S70" s="25"/>
      <c r="W70" s="25"/>
    </row>
    <row r="71" spans="11:23">
      <c r="K71" s="25"/>
      <c r="O71" s="25"/>
      <c r="S71" s="25"/>
      <c r="W71" s="25"/>
    </row>
    <row r="72" spans="11:23">
      <c r="K72" s="25"/>
      <c r="O72" s="25"/>
      <c r="S72" s="25"/>
      <c r="W72" s="25"/>
    </row>
    <row r="73" spans="11:23">
      <c r="K73" s="25"/>
      <c r="O73" s="25"/>
      <c r="S73" s="25"/>
      <c r="W73" s="25"/>
    </row>
    <row r="74" spans="11:23">
      <c r="K74" s="25"/>
      <c r="O74" s="25"/>
      <c r="S74" s="25"/>
      <c r="W74" s="25"/>
    </row>
    <row r="75" spans="11:23">
      <c r="K75" s="25"/>
      <c r="O75" s="25"/>
      <c r="S75" s="25"/>
      <c r="W75" s="25"/>
    </row>
    <row r="76" spans="11:23">
      <c r="K76" s="25"/>
      <c r="O76" s="25"/>
      <c r="S76" s="25"/>
      <c r="W76" s="25"/>
    </row>
    <row r="77" spans="11:23">
      <c r="K77" s="25"/>
      <c r="O77" s="25"/>
      <c r="S77" s="25"/>
      <c r="W77" s="25"/>
    </row>
    <row r="78" spans="11:23">
      <c r="K78" s="25"/>
      <c r="O78" s="25"/>
      <c r="S78" s="25"/>
      <c r="W78" s="25"/>
    </row>
    <row r="79" spans="11:23">
      <c r="K79" s="25"/>
      <c r="O79" s="25"/>
      <c r="S79" s="25"/>
      <c r="W79" s="25"/>
    </row>
    <row r="80" spans="11:23">
      <c r="K80" s="25"/>
      <c r="O80" s="25"/>
      <c r="S80" s="25"/>
      <c r="W80" s="25"/>
    </row>
    <row r="81" spans="11:23">
      <c r="K81" s="25"/>
      <c r="O81" s="25"/>
      <c r="S81" s="25"/>
      <c r="W81" s="25"/>
    </row>
    <row r="82" spans="11:23">
      <c r="K82" s="25"/>
      <c r="O82" s="25"/>
      <c r="S82" s="25"/>
      <c r="W82" s="25"/>
    </row>
    <row r="83" spans="11:23">
      <c r="K83" s="25"/>
      <c r="O83" s="25"/>
      <c r="S83" s="25"/>
      <c r="W83" s="25"/>
    </row>
    <row r="84" spans="11:23">
      <c r="K84" s="25"/>
      <c r="O84" s="25"/>
      <c r="S84" s="25"/>
      <c r="W84" s="25"/>
    </row>
    <row r="85" spans="11:23">
      <c r="K85" s="25"/>
      <c r="O85" s="25"/>
      <c r="S85" s="25"/>
      <c r="W85" s="25"/>
    </row>
    <row r="86" spans="11:23">
      <c r="K86" s="25"/>
      <c r="O86" s="25"/>
      <c r="S86" s="25"/>
      <c r="W86" s="25"/>
    </row>
    <row r="87" spans="11:23">
      <c r="K87" s="25"/>
      <c r="O87" s="25"/>
      <c r="S87" s="25"/>
      <c r="W87" s="25"/>
    </row>
    <row r="88" spans="11:23">
      <c r="K88" s="25"/>
      <c r="O88" s="25"/>
      <c r="S88" s="25"/>
      <c r="W88" s="25"/>
    </row>
    <row r="89" spans="11:23">
      <c r="K89" s="25"/>
      <c r="O89" s="25"/>
      <c r="S89" s="25"/>
      <c r="W89" s="25"/>
    </row>
    <row r="90" spans="11:23">
      <c r="K90" s="25"/>
      <c r="O90" s="25"/>
      <c r="S90" s="25"/>
      <c r="W90" s="25"/>
    </row>
    <row r="91" spans="11:23">
      <c r="K91" s="25"/>
      <c r="O91" s="25"/>
      <c r="S91" s="25"/>
      <c r="W91" s="25"/>
    </row>
    <row r="92" spans="11:23">
      <c r="K92" s="25"/>
      <c r="O92" s="25"/>
      <c r="S92" s="25"/>
      <c r="W92" s="25"/>
    </row>
    <row r="93" spans="11:23">
      <c r="K93" s="25"/>
      <c r="O93" s="25"/>
      <c r="S93" s="25"/>
      <c r="W93" s="25"/>
    </row>
    <row r="94" spans="11:23">
      <c r="K94" s="25"/>
      <c r="O94" s="25"/>
      <c r="S94" s="25"/>
      <c r="W94" s="25"/>
    </row>
    <row r="95" spans="11:23">
      <c r="K95" s="25"/>
      <c r="O95" s="25"/>
      <c r="S95" s="25"/>
      <c r="W95" s="25"/>
    </row>
    <row r="96" spans="11:23">
      <c r="K96" s="25"/>
      <c r="O96" s="25"/>
      <c r="S96" s="25"/>
      <c r="W96" s="25"/>
    </row>
    <row r="97" spans="11:23">
      <c r="K97" s="25"/>
      <c r="O97" s="25"/>
      <c r="S97" s="25"/>
      <c r="W97" s="25"/>
    </row>
    <row r="98" spans="11:23">
      <c r="K98" s="25"/>
      <c r="O98" s="25"/>
      <c r="S98" s="25"/>
      <c r="W98" s="25"/>
    </row>
    <row r="99" spans="11:23">
      <c r="K99" s="25"/>
      <c r="O99" s="25"/>
      <c r="S99" s="25"/>
      <c r="W99" s="2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CC6E-0902-4C54-A279-8A2D57AC4D3F}">
  <sheetPr codeName="Planilha8"/>
  <dimension ref="A3:J12"/>
  <sheetViews>
    <sheetView workbookViewId="0">
      <selection activeCell="G17" sqref="G17"/>
    </sheetView>
  </sheetViews>
  <sheetFormatPr defaultRowHeight="15"/>
  <cols>
    <col min="1" max="1" width="9.5703125" bestFit="1" customWidth="1"/>
    <col min="2" max="2" width="9.7109375" bestFit="1" customWidth="1"/>
    <col min="4" max="4" width="12" bestFit="1" customWidth="1"/>
    <col min="5" max="5" width="19.5703125" bestFit="1" customWidth="1"/>
    <col min="6" max="6" width="15.5703125" customWidth="1"/>
    <col min="8" max="8" width="10.5703125" bestFit="1" customWidth="1"/>
    <col min="9" max="9" width="16.140625" customWidth="1"/>
  </cols>
  <sheetData>
    <row r="3" spans="1:10">
      <c r="A3" s="61" t="s">
        <v>166</v>
      </c>
      <c r="B3" s="61" t="s">
        <v>167</v>
      </c>
    </row>
    <row r="4" spans="1:10">
      <c r="A4" s="62">
        <f ca="1">TODAY()-1</f>
        <v>45638</v>
      </c>
      <c r="B4" s="62">
        <v>44951</v>
      </c>
      <c r="D4" s="103" t="s">
        <v>164</v>
      </c>
      <c r="E4" s="104"/>
      <c r="F4" s="105"/>
      <c r="H4" s="103" t="s">
        <v>165</v>
      </c>
      <c r="I4" s="104"/>
      <c r="J4" s="105"/>
    </row>
    <row r="5" spans="1:10">
      <c r="D5" s="55" t="s">
        <v>176</v>
      </c>
      <c r="E5" s="55" t="s">
        <v>177</v>
      </c>
      <c r="F5" s="55" t="s">
        <v>168</v>
      </c>
      <c r="H5" s="55" t="s">
        <v>169</v>
      </c>
      <c r="I5" s="55" t="s">
        <v>170</v>
      </c>
      <c r="J5" s="55" t="s">
        <v>168</v>
      </c>
    </row>
    <row r="6" spans="1:10">
      <c r="D6" s="56">
        <v>2.8582329411398075</v>
      </c>
      <c r="E6" s="56">
        <v>2.8532945010911321</v>
      </c>
      <c r="F6" s="57">
        <f>D6/E6-1</f>
        <v>1.7307852543040347E-3</v>
      </c>
      <c r="H6" s="56">
        <v>4.0645845999999999</v>
      </c>
      <c r="I6" s="56">
        <v>4.0344724000000003</v>
      </c>
      <c r="J6" s="57">
        <f>H6/I6-1</f>
        <v>7.4637268555857172E-3</v>
      </c>
    </row>
    <row r="8" spans="1:10">
      <c r="D8" s="55" t="s">
        <v>171</v>
      </c>
      <c r="E8" s="55" t="s">
        <v>172</v>
      </c>
      <c r="F8" s="55" t="s">
        <v>173</v>
      </c>
      <c r="H8" s="58"/>
      <c r="I8" s="53"/>
    </row>
    <row r="9" spans="1:10">
      <c r="D9" s="59">
        <v>0.12</v>
      </c>
      <c r="E9" s="60">
        <f>J6-F6</f>
        <v>5.7329416012816825E-3</v>
      </c>
      <c r="F9" s="60">
        <f>D9*E9</f>
        <v>6.8795299215380185E-4</v>
      </c>
    </row>
    <row r="11" spans="1:10">
      <c r="D11" s="55" t="s">
        <v>174</v>
      </c>
      <c r="E11" s="55" t="s">
        <v>175</v>
      </c>
    </row>
    <row r="12" spans="1:10">
      <c r="D12" s="56">
        <v>8898512.0465999991</v>
      </c>
      <c r="E12" s="56">
        <f>D12*F9</f>
        <v>6121.7579881751208</v>
      </c>
    </row>
  </sheetData>
  <mergeCells count="2">
    <mergeCell ref="D4:F4"/>
    <mergeCell ref="H4:J4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2247A-B11F-4AC8-BE3A-2E2DB08E2C20}">
  <sheetPr codeName="Planilha5"/>
  <dimension ref="A1:A842"/>
  <sheetViews>
    <sheetView topLeftCell="A806" workbookViewId="0">
      <selection activeCell="A842" sqref="A842"/>
    </sheetView>
  </sheetViews>
  <sheetFormatPr defaultRowHeight="15"/>
  <cols>
    <col min="1" max="1" width="10.140625" bestFit="1" customWidth="1"/>
  </cols>
  <sheetData>
    <row r="1" spans="1:1">
      <c r="A1" t="s">
        <v>103</v>
      </c>
    </row>
    <row r="2" spans="1:1">
      <c r="A2" s="33">
        <v>39814</v>
      </c>
    </row>
    <row r="3" spans="1:1">
      <c r="A3" s="33">
        <v>39867</v>
      </c>
    </row>
    <row r="4" spans="1:1">
      <c r="A4" s="33">
        <v>39868</v>
      </c>
    </row>
    <row r="5" spans="1:1">
      <c r="A5" s="33">
        <v>39913</v>
      </c>
    </row>
    <row r="6" spans="1:1">
      <c r="A6" s="33">
        <v>39924</v>
      </c>
    </row>
    <row r="7" spans="1:1">
      <c r="A7" s="33">
        <v>39934</v>
      </c>
    </row>
    <row r="8" spans="1:1">
      <c r="A8" s="33">
        <v>39975</v>
      </c>
    </row>
    <row r="9" spans="1:1">
      <c r="A9" s="33">
        <v>40063</v>
      </c>
    </row>
    <row r="10" spans="1:1">
      <c r="A10" s="33">
        <v>40098</v>
      </c>
    </row>
    <row r="11" spans="1:1">
      <c r="A11" s="33">
        <v>40119</v>
      </c>
    </row>
    <row r="12" spans="1:1">
      <c r="A12" s="33">
        <v>40132</v>
      </c>
    </row>
    <row r="13" spans="1:1">
      <c r="A13" s="33">
        <v>40172</v>
      </c>
    </row>
    <row r="14" spans="1:1">
      <c r="A14" s="33">
        <v>40179</v>
      </c>
    </row>
    <row r="15" spans="1:1">
      <c r="A15" s="33">
        <v>40224</v>
      </c>
    </row>
    <row r="16" spans="1:1">
      <c r="A16" s="33">
        <v>40225</v>
      </c>
    </row>
    <row r="17" spans="1:1">
      <c r="A17" s="33">
        <v>40270</v>
      </c>
    </row>
    <row r="18" spans="1:1">
      <c r="A18" s="33">
        <v>40289</v>
      </c>
    </row>
    <row r="19" spans="1:1">
      <c r="A19" s="33">
        <v>40299</v>
      </c>
    </row>
    <row r="20" spans="1:1">
      <c r="A20" s="33">
        <v>40332</v>
      </c>
    </row>
    <row r="21" spans="1:1">
      <c r="A21" s="33">
        <v>40428</v>
      </c>
    </row>
    <row r="22" spans="1:1">
      <c r="A22" s="33">
        <v>40463</v>
      </c>
    </row>
    <row r="23" spans="1:1">
      <c r="A23" s="33">
        <v>40484</v>
      </c>
    </row>
    <row r="24" spans="1:1">
      <c r="A24" s="33">
        <v>40497</v>
      </c>
    </row>
    <row r="25" spans="1:1">
      <c r="A25" s="33">
        <v>40537</v>
      </c>
    </row>
    <row r="26" spans="1:1">
      <c r="A26" s="33">
        <v>40544</v>
      </c>
    </row>
    <row r="27" spans="1:1">
      <c r="A27" s="33">
        <v>40609</v>
      </c>
    </row>
    <row r="28" spans="1:1">
      <c r="A28" s="33">
        <v>40610</v>
      </c>
    </row>
    <row r="29" spans="1:1">
      <c r="A29" s="33">
        <v>40654</v>
      </c>
    </row>
    <row r="30" spans="1:1">
      <c r="A30" s="33">
        <v>40655</v>
      </c>
    </row>
    <row r="31" spans="1:1">
      <c r="A31" s="33">
        <v>40664</v>
      </c>
    </row>
    <row r="32" spans="1:1">
      <c r="A32" s="33">
        <v>40717</v>
      </c>
    </row>
    <row r="33" spans="1:1">
      <c r="A33" s="33">
        <v>40793</v>
      </c>
    </row>
    <row r="34" spans="1:1">
      <c r="A34" s="33">
        <v>40828</v>
      </c>
    </row>
    <row r="35" spans="1:1">
      <c r="A35" s="33">
        <v>40849</v>
      </c>
    </row>
    <row r="36" spans="1:1">
      <c r="A36" s="33">
        <v>40862</v>
      </c>
    </row>
    <row r="37" spans="1:1">
      <c r="A37" s="33">
        <v>40902</v>
      </c>
    </row>
    <row r="38" spans="1:1">
      <c r="A38" s="33">
        <v>40909</v>
      </c>
    </row>
    <row r="39" spans="1:1">
      <c r="A39" s="33">
        <v>40959</v>
      </c>
    </row>
    <row r="40" spans="1:1">
      <c r="A40" s="33">
        <v>40960</v>
      </c>
    </row>
    <row r="41" spans="1:1">
      <c r="A41" s="33">
        <v>41005</v>
      </c>
    </row>
    <row r="42" spans="1:1">
      <c r="A42" s="33">
        <v>41020</v>
      </c>
    </row>
    <row r="43" spans="1:1">
      <c r="A43" s="33">
        <v>41030</v>
      </c>
    </row>
    <row r="44" spans="1:1">
      <c r="A44" s="33">
        <v>41067</v>
      </c>
    </row>
    <row r="45" spans="1:1">
      <c r="A45" s="33">
        <v>41159</v>
      </c>
    </row>
    <row r="46" spans="1:1">
      <c r="A46" s="33">
        <v>41194</v>
      </c>
    </row>
    <row r="47" spans="1:1">
      <c r="A47" s="33">
        <v>41215</v>
      </c>
    </row>
    <row r="48" spans="1:1">
      <c r="A48" s="33">
        <v>41228</v>
      </c>
    </row>
    <row r="49" spans="1:1">
      <c r="A49" s="33">
        <v>41268</v>
      </c>
    </row>
    <row r="50" spans="1:1">
      <c r="A50" s="33">
        <v>41275</v>
      </c>
    </row>
    <row r="51" spans="1:1">
      <c r="A51" s="33">
        <v>41316</v>
      </c>
    </row>
    <row r="52" spans="1:1">
      <c r="A52" s="33">
        <v>41317</v>
      </c>
    </row>
    <row r="53" spans="1:1">
      <c r="A53" s="33">
        <v>41362</v>
      </c>
    </row>
    <row r="54" spans="1:1">
      <c r="A54" s="33">
        <v>41385</v>
      </c>
    </row>
    <row r="55" spans="1:1">
      <c r="A55" s="33">
        <v>41395</v>
      </c>
    </row>
    <row r="56" spans="1:1">
      <c r="A56" s="33">
        <v>41424</v>
      </c>
    </row>
    <row r="57" spans="1:1">
      <c r="A57" s="33">
        <v>41524</v>
      </c>
    </row>
    <row r="58" spans="1:1">
      <c r="A58" s="33">
        <v>41559</v>
      </c>
    </row>
    <row r="59" spans="1:1">
      <c r="A59" s="33">
        <v>41580</v>
      </c>
    </row>
    <row r="60" spans="1:1">
      <c r="A60" s="33">
        <v>41593</v>
      </c>
    </row>
    <row r="61" spans="1:1">
      <c r="A61" s="33">
        <v>41633</v>
      </c>
    </row>
    <row r="62" spans="1:1">
      <c r="A62" s="33">
        <v>41640</v>
      </c>
    </row>
    <row r="63" spans="1:1">
      <c r="A63" s="33">
        <v>41701</v>
      </c>
    </row>
    <row r="64" spans="1:1">
      <c r="A64" s="33">
        <v>41702</v>
      </c>
    </row>
    <row r="65" spans="1:1">
      <c r="A65" s="33">
        <v>41747</v>
      </c>
    </row>
    <row r="66" spans="1:1">
      <c r="A66" s="33">
        <v>41750</v>
      </c>
    </row>
    <row r="67" spans="1:1">
      <c r="A67" s="33">
        <v>41760</v>
      </c>
    </row>
    <row r="68" spans="1:1">
      <c r="A68" s="33">
        <v>41809</v>
      </c>
    </row>
    <row r="69" spans="1:1">
      <c r="A69" s="33">
        <v>41889</v>
      </c>
    </row>
    <row r="70" spans="1:1">
      <c r="A70" s="33">
        <v>41924</v>
      </c>
    </row>
    <row r="71" spans="1:1">
      <c r="A71" s="33">
        <v>41945</v>
      </c>
    </row>
    <row r="72" spans="1:1">
      <c r="A72" s="33">
        <v>41958</v>
      </c>
    </row>
    <row r="73" spans="1:1">
      <c r="A73" s="33">
        <v>41998</v>
      </c>
    </row>
    <row r="74" spans="1:1">
      <c r="A74" s="33">
        <v>42005</v>
      </c>
    </row>
    <row r="75" spans="1:1">
      <c r="A75" s="33">
        <v>42051</v>
      </c>
    </row>
    <row r="76" spans="1:1">
      <c r="A76" s="33">
        <v>42052</v>
      </c>
    </row>
    <row r="77" spans="1:1">
      <c r="A77" s="33">
        <v>42097</v>
      </c>
    </row>
    <row r="78" spans="1:1">
      <c r="A78" s="33">
        <v>42115</v>
      </c>
    </row>
    <row r="79" spans="1:1">
      <c r="A79" s="33">
        <v>42125</v>
      </c>
    </row>
    <row r="80" spans="1:1">
      <c r="A80" s="33">
        <v>42159</v>
      </c>
    </row>
    <row r="81" spans="1:1">
      <c r="A81" s="33">
        <v>42254</v>
      </c>
    </row>
    <row r="82" spans="1:1">
      <c r="A82" s="33">
        <v>42289</v>
      </c>
    </row>
    <row r="83" spans="1:1">
      <c r="A83" s="33">
        <v>42310</v>
      </c>
    </row>
    <row r="84" spans="1:1">
      <c r="A84" s="33">
        <v>42323</v>
      </c>
    </row>
    <row r="85" spans="1:1">
      <c r="A85" s="33">
        <v>42363</v>
      </c>
    </row>
    <row r="86" spans="1:1">
      <c r="A86" s="33">
        <v>42370</v>
      </c>
    </row>
    <row r="87" spans="1:1">
      <c r="A87" s="33">
        <v>42408</v>
      </c>
    </row>
    <row r="88" spans="1:1">
      <c r="A88" s="33">
        <v>42409</v>
      </c>
    </row>
    <row r="89" spans="1:1">
      <c r="A89" s="33">
        <v>42454</v>
      </c>
    </row>
    <row r="90" spans="1:1">
      <c r="A90" s="33">
        <v>42481</v>
      </c>
    </row>
    <row r="91" spans="1:1">
      <c r="A91" s="33">
        <v>42491</v>
      </c>
    </row>
    <row r="92" spans="1:1">
      <c r="A92" s="33">
        <v>42516</v>
      </c>
    </row>
    <row r="93" spans="1:1">
      <c r="A93" s="33">
        <v>42620</v>
      </c>
    </row>
    <row r="94" spans="1:1">
      <c r="A94" s="33">
        <v>42655</v>
      </c>
    </row>
    <row r="95" spans="1:1">
      <c r="A95" s="33">
        <v>42676</v>
      </c>
    </row>
    <row r="96" spans="1:1">
      <c r="A96" s="33">
        <v>42689</v>
      </c>
    </row>
    <row r="97" spans="1:1">
      <c r="A97" s="33">
        <v>42729</v>
      </c>
    </row>
    <row r="98" spans="1:1">
      <c r="A98" s="33">
        <v>42736</v>
      </c>
    </row>
    <row r="99" spans="1:1">
      <c r="A99" s="33">
        <v>42793</v>
      </c>
    </row>
    <row r="100" spans="1:1">
      <c r="A100" s="33">
        <v>42794</v>
      </c>
    </row>
    <row r="101" spans="1:1">
      <c r="A101" s="33">
        <v>42839</v>
      </c>
    </row>
    <row r="102" spans="1:1">
      <c r="A102" s="33">
        <v>42846</v>
      </c>
    </row>
    <row r="103" spans="1:1">
      <c r="A103" s="33">
        <v>42856</v>
      </c>
    </row>
    <row r="104" spans="1:1">
      <c r="A104" s="33">
        <v>42901</v>
      </c>
    </row>
    <row r="105" spans="1:1">
      <c r="A105" s="33">
        <v>42985</v>
      </c>
    </row>
    <row r="106" spans="1:1">
      <c r="A106" s="33">
        <v>43020</v>
      </c>
    </row>
    <row r="107" spans="1:1">
      <c r="A107" s="33">
        <v>43041</v>
      </c>
    </row>
    <row r="108" spans="1:1">
      <c r="A108" s="33">
        <v>43054</v>
      </c>
    </row>
    <row r="109" spans="1:1">
      <c r="A109" s="33">
        <v>43094</v>
      </c>
    </row>
    <row r="110" spans="1:1">
      <c r="A110" s="33">
        <v>43101</v>
      </c>
    </row>
    <row r="111" spans="1:1">
      <c r="A111" s="33">
        <v>43143</v>
      </c>
    </row>
    <row r="112" spans="1:1">
      <c r="A112" s="33">
        <v>43144</v>
      </c>
    </row>
    <row r="113" spans="1:1">
      <c r="A113" s="33">
        <v>43189</v>
      </c>
    </row>
    <row r="114" spans="1:1">
      <c r="A114" s="33">
        <v>43211</v>
      </c>
    </row>
    <row r="115" spans="1:1">
      <c r="A115" s="33">
        <v>43221</v>
      </c>
    </row>
    <row r="116" spans="1:1">
      <c r="A116" s="33">
        <v>43251</v>
      </c>
    </row>
    <row r="117" spans="1:1">
      <c r="A117" s="33">
        <v>43350</v>
      </c>
    </row>
    <row r="118" spans="1:1">
      <c r="A118" s="33">
        <v>43385</v>
      </c>
    </row>
    <row r="119" spans="1:1">
      <c r="A119" s="33">
        <v>43406</v>
      </c>
    </row>
    <row r="120" spans="1:1">
      <c r="A120" s="33">
        <v>43419</v>
      </c>
    </row>
    <row r="121" spans="1:1">
      <c r="A121" s="33">
        <v>43459</v>
      </c>
    </row>
    <row r="122" spans="1:1">
      <c r="A122" s="33">
        <v>43466</v>
      </c>
    </row>
    <row r="123" spans="1:1">
      <c r="A123" s="33">
        <v>43528</v>
      </c>
    </row>
    <row r="124" spans="1:1">
      <c r="A124" s="33">
        <v>43529</v>
      </c>
    </row>
    <row r="125" spans="1:1">
      <c r="A125" s="33">
        <v>43574</v>
      </c>
    </row>
    <row r="126" spans="1:1">
      <c r="A126" s="33">
        <v>43576</v>
      </c>
    </row>
    <row r="127" spans="1:1">
      <c r="A127" s="33">
        <v>43586</v>
      </c>
    </row>
    <row r="128" spans="1:1">
      <c r="A128" s="33">
        <v>43636</v>
      </c>
    </row>
    <row r="129" spans="1:1">
      <c r="A129" s="33">
        <v>43715</v>
      </c>
    </row>
    <row r="130" spans="1:1">
      <c r="A130" s="33">
        <v>43750</v>
      </c>
    </row>
    <row r="131" spans="1:1">
      <c r="A131" s="33">
        <v>43771</v>
      </c>
    </row>
    <row r="132" spans="1:1">
      <c r="A132" s="33">
        <v>43784</v>
      </c>
    </row>
    <row r="133" spans="1:1">
      <c r="A133" s="33">
        <v>43824</v>
      </c>
    </row>
    <row r="134" spans="1:1">
      <c r="A134" s="33">
        <v>43831</v>
      </c>
    </row>
    <row r="135" spans="1:1">
      <c r="A135" s="33">
        <v>43885</v>
      </c>
    </row>
    <row r="136" spans="1:1">
      <c r="A136" s="33">
        <v>43886</v>
      </c>
    </row>
    <row r="137" spans="1:1">
      <c r="A137" s="33">
        <v>43931</v>
      </c>
    </row>
    <row r="138" spans="1:1">
      <c r="A138" s="33">
        <v>43942</v>
      </c>
    </row>
    <row r="139" spans="1:1">
      <c r="A139" s="33">
        <v>43952</v>
      </c>
    </row>
    <row r="140" spans="1:1">
      <c r="A140" s="33">
        <v>43993</v>
      </c>
    </row>
    <row r="141" spans="1:1">
      <c r="A141" s="33">
        <v>44081</v>
      </c>
    </row>
    <row r="142" spans="1:1">
      <c r="A142" s="33">
        <v>44116</v>
      </c>
    </row>
    <row r="143" spans="1:1">
      <c r="A143" s="33">
        <v>44137</v>
      </c>
    </row>
    <row r="144" spans="1:1">
      <c r="A144" s="33">
        <v>44150</v>
      </c>
    </row>
    <row r="145" spans="1:1">
      <c r="A145" s="33">
        <v>44190</v>
      </c>
    </row>
    <row r="146" spans="1:1">
      <c r="A146" s="33">
        <v>44197</v>
      </c>
    </row>
    <row r="147" spans="1:1">
      <c r="A147" s="33">
        <v>44242</v>
      </c>
    </row>
    <row r="148" spans="1:1">
      <c r="A148" s="33">
        <v>44243</v>
      </c>
    </row>
    <row r="149" spans="1:1">
      <c r="A149" s="33">
        <v>44288</v>
      </c>
    </row>
    <row r="150" spans="1:1">
      <c r="A150" s="33">
        <v>44307</v>
      </c>
    </row>
    <row r="151" spans="1:1">
      <c r="A151" s="33">
        <v>44317</v>
      </c>
    </row>
    <row r="152" spans="1:1">
      <c r="A152" s="33">
        <v>44350</v>
      </c>
    </row>
    <row r="153" spans="1:1">
      <c r="A153" s="33">
        <v>44446</v>
      </c>
    </row>
    <row r="154" spans="1:1">
      <c r="A154" s="33">
        <v>44481</v>
      </c>
    </row>
    <row r="155" spans="1:1">
      <c r="A155" s="33">
        <v>44502</v>
      </c>
    </row>
    <row r="156" spans="1:1">
      <c r="A156" s="33">
        <v>44515</v>
      </c>
    </row>
    <row r="157" spans="1:1">
      <c r="A157" s="33">
        <v>44555</v>
      </c>
    </row>
    <row r="158" spans="1:1">
      <c r="A158" s="33">
        <v>44562</v>
      </c>
    </row>
    <row r="159" spans="1:1">
      <c r="A159" s="33">
        <v>44620</v>
      </c>
    </row>
    <row r="160" spans="1:1">
      <c r="A160" s="33">
        <v>44621</v>
      </c>
    </row>
    <row r="161" spans="1:1">
      <c r="A161" s="33">
        <v>44666</v>
      </c>
    </row>
    <row r="162" spans="1:1">
      <c r="A162" s="33">
        <v>44672</v>
      </c>
    </row>
    <row r="163" spans="1:1">
      <c r="A163" s="33">
        <v>44682</v>
      </c>
    </row>
    <row r="164" spans="1:1">
      <c r="A164" s="33">
        <v>44728</v>
      </c>
    </row>
    <row r="165" spans="1:1">
      <c r="A165" s="33">
        <v>44811</v>
      </c>
    </row>
    <row r="166" spans="1:1">
      <c r="A166" s="33">
        <v>44846</v>
      </c>
    </row>
    <row r="167" spans="1:1">
      <c r="A167" s="33">
        <v>44867</v>
      </c>
    </row>
    <row r="168" spans="1:1">
      <c r="A168" s="33">
        <v>44880</v>
      </c>
    </row>
    <row r="169" spans="1:1">
      <c r="A169" s="33">
        <v>44920</v>
      </c>
    </row>
    <row r="170" spans="1:1">
      <c r="A170" s="33">
        <v>44927</v>
      </c>
    </row>
    <row r="171" spans="1:1">
      <c r="A171" s="33">
        <v>44977</v>
      </c>
    </row>
    <row r="172" spans="1:1">
      <c r="A172" s="33">
        <v>44978</v>
      </c>
    </row>
    <row r="173" spans="1:1">
      <c r="A173" s="33">
        <v>45023</v>
      </c>
    </row>
    <row r="174" spans="1:1">
      <c r="A174" s="33">
        <v>45037</v>
      </c>
    </row>
    <row r="175" spans="1:1">
      <c r="A175" s="33">
        <v>45047</v>
      </c>
    </row>
    <row r="176" spans="1:1">
      <c r="A176" s="33">
        <v>45085</v>
      </c>
    </row>
    <row r="177" spans="1:1">
      <c r="A177" s="33">
        <v>45176</v>
      </c>
    </row>
    <row r="178" spans="1:1">
      <c r="A178" s="33">
        <v>45211</v>
      </c>
    </row>
    <row r="179" spans="1:1">
      <c r="A179" s="33">
        <v>45232</v>
      </c>
    </row>
    <row r="180" spans="1:1">
      <c r="A180" s="33">
        <v>45245</v>
      </c>
    </row>
    <row r="181" spans="1:1">
      <c r="A181" s="33">
        <v>45285</v>
      </c>
    </row>
    <row r="182" spans="1:1">
      <c r="A182" s="33">
        <v>45292</v>
      </c>
    </row>
    <row r="183" spans="1:1">
      <c r="A183" s="33">
        <v>45334</v>
      </c>
    </row>
    <row r="184" spans="1:1">
      <c r="A184" s="33">
        <v>45335</v>
      </c>
    </row>
    <row r="185" spans="1:1">
      <c r="A185" s="33">
        <v>45380</v>
      </c>
    </row>
    <row r="186" spans="1:1">
      <c r="A186" s="33">
        <v>45403</v>
      </c>
    </row>
    <row r="187" spans="1:1">
      <c r="A187" s="33">
        <v>45413</v>
      </c>
    </row>
    <row r="188" spans="1:1">
      <c r="A188" s="33">
        <v>45442</v>
      </c>
    </row>
    <row r="189" spans="1:1">
      <c r="A189" s="33">
        <v>45542</v>
      </c>
    </row>
    <row r="190" spans="1:1">
      <c r="A190" s="33">
        <v>45577</v>
      </c>
    </row>
    <row r="191" spans="1:1">
      <c r="A191" s="33">
        <v>45598</v>
      </c>
    </row>
    <row r="192" spans="1:1">
      <c r="A192" s="33">
        <v>45611</v>
      </c>
    </row>
    <row r="193" spans="1:1">
      <c r="A193" s="33">
        <v>45616</v>
      </c>
    </row>
    <row r="194" spans="1:1">
      <c r="A194" s="33">
        <v>45651</v>
      </c>
    </row>
    <row r="195" spans="1:1">
      <c r="A195" s="33">
        <v>45658</v>
      </c>
    </row>
    <row r="196" spans="1:1">
      <c r="A196" s="33">
        <v>45719</v>
      </c>
    </row>
    <row r="197" spans="1:1">
      <c r="A197" s="33">
        <v>45720</v>
      </c>
    </row>
    <row r="198" spans="1:1">
      <c r="A198" s="33">
        <v>45765</v>
      </c>
    </row>
    <row r="199" spans="1:1">
      <c r="A199" s="33">
        <v>45768</v>
      </c>
    </row>
    <row r="200" spans="1:1">
      <c r="A200" s="33">
        <v>45778</v>
      </c>
    </row>
    <row r="201" spans="1:1">
      <c r="A201" s="33">
        <v>45827</v>
      </c>
    </row>
    <row r="202" spans="1:1">
      <c r="A202" s="33">
        <v>45907</v>
      </c>
    </row>
    <row r="203" spans="1:1">
      <c r="A203" s="33">
        <v>45942</v>
      </c>
    </row>
    <row r="204" spans="1:1">
      <c r="A204" s="33">
        <v>45963</v>
      </c>
    </row>
    <row r="205" spans="1:1">
      <c r="A205" s="33">
        <v>45976</v>
      </c>
    </row>
    <row r="206" spans="1:1">
      <c r="A206" s="33">
        <v>46016</v>
      </c>
    </row>
    <row r="207" spans="1:1">
      <c r="A207" s="33">
        <v>46023</v>
      </c>
    </row>
    <row r="208" spans="1:1">
      <c r="A208" s="33">
        <v>46069</v>
      </c>
    </row>
    <row r="209" spans="1:1">
      <c r="A209" s="33">
        <v>46070</v>
      </c>
    </row>
    <row r="210" spans="1:1">
      <c r="A210" s="33">
        <v>46115</v>
      </c>
    </row>
    <row r="211" spans="1:1">
      <c r="A211" s="33">
        <v>46133</v>
      </c>
    </row>
    <row r="212" spans="1:1">
      <c r="A212" s="33">
        <v>46143</v>
      </c>
    </row>
    <row r="213" spans="1:1">
      <c r="A213" s="33">
        <v>46177</v>
      </c>
    </row>
    <row r="214" spans="1:1">
      <c r="A214" s="33">
        <v>46272</v>
      </c>
    </row>
    <row r="215" spans="1:1">
      <c r="A215" s="33">
        <v>46307</v>
      </c>
    </row>
    <row r="216" spans="1:1">
      <c r="A216" s="33">
        <v>46328</v>
      </c>
    </row>
    <row r="217" spans="1:1">
      <c r="A217" s="33">
        <v>46341</v>
      </c>
    </row>
    <row r="218" spans="1:1">
      <c r="A218" s="33">
        <v>46381</v>
      </c>
    </row>
    <row r="219" spans="1:1">
      <c r="A219" s="33">
        <v>46388</v>
      </c>
    </row>
    <row r="220" spans="1:1">
      <c r="A220" s="33">
        <v>46426</v>
      </c>
    </row>
    <row r="221" spans="1:1">
      <c r="A221" s="33">
        <v>46427</v>
      </c>
    </row>
    <row r="222" spans="1:1">
      <c r="A222" s="33">
        <v>46472</v>
      </c>
    </row>
    <row r="223" spans="1:1">
      <c r="A223" s="33">
        <v>46498</v>
      </c>
    </row>
    <row r="224" spans="1:1">
      <c r="A224" s="33">
        <v>46508</v>
      </c>
    </row>
    <row r="225" spans="1:1">
      <c r="A225" s="33">
        <v>46534</v>
      </c>
    </row>
    <row r="226" spans="1:1">
      <c r="A226" s="33">
        <v>46637</v>
      </c>
    </row>
    <row r="227" spans="1:1">
      <c r="A227" s="33">
        <v>46672</v>
      </c>
    </row>
    <row r="228" spans="1:1">
      <c r="A228" s="33">
        <v>46693</v>
      </c>
    </row>
    <row r="229" spans="1:1">
      <c r="A229" s="33">
        <v>46706</v>
      </c>
    </row>
    <row r="230" spans="1:1">
      <c r="A230" s="33">
        <v>46746</v>
      </c>
    </row>
    <row r="231" spans="1:1">
      <c r="A231" s="33">
        <v>46753</v>
      </c>
    </row>
    <row r="232" spans="1:1">
      <c r="A232" s="33">
        <v>46811</v>
      </c>
    </row>
    <row r="233" spans="1:1">
      <c r="A233" s="33">
        <v>46812</v>
      </c>
    </row>
    <row r="234" spans="1:1">
      <c r="A234" s="33">
        <v>46857</v>
      </c>
    </row>
    <row r="235" spans="1:1">
      <c r="A235" s="33">
        <v>46864</v>
      </c>
    </row>
    <row r="236" spans="1:1">
      <c r="A236" s="33">
        <v>46874</v>
      </c>
    </row>
    <row r="237" spans="1:1">
      <c r="A237" s="33">
        <v>46919</v>
      </c>
    </row>
    <row r="238" spans="1:1">
      <c r="A238" s="33">
        <v>47003</v>
      </c>
    </row>
    <row r="239" spans="1:1">
      <c r="A239" s="33">
        <v>47038</v>
      </c>
    </row>
    <row r="240" spans="1:1">
      <c r="A240" s="33">
        <v>47059</v>
      </c>
    </row>
    <row r="241" spans="1:1">
      <c r="A241" s="33">
        <v>47072</v>
      </c>
    </row>
    <row r="242" spans="1:1">
      <c r="A242" s="33">
        <v>47112</v>
      </c>
    </row>
    <row r="243" spans="1:1">
      <c r="A243" s="33">
        <v>47119</v>
      </c>
    </row>
    <row r="244" spans="1:1">
      <c r="A244" s="33">
        <v>47161</v>
      </c>
    </row>
    <row r="245" spans="1:1">
      <c r="A245" s="33">
        <v>47162</v>
      </c>
    </row>
    <row r="246" spans="1:1">
      <c r="A246" s="33">
        <v>47207</v>
      </c>
    </row>
    <row r="247" spans="1:1">
      <c r="A247" s="33">
        <v>47229</v>
      </c>
    </row>
    <row r="248" spans="1:1">
      <c r="A248" s="33">
        <v>47239</v>
      </c>
    </row>
    <row r="249" spans="1:1">
      <c r="A249" s="33">
        <v>47269</v>
      </c>
    </row>
    <row r="250" spans="1:1">
      <c r="A250" s="33">
        <v>47368</v>
      </c>
    </row>
    <row r="251" spans="1:1">
      <c r="A251" s="33">
        <v>47403</v>
      </c>
    </row>
    <row r="252" spans="1:1">
      <c r="A252" s="33">
        <v>47424</v>
      </c>
    </row>
    <row r="253" spans="1:1">
      <c r="A253" s="33">
        <v>47437</v>
      </c>
    </row>
    <row r="254" spans="1:1">
      <c r="A254" s="33">
        <v>47477</v>
      </c>
    </row>
    <row r="255" spans="1:1">
      <c r="A255" s="33">
        <v>47484</v>
      </c>
    </row>
    <row r="256" spans="1:1">
      <c r="A256" s="33">
        <v>47546</v>
      </c>
    </row>
    <row r="257" spans="1:1">
      <c r="A257" s="33">
        <v>47547</v>
      </c>
    </row>
    <row r="258" spans="1:1">
      <c r="A258" s="33">
        <v>47592</v>
      </c>
    </row>
    <row r="259" spans="1:1">
      <c r="A259" s="33">
        <v>47594</v>
      </c>
    </row>
    <row r="260" spans="1:1">
      <c r="A260" s="33">
        <v>47604</v>
      </c>
    </row>
    <row r="261" spans="1:1">
      <c r="A261" s="33">
        <v>47654</v>
      </c>
    </row>
    <row r="262" spans="1:1">
      <c r="A262" s="33">
        <v>47733</v>
      </c>
    </row>
    <row r="263" spans="1:1">
      <c r="A263" s="33">
        <v>47768</v>
      </c>
    </row>
    <row r="264" spans="1:1">
      <c r="A264" s="33">
        <v>47789</v>
      </c>
    </row>
    <row r="265" spans="1:1">
      <c r="A265" s="33">
        <v>47802</v>
      </c>
    </row>
    <row r="266" spans="1:1">
      <c r="A266" s="33">
        <v>47842</v>
      </c>
    </row>
    <row r="267" spans="1:1">
      <c r="A267" s="33">
        <v>47849</v>
      </c>
    </row>
    <row r="268" spans="1:1">
      <c r="A268" s="33">
        <v>47903</v>
      </c>
    </row>
    <row r="269" spans="1:1">
      <c r="A269" s="33">
        <v>47904</v>
      </c>
    </row>
    <row r="270" spans="1:1">
      <c r="A270" s="33">
        <v>47949</v>
      </c>
    </row>
    <row r="271" spans="1:1">
      <c r="A271" s="33">
        <v>47959</v>
      </c>
    </row>
    <row r="272" spans="1:1">
      <c r="A272" s="33">
        <v>47969</v>
      </c>
    </row>
    <row r="273" spans="1:1">
      <c r="A273" s="33">
        <v>48011</v>
      </c>
    </row>
    <row r="274" spans="1:1">
      <c r="A274" s="33">
        <v>48098</v>
      </c>
    </row>
    <row r="275" spans="1:1">
      <c r="A275" s="33">
        <v>48133</v>
      </c>
    </row>
    <row r="276" spans="1:1">
      <c r="A276" s="33">
        <v>48154</v>
      </c>
    </row>
    <row r="277" spans="1:1">
      <c r="A277" s="33">
        <v>48167</v>
      </c>
    </row>
    <row r="278" spans="1:1">
      <c r="A278" s="33">
        <v>48207</v>
      </c>
    </row>
    <row r="279" spans="1:1">
      <c r="A279" s="33">
        <v>48214</v>
      </c>
    </row>
    <row r="280" spans="1:1">
      <c r="A280" s="33">
        <v>48253</v>
      </c>
    </row>
    <row r="281" spans="1:1">
      <c r="A281" s="33">
        <v>48254</v>
      </c>
    </row>
    <row r="282" spans="1:1">
      <c r="A282" s="33">
        <v>48299</v>
      </c>
    </row>
    <row r="283" spans="1:1">
      <c r="A283" s="33">
        <v>48325</v>
      </c>
    </row>
    <row r="284" spans="1:1">
      <c r="A284" s="33">
        <v>48335</v>
      </c>
    </row>
    <row r="285" spans="1:1">
      <c r="A285" s="33">
        <v>48361</v>
      </c>
    </row>
    <row r="286" spans="1:1">
      <c r="A286" s="33">
        <v>48464</v>
      </c>
    </row>
    <row r="287" spans="1:1">
      <c r="A287" s="33">
        <v>48499</v>
      </c>
    </row>
    <row r="288" spans="1:1">
      <c r="A288" s="33">
        <v>48520</v>
      </c>
    </row>
    <row r="289" spans="1:1">
      <c r="A289" s="33">
        <v>48533</v>
      </c>
    </row>
    <row r="290" spans="1:1">
      <c r="A290" s="33">
        <v>48573</v>
      </c>
    </row>
    <row r="291" spans="1:1">
      <c r="A291" s="33">
        <v>48580</v>
      </c>
    </row>
    <row r="292" spans="1:1">
      <c r="A292" s="33">
        <v>48638</v>
      </c>
    </row>
    <row r="293" spans="1:1">
      <c r="A293" s="33">
        <v>48639</v>
      </c>
    </row>
    <row r="294" spans="1:1">
      <c r="A294" s="33">
        <v>48684</v>
      </c>
    </row>
    <row r="295" spans="1:1">
      <c r="A295" s="33">
        <v>48690</v>
      </c>
    </row>
    <row r="296" spans="1:1">
      <c r="A296" s="33">
        <v>48700</v>
      </c>
    </row>
    <row r="297" spans="1:1">
      <c r="A297" s="33">
        <v>48746</v>
      </c>
    </row>
    <row r="298" spans="1:1">
      <c r="A298" s="33">
        <v>48829</v>
      </c>
    </row>
    <row r="299" spans="1:1">
      <c r="A299" s="33">
        <v>48864</v>
      </c>
    </row>
    <row r="300" spans="1:1">
      <c r="A300" s="33">
        <v>48885</v>
      </c>
    </row>
    <row r="301" spans="1:1">
      <c r="A301" s="33">
        <v>48898</v>
      </c>
    </row>
    <row r="302" spans="1:1">
      <c r="A302" s="33">
        <v>48938</v>
      </c>
    </row>
    <row r="303" spans="1:1">
      <c r="A303" s="33">
        <v>48945</v>
      </c>
    </row>
    <row r="304" spans="1:1">
      <c r="A304" s="33">
        <v>48995</v>
      </c>
    </row>
    <row r="305" spans="1:1">
      <c r="A305" s="33">
        <v>48996</v>
      </c>
    </row>
    <row r="306" spans="1:1">
      <c r="A306" s="33">
        <v>49041</v>
      </c>
    </row>
    <row r="307" spans="1:1">
      <c r="A307" s="33">
        <v>49055</v>
      </c>
    </row>
    <row r="308" spans="1:1">
      <c r="A308" s="33">
        <v>49065</v>
      </c>
    </row>
    <row r="309" spans="1:1">
      <c r="A309" s="33">
        <v>49103</v>
      </c>
    </row>
    <row r="310" spans="1:1">
      <c r="A310" s="33">
        <v>49194</v>
      </c>
    </row>
    <row r="311" spans="1:1">
      <c r="A311" s="33">
        <v>49229</v>
      </c>
    </row>
    <row r="312" spans="1:1">
      <c r="A312" s="33">
        <v>49250</v>
      </c>
    </row>
    <row r="313" spans="1:1">
      <c r="A313" s="33">
        <v>49263</v>
      </c>
    </row>
    <row r="314" spans="1:1">
      <c r="A314" s="33">
        <v>49303</v>
      </c>
    </row>
    <row r="315" spans="1:1">
      <c r="A315" s="33">
        <v>49310</v>
      </c>
    </row>
    <row r="316" spans="1:1">
      <c r="A316" s="33">
        <v>49345</v>
      </c>
    </row>
    <row r="317" spans="1:1">
      <c r="A317" s="33">
        <v>49346</v>
      </c>
    </row>
    <row r="318" spans="1:1">
      <c r="A318" s="33">
        <v>49391</v>
      </c>
    </row>
    <row r="319" spans="1:1">
      <c r="A319" s="33">
        <v>49420</v>
      </c>
    </row>
    <row r="320" spans="1:1">
      <c r="A320" s="33">
        <v>49430</v>
      </c>
    </row>
    <row r="321" spans="1:1">
      <c r="A321" s="33">
        <v>49453</v>
      </c>
    </row>
    <row r="322" spans="1:1">
      <c r="A322" s="33">
        <v>49559</v>
      </c>
    </row>
    <row r="323" spans="1:1">
      <c r="A323" s="33">
        <v>49594</v>
      </c>
    </row>
    <row r="324" spans="1:1">
      <c r="A324" s="33">
        <v>49615</v>
      </c>
    </row>
    <row r="325" spans="1:1">
      <c r="A325" s="33">
        <v>49628</v>
      </c>
    </row>
    <row r="326" spans="1:1">
      <c r="A326" s="33">
        <v>49668</v>
      </c>
    </row>
    <row r="327" spans="1:1">
      <c r="A327" s="33">
        <v>49675</v>
      </c>
    </row>
    <row r="328" spans="1:1">
      <c r="A328" s="33">
        <v>49730</v>
      </c>
    </row>
    <row r="329" spans="1:1">
      <c r="A329" s="33">
        <v>49731</v>
      </c>
    </row>
    <row r="330" spans="1:1">
      <c r="A330" s="33">
        <v>49776</v>
      </c>
    </row>
    <row r="331" spans="1:1">
      <c r="A331" s="33">
        <v>49786</v>
      </c>
    </row>
    <row r="332" spans="1:1">
      <c r="A332" s="33">
        <v>49796</v>
      </c>
    </row>
    <row r="333" spans="1:1">
      <c r="A333" s="33">
        <v>49838</v>
      </c>
    </row>
    <row r="334" spans="1:1">
      <c r="A334" s="33">
        <v>49925</v>
      </c>
    </row>
    <row r="335" spans="1:1">
      <c r="A335" s="33">
        <v>49960</v>
      </c>
    </row>
    <row r="336" spans="1:1">
      <c r="A336" s="33">
        <v>49981</v>
      </c>
    </row>
    <row r="337" spans="1:1">
      <c r="A337" s="33">
        <v>49994</v>
      </c>
    </row>
    <row r="338" spans="1:1">
      <c r="A338" s="33">
        <v>50034</v>
      </c>
    </row>
    <row r="339" spans="1:1">
      <c r="A339" s="33">
        <v>50041</v>
      </c>
    </row>
    <row r="340" spans="1:1">
      <c r="A340" s="33">
        <v>50087</v>
      </c>
    </row>
    <row r="341" spans="1:1">
      <c r="A341" s="33">
        <v>50088</v>
      </c>
    </row>
    <row r="342" spans="1:1">
      <c r="A342" s="33">
        <v>50133</v>
      </c>
    </row>
    <row r="343" spans="1:1">
      <c r="A343" s="33">
        <v>50151</v>
      </c>
    </row>
    <row r="344" spans="1:1">
      <c r="A344" s="33">
        <v>50161</v>
      </c>
    </row>
    <row r="345" spans="1:1">
      <c r="A345" s="33">
        <v>50195</v>
      </c>
    </row>
    <row r="346" spans="1:1">
      <c r="A346" s="33">
        <v>50290</v>
      </c>
    </row>
    <row r="347" spans="1:1">
      <c r="A347" s="33">
        <v>50325</v>
      </c>
    </row>
    <row r="348" spans="1:1">
      <c r="A348" s="33">
        <v>50346</v>
      </c>
    </row>
    <row r="349" spans="1:1">
      <c r="A349" s="33">
        <v>50359</v>
      </c>
    </row>
    <row r="350" spans="1:1">
      <c r="A350" s="33">
        <v>50399</v>
      </c>
    </row>
    <row r="351" spans="1:1">
      <c r="A351" s="33">
        <v>50406</v>
      </c>
    </row>
    <row r="352" spans="1:1">
      <c r="A352" s="33">
        <v>50472</v>
      </c>
    </row>
    <row r="353" spans="1:1">
      <c r="A353" s="33">
        <v>50473</v>
      </c>
    </row>
    <row r="354" spans="1:1">
      <c r="A354" s="33">
        <v>50516</v>
      </c>
    </row>
    <row r="355" spans="1:1">
      <c r="A355" s="33">
        <v>50518</v>
      </c>
    </row>
    <row r="356" spans="1:1">
      <c r="A356" s="33">
        <v>50526</v>
      </c>
    </row>
    <row r="357" spans="1:1">
      <c r="A357" s="33">
        <v>50580</v>
      </c>
    </row>
    <row r="358" spans="1:1">
      <c r="A358" s="33">
        <v>50655</v>
      </c>
    </row>
    <row r="359" spans="1:1">
      <c r="A359" s="33">
        <v>50690</v>
      </c>
    </row>
    <row r="360" spans="1:1">
      <c r="A360" s="33">
        <v>50711</v>
      </c>
    </row>
    <row r="361" spans="1:1">
      <c r="A361" s="33">
        <v>50724</v>
      </c>
    </row>
    <row r="362" spans="1:1">
      <c r="A362" s="33">
        <v>50764</v>
      </c>
    </row>
    <row r="363" spans="1:1">
      <c r="A363" s="33">
        <v>50771</v>
      </c>
    </row>
    <row r="364" spans="1:1">
      <c r="A364" s="33">
        <v>50822</v>
      </c>
    </row>
    <row r="365" spans="1:1">
      <c r="A365" s="33">
        <v>50823</v>
      </c>
    </row>
    <row r="366" spans="1:1">
      <c r="A366" s="33">
        <v>50868</v>
      </c>
    </row>
    <row r="367" spans="1:1">
      <c r="A367" s="33">
        <v>50881</v>
      </c>
    </row>
    <row r="368" spans="1:1">
      <c r="A368" s="33">
        <v>50891</v>
      </c>
    </row>
    <row r="369" spans="1:1">
      <c r="A369" s="33">
        <v>50930</v>
      </c>
    </row>
    <row r="370" spans="1:1">
      <c r="A370" s="33">
        <v>51020</v>
      </c>
    </row>
    <row r="371" spans="1:1">
      <c r="A371" s="33">
        <v>51055</v>
      </c>
    </row>
    <row r="372" spans="1:1">
      <c r="A372" s="33">
        <v>51076</v>
      </c>
    </row>
    <row r="373" spans="1:1">
      <c r="A373" s="33">
        <v>51089</v>
      </c>
    </row>
    <row r="374" spans="1:1">
      <c r="A374" s="33">
        <v>51129</v>
      </c>
    </row>
    <row r="375" spans="1:1">
      <c r="A375" s="33">
        <v>51136</v>
      </c>
    </row>
    <row r="376" spans="1:1">
      <c r="A376" s="33">
        <v>51179</v>
      </c>
    </row>
    <row r="377" spans="1:1">
      <c r="A377" s="33">
        <v>51180</v>
      </c>
    </row>
    <row r="378" spans="1:1">
      <c r="A378" s="33">
        <v>51225</v>
      </c>
    </row>
    <row r="379" spans="1:1">
      <c r="A379" s="33">
        <v>51247</v>
      </c>
    </row>
    <row r="380" spans="1:1">
      <c r="A380" s="33">
        <v>51257</v>
      </c>
    </row>
    <row r="381" spans="1:1">
      <c r="A381" s="33">
        <v>51287</v>
      </c>
    </row>
    <row r="382" spans="1:1">
      <c r="A382" s="33">
        <v>51386</v>
      </c>
    </row>
    <row r="383" spans="1:1">
      <c r="A383" s="33">
        <v>51421</v>
      </c>
    </row>
    <row r="384" spans="1:1">
      <c r="A384" s="33">
        <v>51442</v>
      </c>
    </row>
    <row r="385" spans="1:1">
      <c r="A385" s="33">
        <v>51455</v>
      </c>
    </row>
    <row r="386" spans="1:1">
      <c r="A386" s="33">
        <v>51495</v>
      </c>
    </row>
    <row r="387" spans="1:1">
      <c r="A387" s="33">
        <v>51502</v>
      </c>
    </row>
    <row r="388" spans="1:1">
      <c r="A388" s="33">
        <v>51564</v>
      </c>
    </row>
    <row r="389" spans="1:1">
      <c r="A389" s="33">
        <v>51565</v>
      </c>
    </row>
    <row r="390" spans="1:1">
      <c r="A390" s="33">
        <v>51610</v>
      </c>
    </row>
    <row r="391" spans="1:1">
      <c r="A391" s="33">
        <v>51612</v>
      </c>
    </row>
    <row r="392" spans="1:1">
      <c r="A392" s="33">
        <v>51622</v>
      </c>
    </row>
    <row r="393" spans="1:1">
      <c r="A393" s="33">
        <v>51672</v>
      </c>
    </row>
    <row r="394" spans="1:1">
      <c r="A394" s="33">
        <v>51751</v>
      </c>
    </row>
    <row r="395" spans="1:1">
      <c r="A395" s="33">
        <v>51786</v>
      </c>
    </row>
    <row r="396" spans="1:1">
      <c r="A396" s="33">
        <v>51807</v>
      </c>
    </row>
    <row r="397" spans="1:1">
      <c r="A397" s="33">
        <v>51820</v>
      </c>
    </row>
    <row r="398" spans="1:1">
      <c r="A398" s="33">
        <v>51860</v>
      </c>
    </row>
    <row r="399" spans="1:1">
      <c r="A399" s="33">
        <v>51867</v>
      </c>
    </row>
    <row r="400" spans="1:1">
      <c r="A400" s="33">
        <v>51914</v>
      </c>
    </row>
    <row r="401" spans="1:1">
      <c r="A401" s="33">
        <v>51915</v>
      </c>
    </row>
    <row r="402" spans="1:1">
      <c r="A402" s="33">
        <v>51960</v>
      </c>
    </row>
    <row r="403" spans="1:1">
      <c r="A403" s="33">
        <v>51977</v>
      </c>
    </row>
    <row r="404" spans="1:1">
      <c r="A404" s="33">
        <v>51987</v>
      </c>
    </row>
    <row r="405" spans="1:1">
      <c r="A405" s="33">
        <v>52022</v>
      </c>
    </row>
    <row r="406" spans="1:1">
      <c r="A406" s="33">
        <v>52116</v>
      </c>
    </row>
    <row r="407" spans="1:1">
      <c r="A407" s="33">
        <v>52151</v>
      </c>
    </row>
    <row r="408" spans="1:1">
      <c r="A408" s="33">
        <v>52172</v>
      </c>
    </row>
    <row r="409" spans="1:1">
      <c r="A409" s="33">
        <v>52185</v>
      </c>
    </row>
    <row r="410" spans="1:1">
      <c r="A410" s="33">
        <v>52225</v>
      </c>
    </row>
    <row r="411" spans="1:1">
      <c r="A411" s="33">
        <v>52232</v>
      </c>
    </row>
    <row r="412" spans="1:1">
      <c r="A412" s="33">
        <v>52271</v>
      </c>
    </row>
    <row r="413" spans="1:1">
      <c r="A413" s="33">
        <v>52272</v>
      </c>
    </row>
    <row r="414" spans="1:1">
      <c r="A414" s="33">
        <v>52317</v>
      </c>
    </row>
    <row r="415" spans="1:1">
      <c r="A415" s="33">
        <v>52342</v>
      </c>
    </row>
    <row r="416" spans="1:1">
      <c r="A416" s="33">
        <v>52352</v>
      </c>
    </row>
    <row r="417" spans="1:1">
      <c r="A417" s="33">
        <v>52379</v>
      </c>
    </row>
    <row r="418" spans="1:1">
      <c r="A418" s="33">
        <v>52481</v>
      </c>
    </row>
    <row r="419" spans="1:1">
      <c r="A419" s="33">
        <v>52516</v>
      </c>
    </row>
    <row r="420" spans="1:1">
      <c r="A420" s="33">
        <v>52537</v>
      </c>
    </row>
    <row r="421" spans="1:1">
      <c r="A421" s="33">
        <v>52550</v>
      </c>
    </row>
    <row r="422" spans="1:1">
      <c r="A422" s="33">
        <v>52590</v>
      </c>
    </row>
    <row r="423" spans="1:1">
      <c r="A423" s="33">
        <v>52597</v>
      </c>
    </row>
    <row r="424" spans="1:1">
      <c r="A424" s="33">
        <v>52656</v>
      </c>
    </row>
    <row r="425" spans="1:1">
      <c r="A425" s="33">
        <v>52657</v>
      </c>
    </row>
    <row r="426" spans="1:1">
      <c r="A426" s="33">
        <v>52702</v>
      </c>
    </row>
    <row r="427" spans="1:1">
      <c r="A427" s="33">
        <v>52708</v>
      </c>
    </row>
    <row r="428" spans="1:1">
      <c r="A428" s="33">
        <v>52718</v>
      </c>
    </row>
    <row r="429" spans="1:1">
      <c r="A429" s="33">
        <v>52764</v>
      </c>
    </row>
    <row r="430" spans="1:1">
      <c r="A430" s="33">
        <v>52847</v>
      </c>
    </row>
    <row r="431" spans="1:1">
      <c r="A431" s="33">
        <v>52882</v>
      </c>
    </row>
    <row r="432" spans="1:1">
      <c r="A432" s="33">
        <v>52903</v>
      </c>
    </row>
    <row r="433" spans="1:1">
      <c r="A433" s="33">
        <v>52916</v>
      </c>
    </row>
    <row r="434" spans="1:1">
      <c r="A434" s="33">
        <v>52956</v>
      </c>
    </row>
    <row r="435" spans="1:1">
      <c r="A435" s="33">
        <v>52963</v>
      </c>
    </row>
    <row r="436" spans="1:1">
      <c r="A436" s="33">
        <v>53013</v>
      </c>
    </row>
    <row r="437" spans="1:1">
      <c r="A437" s="33">
        <v>53014</v>
      </c>
    </row>
    <row r="438" spans="1:1">
      <c r="A438" s="33">
        <v>53059</v>
      </c>
    </row>
    <row r="439" spans="1:1">
      <c r="A439" s="33">
        <v>53073</v>
      </c>
    </row>
    <row r="440" spans="1:1">
      <c r="A440" s="33">
        <v>53083</v>
      </c>
    </row>
    <row r="441" spans="1:1">
      <c r="A441" s="33">
        <v>53121</v>
      </c>
    </row>
    <row r="442" spans="1:1">
      <c r="A442" s="33">
        <v>53212</v>
      </c>
    </row>
    <row r="443" spans="1:1">
      <c r="A443" s="33">
        <v>53247</v>
      </c>
    </row>
    <row r="444" spans="1:1">
      <c r="A444" s="33">
        <v>53268</v>
      </c>
    </row>
    <row r="445" spans="1:1">
      <c r="A445" s="33">
        <v>53281</v>
      </c>
    </row>
    <row r="446" spans="1:1">
      <c r="A446" s="33">
        <v>53321</v>
      </c>
    </row>
    <row r="447" spans="1:1">
      <c r="A447" s="33">
        <v>53328</v>
      </c>
    </row>
    <row r="448" spans="1:1">
      <c r="A448" s="33">
        <v>53363</v>
      </c>
    </row>
    <row r="449" spans="1:1">
      <c r="A449" s="33">
        <v>53364</v>
      </c>
    </row>
    <row r="450" spans="1:1">
      <c r="A450" s="33">
        <v>53409</v>
      </c>
    </row>
    <row r="451" spans="1:1">
      <c r="A451" s="33">
        <v>53438</v>
      </c>
    </row>
    <row r="452" spans="1:1">
      <c r="A452" s="33">
        <v>53448</v>
      </c>
    </row>
    <row r="453" spans="1:1">
      <c r="A453" s="33">
        <v>53471</v>
      </c>
    </row>
    <row r="454" spans="1:1">
      <c r="A454" s="33">
        <v>53577</v>
      </c>
    </row>
    <row r="455" spans="1:1">
      <c r="A455" s="33">
        <v>53612</v>
      </c>
    </row>
    <row r="456" spans="1:1">
      <c r="A456" s="33">
        <v>53633</v>
      </c>
    </row>
    <row r="457" spans="1:1">
      <c r="A457" s="33">
        <v>53646</v>
      </c>
    </row>
    <row r="458" spans="1:1">
      <c r="A458" s="33">
        <v>53686</v>
      </c>
    </row>
    <row r="459" spans="1:1">
      <c r="A459" s="33">
        <v>53693</v>
      </c>
    </row>
    <row r="460" spans="1:1">
      <c r="A460" s="33">
        <v>53748</v>
      </c>
    </row>
    <row r="461" spans="1:1">
      <c r="A461" s="33">
        <v>53749</v>
      </c>
    </row>
    <row r="462" spans="1:1">
      <c r="A462" s="33">
        <v>53794</v>
      </c>
    </row>
    <row r="463" spans="1:1">
      <c r="A463" s="33">
        <v>53803</v>
      </c>
    </row>
    <row r="464" spans="1:1">
      <c r="A464" s="33">
        <v>53813</v>
      </c>
    </row>
    <row r="465" spans="1:1">
      <c r="A465" s="33">
        <v>53856</v>
      </c>
    </row>
    <row r="466" spans="1:1">
      <c r="A466" s="33">
        <v>53942</v>
      </c>
    </row>
    <row r="467" spans="1:1">
      <c r="A467" s="33">
        <v>53977</v>
      </c>
    </row>
    <row r="468" spans="1:1">
      <c r="A468" s="33">
        <v>53998</v>
      </c>
    </row>
    <row r="469" spans="1:1">
      <c r="A469" s="33">
        <v>54011</v>
      </c>
    </row>
    <row r="470" spans="1:1">
      <c r="A470" s="33">
        <v>54051</v>
      </c>
    </row>
    <row r="471" spans="1:1">
      <c r="A471" s="33">
        <v>54058</v>
      </c>
    </row>
    <row r="472" spans="1:1">
      <c r="A472" s="33">
        <v>54105</v>
      </c>
    </row>
    <row r="473" spans="1:1">
      <c r="A473" s="33">
        <v>54106</v>
      </c>
    </row>
    <row r="474" spans="1:1">
      <c r="A474" s="33">
        <v>54151</v>
      </c>
    </row>
    <row r="475" spans="1:1">
      <c r="A475" s="33">
        <v>54169</v>
      </c>
    </row>
    <row r="476" spans="1:1">
      <c r="A476" s="33">
        <v>54179</v>
      </c>
    </row>
    <row r="477" spans="1:1">
      <c r="A477" s="33">
        <v>54213</v>
      </c>
    </row>
    <row r="478" spans="1:1">
      <c r="A478" s="33">
        <v>54308</v>
      </c>
    </row>
    <row r="479" spans="1:1">
      <c r="A479" s="33">
        <v>54343</v>
      </c>
    </row>
    <row r="480" spans="1:1">
      <c r="A480" s="33">
        <v>54364</v>
      </c>
    </row>
    <row r="481" spans="1:1">
      <c r="A481" s="33">
        <v>54377</v>
      </c>
    </row>
    <row r="482" spans="1:1">
      <c r="A482" s="33">
        <v>54417</v>
      </c>
    </row>
    <row r="483" spans="1:1">
      <c r="A483" s="33">
        <v>54424</v>
      </c>
    </row>
    <row r="484" spans="1:1">
      <c r="A484" s="33">
        <v>54483</v>
      </c>
    </row>
    <row r="485" spans="1:1">
      <c r="A485" s="33">
        <v>54484</v>
      </c>
    </row>
    <row r="486" spans="1:1">
      <c r="A486" s="33">
        <v>54529</v>
      </c>
    </row>
    <row r="487" spans="1:1">
      <c r="A487" s="33">
        <v>54534</v>
      </c>
    </row>
    <row r="488" spans="1:1">
      <c r="A488" s="33">
        <v>54544</v>
      </c>
    </row>
    <row r="489" spans="1:1">
      <c r="A489" s="33">
        <v>54591</v>
      </c>
    </row>
    <row r="490" spans="1:1">
      <c r="A490" s="33">
        <v>54673</v>
      </c>
    </row>
    <row r="491" spans="1:1">
      <c r="A491" s="33">
        <v>54708</v>
      </c>
    </row>
    <row r="492" spans="1:1">
      <c r="A492" s="33">
        <v>54729</v>
      </c>
    </row>
    <row r="493" spans="1:1">
      <c r="A493" s="33">
        <v>54742</v>
      </c>
    </row>
    <row r="494" spans="1:1">
      <c r="A494" s="33">
        <v>54782</v>
      </c>
    </row>
    <row r="495" spans="1:1">
      <c r="A495" s="33">
        <v>54789</v>
      </c>
    </row>
    <row r="496" spans="1:1">
      <c r="A496" s="33">
        <v>54840</v>
      </c>
    </row>
    <row r="497" spans="1:1">
      <c r="A497" s="33">
        <v>54841</v>
      </c>
    </row>
    <row r="498" spans="1:1">
      <c r="A498" s="33">
        <v>54886</v>
      </c>
    </row>
    <row r="499" spans="1:1">
      <c r="A499" s="33">
        <v>54899</v>
      </c>
    </row>
    <row r="500" spans="1:1">
      <c r="A500" s="33">
        <v>54909</v>
      </c>
    </row>
    <row r="501" spans="1:1">
      <c r="A501" s="33">
        <v>54948</v>
      </c>
    </row>
    <row r="502" spans="1:1">
      <c r="A502" s="33">
        <v>55038</v>
      </c>
    </row>
    <row r="503" spans="1:1">
      <c r="A503" s="33">
        <v>55073</v>
      </c>
    </row>
    <row r="504" spans="1:1">
      <c r="A504" s="33">
        <v>55094</v>
      </c>
    </row>
    <row r="505" spans="1:1">
      <c r="A505" s="33">
        <v>55107</v>
      </c>
    </row>
    <row r="506" spans="1:1">
      <c r="A506" s="33">
        <v>55147</v>
      </c>
    </row>
    <row r="507" spans="1:1">
      <c r="A507" s="33">
        <v>55154</v>
      </c>
    </row>
    <row r="508" spans="1:1">
      <c r="A508" s="33">
        <v>55197</v>
      </c>
    </row>
    <row r="509" spans="1:1">
      <c r="A509" s="33">
        <v>55198</v>
      </c>
    </row>
    <row r="510" spans="1:1">
      <c r="A510" s="33">
        <v>55243</v>
      </c>
    </row>
    <row r="511" spans="1:1">
      <c r="A511" s="33">
        <v>55264</v>
      </c>
    </row>
    <row r="512" spans="1:1">
      <c r="A512" s="33">
        <v>55274</v>
      </c>
    </row>
    <row r="513" spans="1:1">
      <c r="A513" s="33">
        <v>55305</v>
      </c>
    </row>
    <row r="514" spans="1:1">
      <c r="A514" s="33">
        <v>55403</v>
      </c>
    </row>
    <row r="515" spans="1:1">
      <c r="A515" s="33">
        <v>55438</v>
      </c>
    </row>
    <row r="516" spans="1:1">
      <c r="A516" s="33">
        <v>55459</v>
      </c>
    </row>
    <row r="517" spans="1:1">
      <c r="A517" s="33">
        <v>55472</v>
      </c>
    </row>
    <row r="518" spans="1:1">
      <c r="A518" s="33">
        <v>55512</v>
      </c>
    </row>
    <row r="519" spans="1:1">
      <c r="A519" s="33">
        <v>55519</v>
      </c>
    </row>
    <row r="520" spans="1:1">
      <c r="A520" s="33">
        <v>55582</v>
      </c>
    </row>
    <row r="521" spans="1:1">
      <c r="A521" s="33">
        <v>55583</v>
      </c>
    </row>
    <row r="522" spans="1:1">
      <c r="A522" s="33">
        <v>55628</v>
      </c>
    </row>
    <row r="523" spans="1:1">
      <c r="A523" s="33">
        <v>55630</v>
      </c>
    </row>
    <row r="524" spans="1:1">
      <c r="A524" s="33">
        <v>55640</v>
      </c>
    </row>
    <row r="525" spans="1:1">
      <c r="A525" s="33">
        <v>55690</v>
      </c>
    </row>
    <row r="526" spans="1:1">
      <c r="A526" s="33">
        <v>55769</v>
      </c>
    </row>
    <row r="527" spans="1:1">
      <c r="A527" s="33">
        <v>55804</v>
      </c>
    </row>
    <row r="528" spans="1:1">
      <c r="A528" s="33">
        <v>55825</v>
      </c>
    </row>
    <row r="529" spans="1:1">
      <c r="A529" s="33">
        <v>55838</v>
      </c>
    </row>
    <row r="530" spans="1:1">
      <c r="A530" s="33">
        <v>55878</v>
      </c>
    </row>
    <row r="531" spans="1:1">
      <c r="A531" s="33">
        <v>55885</v>
      </c>
    </row>
    <row r="532" spans="1:1">
      <c r="A532" s="33">
        <v>55932</v>
      </c>
    </row>
    <row r="533" spans="1:1">
      <c r="A533" s="33">
        <v>55933</v>
      </c>
    </row>
    <row r="534" spans="1:1">
      <c r="A534" s="33">
        <v>55978</v>
      </c>
    </row>
    <row r="535" spans="1:1">
      <c r="A535" s="33">
        <v>55995</v>
      </c>
    </row>
    <row r="536" spans="1:1">
      <c r="A536" s="33">
        <v>56005</v>
      </c>
    </row>
    <row r="537" spans="1:1">
      <c r="A537" s="33">
        <v>56040</v>
      </c>
    </row>
    <row r="538" spans="1:1">
      <c r="A538" s="33">
        <v>56134</v>
      </c>
    </row>
    <row r="539" spans="1:1">
      <c r="A539" s="33">
        <v>56169</v>
      </c>
    </row>
    <row r="540" spans="1:1">
      <c r="A540" s="33">
        <v>56190</v>
      </c>
    </row>
    <row r="541" spans="1:1">
      <c r="A541" s="33">
        <v>56203</v>
      </c>
    </row>
    <row r="542" spans="1:1">
      <c r="A542" s="33">
        <v>56243</v>
      </c>
    </row>
    <row r="543" spans="1:1">
      <c r="A543" s="33">
        <v>56250</v>
      </c>
    </row>
    <row r="544" spans="1:1">
      <c r="A544" s="33">
        <v>56289</v>
      </c>
    </row>
    <row r="545" spans="1:1">
      <c r="A545" s="33">
        <v>56290</v>
      </c>
    </row>
    <row r="546" spans="1:1">
      <c r="A546" s="33">
        <v>56335</v>
      </c>
    </row>
    <row r="547" spans="1:1">
      <c r="A547" s="33">
        <v>56360</v>
      </c>
    </row>
    <row r="548" spans="1:1">
      <c r="A548" s="33">
        <v>56370</v>
      </c>
    </row>
    <row r="549" spans="1:1">
      <c r="A549" s="33">
        <v>56397</v>
      </c>
    </row>
    <row r="550" spans="1:1">
      <c r="A550" s="33">
        <v>56499</v>
      </c>
    </row>
    <row r="551" spans="1:1">
      <c r="A551" s="33">
        <v>56534</v>
      </c>
    </row>
    <row r="552" spans="1:1">
      <c r="A552" s="33">
        <v>56555</v>
      </c>
    </row>
    <row r="553" spans="1:1">
      <c r="A553" s="33">
        <v>56568</v>
      </c>
    </row>
    <row r="554" spans="1:1">
      <c r="A554" s="33">
        <v>56608</v>
      </c>
    </row>
    <row r="555" spans="1:1">
      <c r="A555" s="33">
        <v>56615</v>
      </c>
    </row>
    <row r="556" spans="1:1">
      <c r="A556" s="33">
        <v>56674</v>
      </c>
    </row>
    <row r="557" spans="1:1">
      <c r="A557" s="33">
        <v>56675</v>
      </c>
    </row>
    <row r="558" spans="1:1">
      <c r="A558" s="33">
        <v>56720</v>
      </c>
    </row>
    <row r="559" spans="1:1">
      <c r="A559" s="33">
        <v>56725</v>
      </c>
    </row>
    <row r="560" spans="1:1">
      <c r="A560" s="33">
        <v>56735</v>
      </c>
    </row>
    <row r="561" spans="1:1">
      <c r="A561" s="33">
        <v>56782</v>
      </c>
    </row>
    <row r="562" spans="1:1">
      <c r="A562" s="33">
        <v>56864</v>
      </c>
    </row>
    <row r="563" spans="1:1">
      <c r="A563" s="33">
        <v>56899</v>
      </c>
    </row>
    <row r="564" spans="1:1">
      <c r="A564" s="33">
        <v>56920</v>
      </c>
    </row>
    <row r="565" spans="1:1">
      <c r="A565" s="33">
        <v>56933</v>
      </c>
    </row>
    <row r="566" spans="1:1">
      <c r="A566" s="33">
        <v>56973</v>
      </c>
    </row>
    <row r="567" spans="1:1">
      <c r="A567" s="33">
        <v>56980</v>
      </c>
    </row>
    <row r="568" spans="1:1">
      <c r="A568" s="33">
        <v>57024</v>
      </c>
    </row>
    <row r="569" spans="1:1">
      <c r="A569" s="33">
        <v>57025</v>
      </c>
    </row>
    <row r="570" spans="1:1">
      <c r="A570" s="33">
        <v>57070</v>
      </c>
    </row>
    <row r="571" spans="1:1">
      <c r="A571" s="33">
        <v>57091</v>
      </c>
    </row>
    <row r="572" spans="1:1">
      <c r="A572" s="33">
        <v>57101</v>
      </c>
    </row>
    <row r="573" spans="1:1">
      <c r="A573" s="33">
        <v>57132</v>
      </c>
    </row>
    <row r="574" spans="1:1">
      <c r="A574" s="33">
        <v>57230</v>
      </c>
    </row>
    <row r="575" spans="1:1">
      <c r="A575" s="33">
        <v>57265</v>
      </c>
    </row>
    <row r="576" spans="1:1">
      <c r="A576" s="33">
        <v>57286</v>
      </c>
    </row>
    <row r="577" spans="1:1">
      <c r="A577" s="33">
        <v>57299</v>
      </c>
    </row>
    <row r="578" spans="1:1">
      <c r="A578" s="33">
        <v>57339</v>
      </c>
    </row>
    <row r="579" spans="1:1">
      <c r="A579" s="33">
        <v>57346</v>
      </c>
    </row>
    <row r="580" spans="1:1">
      <c r="A580" s="33">
        <v>57409</v>
      </c>
    </row>
    <row r="581" spans="1:1">
      <c r="A581" s="33">
        <v>57410</v>
      </c>
    </row>
    <row r="582" spans="1:1">
      <c r="A582" s="33">
        <v>57455</v>
      </c>
    </row>
    <row r="583" spans="1:1">
      <c r="A583" s="33">
        <v>57456</v>
      </c>
    </row>
    <row r="584" spans="1:1">
      <c r="A584" s="33">
        <v>57466</v>
      </c>
    </row>
    <row r="585" spans="1:1">
      <c r="A585" s="33">
        <v>57517</v>
      </c>
    </row>
    <row r="586" spans="1:1">
      <c r="A586" s="33">
        <v>57595</v>
      </c>
    </row>
    <row r="587" spans="1:1">
      <c r="A587" s="33">
        <v>57630</v>
      </c>
    </row>
    <row r="588" spans="1:1">
      <c r="A588" s="33">
        <v>57651</v>
      </c>
    </row>
    <row r="589" spans="1:1">
      <c r="A589" s="33">
        <v>57664</v>
      </c>
    </row>
    <row r="590" spans="1:1">
      <c r="A590" s="33">
        <v>57704</v>
      </c>
    </row>
    <row r="591" spans="1:1">
      <c r="A591" s="33">
        <v>57711</v>
      </c>
    </row>
    <row r="592" spans="1:1">
      <c r="A592" s="33">
        <v>57766</v>
      </c>
    </row>
    <row r="593" spans="1:1">
      <c r="A593" s="33">
        <v>57767</v>
      </c>
    </row>
    <row r="594" spans="1:1">
      <c r="A594" s="33">
        <v>57812</v>
      </c>
    </row>
    <row r="595" spans="1:1">
      <c r="A595" s="33">
        <v>57821</v>
      </c>
    </row>
    <row r="596" spans="1:1">
      <c r="A596" s="33">
        <v>57831</v>
      </c>
    </row>
    <row r="597" spans="1:1">
      <c r="A597" s="33">
        <v>57874</v>
      </c>
    </row>
    <row r="598" spans="1:1">
      <c r="A598" s="33">
        <v>57960</v>
      </c>
    </row>
    <row r="599" spans="1:1">
      <c r="A599" s="33">
        <v>57995</v>
      </c>
    </row>
    <row r="600" spans="1:1">
      <c r="A600" s="33">
        <v>58016</v>
      </c>
    </row>
    <row r="601" spans="1:1">
      <c r="A601" s="33">
        <v>58029</v>
      </c>
    </row>
    <row r="602" spans="1:1">
      <c r="A602" s="33">
        <v>58069</v>
      </c>
    </row>
    <row r="603" spans="1:1">
      <c r="A603" s="33">
        <v>58076</v>
      </c>
    </row>
    <row r="604" spans="1:1">
      <c r="A604" s="33">
        <v>58116</v>
      </c>
    </row>
    <row r="605" spans="1:1">
      <c r="A605" s="33">
        <v>58117</v>
      </c>
    </row>
    <row r="606" spans="1:1">
      <c r="A606" s="33">
        <v>58162</v>
      </c>
    </row>
    <row r="607" spans="1:1">
      <c r="A607" s="33">
        <v>58186</v>
      </c>
    </row>
    <row r="608" spans="1:1">
      <c r="A608" s="33">
        <v>58196</v>
      </c>
    </row>
    <row r="609" spans="1:1">
      <c r="A609" s="33">
        <v>58224</v>
      </c>
    </row>
    <row r="610" spans="1:1">
      <c r="A610" s="33">
        <v>58325</v>
      </c>
    </row>
    <row r="611" spans="1:1">
      <c r="A611" s="33">
        <v>58360</v>
      </c>
    </row>
    <row r="612" spans="1:1">
      <c r="A612" s="33">
        <v>58381</v>
      </c>
    </row>
    <row r="613" spans="1:1">
      <c r="A613" s="33">
        <v>58394</v>
      </c>
    </row>
    <row r="614" spans="1:1">
      <c r="A614" s="33">
        <v>58434</v>
      </c>
    </row>
    <row r="615" spans="1:1">
      <c r="A615" s="33">
        <v>58441</v>
      </c>
    </row>
    <row r="616" spans="1:1">
      <c r="A616" s="33">
        <v>58501</v>
      </c>
    </row>
    <row r="617" spans="1:1">
      <c r="A617" s="33">
        <v>58502</v>
      </c>
    </row>
    <row r="618" spans="1:1">
      <c r="A618" s="33">
        <v>58547</v>
      </c>
    </row>
    <row r="619" spans="1:1">
      <c r="A619" s="33">
        <v>58552</v>
      </c>
    </row>
    <row r="620" spans="1:1">
      <c r="A620" s="33">
        <v>58562</v>
      </c>
    </row>
    <row r="621" spans="1:1">
      <c r="A621" s="33">
        <v>58609</v>
      </c>
    </row>
    <row r="622" spans="1:1">
      <c r="A622" s="33">
        <v>58691</v>
      </c>
    </row>
    <row r="623" spans="1:1">
      <c r="A623" s="33">
        <v>58726</v>
      </c>
    </row>
    <row r="624" spans="1:1">
      <c r="A624" s="33">
        <v>58747</v>
      </c>
    </row>
    <row r="625" spans="1:1">
      <c r="A625" s="33">
        <v>58760</v>
      </c>
    </row>
    <row r="626" spans="1:1">
      <c r="A626" s="33">
        <v>58800</v>
      </c>
    </row>
    <row r="627" spans="1:1">
      <c r="A627" s="33">
        <v>58807</v>
      </c>
    </row>
    <row r="628" spans="1:1">
      <c r="A628" s="33">
        <v>58858</v>
      </c>
    </row>
    <row r="629" spans="1:1">
      <c r="A629" s="33">
        <v>58859</v>
      </c>
    </row>
    <row r="630" spans="1:1">
      <c r="A630" s="33">
        <v>58904</v>
      </c>
    </row>
    <row r="631" spans="1:1">
      <c r="A631" s="33">
        <v>58917</v>
      </c>
    </row>
    <row r="632" spans="1:1">
      <c r="A632" s="33">
        <v>58927</v>
      </c>
    </row>
    <row r="633" spans="1:1">
      <c r="A633" s="33">
        <v>58966</v>
      </c>
    </row>
    <row r="634" spans="1:1">
      <c r="A634" s="33">
        <v>59056</v>
      </c>
    </row>
    <row r="635" spans="1:1">
      <c r="A635" s="33">
        <v>59091</v>
      </c>
    </row>
    <row r="636" spans="1:1">
      <c r="A636" s="33">
        <v>59112</v>
      </c>
    </row>
    <row r="637" spans="1:1">
      <c r="A637" s="33">
        <v>59125</v>
      </c>
    </row>
    <row r="638" spans="1:1">
      <c r="A638" s="33">
        <v>59165</v>
      </c>
    </row>
    <row r="639" spans="1:1">
      <c r="A639" s="33">
        <v>59172</v>
      </c>
    </row>
    <row r="640" spans="1:1">
      <c r="A640" s="33">
        <v>59208</v>
      </c>
    </row>
    <row r="641" spans="1:1">
      <c r="A641" s="33">
        <v>59209</v>
      </c>
    </row>
    <row r="642" spans="1:1">
      <c r="A642" s="33">
        <v>59254</v>
      </c>
    </row>
    <row r="643" spans="1:1">
      <c r="A643" s="33">
        <v>59282</v>
      </c>
    </row>
    <row r="644" spans="1:1">
      <c r="A644" s="33">
        <v>59292</v>
      </c>
    </row>
    <row r="645" spans="1:1">
      <c r="A645" s="33">
        <v>59316</v>
      </c>
    </row>
    <row r="646" spans="1:1">
      <c r="A646" s="33">
        <v>59421</v>
      </c>
    </row>
    <row r="647" spans="1:1">
      <c r="A647" s="33">
        <v>59456</v>
      </c>
    </row>
    <row r="648" spans="1:1">
      <c r="A648" s="33">
        <v>59477</v>
      </c>
    </row>
    <row r="649" spans="1:1">
      <c r="A649" s="33">
        <v>59490</v>
      </c>
    </row>
    <row r="650" spans="1:1">
      <c r="A650" s="33">
        <v>59530</v>
      </c>
    </row>
    <row r="651" spans="1:1">
      <c r="A651" s="33">
        <v>59537</v>
      </c>
    </row>
    <row r="652" spans="1:1">
      <c r="A652" s="33">
        <v>59593</v>
      </c>
    </row>
    <row r="653" spans="1:1">
      <c r="A653" s="33">
        <v>59594</v>
      </c>
    </row>
    <row r="654" spans="1:1">
      <c r="A654" s="33">
        <v>59639</v>
      </c>
    </row>
    <row r="655" spans="1:1">
      <c r="A655" s="33">
        <v>59647</v>
      </c>
    </row>
    <row r="656" spans="1:1">
      <c r="A656" s="33">
        <v>59657</v>
      </c>
    </row>
    <row r="657" spans="1:1">
      <c r="A657" s="33">
        <v>59701</v>
      </c>
    </row>
    <row r="658" spans="1:1">
      <c r="A658" s="33">
        <v>59786</v>
      </c>
    </row>
    <row r="659" spans="1:1">
      <c r="A659" s="33">
        <v>59821</v>
      </c>
    </row>
    <row r="660" spans="1:1">
      <c r="A660" s="33">
        <v>59842</v>
      </c>
    </row>
    <row r="661" spans="1:1">
      <c r="A661" s="33">
        <v>59855</v>
      </c>
    </row>
    <row r="662" spans="1:1">
      <c r="A662" s="33">
        <v>59895</v>
      </c>
    </row>
    <row r="663" spans="1:1">
      <c r="A663" s="33">
        <v>59902</v>
      </c>
    </row>
    <row r="664" spans="1:1">
      <c r="A664" s="33">
        <v>59950</v>
      </c>
    </row>
    <row r="665" spans="1:1">
      <c r="A665" s="33">
        <v>59951</v>
      </c>
    </row>
    <row r="666" spans="1:1">
      <c r="A666" s="33">
        <v>59996</v>
      </c>
    </row>
    <row r="667" spans="1:1">
      <c r="A667" s="33">
        <v>60013</v>
      </c>
    </row>
    <row r="668" spans="1:1">
      <c r="A668" s="33">
        <v>60023</v>
      </c>
    </row>
    <row r="669" spans="1:1">
      <c r="A669" s="33">
        <v>60058</v>
      </c>
    </row>
    <row r="670" spans="1:1">
      <c r="A670" s="33">
        <v>60152</v>
      </c>
    </row>
    <row r="671" spans="1:1">
      <c r="A671" s="33">
        <v>60187</v>
      </c>
    </row>
    <row r="672" spans="1:1">
      <c r="A672" s="33">
        <v>60208</v>
      </c>
    </row>
    <row r="673" spans="1:1">
      <c r="A673" s="33">
        <v>60221</v>
      </c>
    </row>
    <row r="674" spans="1:1">
      <c r="A674" s="33">
        <v>60261</v>
      </c>
    </row>
    <row r="675" spans="1:1">
      <c r="A675" s="33">
        <v>60268</v>
      </c>
    </row>
    <row r="676" spans="1:1">
      <c r="A676" s="33">
        <v>60307</v>
      </c>
    </row>
    <row r="677" spans="1:1">
      <c r="A677" s="33">
        <v>60308</v>
      </c>
    </row>
    <row r="678" spans="1:1">
      <c r="A678" s="33">
        <v>60353</v>
      </c>
    </row>
    <row r="679" spans="1:1">
      <c r="A679" s="33">
        <v>60378</v>
      </c>
    </row>
    <row r="680" spans="1:1">
      <c r="A680" s="33">
        <v>60388</v>
      </c>
    </row>
    <row r="681" spans="1:1">
      <c r="A681" s="33">
        <v>60415</v>
      </c>
    </row>
    <row r="682" spans="1:1">
      <c r="A682" s="33">
        <v>60517</v>
      </c>
    </row>
    <row r="683" spans="1:1">
      <c r="A683" s="33">
        <v>60552</v>
      </c>
    </row>
    <row r="684" spans="1:1">
      <c r="A684" s="33">
        <v>60573</v>
      </c>
    </row>
    <row r="685" spans="1:1">
      <c r="A685" s="33">
        <v>60586</v>
      </c>
    </row>
    <row r="686" spans="1:1">
      <c r="A686" s="33">
        <v>60626</v>
      </c>
    </row>
    <row r="687" spans="1:1">
      <c r="A687" s="33">
        <v>60633</v>
      </c>
    </row>
    <row r="688" spans="1:1">
      <c r="A688" s="33">
        <v>60685</v>
      </c>
    </row>
    <row r="689" spans="1:1">
      <c r="A689" s="33">
        <v>60686</v>
      </c>
    </row>
    <row r="690" spans="1:1">
      <c r="A690" s="33">
        <v>60731</v>
      </c>
    </row>
    <row r="691" spans="1:1">
      <c r="A691" s="33">
        <v>60743</v>
      </c>
    </row>
    <row r="692" spans="1:1">
      <c r="A692" s="33">
        <v>60753</v>
      </c>
    </row>
    <row r="693" spans="1:1">
      <c r="A693" s="33">
        <v>60793</v>
      </c>
    </row>
    <row r="694" spans="1:1">
      <c r="A694" s="33">
        <v>60882</v>
      </c>
    </row>
    <row r="695" spans="1:1">
      <c r="A695" s="33">
        <v>60917</v>
      </c>
    </row>
    <row r="696" spans="1:1">
      <c r="A696" s="33">
        <v>60938</v>
      </c>
    </row>
    <row r="697" spans="1:1">
      <c r="A697" s="33">
        <v>60951</v>
      </c>
    </row>
    <row r="698" spans="1:1">
      <c r="A698" s="33">
        <v>60991</v>
      </c>
    </row>
    <row r="699" spans="1:1">
      <c r="A699" s="33">
        <v>60998</v>
      </c>
    </row>
    <row r="700" spans="1:1">
      <c r="A700" s="33">
        <v>61042</v>
      </c>
    </row>
    <row r="701" spans="1:1">
      <c r="A701" s="33">
        <v>61043</v>
      </c>
    </row>
    <row r="702" spans="1:1">
      <c r="A702" s="33">
        <v>61088</v>
      </c>
    </row>
    <row r="703" spans="1:1">
      <c r="A703" s="33">
        <v>61108</v>
      </c>
    </row>
    <row r="704" spans="1:1">
      <c r="A704" s="33">
        <v>61118</v>
      </c>
    </row>
    <row r="705" spans="1:1">
      <c r="A705" s="33">
        <v>61150</v>
      </c>
    </row>
    <row r="706" spans="1:1">
      <c r="A706" s="33">
        <v>61247</v>
      </c>
    </row>
    <row r="707" spans="1:1">
      <c r="A707" s="33">
        <v>61282</v>
      </c>
    </row>
    <row r="708" spans="1:1">
      <c r="A708" s="33">
        <v>61303</v>
      </c>
    </row>
    <row r="709" spans="1:1">
      <c r="A709" s="33">
        <v>61316</v>
      </c>
    </row>
    <row r="710" spans="1:1">
      <c r="A710" s="33">
        <v>61356</v>
      </c>
    </row>
    <row r="711" spans="1:1">
      <c r="A711" s="33">
        <v>61363</v>
      </c>
    </row>
    <row r="712" spans="1:1">
      <c r="A712" s="33">
        <v>61427</v>
      </c>
    </row>
    <row r="713" spans="1:1">
      <c r="A713" s="33">
        <v>61428</v>
      </c>
    </row>
    <row r="714" spans="1:1">
      <c r="A714" s="33">
        <v>61473</v>
      </c>
    </row>
    <row r="715" spans="1:1">
      <c r="A715" s="33">
        <v>61474</v>
      </c>
    </row>
    <row r="716" spans="1:1">
      <c r="A716" s="33">
        <v>61484</v>
      </c>
    </row>
    <row r="717" spans="1:1">
      <c r="A717" s="33">
        <v>61535</v>
      </c>
    </row>
    <row r="718" spans="1:1">
      <c r="A718" s="33">
        <v>61613</v>
      </c>
    </row>
    <row r="719" spans="1:1">
      <c r="A719" s="33">
        <v>61648</v>
      </c>
    </row>
    <row r="720" spans="1:1">
      <c r="A720" s="33">
        <v>61669</v>
      </c>
    </row>
    <row r="721" spans="1:1">
      <c r="A721" s="33">
        <v>61682</v>
      </c>
    </row>
    <row r="722" spans="1:1">
      <c r="A722" s="33">
        <v>61722</v>
      </c>
    </row>
    <row r="723" spans="1:1">
      <c r="A723" s="33">
        <v>61729</v>
      </c>
    </row>
    <row r="724" spans="1:1">
      <c r="A724" s="33">
        <v>61784</v>
      </c>
    </row>
    <row r="725" spans="1:1">
      <c r="A725" s="33">
        <v>61785</v>
      </c>
    </row>
    <row r="726" spans="1:1">
      <c r="A726" s="33">
        <v>61830</v>
      </c>
    </row>
    <row r="727" spans="1:1">
      <c r="A727" s="33">
        <v>61839</v>
      </c>
    </row>
    <row r="728" spans="1:1">
      <c r="A728" s="33">
        <v>61849</v>
      </c>
    </row>
    <row r="729" spans="1:1">
      <c r="A729" s="33">
        <v>61892</v>
      </c>
    </row>
    <row r="730" spans="1:1">
      <c r="A730" s="33">
        <v>61978</v>
      </c>
    </row>
    <row r="731" spans="1:1">
      <c r="A731" s="33">
        <v>62013</v>
      </c>
    </row>
    <row r="732" spans="1:1">
      <c r="A732" s="33">
        <v>62034</v>
      </c>
    </row>
    <row r="733" spans="1:1">
      <c r="A733" s="33">
        <v>62047</v>
      </c>
    </row>
    <row r="734" spans="1:1">
      <c r="A734" s="33">
        <v>62087</v>
      </c>
    </row>
    <row r="735" spans="1:1">
      <c r="A735" s="33">
        <v>62094</v>
      </c>
    </row>
    <row r="736" spans="1:1">
      <c r="A736" s="33">
        <v>62134</v>
      </c>
    </row>
    <row r="737" spans="1:1">
      <c r="A737" s="33">
        <v>62135</v>
      </c>
    </row>
    <row r="738" spans="1:1">
      <c r="A738" s="33">
        <v>62180</v>
      </c>
    </row>
    <row r="739" spans="1:1">
      <c r="A739" s="33">
        <v>62204</v>
      </c>
    </row>
    <row r="740" spans="1:1">
      <c r="A740" s="33">
        <v>62214</v>
      </c>
    </row>
    <row r="741" spans="1:1">
      <c r="A741" s="33">
        <v>62242</v>
      </c>
    </row>
    <row r="742" spans="1:1">
      <c r="A742" s="33">
        <v>62343</v>
      </c>
    </row>
    <row r="743" spans="1:1">
      <c r="A743" s="33">
        <v>62378</v>
      </c>
    </row>
    <row r="744" spans="1:1">
      <c r="A744" s="33">
        <v>62399</v>
      </c>
    </row>
    <row r="745" spans="1:1">
      <c r="A745" s="33">
        <v>62412</v>
      </c>
    </row>
    <row r="746" spans="1:1">
      <c r="A746" s="33">
        <v>62452</v>
      </c>
    </row>
    <row r="747" spans="1:1">
      <c r="A747" s="33">
        <v>62459</v>
      </c>
    </row>
    <row r="748" spans="1:1">
      <c r="A748" s="33">
        <v>62519</v>
      </c>
    </row>
    <row r="749" spans="1:1">
      <c r="A749" s="33">
        <v>62520</v>
      </c>
    </row>
    <row r="750" spans="1:1">
      <c r="A750" s="33">
        <v>62565</v>
      </c>
    </row>
    <row r="751" spans="1:1">
      <c r="A751" s="33">
        <v>62569</v>
      </c>
    </row>
    <row r="752" spans="1:1">
      <c r="A752" s="33">
        <v>62579</v>
      </c>
    </row>
    <row r="753" spans="1:1">
      <c r="A753" s="33">
        <v>62627</v>
      </c>
    </row>
    <row r="754" spans="1:1">
      <c r="A754" s="33">
        <v>62708</v>
      </c>
    </row>
    <row r="755" spans="1:1">
      <c r="A755" s="33">
        <v>62743</v>
      </c>
    </row>
    <row r="756" spans="1:1">
      <c r="A756" s="33">
        <v>62764</v>
      </c>
    </row>
    <row r="757" spans="1:1">
      <c r="A757" s="33">
        <v>62777</v>
      </c>
    </row>
    <row r="758" spans="1:1">
      <c r="A758" s="33">
        <v>62817</v>
      </c>
    </row>
    <row r="759" spans="1:1">
      <c r="A759" s="33">
        <v>62824</v>
      </c>
    </row>
    <row r="760" spans="1:1">
      <c r="A760" s="33">
        <v>62876</v>
      </c>
    </row>
    <row r="761" spans="1:1">
      <c r="A761" s="33">
        <v>62877</v>
      </c>
    </row>
    <row r="762" spans="1:1">
      <c r="A762" s="33">
        <v>62922</v>
      </c>
    </row>
    <row r="763" spans="1:1">
      <c r="A763" s="33">
        <v>62935</v>
      </c>
    </row>
    <row r="764" spans="1:1">
      <c r="A764" s="33">
        <v>62945</v>
      </c>
    </row>
    <row r="765" spans="1:1">
      <c r="A765" s="33">
        <v>62984</v>
      </c>
    </row>
    <row r="766" spans="1:1">
      <c r="A766" s="33">
        <v>63074</v>
      </c>
    </row>
    <row r="767" spans="1:1">
      <c r="A767" s="33">
        <v>63109</v>
      </c>
    </row>
    <row r="768" spans="1:1">
      <c r="A768" s="33">
        <v>63130</v>
      </c>
    </row>
    <row r="769" spans="1:1">
      <c r="A769" s="33">
        <v>63143</v>
      </c>
    </row>
    <row r="770" spans="1:1">
      <c r="A770" s="33">
        <v>63183</v>
      </c>
    </row>
    <row r="771" spans="1:1">
      <c r="A771" s="33">
        <v>63190</v>
      </c>
    </row>
    <row r="772" spans="1:1">
      <c r="A772" s="33">
        <v>63226</v>
      </c>
    </row>
    <row r="773" spans="1:1">
      <c r="A773" s="33">
        <v>63227</v>
      </c>
    </row>
    <row r="774" spans="1:1">
      <c r="A774" s="33">
        <v>63272</v>
      </c>
    </row>
    <row r="775" spans="1:1">
      <c r="A775" s="33">
        <v>63300</v>
      </c>
    </row>
    <row r="776" spans="1:1">
      <c r="A776" s="33">
        <v>63310</v>
      </c>
    </row>
    <row r="777" spans="1:1">
      <c r="A777" s="33">
        <v>63334</v>
      </c>
    </row>
    <row r="778" spans="1:1">
      <c r="A778" s="33">
        <v>63439</v>
      </c>
    </row>
    <row r="779" spans="1:1">
      <c r="A779" s="33">
        <v>63474</v>
      </c>
    </row>
    <row r="780" spans="1:1">
      <c r="A780" s="33">
        <v>63495</v>
      </c>
    </row>
    <row r="781" spans="1:1">
      <c r="A781" s="33">
        <v>63508</v>
      </c>
    </row>
    <row r="782" spans="1:1">
      <c r="A782" s="33">
        <v>63548</v>
      </c>
    </row>
    <row r="783" spans="1:1">
      <c r="A783" s="33">
        <v>63555</v>
      </c>
    </row>
    <row r="784" spans="1:1">
      <c r="A784" s="33">
        <v>63611</v>
      </c>
    </row>
    <row r="785" spans="1:1">
      <c r="A785" s="33">
        <v>63612</v>
      </c>
    </row>
    <row r="786" spans="1:1">
      <c r="A786" s="33">
        <v>63657</v>
      </c>
    </row>
    <row r="787" spans="1:1">
      <c r="A787" s="33">
        <v>63665</v>
      </c>
    </row>
    <row r="788" spans="1:1">
      <c r="A788" s="33">
        <v>63675</v>
      </c>
    </row>
    <row r="789" spans="1:1">
      <c r="A789" s="33">
        <v>63719</v>
      </c>
    </row>
    <row r="790" spans="1:1">
      <c r="A790" s="33">
        <v>63804</v>
      </c>
    </row>
    <row r="791" spans="1:1">
      <c r="A791" s="33">
        <v>63839</v>
      </c>
    </row>
    <row r="792" spans="1:1">
      <c r="A792" s="33">
        <v>63860</v>
      </c>
    </row>
    <row r="793" spans="1:1">
      <c r="A793" s="33">
        <v>63873</v>
      </c>
    </row>
    <row r="794" spans="1:1">
      <c r="A794" s="33">
        <v>63913</v>
      </c>
    </row>
    <row r="795" spans="1:1">
      <c r="A795" s="33">
        <v>63920</v>
      </c>
    </row>
    <row r="796" spans="1:1">
      <c r="A796" s="33">
        <v>63968</v>
      </c>
    </row>
    <row r="797" spans="1:1">
      <c r="A797" s="33">
        <v>63969</v>
      </c>
    </row>
    <row r="798" spans="1:1">
      <c r="A798" s="33">
        <v>64014</v>
      </c>
    </row>
    <row r="799" spans="1:1">
      <c r="A799" s="33">
        <v>64030</v>
      </c>
    </row>
    <row r="800" spans="1:1">
      <c r="A800" s="33">
        <v>64040</v>
      </c>
    </row>
    <row r="801" spans="1:1">
      <c r="A801" s="33">
        <v>64076</v>
      </c>
    </row>
    <row r="802" spans="1:1">
      <c r="A802" s="33">
        <v>64169</v>
      </c>
    </row>
    <row r="803" spans="1:1">
      <c r="A803" s="33">
        <v>64204</v>
      </c>
    </row>
    <row r="804" spans="1:1">
      <c r="A804" s="33">
        <v>64225</v>
      </c>
    </row>
    <row r="805" spans="1:1">
      <c r="A805" s="33">
        <v>64238</v>
      </c>
    </row>
    <row r="806" spans="1:1">
      <c r="A806" s="33">
        <v>64278</v>
      </c>
    </row>
    <row r="807" spans="1:1">
      <c r="A807" s="33">
        <v>64285</v>
      </c>
    </row>
    <row r="808" spans="1:1">
      <c r="A808" s="33">
        <v>64346</v>
      </c>
    </row>
    <row r="809" spans="1:1">
      <c r="A809" s="33">
        <v>64347</v>
      </c>
    </row>
    <row r="810" spans="1:1">
      <c r="A810" s="33">
        <v>64392</v>
      </c>
    </row>
    <row r="811" spans="1:1">
      <c r="A811" s="33">
        <v>64396</v>
      </c>
    </row>
    <row r="812" spans="1:1">
      <c r="A812" s="33">
        <v>64406</v>
      </c>
    </row>
    <row r="813" spans="1:1">
      <c r="A813" s="33">
        <v>64454</v>
      </c>
    </row>
    <row r="814" spans="1:1">
      <c r="A814" s="33">
        <v>64535</v>
      </c>
    </row>
    <row r="815" spans="1:1">
      <c r="A815" s="33">
        <v>64570</v>
      </c>
    </row>
    <row r="816" spans="1:1">
      <c r="A816" s="33">
        <v>64591</v>
      </c>
    </row>
    <row r="817" spans="1:1">
      <c r="A817" s="33">
        <v>64604</v>
      </c>
    </row>
    <row r="818" spans="1:1">
      <c r="A818" s="33">
        <v>64644</v>
      </c>
    </row>
    <row r="819" spans="1:1">
      <c r="A819" s="33">
        <v>64651</v>
      </c>
    </row>
    <row r="820" spans="1:1">
      <c r="A820" s="33">
        <v>64703</v>
      </c>
    </row>
    <row r="821" spans="1:1">
      <c r="A821" s="33">
        <v>64704</v>
      </c>
    </row>
    <row r="822" spans="1:1">
      <c r="A822" s="33">
        <v>64749</v>
      </c>
    </row>
    <row r="823" spans="1:1">
      <c r="A823" s="33">
        <v>64761</v>
      </c>
    </row>
    <row r="824" spans="1:1">
      <c r="A824" s="33">
        <v>64771</v>
      </c>
    </row>
    <row r="825" spans="1:1">
      <c r="A825" s="33">
        <v>64811</v>
      </c>
    </row>
    <row r="826" spans="1:1">
      <c r="A826" s="33">
        <v>64900</v>
      </c>
    </row>
    <row r="827" spans="1:1">
      <c r="A827" s="33">
        <v>64935</v>
      </c>
    </row>
    <row r="828" spans="1:1">
      <c r="A828" s="33">
        <v>64956</v>
      </c>
    </row>
    <row r="829" spans="1:1">
      <c r="A829" s="33">
        <v>64969</v>
      </c>
    </row>
    <row r="830" spans="1:1">
      <c r="A830" s="33">
        <v>65009</v>
      </c>
    </row>
    <row r="831" spans="1:1">
      <c r="A831" s="33">
        <v>65016</v>
      </c>
    </row>
    <row r="832" spans="1:1">
      <c r="A832" s="33">
        <v>65060</v>
      </c>
    </row>
    <row r="833" spans="1:1">
      <c r="A833" s="33">
        <v>65061</v>
      </c>
    </row>
    <row r="834" spans="1:1">
      <c r="A834" s="33">
        <v>65106</v>
      </c>
    </row>
    <row r="835" spans="1:1">
      <c r="A835" s="33">
        <v>65126</v>
      </c>
    </row>
    <row r="836" spans="1:1">
      <c r="A836" s="33">
        <v>65136</v>
      </c>
    </row>
    <row r="837" spans="1:1">
      <c r="A837" s="33">
        <v>65168</v>
      </c>
    </row>
    <row r="838" spans="1:1">
      <c r="A838" s="33">
        <v>65265</v>
      </c>
    </row>
    <row r="839" spans="1:1">
      <c r="A839" s="33">
        <v>65300</v>
      </c>
    </row>
    <row r="840" spans="1:1">
      <c r="A840" s="33">
        <v>65321</v>
      </c>
    </row>
    <row r="841" spans="1:1">
      <c r="A841" s="33">
        <v>65334</v>
      </c>
    </row>
    <row r="842" spans="1:1">
      <c r="A842" s="33">
        <v>65374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C2859-627A-4B9E-A297-F1743F80E47D}">
  <sheetPr codeName="Planilha6"/>
  <dimension ref="B8:AF544"/>
  <sheetViews>
    <sheetView topLeftCell="A7" workbookViewId="0">
      <pane xSplit="2" ySplit="7" topLeftCell="L541" activePane="bottomRight" state="frozen"/>
      <selection pane="topRight" activeCell="C7" sqref="C7"/>
      <selection pane="bottomLeft" activeCell="A14" sqref="A14"/>
      <selection pane="bottomRight" activeCell="AB544" sqref="AB544"/>
    </sheetView>
  </sheetViews>
  <sheetFormatPr defaultRowHeight="15"/>
  <cols>
    <col min="2" max="2" width="10.140625" bestFit="1" customWidth="1"/>
    <col min="3" max="24" width="12.7109375" customWidth="1"/>
    <col min="25" max="26" width="14.42578125" bestFit="1" customWidth="1"/>
    <col min="27" max="27" width="12.28515625" bestFit="1" customWidth="1"/>
    <col min="28" max="32" width="12.7109375" customWidth="1"/>
  </cols>
  <sheetData>
    <row r="8" spans="2:32">
      <c r="S8">
        <v>85223.039999999994</v>
      </c>
      <c r="T8">
        <v>87000</v>
      </c>
      <c r="U8">
        <f>S8+T8</f>
        <v>172223.03999999998</v>
      </c>
    </row>
    <row r="12" spans="2:32">
      <c r="D12">
        <v>-1</v>
      </c>
      <c r="K12" s="49" t="s">
        <v>77</v>
      </c>
    </row>
    <row r="13" spans="2:32" ht="36.75" thickBot="1">
      <c r="C13" s="21" t="s">
        <v>78</v>
      </c>
      <c r="D13" s="23" t="s">
        <v>66</v>
      </c>
      <c r="E13" s="21" t="s">
        <v>79</v>
      </c>
      <c r="F13" s="21" t="s">
        <v>80</v>
      </c>
      <c r="G13" s="21" t="s">
        <v>81</v>
      </c>
      <c r="H13" s="21" t="s">
        <v>82</v>
      </c>
      <c r="I13" s="23" t="s">
        <v>83</v>
      </c>
      <c r="J13" s="21" t="s">
        <v>84</v>
      </c>
      <c r="K13" s="21" t="s">
        <v>85</v>
      </c>
      <c r="L13" s="21" t="s">
        <v>86</v>
      </c>
      <c r="M13" s="21" t="s">
        <v>87</v>
      </c>
      <c r="N13" s="21" t="s">
        <v>88</v>
      </c>
      <c r="O13" s="21" t="s">
        <v>89</v>
      </c>
      <c r="P13" s="21" t="s">
        <v>71</v>
      </c>
      <c r="Q13" s="52" t="s">
        <v>90</v>
      </c>
      <c r="R13" s="52" t="s">
        <v>200</v>
      </c>
      <c r="S13" s="52" t="s">
        <v>91</v>
      </c>
      <c r="T13" s="52" t="s">
        <v>92</v>
      </c>
      <c r="U13" s="34" t="s">
        <v>93</v>
      </c>
      <c r="V13" s="34" t="s">
        <v>94</v>
      </c>
      <c r="W13" s="34" t="s">
        <v>95</v>
      </c>
      <c r="X13" s="34" t="s">
        <v>96</v>
      </c>
      <c r="Y13" s="34" t="s">
        <v>97</v>
      </c>
      <c r="Z13" s="34" t="s">
        <v>98</v>
      </c>
      <c r="AA13" s="34" t="s">
        <v>99</v>
      </c>
      <c r="AB13" s="34" t="s">
        <v>27</v>
      </c>
      <c r="AC13" s="34" t="s">
        <v>210</v>
      </c>
      <c r="AD13" s="34" t="s">
        <v>100</v>
      </c>
      <c r="AE13" s="21"/>
      <c r="AF13" s="21"/>
    </row>
    <row r="14" spans="2:32">
      <c r="B14" s="1">
        <v>44868</v>
      </c>
      <c r="C14" s="51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6">
        <v>0</v>
      </c>
      <c r="U14" s="26">
        <v>0</v>
      </c>
      <c r="V14" s="26">
        <v>0</v>
      </c>
      <c r="W14" s="26">
        <v>0</v>
      </c>
      <c r="X14" s="26">
        <v>0</v>
      </c>
      <c r="Y14" s="26">
        <v>0</v>
      </c>
      <c r="Z14" s="26">
        <v>0</v>
      </c>
      <c r="AA14" s="26">
        <v>0</v>
      </c>
      <c r="AB14" s="26">
        <v>0</v>
      </c>
      <c r="AC14" s="26">
        <v>0</v>
      </c>
      <c r="AD14" s="15">
        <f t="shared" ref="AD14:AD25" si="0">SUM(C14:AB14)</f>
        <v>0</v>
      </c>
    </row>
    <row r="15" spans="2:32">
      <c r="B15" s="1">
        <v>44869</v>
      </c>
      <c r="C15" s="51">
        <f>AD14</f>
        <v>0</v>
      </c>
      <c r="D15" s="26">
        <v>0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s="26">
        <v>0</v>
      </c>
      <c r="K15" s="26">
        <v>0</v>
      </c>
      <c r="L15" s="26">
        <v>0</v>
      </c>
      <c r="M15" s="26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  <c r="T15" s="26">
        <v>0</v>
      </c>
      <c r="U15" s="26">
        <v>0</v>
      </c>
      <c r="V15" s="26">
        <v>0</v>
      </c>
      <c r="W15" s="26">
        <v>0</v>
      </c>
      <c r="X15" s="26">
        <v>0</v>
      </c>
      <c r="Y15" s="26">
        <v>0</v>
      </c>
      <c r="Z15" s="26">
        <v>0</v>
      </c>
      <c r="AA15" s="26">
        <v>0</v>
      </c>
      <c r="AB15" s="26">
        <v>0</v>
      </c>
      <c r="AC15" s="26">
        <v>0</v>
      </c>
      <c r="AD15" s="15">
        <f t="shared" si="0"/>
        <v>0</v>
      </c>
    </row>
    <row r="16" spans="2:32">
      <c r="B16" s="1">
        <v>44872</v>
      </c>
      <c r="C16" s="51">
        <f t="shared" ref="C16:C25" si="1">AD15</f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6">
        <v>0</v>
      </c>
      <c r="U16" s="26">
        <v>0</v>
      </c>
      <c r="V16" s="26">
        <v>0</v>
      </c>
      <c r="W16" s="26">
        <v>0</v>
      </c>
      <c r="X16" s="26">
        <v>0</v>
      </c>
      <c r="Y16" s="26">
        <v>0</v>
      </c>
      <c r="Z16" s="26">
        <v>0</v>
      </c>
      <c r="AA16" s="26">
        <v>0</v>
      </c>
      <c r="AB16" s="26">
        <v>0</v>
      </c>
      <c r="AC16" s="26">
        <v>0</v>
      </c>
      <c r="AD16" s="15">
        <f t="shared" si="0"/>
        <v>0</v>
      </c>
    </row>
    <row r="17" spans="2:30">
      <c r="B17" s="1">
        <v>44873</v>
      </c>
      <c r="C17" s="51">
        <f t="shared" si="1"/>
        <v>0</v>
      </c>
      <c r="D17" s="26">
        <v>-5000</v>
      </c>
      <c r="E17" s="26">
        <v>0</v>
      </c>
      <c r="F17" s="26">
        <v>0</v>
      </c>
      <c r="G17" s="26">
        <v>0</v>
      </c>
      <c r="H17" s="26">
        <v>0</v>
      </c>
      <c r="I17" s="26">
        <v>0</v>
      </c>
      <c r="J17" s="26">
        <v>0</v>
      </c>
      <c r="K17" s="26">
        <v>0</v>
      </c>
      <c r="L17" s="26">
        <v>0</v>
      </c>
      <c r="M17" s="26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6">
        <v>0</v>
      </c>
      <c r="U17" s="26">
        <v>0</v>
      </c>
      <c r="V17" s="26">
        <v>0</v>
      </c>
      <c r="W17" s="26">
        <v>0</v>
      </c>
      <c r="X17" s="26">
        <v>0</v>
      </c>
      <c r="Y17" s="26">
        <v>5259</v>
      </c>
      <c r="Z17" s="26">
        <v>0</v>
      </c>
      <c r="AA17" s="26">
        <v>0</v>
      </c>
      <c r="AB17" s="26">
        <v>-259.16000000000003</v>
      </c>
      <c r="AC17" s="26">
        <v>0</v>
      </c>
      <c r="AD17" s="15">
        <f t="shared" si="0"/>
        <v>-0.16000000000002501</v>
      </c>
    </row>
    <row r="18" spans="2:30">
      <c r="B18" s="1">
        <v>44874</v>
      </c>
      <c r="C18" s="51">
        <f t="shared" si="1"/>
        <v>-0.16000000000002501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0</v>
      </c>
      <c r="V18" s="26">
        <v>0</v>
      </c>
      <c r="W18" s="26">
        <v>0</v>
      </c>
      <c r="X18" s="26">
        <v>0</v>
      </c>
      <c r="Y18" s="26">
        <v>0</v>
      </c>
      <c r="Z18" s="26">
        <v>0</v>
      </c>
      <c r="AA18" s="26">
        <v>0</v>
      </c>
      <c r="AB18" s="26">
        <v>0</v>
      </c>
      <c r="AC18" s="26">
        <v>0</v>
      </c>
      <c r="AD18" s="15">
        <f t="shared" si="0"/>
        <v>-0.16000000000002501</v>
      </c>
    </row>
    <row r="19" spans="2:30">
      <c r="B19" s="1">
        <v>44875</v>
      </c>
      <c r="C19" s="51">
        <f t="shared" si="1"/>
        <v>-0.16000000000002501</v>
      </c>
      <c r="D19" s="26">
        <v>0</v>
      </c>
      <c r="E19" s="26">
        <v>0</v>
      </c>
      <c r="F19" s="26">
        <v>0</v>
      </c>
      <c r="G19" s="26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6">
        <v>0</v>
      </c>
      <c r="V19" s="26">
        <v>0</v>
      </c>
      <c r="W19" s="26">
        <v>0</v>
      </c>
      <c r="X19" s="26">
        <v>0</v>
      </c>
      <c r="Y19" s="26">
        <v>0</v>
      </c>
      <c r="Z19" s="26">
        <v>0</v>
      </c>
      <c r="AA19" s="26">
        <v>0</v>
      </c>
      <c r="AB19" s="26">
        <v>0</v>
      </c>
      <c r="AC19" s="26">
        <v>0</v>
      </c>
      <c r="AD19" s="15">
        <f t="shared" si="0"/>
        <v>-0.16000000000002501</v>
      </c>
    </row>
    <row r="20" spans="2:30">
      <c r="B20" s="1">
        <v>44876</v>
      </c>
      <c r="C20" s="51">
        <f t="shared" si="1"/>
        <v>-0.16000000000002501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6">
        <v>0</v>
      </c>
      <c r="W20" s="26">
        <v>0</v>
      </c>
      <c r="X20" s="26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15">
        <f t="shared" si="0"/>
        <v>-0.16000000000002501</v>
      </c>
    </row>
    <row r="21" spans="2:30">
      <c r="B21" s="1">
        <v>44879</v>
      </c>
      <c r="C21" s="51">
        <f t="shared" si="1"/>
        <v>-0.16000000000002501</v>
      </c>
      <c r="D21" s="26">
        <v>0</v>
      </c>
      <c r="E21" s="26">
        <v>0</v>
      </c>
      <c r="F21" s="26">
        <v>0</v>
      </c>
      <c r="G21" s="26">
        <v>0</v>
      </c>
      <c r="H21" s="26">
        <v>0</v>
      </c>
      <c r="I21" s="26">
        <v>0</v>
      </c>
      <c r="J21" s="26">
        <v>0</v>
      </c>
      <c r="K21">
        <f>VLOOKUP(B21,Resumo_HSF!$C$13:$AH$43,28,FALSE)</f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6">
        <v>0</v>
      </c>
      <c r="W21" s="26">
        <v>0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15">
        <f t="shared" si="0"/>
        <v>-0.16000000000002501</v>
      </c>
    </row>
    <row r="22" spans="2:30">
      <c r="B22" s="1">
        <v>44881</v>
      </c>
      <c r="C22" s="51">
        <f t="shared" si="1"/>
        <v>-0.16000000000002501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>
        <f>VLOOKUP(B22,Resumo_HSF!$C$13:$AH$43,28,FALSE)</f>
        <v>0</v>
      </c>
      <c r="L22" s="26">
        <v>0</v>
      </c>
      <c r="M22" s="26">
        <v>0</v>
      </c>
      <c r="N22" s="26">
        <v>0</v>
      </c>
      <c r="O22" s="26">
        <v>0</v>
      </c>
      <c r="P22" s="26">
        <v>-5.49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6">
        <v>0</v>
      </c>
      <c r="W22" s="26">
        <v>0</v>
      </c>
      <c r="X22" s="26">
        <f>-IF(VLOOKUP($B22,Resumo_HSF!$C$13:$AB$1000,16,FALSE)=VLOOKUP($B21,Resumo_HSF!$C$13:$AB$1000,16,FALSE),0,(VLOOKUP($B22,Resumo_HSF!$C$13:$AB$1000,16,FALSE)-VLOOKUP($B21,Resumo_HSF!$C$13:$AB$1000,16,FALSE))*VLOOKUP($B22,Resumo_HSF!$C$13:$AB$1000,15,FALSE))</f>
        <v>5.4899988510013005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15">
        <f t="shared" si="0"/>
        <v>-0.16000114899872475</v>
      </c>
    </row>
    <row r="23" spans="2:30">
      <c r="B23" s="1">
        <v>44882</v>
      </c>
      <c r="C23" s="51">
        <f t="shared" si="1"/>
        <v>-0.16000114899872475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>
        <f>VLOOKUP(B23,Resumo_HSF!$C$13:$AH$43,28,FALSE)</f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0</v>
      </c>
      <c r="X23" s="26">
        <f>-IF(VLOOKUP($B23,Resumo_HSF!$C$13:$AB$1000,16,FALSE)=VLOOKUP($B22,Resumo_HSF!$C$13:$AB$1000,16,FALSE),0,(VLOOKUP($B23,Resumo_HSF!$C$13:$AB$1000,16,FALSE)-VLOOKUP($B22,Resumo_HSF!$C$13:$AB$1000,16,FALSE))*VLOOKUP($B23,Resumo_HSF!$C$13:$AB$1000,15,FALSE))</f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15">
        <f t="shared" si="0"/>
        <v>-0.16000114899872475</v>
      </c>
    </row>
    <row r="24" spans="2:30">
      <c r="B24" s="1">
        <v>44883</v>
      </c>
      <c r="C24" s="51">
        <f t="shared" si="1"/>
        <v>-0.16000114899872475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>
        <f>VLOOKUP(B24,Resumo_HSF!$C$13:$AH$43,28,FALSE)</f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6">
        <v>0</v>
      </c>
      <c r="W24" s="26">
        <v>0</v>
      </c>
      <c r="X24" s="26">
        <f>-IF(VLOOKUP($B24,Resumo_HSF!$C$13:$AB$1000,16,FALSE)=VLOOKUP($B23,Resumo_HSF!$C$13:$AB$1000,16,FALSE),0,(VLOOKUP($B24,Resumo_HSF!$C$13:$AB$1000,16,FALSE)-VLOOKUP($B23,Resumo_HSF!$C$13:$AB$1000,16,FALSE))*VLOOKUP($B24,Resumo_HSF!$C$13:$AB$1000,15,FALSE))</f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15">
        <f t="shared" si="0"/>
        <v>-0.16000114899872475</v>
      </c>
    </row>
    <row r="25" spans="2:30">
      <c r="B25" s="1">
        <v>44886</v>
      </c>
      <c r="C25" s="51">
        <f t="shared" si="1"/>
        <v>-0.16000114899872475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>
        <f>VLOOKUP(B25,Resumo_HSF!$C$13:$AH$43,28,FALSE)</f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f>-IF(VLOOKUP($B25,Resumo_HSF!$C$13:$AB$1000,16,FALSE)=VLOOKUP($B24,Resumo_HSF!$C$13:$AB$1000,16,FALSE),0,(VLOOKUP($B25,Resumo_HSF!$C$13:$AB$1000,16,FALSE)-VLOOKUP($B24,Resumo_HSF!$C$13:$AB$1000,16,FALSE))*VLOOKUP($B25,Resumo_HSF!$C$13:$AB$1000,15,FALSE))</f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15">
        <f t="shared" si="0"/>
        <v>-0.16000114899872475</v>
      </c>
    </row>
    <row r="26" spans="2:30">
      <c r="B26" s="1">
        <v>44887</v>
      </c>
      <c r="C26" s="51">
        <f>AD26</f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>
        <f>VLOOKUP(B26,Resumo_HSF!$C$13:$AH$43,28,FALSE)</f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f>-IF(VLOOKUP($B26,Resumo_HSF!$C$13:$AB$1000,16,FALSE)=VLOOKUP($B25,Resumo_HSF!$C$13:$AB$1000,16,FALSE),0,(VLOOKUP($B26,Resumo_HSF!$C$13:$AB$1000,16,FALSE)-VLOOKUP($B25,Resumo_HSF!$C$13:$AB$1000,16,FALSE))*VLOOKUP($B26,Resumo_HSF!$C$13:$AB$1000,15,FALSE))</f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15">
        <f t="shared" ref="AD26:AD57" si="2">SUM(D26:AB26)</f>
        <v>0</v>
      </c>
    </row>
    <row r="27" spans="2:30">
      <c r="B27" s="1">
        <v>44888</v>
      </c>
      <c r="C27" s="51">
        <f t="shared" ref="C27:C90" si="3">AD27</f>
        <v>-1.7173588275909424E-6</v>
      </c>
      <c r="D27" s="26">
        <v>0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  <c r="K27">
        <f>-VLOOKUP(B27,Resumo_HSF!$C$13:$AH$43,28,FALSE)</f>
        <v>-4000000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6">
        <v>0</v>
      </c>
      <c r="W27" s="26">
        <v>0</v>
      </c>
      <c r="X27" s="26">
        <f>-IF(VLOOKUP($B27,Resumo_HSF!$C$13:$AB$1000,16,FALSE)=VLOOKUP($B26,Resumo_HSF!$C$13:$AB$1000,16,FALSE),0,(VLOOKUP($B27,Resumo_HSF!$C$13:$AB$1000,16,FALSE)-VLOOKUP($B26,Resumo_HSF!$C$13:$AB$1000,16,FALSE))*VLOOKUP($B27,Resumo_HSF!$C$13:$AB$1000,15,FALSE))</f>
        <v>-1105206.8800017175</v>
      </c>
      <c r="Y27" s="26">
        <v>0</v>
      </c>
      <c r="Z27" s="26">
        <v>0</v>
      </c>
      <c r="AA27" s="26">
        <v>5105206.88</v>
      </c>
      <c r="AB27" s="26">
        <v>0</v>
      </c>
      <c r="AC27" s="26">
        <v>0</v>
      </c>
      <c r="AD27" s="15">
        <f t="shared" si="2"/>
        <v>-1.7173588275909424E-6</v>
      </c>
    </row>
    <row r="28" spans="2:30">
      <c r="B28" s="1">
        <v>44889</v>
      </c>
      <c r="C28" s="51">
        <f t="shared" si="3"/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>
        <f>VLOOKUP(B28,Resumo_HSF!$C$13:$AH$43,28,FALSE)</f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6">
        <v>0</v>
      </c>
      <c r="W28" s="26">
        <v>0</v>
      </c>
      <c r="X28" s="26">
        <f>-IF(VLOOKUP($B28,Resumo_HSF!$C$13:$AB$1000,16,FALSE)=VLOOKUP($B27,Resumo_HSF!$C$13:$AB$1000,16,FALSE),0,(VLOOKUP($B28,Resumo_HSF!$C$13:$AB$1000,16,FALSE)-VLOOKUP($B27,Resumo_HSF!$C$13:$AB$1000,16,FALSE))*VLOOKUP($B28,Resumo_HSF!$C$13:$AB$1000,15,FALSE))</f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15">
        <f t="shared" si="2"/>
        <v>0</v>
      </c>
    </row>
    <row r="29" spans="2:30">
      <c r="B29" s="1">
        <v>44890</v>
      </c>
      <c r="C29" s="51">
        <f t="shared" si="3"/>
        <v>0</v>
      </c>
      <c r="D29" s="26">
        <v>0</v>
      </c>
      <c r="E29" s="26">
        <v>0</v>
      </c>
      <c r="F29" s="26">
        <v>0</v>
      </c>
      <c r="G29" s="26">
        <v>0</v>
      </c>
      <c r="H29" s="26">
        <v>0</v>
      </c>
      <c r="I29" s="26">
        <v>0</v>
      </c>
      <c r="J29" s="26">
        <v>0</v>
      </c>
      <c r="K29">
        <f>VLOOKUP(B29,Resumo_HSF!$C$13:$AH$43,28,FALSE)</f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f>-IF(VLOOKUP($B29,Resumo_HSF!$C$13:$AB$1000,16,FALSE)=VLOOKUP($B28,Resumo_HSF!$C$13:$AB$1000,16,FALSE),0,(VLOOKUP($B29,Resumo_HSF!$C$13:$AB$1000,16,FALSE)-VLOOKUP($B28,Resumo_HSF!$C$13:$AB$1000,16,FALSE))*VLOOKUP($B29,Resumo_HSF!$C$13:$AB$1000,15,FALSE))</f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15">
        <f t="shared" si="2"/>
        <v>0</v>
      </c>
    </row>
    <row r="30" spans="2:30">
      <c r="B30" s="1">
        <v>44893</v>
      </c>
      <c r="C30" s="51">
        <f t="shared" si="3"/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>
        <f>VLOOKUP(B30,Resumo_HSF!$C$13:$AH$43,28,FALSE)</f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f>-IF(VLOOKUP($B30,Resumo_HSF!$C$13:$AB$1000,16,FALSE)=VLOOKUP($B29,Resumo_HSF!$C$13:$AB$1000,16,FALSE),0,(VLOOKUP($B30,Resumo_HSF!$C$13:$AB$1000,16,FALSE)-VLOOKUP($B29,Resumo_HSF!$C$13:$AB$1000,16,FALSE))*VLOOKUP($B30,Resumo_HSF!$C$13:$AB$1000,15,FALSE))</f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15">
        <f t="shared" si="2"/>
        <v>0</v>
      </c>
    </row>
    <row r="31" spans="2:30">
      <c r="B31" s="1">
        <v>44894</v>
      </c>
      <c r="C31" s="51">
        <f t="shared" si="3"/>
        <v>9.4814822659827769E-10</v>
      </c>
      <c r="D31" s="26">
        <v>0</v>
      </c>
      <c r="E31" s="26">
        <v>0</v>
      </c>
      <c r="F31" s="26">
        <v>0</v>
      </c>
      <c r="G31" s="26">
        <v>0</v>
      </c>
      <c r="H31" s="26">
        <v>0</v>
      </c>
      <c r="I31" s="26">
        <v>2013.74</v>
      </c>
      <c r="J31" s="26">
        <v>0</v>
      </c>
      <c r="K31">
        <f>VLOOKUP(B31,Resumo_HSF!$C$13:$AH$43,28,FALSE)</f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  <c r="X31" s="26">
        <f>-IF(VLOOKUP($B31,Resumo_HSF!$C$13:$AB$1000,16,FALSE)=VLOOKUP($B30,Resumo_HSF!$C$13:$AB$1000,16,FALSE),0,(VLOOKUP($B31,Resumo_HSF!$C$13:$AB$1000,16,FALSE)-VLOOKUP($B30,Resumo_HSF!$C$13:$AB$1000,16,FALSE))*VLOOKUP($B31,Resumo_HSF!$C$13:$AB$1000,15,FALSE))</f>
        <v>-2013.7399999990519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15">
        <f t="shared" si="2"/>
        <v>9.4814822659827769E-10</v>
      </c>
    </row>
    <row r="32" spans="2:30">
      <c r="B32" s="1">
        <v>44895</v>
      </c>
      <c r="C32" s="51">
        <f t="shared" si="3"/>
        <v>-1.4310899132397026E-9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1584</v>
      </c>
      <c r="J32" s="26">
        <v>0</v>
      </c>
      <c r="K32">
        <f>VLOOKUP(B32,Resumo_HSF!$C$13:$AH$43,28,FALSE)</f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f>-IF(VLOOKUP($B32,Resumo_HSF!$C$13:$AB$1000,16,FALSE)=VLOOKUP($B31,Resumo_HSF!$C$13:$AB$1000,16,FALSE),0,(VLOOKUP($B32,Resumo_HSF!$C$13:$AB$1000,16,FALSE)-VLOOKUP($B31,Resumo_HSF!$C$13:$AB$1000,16,FALSE))*VLOOKUP($B32,Resumo_HSF!$C$13:$AB$1000,15,FALSE))</f>
        <v>-1584.0000000014311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15">
        <f t="shared" si="2"/>
        <v>-1.4310899132397026E-9</v>
      </c>
    </row>
    <row r="33" spans="2:30">
      <c r="B33" s="1">
        <v>44896</v>
      </c>
      <c r="C33" s="51">
        <f t="shared" si="3"/>
        <v>0</v>
      </c>
      <c r="D33" s="26">
        <v>0</v>
      </c>
      <c r="E33" s="26">
        <v>0</v>
      </c>
      <c r="F33" s="26">
        <v>0</v>
      </c>
      <c r="G33" s="26">
        <v>0</v>
      </c>
      <c r="H33" s="26">
        <v>0</v>
      </c>
      <c r="I33" s="26">
        <v>0</v>
      </c>
      <c r="J33" s="26">
        <v>0</v>
      </c>
      <c r="K33">
        <f>VLOOKUP(B33,Resumo_HSF!$C$13:$AH$43,28,FALSE)</f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0</v>
      </c>
      <c r="X33" s="26">
        <f>-IF(VLOOKUP($B33,Resumo_HSF!$C$13:$AB$1000,16,FALSE)=VLOOKUP($B32,Resumo_HSF!$C$13:$AB$1000,16,FALSE),0,(VLOOKUP($B33,Resumo_HSF!$C$13:$AB$1000,16,FALSE)-VLOOKUP($B32,Resumo_HSF!$C$13:$AB$1000,16,FALSE))*VLOOKUP($B33,Resumo_HSF!$C$13:$AB$1000,15,FALSE))</f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15">
        <f t="shared" si="2"/>
        <v>0</v>
      </c>
    </row>
    <row r="34" spans="2:30">
      <c r="B34" s="1">
        <v>44897</v>
      </c>
      <c r="C34" s="51">
        <f t="shared" si="3"/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>
        <f>VLOOKUP(B34,Resumo_HSF!$C$13:$AH$43,28,FALSE)</f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0</v>
      </c>
      <c r="V34" s="26">
        <v>0</v>
      </c>
      <c r="W34" s="26">
        <v>0</v>
      </c>
      <c r="X34" s="26">
        <f>-IF(VLOOKUP($B34,Resumo_HSF!$C$13:$AB$1000,16,FALSE)=VLOOKUP($B33,Resumo_HSF!$C$13:$AB$1000,16,FALSE),0,(VLOOKUP($B34,Resumo_HSF!$C$13:$AB$1000,16,FALSE)-VLOOKUP($B33,Resumo_HSF!$C$13:$AB$1000,16,FALSE))*VLOOKUP($B34,Resumo_HSF!$C$13:$AB$1000,15,FALSE))</f>
        <v>0</v>
      </c>
      <c r="Y34" s="26">
        <v>0</v>
      </c>
      <c r="Z34" s="26">
        <v>0</v>
      </c>
      <c r="AA34" s="26">
        <v>0</v>
      </c>
      <c r="AB34" s="26">
        <v>0</v>
      </c>
      <c r="AC34" s="26">
        <v>0</v>
      </c>
      <c r="AD34" s="15">
        <f t="shared" si="2"/>
        <v>0</v>
      </c>
    </row>
    <row r="35" spans="2:30">
      <c r="B35" s="1">
        <v>44900</v>
      </c>
      <c r="C35" s="51">
        <f t="shared" si="3"/>
        <v>0</v>
      </c>
      <c r="D35" s="26">
        <v>0</v>
      </c>
      <c r="E35" s="26">
        <v>0</v>
      </c>
      <c r="F35" s="26">
        <v>0</v>
      </c>
      <c r="G35" s="26">
        <v>0</v>
      </c>
      <c r="H35" s="26">
        <v>0</v>
      </c>
      <c r="I35" s="26">
        <v>0</v>
      </c>
      <c r="J35" s="26">
        <v>0</v>
      </c>
      <c r="K35">
        <f>VLOOKUP(B35,Resumo_HSF!$C$13:$AH$43,28,FALSE)</f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0</v>
      </c>
      <c r="V35" s="26">
        <v>0</v>
      </c>
      <c r="W35" s="26">
        <v>0</v>
      </c>
      <c r="X35" s="26">
        <f>-IF(VLOOKUP($B35,Resumo_HSF!$C$13:$AB$1000,16,FALSE)=VLOOKUP($B34,Resumo_HSF!$C$13:$AB$1000,16,FALSE),0,(VLOOKUP($B35,Resumo_HSF!$C$13:$AB$1000,16,FALSE)-VLOOKUP($B34,Resumo_HSF!$C$13:$AB$1000,16,FALSE))*VLOOKUP($B35,Resumo_HSF!$C$13:$AB$1000,15,FALSE))</f>
        <v>0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  <c r="AD35" s="15">
        <f t="shared" si="2"/>
        <v>0</v>
      </c>
    </row>
    <row r="36" spans="2:30">
      <c r="B36" s="1">
        <v>44901</v>
      </c>
      <c r="C36" s="51">
        <f t="shared" si="3"/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>
        <f>VLOOKUP(B36,Resumo_HSF!$C$13:$AH$43,28,FALSE)</f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0</v>
      </c>
      <c r="X36" s="26">
        <f>-IF(VLOOKUP($B36,Resumo_HSF!$C$13:$AB$1000,16,FALSE)=VLOOKUP($B35,Resumo_HSF!$C$13:$AB$1000,16,FALSE),0,(VLOOKUP($B36,Resumo_HSF!$C$13:$AB$1000,16,FALSE)-VLOOKUP($B35,Resumo_HSF!$C$13:$AB$1000,16,FALSE))*VLOOKUP($B36,Resumo_HSF!$C$13:$AB$1000,15,FALSE))</f>
        <v>0</v>
      </c>
      <c r="Y36" s="26">
        <v>0</v>
      </c>
      <c r="Z36" s="26">
        <v>0</v>
      </c>
      <c r="AA36" s="26">
        <v>0</v>
      </c>
      <c r="AB36" s="26">
        <v>0</v>
      </c>
      <c r="AC36" s="26">
        <v>0</v>
      </c>
      <c r="AD36" s="15">
        <f t="shared" si="2"/>
        <v>0</v>
      </c>
    </row>
    <row r="37" spans="2:30">
      <c r="B37" s="1">
        <v>44902</v>
      </c>
      <c r="C37" s="51">
        <f t="shared" si="3"/>
        <v>9.8128521131002344E-7</v>
      </c>
      <c r="D37" s="26">
        <v>-3514.99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>
        <f>VLOOKUP(B37,Resumo_HSF!$C$13:$AH$43,28,FALSE)</f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4000</v>
      </c>
      <c r="V37" s="26">
        <v>0</v>
      </c>
      <c r="W37" s="26">
        <v>0</v>
      </c>
      <c r="X37" s="26">
        <f>-IF(VLOOKUP($B37,Resumo_HSF!$C$13:$AB$1000,16,FALSE)=VLOOKUP($B36,Resumo_HSF!$C$13:$AB$1000,16,FALSE),0,(VLOOKUP($B37,Resumo_HSF!$C$13:$AB$1000,16,FALSE)-VLOOKUP($B36,Resumo_HSF!$C$13:$AB$1000,16,FALSE))*VLOOKUP($B37,Resumo_HSF!$C$13:$AB$1000,15,FALSE))</f>
        <v>-485.00999901871501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  <c r="AD37" s="15">
        <f t="shared" si="2"/>
        <v>9.8128521131002344E-7</v>
      </c>
    </row>
    <row r="38" spans="2:30">
      <c r="B38" s="1">
        <v>44903</v>
      </c>
      <c r="C38" s="51">
        <f t="shared" si="3"/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>
        <f>VLOOKUP(B38,Resumo_HSF!$C$13:$AH$43,28,FALSE)</f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</v>
      </c>
      <c r="V38" s="26">
        <v>0</v>
      </c>
      <c r="W38" s="26">
        <v>0</v>
      </c>
      <c r="X38" s="26">
        <f>-IF(VLOOKUP($B38,Resumo_HSF!$C$13:$AB$1000,16,FALSE)=VLOOKUP($B37,Resumo_HSF!$C$13:$AB$1000,16,FALSE),0,(VLOOKUP($B38,Resumo_HSF!$C$13:$AB$1000,16,FALSE)-VLOOKUP($B37,Resumo_HSF!$C$13:$AB$1000,16,FALSE))*VLOOKUP($B38,Resumo_HSF!$C$13:$AB$1000,15,FALSE))</f>
        <v>0</v>
      </c>
      <c r="Y38" s="26">
        <v>0</v>
      </c>
      <c r="Z38" s="26">
        <v>0</v>
      </c>
      <c r="AA38" s="26">
        <v>0</v>
      </c>
      <c r="AB38" s="26">
        <v>0</v>
      </c>
      <c r="AC38" s="26">
        <v>0</v>
      </c>
      <c r="AD38" s="15">
        <f t="shared" si="2"/>
        <v>0</v>
      </c>
    </row>
    <row r="39" spans="2:30">
      <c r="B39" s="1">
        <v>44904</v>
      </c>
      <c r="C39" s="51">
        <f t="shared" si="3"/>
        <v>0</v>
      </c>
      <c r="D39" s="26">
        <v>0</v>
      </c>
      <c r="E39" s="26">
        <v>0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>
        <f>VLOOKUP(B39,Resumo_HSF!$C$13:$AH$43,28,FALSE)</f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</v>
      </c>
      <c r="V39" s="26">
        <v>0</v>
      </c>
      <c r="W39" s="26">
        <v>0</v>
      </c>
      <c r="X39" s="26">
        <f>-IF(VLOOKUP($B39,Resumo_HSF!$C$13:$AB$1000,16,FALSE)=VLOOKUP($B38,Resumo_HSF!$C$13:$AB$1000,16,FALSE),0,(VLOOKUP($B39,Resumo_HSF!$C$13:$AB$1000,16,FALSE)-VLOOKUP($B38,Resumo_HSF!$C$13:$AB$1000,16,FALSE))*VLOOKUP($B39,Resumo_HSF!$C$13:$AB$1000,15,FALSE))</f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  <c r="AD39" s="15">
        <f t="shared" si="2"/>
        <v>0</v>
      </c>
    </row>
    <row r="40" spans="2:30">
      <c r="B40" s="1">
        <v>44907</v>
      </c>
      <c r="C40" s="51">
        <f t="shared" si="3"/>
        <v>1.6175363271031529E-9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1277.1500000000001</v>
      </c>
      <c r="J40" s="26">
        <v>0</v>
      </c>
      <c r="K40">
        <f>VLOOKUP(B40,Resumo_HSF!$C$13:$AH$43,28,FALSE)</f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f>-IF(VLOOKUP($B40,Resumo_HSF!$C$13:$AB$1000,16,FALSE)=VLOOKUP($B39,Resumo_HSF!$C$13:$AB$1000,16,FALSE),0,(VLOOKUP($B40,Resumo_HSF!$C$13:$AB$1000,16,FALSE)-VLOOKUP($B39,Resumo_HSF!$C$13:$AB$1000,16,FALSE))*VLOOKUP($B40,Resumo_HSF!$C$13:$AB$1000,15,FALSE))</f>
        <v>-1277.1499999983826</v>
      </c>
      <c r="Y40" s="26">
        <v>0</v>
      </c>
      <c r="Z40" s="26">
        <v>0</v>
      </c>
      <c r="AA40" s="26">
        <v>0</v>
      </c>
      <c r="AB40" s="26">
        <v>0</v>
      </c>
      <c r="AC40" s="26">
        <v>0</v>
      </c>
      <c r="AD40" s="15">
        <f t="shared" si="2"/>
        <v>1.6175363271031529E-9</v>
      </c>
    </row>
    <row r="41" spans="2:30">
      <c r="B41" s="1">
        <v>44908</v>
      </c>
      <c r="C41" s="51">
        <f t="shared" si="3"/>
        <v>-1.6615164497579826E-6</v>
      </c>
      <c r="D41" s="26">
        <v>0</v>
      </c>
      <c r="E41" s="26">
        <v>0</v>
      </c>
      <c r="F41" s="26">
        <v>0</v>
      </c>
      <c r="G41" s="26">
        <v>0</v>
      </c>
      <c r="H41" s="26">
        <v>0</v>
      </c>
      <c r="I41" s="26">
        <v>0</v>
      </c>
      <c r="J41" s="26">
        <v>0</v>
      </c>
      <c r="K41">
        <f>VLOOKUP(B41,Resumo_HSF!$C$13:$AH$43,28,FALSE)</f>
        <v>0</v>
      </c>
      <c r="L41" s="26">
        <v>0</v>
      </c>
      <c r="M41" s="26">
        <v>0</v>
      </c>
      <c r="N41" s="26">
        <v>0</v>
      </c>
      <c r="O41" s="26">
        <v>0</v>
      </c>
      <c r="P41" s="26">
        <v>-206</v>
      </c>
      <c r="Q41" s="26">
        <v>0</v>
      </c>
      <c r="R41" s="26">
        <v>0</v>
      </c>
      <c r="S41" s="26">
        <v>0</v>
      </c>
      <c r="T41" s="26">
        <v>0</v>
      </c>
      <c r="U41" s="26">
        <v>0</v>
      </c>
      <c r="V41" s="26">
        <v>0</v>
      </c>
      <c r="W41" s="26">
        <v>0</v>
      </c>
      <c r="X41" s="26">
        <f>-IF(VLOOKUP($B41,Resumo_HSF!$C$13:$AB$1000,16,FALSE)=VLOOKUP($B40,Resumo_HSF!$C$13:$AB$1000,16,FALSE),0,(VLOOKUP($B41,Resumo_HSF!$C$13:$AB$1000,16,FALSE)-VLOOKUP($B40,Resumo_HSF!$C$13:$AB$1000,16,FALSE))*VLOOKUP($B41,Resumo_HSF!$C$13:$AB$1000,15,FALSE))</f>
        <v>205.99999833848355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  <c r="AD41" s="15">
        <f t="shared" si="2"/>
        <v>-1.6615164497579826E-6</v>
      </c>
    </row>
    <row r="42" spans="2:30">
      <c r="B42" s="1">
        <v>44909</v>
      </c>
      <c r="C42" s="51">
        <f t="shared" si="3"/>
        <v>-1.0330666344593453E-7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>
        <f>VLOOKUP(B42,Resumo_HSF!$C$13:$AH$43,28,FALSE)</f>
        <v>0</v>
      </c>
      <c r="L42" s="26">
        <v>0</v>
      </c>
      <c r="M42" s="26">
        <v>0</v>
      </c>
      <c r="N42" s="26">
        <v>0</v>
      </c>
      <c r="O42" s="26">
        <v>0</v>
      </c>
      <c r="P42" s="26">
        <v>-1.59</v>
      </c>
      <c r="Q42" s="26">
        <v>0</v>
      </c>
      <c r="R42" s="26">
        <v>0</v>
      </c>
      <c r="S42" s="26">
        <v>0</v>
      </c>
      <c r="T42" s="26">
        <v>0</v>
      </c>
      <c r="U42" s="26">
        <v>0</v>
      </c>
      <c r="V42" s="26">
        <v>0</v>
      </c>
      <c r="W42" s="26">
        <v>0</v>
      </c>
      <c r="X42" s="26">
        <f>-IF(VLOOKUP($B42,Resumo_HSF!$C$13:$AB$1000,16,FALSE)=VLOOKUP($B41,Resumo_HSF!$C$13:$AB$1000,16,FALSE),0,(VLOOKUP($B42,Resumo_HSF!$C$13:$AB$1000,16,FALSE)-VLOOKUP($B41,Resumo_HSF!$C$13:$AB$1000,16,FALSE))*VLOOKUP($B42,Resumo_HSF!$C$13:$AB$1000,15,FALSE))</f>
        <v>1.5899998966933366</v>
      </c>
      <c r="Y42" s="26">
        <v>0</v>
      </c>
      <c r="Z42" s="26">
        <v>0</v>
      </c>
      <c r="AA42" s="26">
        <v>0</v>
      </c>
      <c r="AB42" s="26">
        <v>0</v>
      </c>
      <c r="AC42" s="26">
        <v>0</v>
      </c>
      <c r="AD42" s="15">
        <f t="shared" si="2"/>
        <v>-1.0330666344593453E-7</v>
      </c>
    </row>
    <row r="43" spans="2:30">
      <c r="B43" s="1">
        <v>44910</v>
      </c>
      <c r="C43" s="74">
        <f t="shared" si="3"/>
        <v>0</v>
      </c>
      <c r="D43" s="54">
        <v>0</v>
      </c>
      <c r="E43" s="54">
        <v>0</v>
      </c>
      <c r="F43" s="54">
        <v>0</v>
      </c>
      <c r="G43" s="54">
        <v>0</v>
      </c>
      <c r="H43" s="54">
        <v>0</v>
      </c>
      <c r="I43" s="54">
        <v>0</v>
      </c>
      <c r="J43" s="54">
        <v>0</v>
      </c>
      <c r="K43" s="49">
        <f>VLOOKUP(B43,Resumo_HSF!$C$13:$AH$43,28,FALSE)</f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26">
        <v>0</v>
      </c>
      <c r="S43" s="54">
        <v>0</v>
      </c>
      <c r="T43" s="54">
        <v>0</v>
      </c>
      <c r="U43" s="54">
        <v>0</v>
      </c>
      <c r="V43" s="54">
        <v>0</v>
      </c>
      <c r="W43" s="54">
        <v>0</v>
      </c>
      <c r="X43" s="26">
        <f>-IF(VLOOKUP($B43,Resumo_HSF!$C$13:$AB$1000,16,FALSE)=VLOOKUP($B42,Resumo_HSF!$C$13:$AB$1000,16,FALSE),0,(VLOOKUP($B43,Resumo_HSF!$C$13:$AB$1000,16,FALSE)-VLOOKUP($B42,Resumo_HSF!$C$13:$AB$1000,16,FALSE))*VLOOKUP($B43,Resumo_HSF!$C$13:$AB$1000,15,FALSE))</f>
        <v>0</v>
      </c>
      <c r="Y43" s="26">
        <v>0</v>
      </c>
      <c r="Z43" s="54">
        <v>0</v>
      </c>
      <c r="AA43" s="54">
        <v>0</v>
      </c>
      <c r="AB43" s="54">
        <v>0</v>
      </c>
      <c r="AC43" s="26">
        <v>0</v>
      </c>
      <c r="AD43" s="54">
        <f t="shared" si="2"/>
        <v>0</v>
      </c>
    </row>
    <row r="44" spans="2:30">
      <c r="B44" s="1">
        <v>44911</v>
      </c>
      <c r="C44" s="51">
        <f t="shared" si="3"/>
        <v>-7.5233401730656624E-7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>
        <f>VLOOKUP(B44,Resumo_HSF!$C$13:$AH$43,28,FALSE)</f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-443000</v>
      </c>
      <c r="T44" s="26">
        <v>0</v>
      </c>
      <c r="U44" s="26">
        <v>0</v>
      </c>
      <c r="V44" s="26">
        <v>0</v>
      </c>
      <c r="W44" s="26">
        <v>0</v>
      </c>
      <c r="X44" s="26">
        <f>-IF(VLOOKUP($B44,Resumo_HSF!$C$13:$AB$1000,16,FALSE)=VLOOKUP($B43,Resumo_HSF!$C$13:$AB$1000,16,FALSE),0,(VLOOKUP($B44,Resumo_HSF!$C$13:$AB$1000,16,FALSE)-VLOOKUP($B43,Resumo_HSF!$C$13:$AB$1000,16,FALSE))*VLOOKUP($B44,Resumo_HSF!$C$13:$AB$1000,15,FALSE))</f>
        <v>442999.99999924767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  <c r="AD44" s="15">
        <f t="shared" si="2"/>
        <v>-7.5233401730656624E-7</v>
      </c>
    </row>
    <row r="45" spans="2:30">
      <c r="B45" s="1">
        <v>44914</v>
      </c>
      <c r="C45" s="51">
        <f t="shared" si="3"/>
        <v>-4.4167973101139069E-7</v>
      </c>
      <c r="D45" s="26">
        <v>0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>
        <f>VLOOKUP(B45,Resumo_HSF!$C$13:$AH$43,28,FALSE)</f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-443000</v>
      </c>
      <c r="T45" s="26">
        <v>-43518.26</v>
      </c>
      <c r="U45" s="26">
        <v>0</v>
      </c>
      <c r="V45" s="26">
        <v>0</v>
      </c>
      <c r="W45" s="26">
        <v>0</v>
      </c>
      <c r="X45" s="26">
        <f>-IF(VLOOKUP($B45,Resumo_HSF!$C$13:$AB$1000,16,FALSE)=VLOOKUP($B44,Resumo_HSF!$C$13:$AB$1000,16,FALSE),0,(VLOOKUP($B45,Resumo_HSF!$C$13:$AB$1000,16,FALSE)-VLOOKUP($B44,Resumo_HSF!$C$13:$AB$1000,16,FALSE))*VLOOKUP($B45,Resumo_HSF!$C$13:$AB$1000,15,FALSE))</f>
        <v>486518.25999955833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  <c r="AD45" s="15">
        <f t="shared" si="2"/>
        <v>-4.4167973101139069E-7</v>
      </c>
    </row>
    <row r="46" spans="2:30">
      <c r="B46" s="1">
        <v>44915</v>
      </c>
      <c r="C46" s="51">
        <f t="shared" si="3"/>
        <v>9.2489062808454037E-7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>
        <f>VLOOKUP(B46,Resumo_HSF!$C$13:$AH$43,28,FALSE)</f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414764.71</v>
      </c>
      <c r="R46" s="26">
        <v>0</v>
      </c>
      <c r="S46" s="26">
        <v>-415000</v>
      </c>
      <c r="T46" s="26">
        <v>-44411.62</v>
      </c>
      <c r="U46" s="26">
        <v>0</v>
      </c>
      <c r="V46" s="26">
        <v>0</v>
      </c>
      <c r="W46" s="26">
        <v>0</v>
      </c>
      <c r="X46" s="26">
        <f>-IF(VLOOKUP($B46,Resumo_HSF!$C$13:$AB$1000,16,FALSE)=VLOOKUP($B45,Resumo_HSF!$C$13:$AB$1000,16,FALSE),0,(VLOOKUP($B46,Resumo_HSF!$C$13:$AB$1000,16,FALSE)-VLOOKUP($B45,Resumo_HSF!$C$13:$AB$1000,16,FALSE))*VLOOKUP($B46,Resumo_HSF!$C$13:$AB$1000,15,FALSE))</f>
        <v>44646.910000924872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  <c r="AD46" s="15">
        <f t="shared" si="2"/>
        <v>9.2489062808454037E-7</v>
      </c>
    </row>
    <row r="47" spans="2:30">
      <c r="B47" s="1">
        <v>44916</v>
      </c>
      <c r="C47" s="51">
        <f t="shared" si="3"/>
        <v>-1.422697096131742E-6</v>
      </c>
      <c r="D47" s="26">
        <v>0</v>
      </c>
      <c r="E47" s="26">
        <v>0</v>
      </c>
      <c r="F47" s="26">
        <v>0</v>
      </c>
      <c r="G47" s="26">
        <v>0</v>
      </c>
      <c r="H47" s="26">
        <v>0</v>
      </c>
      <c r="I47" s="26">
        <v>0</v>
      </c>
      <c r="J47" s="26">
        <v>0</v>
      </c>
      <c r="K47">
        <f>VLOOKUP(B47,Resumo_HSF!$C$13:$AH$43,28,FALSE)</f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-42310.18</v>
      </c>
      <c r="U47" s="26">
        <v>0</v>
      </c>
      <c r="V47" s="26">
        <v>0</v>
      </c>
      <c r="W47" s="26">
        <v>0</v>
      </c>
      <c r="X47" s="26">
        <f>-IF(VLOOKUP($B47,Resumo_HSF!$C$13:$AB$1000,16,FALSE)=VLOOKUP($B46,Resumo_HSF!$C$13:$AB$1000,16,FALSE),0,(VLOOKUP($B47,Resumo_HSF!$C$13:$AB$1000,16,FALSE)-VLOOKUP($B46,Resumo_HSF!$C$13:$AB$1000,16,FALSE))*VLOOKUP($B47,Resumo_HSF!$C$13:$AB$1000,15,FALSE))</f>
        <v>42310.179998577303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15">
        <f t="shared" si="2"/>
        <v>-1.422697096131742E-6</v>
      </c>
    </row>
    <row r="48" spans="2:30">
      <c r="B48" s="1">
        <v>44917</v>
      </c>
      <c r="C48" s="51">
        <f t="shared" si="3"/>
        <v>9.2497793957591057E-7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>
        <f>VLOOKUP(B48,Resumo_HSF!$C$13:$AH$43,28,FALSE)</f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-295000</v>
      </c>
      <c r="T48" s="26">
        <v>0</v>
      </c>
      <c r="U48" s="26">
        <v>0</v>
      </c>
      <c r="V48" s="26">
        <v>0</v>
      </c>
      <c r="W48" s="26">
        <v>0</v>
      </c>
      <c r="X48" s="26">
        <f>-IF(VLOOKUP($B48,Resumo_HSF!$C$13:$AB$1000,16,FALSE)=VLOOKUP($B47,Resumo_HSF!$C$13:$AB$1000,16,FALSE),0,(VLOOKUP($B48,Resumo_HSF!$C$13:$AB$1000,16,FALSE)-VLOOKUP($B47,Resumo_HSF!$C$13:$AB$1000,16,FALSE))*VLOOKUP($B48,Resumo_HSF!$C$13:$AB$1000,15,FALSE))</f>
        <v>295000.00000092498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15">
        <f t="shared" si="2"/>
        <v>9.2497793957591057E-7</v>
      </c>
    </row>
    <row r="49" spans="2:30">
      <c r="B49" s="1">
        <v>44918</v>
      </c>
      <c r="C49" s="51">
        <f t="shared" si="3"/>
        <v>-4.1648672777228057E-7</v>
      </c>
      <c r="D49" s="26">
        <v>0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>
        <f>VLOOKUP(B49,Resumo_HSF!$C$13:$AH$43,28,FALSE)</f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-30241.03</v>
      </c>
      <c r="U49" s="26">
        <v>0</v>
      </c>
      <c r="V49" s="26">
        <v>0</v>
      </c>
      <c r="W49" s="26">
        <v>0</v>
      </c>
      <c r="X49" s="26">
        <f>-IF(VLOOKUP($B49,Resumo_HSF!$C$13:$AB$1000,16,FALSE)=VLOOKUP($B48,Resumo_HSF!$C$13:$AB$1000,16,FALSE),0,(VLOOKUP($B49,Resumo_HSF!$C$13:$AB$1000,16,FALSE)-VLOOKUP($B48,Resumo_HSF!$C$13:$AB$1000,16,FALSE))*VLOOKUP($B49,Resumo_HSF!$C$13:$AB$1000,15,FALSE))</f>
        <v>30241.029999583512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  <c r="AD49" s="15">
        <f t="shared" si="2"/>
        <v>-4.1648672777228057E-7</v>
      </c>
    </row>
    <row r="50" spans="2:30">
      <c r="B50" s="1">
        <v>44921</v>
      </c>
      <c r="C50" s="51">
        <f t="shared" si="3"/>
        <v>6.7181914786829111E-7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21.14</v>
      </c>
      <c r="J50" s="26">
        <v>0</v>
      </c>
      <c r="K50">
        <f>VLOOKUP(B50,Resumo_HSF!$C$13:$AH$80,28,FALSE)</f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</v>
      </c>
      <c r="V50" s="26">
        <v>0</v>
      </c>
      <c r="W50" s="26">
        <v>0</v>
      </c>
      <c r="X50" s="26">
        <f>-IF(VLOOKUP($B50,Resumo_HSF!$C$13:$AB$1000,16,FALSE)=VLOOKUP($B49,Resumo_HSF!$C$13:$AB$1000,16,FALSE),0,(VLOOKUP($B50,Resumo_HSF!$C$13:$AB$1000,16,FALSE)-VLOOKUP($B49,Resumo_HSF!$C$13:$AB$1000,16,FALSE))*VLOOKUP($B50,Resumo_HSF!$C$13:$AB$1000,15,FALSE))</f>
        <v>-21.139999328180853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  <c r="AD50" s="15">
        <f t="shared" si="2"/>
        <v>6.7181914786829111E-7</v>
      </c>
    </row>
    <row r="51" spans="2:30">
      <c r="B51" s="1">
        <v>44922</v>
      </c>
      <c r="C51" s="51">
        <f t="shared" si="3"/>
        <v>0</v>
      </c>
      <c r="D51" s="26">
        <v>0</v>
      </c>
      <c r="E51" s="26">
        <v>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>
        <f>VLOOKUP(B51,Resumo_HSF!$C$13:$AH$80,28,FALSE)</f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0</v>
      </c>
      <c r="X51" s="26">
        <f>-IF(VLOOKUP($B51,Resumo_HSF!$C$13:$AB$1000,16,FALSE)=VLOOKUP($B50,Resumo_HSF!$C$13:$AB$1000,16,FALSE),0,(VLOOKUP($B51,Resumo_HSF!$C$13:$AB$1000,16,FALSE)-VLOOKUP($B50,Resumo_HSF!$C$13:$AB$1000,16,FALSE))*VLOOKUP($B51,Resumo_HSF!$C$13:$AB$1000,15,FALSE))</f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15">
        <f t="shared" si="2"/>
        <v>0</v>
      </c>
    </row>
    <row r="52" spans="2:30">
      <c r="B52" s="1">
        <v>44923</v>
      </c>
      <c r="C52" s="51">
        <f t="shared" si="3"/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>
        <f>VLOOKUP(B52,Resumo_HSF!$C$13:$AH$80,28,FALSE)</f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f>-IF(VLOOKUP($B52,Resumo_HSF!$C$13:$AB$1000,16,FALSE)=VLOOKUP($B51,Resumo_HSF!$C$13:$AB$1000,16,FALSE),0,(VLOOKUP($B52,Resumo_HSF!$C$13:$AB$1000,16,FALSE)-VLOOKUP($B51,Resumo_HSF!$C$13:$AB$1000,16,FALSE))*VLOOKUP($B52,Resumo_HSF!$C$13:$AB$1000,15,FALSE))</f>
        <v>0</v>
      </c>
      <c r="Y52" s="26">
        <v>0</v>
      </c>
      <c r="Z52" s="26">
        <v>0</v>
      </c>
      <c r="AA52" s="26">
        <v>0</v>
      </c>
      <c r="AB52" s="26">
        <v>0</v>
      </c>
      <c r="AC52" s="26">
        <v>0</v>
      </c>
      <c r="AD52" s="15">
        <f t="shared" si="2"/>
        <v>0</v>
      </c>
    </row>
    <row r="53" spans="2:30">
      <c r="B53" s="1">
        <v>44924</v>
      </c>
      <c r="C53" s="51">
        <f t="shared" si="3"/>
        <v>1.8644641386345029E-11</v>
      </c>
      <c r="D53" s="26">
        <v>0</v>
      </c>
      <c r="E53" s="26">
        <v>0</v>
      </c>
      <c r="F53" s="26">
        <v>0</v>
      </c>
      <c r="G53" s="26">
        <v>0</v>
      </c>
      <c r="H53" s="26">
        <v>0</v>
      </c>
      <c r="I53" s="26">
        <v>2752</v>
      </c>
      <c r="J53" s="26">
        <v>0</v>
      </c>
      <c r="K53">
        <f>VLOOKUP(B53,Resumo_HSF!$C$13:$AH$80,28,FALSE)</f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0</v>
      </c>
      <c r="V53" s="26">
        <v>0</v>
      </c>
      <c r="W53" s="26">
        <v>0</v>
      </c>
      <c r="X53" s="26">
        <f>-IF(VLOOKUP($B53,Resumo_HSF!$C$13:$AB$1000,16,FALSE)=VLOOKUP($B52,Resumo_HSF!$C$13:$AB$1000,16,FALSE),0,(VLOOKUP($B53,Resumo_HSF!$C$13:$AB$1000,16,FALSE)-VLOOKUP($B52,Resumo_HSF!$C$13:$AB$1000,16,FALSE))*VLOOKUP($B53,Resumo_HSF!$C$13:$AB$1000,15,FALSE))</f>
        <v>-2751.9999999999814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  <c r="AD53" s="15">
        <f t="shared" si="2"/>
        <v>1.8644641386345029E-11</v>
      </c>
    </row>
    <row r="54" spans="2:30">
      <c r="B54" s="1">
        <v>44925</v>
      </c>
      <c r="C54" s="51">
        <f t="shared" si="3"/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>
        <f>VLOOKUP(B54,Resumo_HSF!$C$13:$AH$80,28,FALSE)</f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f>-IF(VLOOKUP($B54,Resumo_HSF!$C$13:$AB$1000,16,FALSE)=VLOOKUP($B53,Resumo_HSF!$C$13:$AB$1000,16,FALSE),0,(VLOOKUP($B54,Resumo_HSF!$C$13:$AB$1000,16,FALSE)-VLOOKUP($B53,Resumo_HSF!$C$13:$AB$1000,16,FALSE))*VLOOKUP($B54,Resumo_HSF!$C$13:$AB$1000,15,FALSE))</f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  <c r="AD54" s="15">
        <f t="shared" si="2"/>
        <v>0</v>
      </c>
    </row>
    <row r="55" spans="2:30">
      <c r="B55" s="1">
        <v>44928</v>
      </c>
      <c r="C55" s="51">
        <f t="shared" si="3"/>
        <v>0</v>
      </c>
      <c r="D55" s="26">
        <v>0</v>
      </c>
      <c r="E55" s="26">
        <v>0</v>
      </c>
      <c r="F55" s="26">
        <v>0</v>
      </c>
      <c r="G55" s="26">
        <v>0</v>
      </c>
      <c r="H55" s="26">
        <v>0</v>
      </c>
      <c r="I55" s="26">
        <v>0</v>
      </c>
      <c r="J55" s="26">
        <v>0</v>
      </c>
      <c r="K55">
        <f>VLOOKUP(B55,Resumo_HSF!$C$13:$AH$80,28,FALSE)</f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0</v>
      </c>
      <c r="V55" s="26">
        <v>0</v>
      </c>
      <c r="W55" s="26">
        <v>0</v>
      </c>
      <c r="X55" s="26">
        <f>-IF(VLOOKUP($B55,Resumo_HSF!$C$13:$AB$1000,16,FALSE)=VLOOKUP($B54,Resumo_HSF!$C$13:$AB$1000,16,FALSE),0,(VLOOKUP($B55,Resumo_HSF!$C$13:$AB$1000,16,FALSE)-VLOOKUP($B54,Resumo_HSF!$C$13:$AB$1000,16,FALSE))*VLOOKUP($B55,Resumo_HSF!$C$13:$AB$1000,15,FALSE))</f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  <c r="AD55" s="15">
        <f t="shared" si="2"/>
        <v>0</v>
      </c>
    </row>
    <row r="56" spans="2:30">
      <c r="B56" s="1">
        <v>44929</v>
      </c>
      <c r="C56" s="51">
        <f t="shared" si="3"/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>
        <f>VLOOKUP(B56,Resumo_HSF!$C$13:$AH$80,28,FALSE)</f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f>-IF(VLOOKUP($B56,Resumo_HSF!$C$13:$AB$1000,16,FALSE)=VLOOKUP($B55,Resumo_HSF!$C$13:$AB$1000,16,FALSE),0,(VLOOKUP($B56,Resumo_HSF!$C$13:$AB$1000,16,FALSE)-VLOOKUP($B55,Resumo_HSF!$C$13:$AB$1000,16,FALSE))*VLOOKUP($B56,Resumo_HSF!$C$13:$AB$1000,15,FALSE))</f>
        <v>0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  <c r="AD56" s="15">
        <f t="shared" si="2"/>
        <v>0</v>
      </c>
    </row>
    <row r="57" spans="2:30">
      <c r="B57" s="1">
        <v>44930</v>
      </c>
      <c r="C57" s="51">
        <f t="shared" si="3"/>
        <v>0</v>
      </c>
      <c r="D57" s="26">
        <v>0</v>
      </c>
      <c r="E57" s="26">
        <v>0</v>
      </c>
      <c r="F57" s="26">
        <v>0</v>
      </c>
      <c r="G57" s="26">
        <v>0</v>
      </c>
      <c r="H57" s="26">
        <v>0</v>
      </c>
      <c r="I57" s="26">
        <v>0</v>
      </c>
      <c r="J57" s="26">
        <v>0</v>
      </c>
      <c r="K57">
        <f>VLOOKUP(B57,Resumo_HSF!$C$13:$AH$80,28,FALSE)</f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  <c r="X57" s="26">
        <f>-IF(VLOOKUP($B57,Resumo_HSF!$C$13:$AB$1000,16,FALSE)=VLOOKUP($B56,Resumo_HSF!$C$13:$AB$1000,16,FALSE),0,(VLOOKUP($B57,Resumo_HSF!$C$13:$AB$1000,16,FALSE)-VLOOKUP($B56,Resumo_HSF!$C$13:$AB$1000,16,FALSE))*VLOOKUP($B57,Resumo_HSF!$C$13:$AB$1000,15,FALSE))</f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  <c r="AD57" s="15">
        <f t="shared" si="2"/>
        <v>0</v>
      </c>
    </row>
    <row r="58" spans="2:30">
      <c r="B58" s="1">
        <v>44931</v>
      </c>
      <c r="C58" s="51">
        <f t="shared" si="3"/>
        <v>-2.0463630789890885E-11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>
        <f>VLOOKUP(B58,Resumo_HSF!$C$13:$AH$200,28,FALSE)</f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3500</v>
      </c>
      <c r="V58" s="26">
        <v>0</v>
      </c>
      <c r="W58" s="26">
        <v>0</v>
      </c>
      <c r="X58" s="26">
        <f>-IF(VLOOKUP($B58,Resumo_HSF!$C$13:$AB$1000,16,FALSE)=VLOOKUP($B57,Resumo_HSF!$C$13:$AB$1000,16,FALSE),0,(VLOOKUP($B58,Resumo_HSF!$C$13:$AB$1000,16,FALSE)-VLOOKUP($B57,Resumo_HSF!$C$13:$AB$1000,16,FALSE))*VLOOKUP($B58,Resumo_HSF!$C$13:$AB$1000,15,FALSE))</f>
        <v>-3500.0000000000205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  <c r="AD58" s="15">
        <f t="shared" ref="AD58:AD89" si="4">SUM(D58:AB58)</f>
        <v>-2.0463630789890885E-11</v>
      </c>
    </row>
    <row r="59" spans="2:30">
      <c r="B59" s="1">
        <v>44932</v>
      </c>
      <c r="C59" s="51">
        <f t="shared" si="3"/>
        <v>-1.1252727745159063E-6</v>
      </c>
      <c r="D59" s="26">
        <v>-2484.6999999999998</v>
      </c>
      <c r="E59" s="26">
        <v>0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>
        <f>VLOOKUP(B59,Resumo_HSF!$C$13:$AH$200,28,FALSE)</f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  <c r="V59" s="26">
        <v>0</v>
      </c>
      <c r="W59" s="26">
        <v>0</v>
      </c>
      <c r="X59" s="26">
        <f>-IF(VLOOKUP($B59,Resumo_HSF!$C$13:$AB$1000,16,FALSE)=VLOOKUP($B58,Resumo_HSF!$C$13:$AB$1000,16,FALSE),0,(VLOOKUP($B59,Resumo_HSF!$C$13:$AB$1000,16,FALSE)-VLOOKUP($B58,Resumo_HSF!$C$13:$AB$1000,16,FALSE))*VLOOKUP($B59,Resumo_HSF!$C$13:$AB$1000,15,FALSE))</f>
        <v>2484.699998874727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  <c r="AD59" s="15">
        <f t="shared" si="4"/>
        <v>-1.1252727745159063E-6</v>
      </c>
    </row>
    <row r="60" spans="2:30">
      <c r="B60" s="1">
        <v>44935</v>
      </c>
      <c r="C60" s="51">
        <f t="shared" si="3"/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>
        <f>VLOOKUP(B60,Resumo_HSF!$C$13:$AH$200,28,FALSE)</f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f>-IF(VLOOKUP($B60,Resumo_HSF!$C$13:$AB$1000,16,FALSE)=VLOOKUP($B59,Resumo_HSF!$C$13:$AB$1000,16,FALSE),0,(VLOOKUP($B60,Resumo_HSF!$C$13:$AB$1000,16,FALSE)-VLOOKUP($B59,Resumo_HSF!$C$13:$AB$1000,16,FALSE))*VLOOKUP($B60,Resumo_HSF!$C$13:$AB$1000,15,FALSE))</f>
        <v>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  <c r="AD60" s="15">
        <f t="shared" si="4"/>
        <v>0</v>
      </c>
    </row>
    <row r="61" spans="2:30">
      <c r="B61" s="1">
        <v>44936</v>
      </c>
      <c r="C61" s="51">
        <f t="shared" si="3"/>
        <v>0</v>
      </c>
      <c r="D61" s="26">
        <v>0</v>
      </c>
      <c r="E61" s="26">
        <v>0</v>
      </c>
      <c r="F61" s="26">
        <v>0</v>
      </c>
      <c r="G61" s="26">
        <v>0</v>
      </c>
      <c r="H61" s="26">
        <v>0</v>
      </c>
      <c r="I61" s="26">
        <v>0</v>
      </c>
      <c r="J61" s="26">
        <v>0</v>
      </c>
      <c r="K61">
        <f>VLOOKUP(B61,Resumo_HSF!$C$13:$AH$200,28,FALSE)</f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</v>
      </c>
      <c r="V61" s="26">
        <v>0</v>
      </c>
      <c r="W61" s="26">
        <v>0</v>
      </c>
      <c r="X61" s="26">
        <f>-IF(VLOOKUP($B61,Resumo_HSF!$C$13:$AB$1000,16,FALSE)=VLOOKUP($B60,Resumo_HSF!$C$13:$AB$1000,16,FALSE),0,(VLOOKUP($B61,Resumo_HSF!$C$13:$AB$1000,16,FALSE)-VLOOKUP($B60,Resumo_HSF!$C$13:$AB$1000,16,FALSE))*VLOOKUP($B61,Resumo_HSF!$C$13:$AB$1000,15,FALSE))</f>
        <v>0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  <c r="AD61" s="15">
        <f t="shared" si="4"/>
        <v>0</v>
      </c>
    </row>
    <row r="62" spans="2:30">
      <c r="B62" s="1">
        <v>44937</v>
      </c>
      <c r="C62" s="51">
        <f t="shared" si="3"/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>
        <f>VLOOKUP(B62,Resumo_HSF!$C$13:$AH$200,28,FALSE)</f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f>-IF(VLOOKUP($B62,Resumo_HSF!$C$13:$AB$1000,16,FALSE)=VLOOKUP($B61,Resumo_HSF!$C$13:$AB$1000,16,FALSE),0,(VLOOKUP($B62,Resumo_HSF!$C$13:$AB$1000,16,FALSE)-VLOOKUP($B61,Resumo_HSF!$C$13:$AB$1000,16,FALSE))*VLOOKUP($B62,Resumo_HSF!$C$13:$AB$1000,15,FALSE))</f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15">
        <f t="shared" si="4"/>
        <v>0</v>
      </c>
    </row>
    <row r="63" spans="2:30">
      <c r="B63" s="1">
        <v>44938</v>
      </c>
      <c r="C63" s="51">
        <f t="shared" si="3"/>
        <v>0</v>
      </c>
      <c r="D63" s="26">
        <v>0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0</v>
      </c>
      <c r="K63">
        <f>VLOOKUP(B63,Resumo_HSF!$C$13:$AH$200,28,FALSE)</f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0</v>
      </c>
      <c r="V63" s="26">
        <v>0</v>
      </c>
      <c r="W63" s="26">
        <v>0</v>
      </c>
      <c r="X63" s="26">
        <f>-IF(VLOOKUP($B63,Resumo_HSF!$C$13:$AB$1000,16,FALSE)=VLOOKUP($B62,Resumo_HSF!$C$13:$AB$1000,16,FALSE),0,(VLOOKUP($B63,Resumo_HSF!$C$13:$AB$1000,16,FALSE)-VLOOKUP($B62,Resumo_HSF!$C$13:$AB$1000,16,FALSE))*VLOOKUP($B63,Resumo_HSF!$C$13:$AB$1000,15,FALSE))</f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15">
        <f t="shared" si="4"/>
        <v>0</v>
      </c>
    </row>
    <row r="64" spans="2:30">
      <c r="B64" s="1">
        <v>44939</v>
      </c>
      <c r="C64" s="51">
        <f t="shared" si="3"/>
        <v>4.1999987788804454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>
        <f>VLOOKUP(B64,Resumo_HSF!$C$13:$AH$200,28,FALSE)</f>
        <v>0</v>
      </c>
      <c r="L64" s="26">
        <v>0</v>
      </c>
      <c r="M64" s="26">
        <v>0</v>
      </c>
      <c r="N64" s="26">
        <v>0</v>
      </c>
      <c r="O64" s="26">
        <v>0</v>
      </c>
      <c r="P64" s="26">
        <v>2.1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f>-IF(VLOOKUP($B64,Resumo_HSF!$C$13:$AB$1000,16,FALSE)=VLOOKUP($B63,Resumo_HSF!$C$13:$AB$1000,16,FALSE),0,(VLOOKUP($B64,Resumo_HSF!$C$13:$AB$1000,16,FALSE)-VLOOKUP($B63,Resumo_HSF!$C$13:$AB$1000,16,FALSE))*VLOOKUP($B64,Resumo_HSF!$C$13:$AB$1000,15,FALSE))</f>
        <v>2.0999987788804457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  <c r="AD64" s="15">
        <f t="shared" si="4"/>
        <v>4.1999987788804454</v>
      </c>
    </row>
    <row r="65" spans="2:30">
      <c r="B65" s="1">
        <v>44942</v>
      </c>
      <c r="C65" s="51">
        <f t="shared" si="3"/>
        <v>0</v>
      </c>
      <c r="D65" s="26">
        <v>0</v>
      </c>
      <c r="E65" s="26">
        <v>0</v>
      </c>
      <c r="F65" s="26">
        <v>0</v>
      </c>
      <c r="G65" s="26">
        <v>0</v>
      </c>
      <c r="H65" s="26">
        <v>0</v>
      </c>
      <c r="I65" s="26">
        <v>0</v>
      </c>
      <c r="J65" s="26">
        <v>0</v>
      </c>
      <c r="K65">
        <f>VLOOKUP(B65,Resumo_HSF!$C$13:$AH$200,28,FALSE)</f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</v>
      </c>
      <c r="V65" s="26">
        <v>0</v>
      </c>
      <c r="W65" s="26">
        <v>0</v>
      </c>
      <c r="X65" s="26">
        <f>-IF(VLOOKUP($B65,Resumo_HSF!$C$13:$AB$1000,16,FALSE)=VLOOKUP($B64,Resumo_HSF!$C$13:$AB$1000,16,FALSE),0,(VLOOKUP($B65,Resumo_HSF!$C$13:$AB$1000,16,FALSE)-VLOOKUP($B64,Resumo_HSF!$C$13:$AB$1000,16,FALSE))*VLOOKUP($B65,Resumo_HSF!$C$13:$AB$1000,15,FALSE))</f>
        <v>0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  <c r="AD65" s="15">
        <f t="shared" si="4"/>
        <v>0</v>
      </c>
    </row>
    <row r="66" spans="2:30">
      <c r="B66" s="1">
        <v>44943</v>
      </c>
      <c r="C66" s="51">
        <f t="shared" si="3"/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>
        <f>VLOOKUP(B66,Resumo_HSF!$C$13:$AH$200,28,FALSE)</f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f>-IF(VLOOKUP($B66,Resumo_HSF!$C$13:$AB$1000,16,FALSE)=VLOOKUP($B65,Resumo_HSF!$C$13:$AB$1000,16,FALSE),0,(VLOOKUP($B66,Resumo_HSF!$C$13:$AB$1000,16,FALSE)-VLOOKUP($B65,Resumo_HSF!$C$13:$AB$1000,16,FALSE))*VLOOKUP($B66,Resumo_HSF!$C$13:$AB$1000,15,FALSE))</f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  <c r="AD66" s="15">
        <f t="shared" si="4"/>
        <v>0</v>
      </c>
    </row>
    <row r="67" spans="2:30">
      <c r="B67" s="1">
        <v>44944</v>
      </c>
      <c r="C67" s="51">
        <f t="shared" si="3"/>
        <v>0</v>
      </c>
      <c r="D67" s="26">
        <v>0</v>
      </c>
      <c r="E67" s="26">
        <v>0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>
        <f>VLOOKUP(B67,Resumo_HSF!$C$13:$AH$200,28,FALSE)</f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</v>
      </c>
      <c r="V67" s="26">
        <v>0</v>
      </c>
      <c r="W67" s="26">
        <v>0</v>
      </c>
      <c r="X67" s="26">
        <f>-IF(VLOOKUP($B67,Resumo_HSF!$C$13:$AB$1000,16,FALSE)=VLOOKUP($B66,Resumo_HSF!$C$13:$AB$1000,16,FALSE),0,(VLOOKUP($B67,Resumo_HSF!$C$13:$AB$1000,16,FALSE)-VLOOKUP($B66,Resumo_HSF!$C$13:$AB$1000,16,FALSE))*VLOOKUP($B67,Resumo_HSF!$C$13:$AB$1000,15,FALSE))</f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  <c r="AD67" s="15">
        <f t="shared" si="4"/>
        <v>0</v>
      </c>
    </row>
    <row r="68" spans="2:30">
      <c r="B68" s="1">
        <v>44945</v>
      </c>
      <c r="C68" s="51">
        <f t="shared" si="3"/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>
        <f>VLOOKUP(B68,Resumo_HSF!$C$13:$AH$200,28,FALSE)</f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0</v>
      </c>
      <c r="V68" s="26">
        <v>0</v>
      </c>
      <c r="W68" s="26">
        <v>0</v>
      </c>
      <c r="X68" s="26">
        <f>-IF(VLOOKUP($B68,Resumo_HSF!$C$13:$AB$1000,16,FALSE)=VLOOKUP($B67,Resumo_HSF!$C$13:$AB$1000,16,FALSE),0,(VLOOKUP($B68,Resumo_HSF!$C$13:$AB$1000,16,FALSE)-VLOOKUP($B67,Resumo_HSF!$C$13:$AB$1000,16,FALSE))*VLOOKUP($B68,Resumo_HSF!$C$13:$AB$1000,15,FALSE))</f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  <c r="AD68" s="15">
        <f t="shared" si="4"/>
        <v>0</v>
      </c>
    </row>
    <row r="69" spans="2:30">
      <c r="B69" s="1">
        <v>44946</v>
      </c>
      <c r="C69" s="51">
        <f t="shared" si="3"/>
        <v>0</v>
      </c>
      <c r="D69" s="26">
        <v>0</v>
      </c>
      <c r="E69" s="26">
        <v>0</v>
      </c>
      <c r="F69" s="26">
        <v>0</v>
      </c>
      <c r="G69" s="26">
        <v>0</v>
      </c>
      <c r="H69" s="26">
        <v>0</v>
      </c>
      <c r="I69" s="26">
        <v>0</v>
      </c>
      <c r="J69" s="26">
        <v>0</v>
      </c>
      <c r="K69">
        <f>VLOOKUP(B69,Resumo_HSF!$C$13:$AH$200,28,FALSE)</f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  <c r="X69" s="26">
        <f>-IF(VLOOKUP($B69,Resumo_HSF!$C$13:$AB$1000,16,FALSE)=VLOOKUP($B68,Resumo_HSF!$C$13:$AB$1000,16,FALSE),0,(VLOOKUP($B69,Resumo_HSF!$C$13:$AB$1000,16,FALSE)-VLOOKUP($B68,Resumo_HSF!$C$13:$AB$1000,16,FALSE))*VLOOKUP($B69,Resumo_HSF!$C$13:$AB$1000,15,FALSE))</f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  <c r="AD69" s="15">
        <f t="shared" si="4"/>
        <v>0</v>
      </c>
    </row>
    <row r="70" spans="2:30">
      <c r="B70" s="1">
        <v>44949</v>
      </c>
      <c r="C70" s="51">
        <f t="shared" si="3"/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>
        <f>VLOOKUP(B70,Resumo_HSF!$C$13:$AH$200,28,FALSE)</f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  <c r="X70" s="26">
        <f>-IF(VLOOKUP($B70,Resumo_HSF!$C$13:$AB$1000,16,FALSE)=VLOOKUP($B69,Resumo_HSF!$C$13:$AB$1000,16,FALSE),0,(VLOOKUP($B70,Resumo_HSF!$C$13:$AB$1000,16,FALSE)-VLOOKUP($B69,Resumo_HSF!$C$13:$AB$1000,16,FALSE))*VLOOKUP($B70,Resumo_HSF!$C$13:$AB$1000,15,FALSE))</f>
        <v>0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  <c r="AD70" s="15">
        <f t="shared" si="4"/>
        <v>0</v>
      </c>
    </row>
    <row r="71" spans="2:30">
      <c r="B71" s="1">
        <v>44950</v>
      </c>
      <c r="C71" s="51">
        <f t="shared" si="3"/>
        <v>0</v>
      </c>
      <c r="D71" s="26">
        <v>0</v>
      </c>
      <c r="E71" s="26">
        <v>0</v>
      </c>
      <c r="F71" s="26">
        <v>0</v>
      </c>
      <c r="G71" s="26">
        <v>0</v>
      </c>
      <c r="H71" s="26">
        <v>0</v>
      </c>
      <c r="I71" s="26">
        <v>0</v>
      </c>
      <c r="J71" s="26">
        <v>0</v>
      </c>
      <c r="K71">
        <f>VLOOKUP(B71,Resumo_HSF!$C$13:$AH$200,28,FALSE)</f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</v>
      </c>
      <c r="V71" s="26">
        <v>0</v>
      </c>
      <c r="W71" s="26">
        <v>0</v>
      </c>
      <c r="X71" s="26">
        <f>-IF(VLOOKUP($B71,Resumo_HSF!$C$13:$AB$1000,16,FALSE)=VLOOKUP($B70,Resumo_HSF!$C$13:$AB$1000,16,FALSE),0,(VLOOKUP($B71,Resumo_HSF!$C$13:$AB$1000,16,FALSE)-VLOOKUP($B70,Resumo_HSF!$C$13:$AB$1000,16,FALSE))*VLOOKUP($B71,Resumo_HSF!$C$13:$AB$1000,15,FALSE))</f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  <c r="AD71" s="15">
        <f t="shared" si="4"/>
        <v>0</v>
      </c>
    </row>
    <row r="72" spans="2:30">
      <c r="B72" s="1">
        <v>44951</v>
      </c>
      <c r="C72" s="51">
        <f t="shared" si="3"/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>
        <f>VLOOKUP(B72,Resumo_HSF!$C$13:$AH$200,28,FALSE)</f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0</v>
      </c>
      <c r="V72" s="26">
        <v>0</v>
      </c>
      <c r="W72" s="26">
        <v>0</v>
      </c>
      <c r="X72" s="26">
        <f>-IF(VLOOKUP($B72,Resumo_HSF!$C$13:$AB$1000,16,FALSE)=VLOOKUP($B71,Resumo_HSF!$C$13:$AB$1000,16,FALSE),0,(VLOOKUP($B72,Resumo_HSF!$C$13:$AB$1000,16,FALSE)-VLOOKUP($B71,Resumo_HSF!$C$13:$AB$1000,16,FALSE))*VLOOKUP($B72,Resumo_HSF!$C$13:$AB$1000,15,FALSE))</f>
        <v>0</v>
      </c>
      <c r="Y72" s="26">
        <v>0</v>
      </c>
      <c r="Z72" s="26">
        <v>0</v>
      </c>
      <c r="AA72" s="26">
        <v>0</v>
      </c>
      <c r="AB72" s="26">
        <v>0</v>
      </c>
      <c r="AC72" s="26">
        <v>0</v>
      </c>
      <c r="AD72" s="15">
        <f t="shared" si="4"/>
        <v>0</v>
      </c>
    </row>
    <row r="73" spans="2:30">
      <c r="B73" s="1">
        <v>44952</v>
      </c>
      <c r="C73" s="51">
        <f t="shared" si="3"/>
        <v>0</v>
      </c>
      <c r="D73" s="26">
        <v>0</v>
      </c>
      <c r="E73" s="26">
        <v>0</v>
      </c>
      <c r="F73" s="26">
        <v>0</v>
      </c>
      <c r="G73" s="26">
        <v>0</v>
      </c>
      <c r="H73" s="26">
        <v>0</v>
      </c>
      <c r="I73" s="26">
        <v>0</v>
      </c>
      <c r="J73" s="26">
        <v>0</v>
      </c>
      <c r="K73">
        <f>VLOOKUP(B73,Resumo_HSF!$C$13:$AH$200,28,FALSE)</f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0</v>
      </c>
      <c r="V73" s="26">
        <v>0</v>
      </c>
      <c r="W73" s="26">
        <v>0</v>
      </c>
      <c r="X73" s="26">
        <f>-IF(VLOOKUP($B73,Resumo_HSF!$C$13:$AB$1000,16,FALSE)=VLOOKUP($B72,Resumo_HSF!$C$13:$AB$1000,16,FALSE),0,(VLOOKUP($B73,Resumo_HSF!$C$13:$AB$1000,16,FALSE)-VLOOKUP($B72,Resumo_HSF!$C$13:$AB$1000,16,FALSE))*VLOOKUP($B73,Resumo_HSF!$C$13:$AB$1000,15,FALSE))</f>
        <v>0</v>
      </c>
      <c r="Y73" s="26">
        <v>0</v>
      </c>
      <c r="Z73" s="26">
        <v>0</v>
      </c>
      <c r="AA73" s="26">
        <v>0</v>
      </c>
      <c r="AB73" s="26">
        <v>0</v>
      </c>
      <c r="AC73" s="26">
        <v>0</v>
      </c>
      <c r="AD73" s="15">
        <f t="shared" si="4"/>
        <v>0</v>
      </c>
    </row>
    <row r="74" spans="2:30">
      <c r="B74" s="1">
        <v>44953</v>
      </c>
      <c r="C74" s="51">
        <f t="shared" si="3"/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>
        <f>VLOOKUP(B74,Resumo_HSF!$C$13:$AH$200,28,FALSE)</f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0</v>
      </c>
      <c r="V74" s="26">
        <v>0</v>
      </c>
      <c r="W74" s="26">
        <v>0</v>
      </c>
      <c r="X74" s="26">
        <f>-IF(VLOOKUP($B74,Resumo_HSF!$C$13:$AB$1000,16,FALSE)=VLOOKUP($B73,Resumo_HSF!$C$13:$AB$1000,16,FALSE),0,(VLOOKUP($B74,Resumo_HSF!$C$13:$AB$1000,16,FALSE)-VLOOKUP($B73,Resumo_HSF!$C$13:$AB$1000,16,FALSE))*VLOOKUP($B74,Resumo_HSF!$C$13:$AB$1000,15,FALSE))</f>
        <v>0</v>
      </c>
      <c r="Y74" s="26">
        <v>0</v>
      </c>
      <c r="Z74" s="26">
        <v>0</v>
      </c>
      <c r="AA74" s="26">
        <v>0</v>
      </c>
      <c r="AB74" s="26">
        <v>0</v>
      </c>
      <c r="AC74" s="26">
        <v>0</v>
      </c>
      <c r="AD74" s="15">
        <f t="shared" si="4"/>
        <v>0</v>
      </c>
    </row>
    <row r="75" spans="2:30">
      <c r="B75" s="1">
        <v>44956</v>
      </c>
      <c r="C75" s="51">
        <f t="shared" si="3"/>
        <v>0</v>
      </c>
      <c r="D75" s="26">
        <v>0</v>
      </c>
      <c r="E75" s="26">
        <v>0</v>
      </c>
      <c r="F75" s="26">
        <v>0</v>
      </c>
      <c r="G75" s="26">
        <v>0</v>
      </c>
      <c r="H75" s="26">
        <v>0</v>
      </c>
      <c r="I75" s="26">
        <v>0</v>
      </c>
      <c r="J75" s="26">
        <v>0</v>
      </c>
      <c r="K75">
        <f>VLOOKUP(B75,Resumo_HSF!$C$13:$AH$200,28,FALSE)</f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  <c r="X75" s="26">
        <f>-IF(VLOOKUP($B75,Resumo_HSF!$C$13:$AB$1000,16,FALSE)=VLOOKUP($B74,Resumo_HSF!$C$13:$AB$1000,16,FALSE),0,(VLOOKUP($B75,Resumo_HSF!$C$13:$AB$1000,16,FALSE)-VLOOKUP($B74,Resumo_HSF!$C$13:$AB$1000,16,FALSE))*VLOOKUP($B75,Resumo_HSF!$C$13:$AB$1000,15,FALSE))</f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0</v>
      </c>
      <c r="AD75" s="15">
        <f t="shared" si="4"/>
        <v>0</v>
      </c>
    </row>
    <row r="76" spans="2:30">
      <c r="B76" s="1">
        <v>44957</v>
      </c>
      <c r="C76" s="51">
        <f t="shared" si="3"/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>
        <f>VLOOKUP(B76,Resumo_HSF!$C$13:$AH$200,28,FALSE)</f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f>-IF(VLOOKUP($B76,Resumo_HSF!$C$13:$AB$1000,16,FALSE)=VLOOKUP($B75,Resumo_HSF!$C$13:$AB$1000,16,FALSE),0,(VLOOKUP($B76,Resumo_HSF!$C$13:$AB$1000,16,FALSE)-VLOOKUP($B75,Resumo_HSF!$C$13:$AB$1000,16,FALSE))*VLOOKUP($B76,Resumo_HSF!$C$13:$AB$1000,15,FALSE))</f>
        <v>0</v>
      </c>
      <c r="Y76" s="26">
        <v>0</v>
      </c>
      <c r="Z76" s="26">
        <v>0</v>
      </c>
      <c r="AA76" s="26">
        <v>0</v>
      </c>
      <c r="AB76" s="26">
        <v>0</v>
      </c>
      <c r="AC76" s="26">
        <v>0</v>
      </c>
      <c r="AD76" s="15">
        <f t="shared" si="4"/>
        <v>0</v>
      </c>
    </row>
    <row r="77" spans="2:30">
      <c r="B77" s="1">
        <v>44958</v>
      </c>
      <c r="C77" s="51">
        <f t="shared" si="3"/>
        <v>0</v>
      </c>
      <c r="D77" s="26">
        <v>0</v>
      </c>
      <c r="E77" s="26">
        <v>0</v>
      </c>
      <c r="F77" s="26">
        <v>0</v>
      </c>
      <c r="G77" s="26">
        <v>0</v>
      </c>
      <c r="H77" s="26">
        <v>0</v>
      </c>
      <c r="I77" s="26">
        <v>0</v>
      </c>
      <c r="J77" s="26">
        <v>0</v>
      </c>
      <c r="K77">
        <f>VLOOKUP(B77,Resumo_HSF!$C$13:$AH$200,28,FALSE)</f>
        <v>0</v>
      </c>
      <c r="L77" s="26">
        <v>0</v>
      </c>
      <c r="M77" s="26">
        <v>0</v>
      </c>
      <c r="N77" s="26">
        <v>0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</v>
      </c>
      <c r="V77" s="26">
        <v>0</v>
      </c>
      <c r="W77" s="26">
        <v>0</v>
      </c>
      <c r="X77" s="26">
        <f>-IF(VLOOKUP($B77,Resumo_HSF!$C$13:$AB$1000,16,FALSE)=VLOOKUP($B76,Resumo_HSF!$C$13:$AB$1000,16,FALSE),0,(VLOOKUP($B77,Resumo_HSF!$C$13:$AB$1000,16,FALSE)-VLOOKUP($B76,Resumo_HSF!$C$13:$AB$1000,16,FALSE))*VLOOKUP($B77,Resumo_HSF!$C$13:$AB$1000,15,FALSE))</f>
        <v>0</v>
      </c>
      <c r="Y77" s="26">
        <v>0</v>
      </c>
      <c r="Z77" s="26">
        <v>0</v>
      </c>
      <c r="AA77" s="26">
        <v>0</v>
      </c>
      <c r="AB77" s="26">
        <v>0</v>
      </c>
      <c r="AC77" s="26">
        <v>0</v>
      </c>
      <c r="AD77" s="15">
        <f t="shared" si="4"/>
        <v>0</v>
      </c>
    </row>
    <row r="78" spans="2:30">
      <c r="B78" s="1">
        <v>44959</v>
      </c>
      <c r="C78" s="51">
        <f t="shared" si="3"/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>
        <f>VLOOKUP(B78,Resumo_HSF!$C$13:$AH$200,28,FALSE)</f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f>-IF(VLOOKUP($B78,Resumo_HSF!$C$13:$AB$1000,16,FALSE)=VLOOKUP($B77,Resumo_HSF!$C$13:$AB$1000,16,FALSE),0,(VLOOKUP($B78,Resumo_HSF!$C$13:$AB$1000,16,FALSE)-VLOOKUP($B77,Resumo_HSF!$C$13:$AB$1000,16,FALSE))*VLOOKUP($B78,Resumo_HSF!$C$13:$AB$1000,15,FALSE))</f>
        <v>0</v>
      </c>
      <c r="Y78" s="26">
        <v>0</v>
      </c>
      <c r="Z78" s="26">
        <v>0</v>
      </c>
      <c r="AA78" s="26">
        <v>0</v>
      </c>
      <c r="AB78" s="26">
        <v>0</v>
      </c>
      <c r="AC78" s="26">
        <v>0</v>
      </c>
      <c r="AD78" s="15">
        <f t="shared" si="4"/>
        <v>0</v>
      </c>
    </row>
    <row r="79" spans="2:30">
      <c r="B79" s="1">
        <v>44960</v>
      </c>
      <c r="C79" s="51">
        <f t="shared" si="3"/>
        <v>0</v>
      </c>
      <c r="D79" s="26">
        <v>0</v>
      </c>
      <c r="E79" s="26">
        <v>0</v>
      </c>
      <c r="F79" s="26">
        <v>0</v>
      </c>
      <c r="G79" s="26">
        <v>0</v>
      </c>
      <c r="H79" s="26">
        <v>0</v>
      </c>
      <c r="I79" s="26">
        <v>0</v>
      </c>
      <c r="J79" s="26">
        <v>0</v>
      </c>
      <c r="K79">
        <f>VLOOKUP(B79,Resumo_HSF!$C$13:$AH$200,28,FALSE)</f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  <c r="X79" s="26">
        <f>-IF(VLOOKUP($B79,Resumo_HSF!$C$13:$AB$1000,16,FALSE)=VLOOKUP($B78,Resumo_HSF!$C$13:$AB$1000,16,FALSE),0,(VLOOKUP($B79,Resumo_HSF!$C$13:$AB$1000,16,FALSE)-VLOOKUP($B78,Resumo_HSF!$C$13:$AB$1000,16,FALSE))*VLOOKUP($B79,Resumo_HSF!$C$13:$AB$1000,15,FALSE))</f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0</v>
      </c>
      <c r="AD79" s="15">
        <f t="shared" si="4"/>
        <v>0</v>
      </c>
    </row>
    <row r="80" spans="2:30">
      <c r="B80" s="1">
        <v>44963</v>
      </c>
      <c r="C80" s="51">
        <f t="shared" si="3"/>
        <v>1.5916157281026244E-11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>
        <f>VLOOKUP(B80,Resumo_HSF!$C$13:$AH$200,28,FALSE)</f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4000</v>
      </c>
      <c r="V80" s="26">
        <v>0</v>
      </c>
      <c r="W80" s="26">
        <v>0</v>
      </c>
      <c r="X80" s="26">
        <f>-IF(VLOOKUP($B80,Resumo_HSF!$C$13:$AB$1000,16,FALSE)=VLOOKUP($B79,Resumo_HSF!$C$13:$AB$1000,16,FALSE),0,(VLOOKUP($B80,Resumo_HSF!$C$13:$AB$1000,16,FALSE)-VLOOKUP($B79,Resumo_HSF!$C$13:$AB$1000,16,FALSE))*VLOOKUP($B80,Resumo_HSF!$C$13:$AB$1000,15,FALSE))</f>
        <v>-3999.9999999999841</v>
      </c>
      <c r="Y80" s="26">
        <v>0</v>
      </c>
      <c r="Z80" s="26">
        <v>0</v>
      </c>
      <c r="AA80" s="26">
        <v>0</v>
      </c>
      <c r="AB80" s="26">
        <v>0</v>
      </c>
      <c r="AC80" s="26">
        <v>0</v>
      </c>
      <c r="AD80" s="15">
        <f t="shared" si="4"/>
        <v>1.5916157281026244E-11</v>
      </c>
    </row>
    <row r="81" spans="2:30">
      <c r="B81" s="1">
        <v>44964</v>
      </c>
      <c r="C81" s="51">
        <f t="shared" si="3"/>
        <v>0.19999853215222174</v>
      </c>
      <c r="D81" s="26">
        <v>-3705.59</v>
      </c>
      <c r="E81" s="26">
        <v>0</v>
      </c>
      <c r="F81" s="26">
        <v>0</v>
      </c>
      <c r="G81" s="26">
        <v>0</v>
      </c>
      <c r="H81" s="26">
        <v>0</v>
      </c>
      <c r="I81" s="26">
        <v>0</v>
      </c>
      <c r="J81" s="26">
        <v>0</v>
      </c>
      <c r="K81">
        <f>-VLOOKUP(B81,Resumo_HSF!$C$13:$AH$200,28,FALSE)</f>
        <v>0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0</v>
      </c>
      <c r="V81" s="26">
        <v>0</v>
      </c>
      <c r="W81" s="26">
        <v>0</v>
      </c>
      <c r="X81" s="26">
        <f>-IF(VLOOKUP($B81,Resumo_HSF!$C$13:$AB$1000,16,FALSE)=VLOOKUP($B80,Resumo_HSF!$C$13:$AB$1000,16,FALSE),0,(VLOOKUP($B81,Resumo_HSF!$C$13:$AB$1000,16,FALSE)-VLOOKUP($B80,Resumo_HSF!$C$13:$AB$1000,16,FALSE))*VLOOKUP($B81,Resumo_HSF!$C$13:$AB$1000,15,FALSE))</f>
        <v>3705.7899985321524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15">
        <f t="shared" si="4"/>
        <v>0.19999853215222174</v>
      </c>
    </row>
    <row r="82" spans="2:30">
      <c r="B82" s="1">
        <v>44965</v>
      </c>
      <c r="C82" s="51">
        <f t="shared" si="3"/>
        <v>1.4872393876430579E-6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>
        <f>-VLOOKUP(B82,Resumo_HSF!$C$13:$AH$200,28,FALSE)</f>
        <v>-87000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0</v>
      </c>
      <c r="V82" s="26">
        <v>0</v>
      </c>
      <c r="W82" s="26">
        <v>85223.02</v>
      </c>
      <c r="X82" s="26">
        <f>-IF(VLOOKUP($B82,Resumo_HSF!$C$13:$AB$1000,16,FALSE)=VLOOKUP($B81,Resumo_HSF!$C$13:$AB$1000,16,FALSE),0,(VLOOKUP($B82,Resumo_HSF!$C$13:$AB$1000,16,FALSE)-VLOOKUP($B81,Resumo_HSF!$C$13:$AB$1000,16,FALSE))*VLOOKUP($B82,Resumo_HSF!$C$13:$AB$1000,15,FALSE))</f>
        <v>1776.9800014872353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15">
        <f t="shared" si="4"/>
        <v>1.4872393876430579E-6</v>
      </c>
    </row>
    <row r="83" spans="2:30">
      <c r="B83" s="1">
        <v>44966</v>
      </c>
      <c r="C83" s="51">
        <f t="shared" si="3"/>
        <v>0</v>
      </c>
      <c r="D83" s="26">
        <v>0</v>
      </c>
      <c r="E83" s="26">
        <v>0</v>
      </c>
      <c r="F83" s="26">
        <v>0</v>
      </c>
      <c r="G83" s="26">
        <v>0</v>
      </c>
      <c r="H83" s="26">
        <v>0</v>
      </c>
      <c r="I83" s="26">
        <v>0</v>
      </c>
      <c r="J83" s="26">
        <v>0</v>
      </c>
      <c r="K83">
        <f>-VLOOKUP(B83,Resumo_HSF!$C$13:$AH$200,28,FALSE)</f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</v>
      </c>
      <c r="W83" s="26">
        <v>0</v>
      </c>
      <c r="X83" s="26">
        <f>-IF(VLOOKUP($B83,Resumo_HSF!$C$13:$AB$1000,16,FALSE)=VLOOKUP($B82,Resumo_HSF!$C$13:$AB$1000,16,FALSE),0,(VLOOKUP($B83,Resumo_HSF!$C$13:$AB$1000,16,FALSE)-VLOOKUP($B82,Resumo_HSF!$C$13:$AB$1000,16,FALSE))*VLOOKUP($B83,Resumo_HSF!$C$13:$AB$1000,15,FALSE))</f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15">
        <f t="shared" si="4"/>
        <v>0</v>
      </c>
    </row>
    <row r="84" spans="2:30">
      <c r="B84" s="1">
        <v>44967</v>
      </c>
      <c r="C84" s="51">
        <f t="shared" si="3"/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>
        <f>-VLOOKUP(B84,Resumo_HSF!$C$13:$AH$200,28,FALSE)</f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6">
        <v>0</v>
      </c>
      <c r="V84" s="26">
        <v>0</v>
      </c>
      <c r="W84" s="26">
        <v>0</v>
      </c>
      <c r="X84" s="26">
        <f>-IF(VLOOKUP($B84,Resumo_HSF!$C$13:$AB$1000,16,FALSE)=VLOOKUP($B83,Resumo_HSF!$C$13:$AB$1000,16,FALSE),0,(VLOOKUP($B84,Resumo_HSF!$C$13:$AB$1000,16,FALSE)-VLOOKUP($B83,Resumo_HSF!$C$13:$AB$1000,16,FALSE))*VLOOKUP($B84,Resumo_HSF!$C$13:$AB$1000,15,FALSE))</f>
        <v>0</v>
      </c>
      <c r="Y84" s="26">
        <v>0</v>
      </c>
      <c r="Z84" s="26">
        <v>0</v>
      </c>
      <c r="AA84" s="26">
        <v>0</v>
      </c>
      <c r="AB84" s="26">
        <v>0</v>
      </c>
      <c r="AC84" s="26">
        <v>0</v>
      </c>
      <c r="AD84" s="15">
        <f t="shared" si="4"/>
        <v>0</v>
      </c>
    </row>
    <row r="85" spans="2:30">
      <c r="B85" s="1">
        <v>44970</v>
      </c>
      <c r="C85" s="51">
        <f t="shared" si="3"/>
        <v>0</v>
      </c>
      <c r="D85" s="26">
        <v>0</v>
      </c>
      <c r="E85" s="26">
        <v>0</v>
      </c>
      <c r="F85" s="26">
        <v>0</v>
      </c>
      <c r="G85" s="26">
        <v>0</v>
      </c>
      <c r="H85" s="26">
        <v>0</v>
      </c>
      <c r="I85" s="26">
        <v>0</v>
      </c>
      <c r="J85" s="26">
        <v>0</v>
      </c>
      <c r="K85">
        <f>-VLOOKUP(B85,Resumo_HSF!$C$13:$AH$200,28,FALSE)</f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6">
        <v>0</v>
      </c>
      <c r="V85" s="26">
        <v>0</v>
      </c>
      <c r="W85" s="26">
        <v>0</v>
      </c>
      <c r="X85" s="26">
        <f>-IF(VLOOKUP($B85,Resumo_HSF!$C$13:$AB$1000,16,FALSE)=VLOOKUP($B84,Resumo_HSF!$C$13:$AB$1000,16,FALSE),0,(VLOOKUP($B85,Resumo_HSF!$C$13:$AB$1000,16,FALSE)-VLOOKUP($B84,Resumo_HSF!$C$13:$AB$1000,16,FALSE))*VLOOKUP($B85,Resumo_HSF!$C$13:$AB$1000,15,FALSE))</f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0</v>
      </c>
      <c r="AD85" s="15">
        <f t="shared" si="4"/>
        <v>0</v>
      </c>
    </row>
    <row r="86" spans="2:30">
      <c r="B86" s="1">
        <v>44971</v>
      </c>
      <c r="C86" s="51">
        <f t="shared" si="3"/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>
        <f>-VLOOKUP(B86,Resumo_HSF!$C$13:$AH$200,28,FALSE)</f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6">
        <v>0</v>
      </c>
      <c r="V86" s="26">
        <v>0</v>
      </c>
      <c r="W86" s="26">
        <v>0</v>
      </c>
      <c r="X86" s="26">
        <f>-IF(VLOOKUP($B86,Resumo_HSF!$C$13:$AB$1000,16,FALSE)=VLOOKUP($B85,Resumo_HSF!$C$13:$AB$1000,16,FALSE),0,(VLOOKUP($B86,Resumo_HSF!$C$13:$AB$1000,16,FALSE)-VLOOKUP($B85,Resumo_HSF!$C$13:$AB$1000,16,FALSE))*VLOOKUP($B86,Resumo_HSF!$C$13:$AB$1000,15,FALSE))</f>
        <v>0</v>
      </c>
      <c r="Y86" s="26">
        <v>0</v>
      </c>
      <c r="Z86" s="26">
        <v>0</v>
      </c>
      <c r="AA86" s="26">
        <v>0</v>
      </c>
      <c r="AB86" s="26">
        <v>0</v>
      </c>
      <c r="AC86" s="26">
        <v>0</v>
      </c>
      <c r="AD86" s="15">
        <f t="shared" si="4"/>
        <v>0</v>
      </c>
    </row>
    <row r="87" spans="2:30">
      <c r="B87" s="1">
        <v>44972</v>
      </c>
      <c r="C87" s="51">
        <f t="shared" si="3"/>
        <v>0</v>
      </c>
      <c r="D87" s="26">
        <v>0</v>
      </c>
      <c r="E87" s="26">
        <v>0</v>
      </c>
      <c r="F87" s="26">
        <v>0</v>
      </c>
      <c r="G87" s="26">
        <v>0</v>
      </c>
      <c r="H87" s="26">
        <v>0</v>
      </c>
      <c r="I87" s="26">
        <v>0</v>
      </c>
      <c r="J87" s="26">
        <v>0</v>
      </c>
      <c r="K87">
        <f>-VLOOKUP(B87,Resumo_HSF!$C$13:$AH$200,28,FALSE)</f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0</v>
      </c>
      <c r="U87" s="26">
        <v>0</v>
      </c>
      <c r="V87" s="26">
        <v>0</v>
      </c>
      <c r="W87" s="26">
        <v>0</v>
      </c>
      <c r="X87" s="26">
        <f>-IF(VLOOKUP($B87,Resumo_HSF!$C$13:$AB$1000,16,FALSE)=VLOOKUP($B86,Resumo_HSF!$C$13:$AB$1000,16,FALSE),0,(VLOOKUP($B87,Resumo_HSF!$C$13:$AB$1000,16,FALSE)-VLOOKUP($B86,Resumo_HSF!$C$13:$AB$1000,16,FALSE))*VLOOKUP($B87,Resumo_HSF!$C$13:$AB$1000,15,FALSE))</f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0</v>
      </c>
      <c r="AD87" s="15">
        <f t="shared" si="4"/>
        <v>0</v>
      </c>
    </row>
    <row r="88" spans="2:30">
      <c r="B88" s="1">
        <v>44973</v>
      </c>
      <c r="C88" s="51">
        <f t="shared" si="3"/>
        <v>4.0298704107044614E-7</v>
      </c>
      <c r="D88" s="26">
        <v>-145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>
        <f>-VLOOKUP(B88,Resumo_HSF!$C$13:$AH$200,28,FALSE)</f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6">
        <v>0</v>
      </c>
      <c r="U88" s="26">
        <v>0</v>
      </c>
      <c r="V88" s="26">
        <v>0</v>
      </c>
      <c r="W88" s="26">
        <v>0</v>
      </c>
      <c r="X88" s="26">
        <f>-IF(VLOOKUP($B88,Resumo_HSF!$C$13:$AB$1000,16,FALSE)=VLOOKUP($B87,Resumo_HSF!$C$13:$AB$1000,16,FALSE),0,(VLOOKUP($B88,Resumo_HSF!$C$13:$AB$1000,16,FALSE)-VLOOKUP($B87,Resumo_HSF!$C$13:$AB$1000,16,FALSE))*VLOOKUP($B88,Resumo_HSF!$C$13:$AB$1000,15,FALSE))</f>
        <v>145.00000040298704</v>
      </c>
      <c r="Y88" s="26">
        <v>0</v>
      </c>
      <c r="Z88" s="26">
        <v>0</v>
      </c>
      <c r="AA88" s="26">
        <v>0</v>
      </c>
      <c r="AB88" s="26">
        <v>0</v>
      </c>
      <c r="AC88" s="26">
        <v>0</v>
      </c>
      <c r="AD88" s="15">
        <f t="shared" si="4"/>
        <v>4.0298704107044614E-7</v>
      </c>
    </row>
    <row r="89" spans="2:30">
      <c r="B89" s="1">
        <v>44974</v>
      </c>
      <c r="C89" s="51">
        <f t="shared" si="3"/>
        <v>0</v>
      </c>
      <c r="D89" s="26">
        <v>0</v>
      </c>
      <c r="E89" s="26">
        <v>0</v>
      </c>
      <c r="F89" s="26">
        <v>0</v>
      </c>
      <c r="G89" s="26">
        <v>0</v>
      </c>
      <c r="H89" s="26">
        <v>0</v>
      </c>
      <c r="I89" s="26">
        <v>0</v>
      </c>
      <c r="J89" s="26">
        <v>0</v>
      </c>
      <c r="K89">
        <f>-VLOOKUP(B89,Resumo_HSF!$C$13:$AH$200,28,FALSE)</f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6">
        <v>0</v>
      </c>
      <c r="U89" s="26">
        <v>0</v>
      </c>
      <c r="V89" s="26">
        <v>0</v>
      </c>
      <c r="W89" s="26">
        <v>0</v>
      </c>
      <c r="X89" s="26">
        <f>-IF(VLOOKUP($B89,Resumo_HSF!$C$13:$AB$1000,16,FALSE)=VLOOKUP($B88,Resumo_HSF!$C$13:$AB$1000,16,FALSE),0,(VLOOKUP($B89,Resumo_HSF!$C$13:$AB$1000,16,FALSE)-VLOOKUP($B88,Resumo_HSF!$C$13:$AB$1000,16,FALSE))*VLOOKUP($B89,Resumo_HSF!$C$13:$AB$1000,15,FALSE))</f>
        <v>0</v>
      </c>
      <c r="Y89" s="26">
        <v>0</v>
      </c>
      <c r="Z89" s="26">
        <v>0</v>
      </c>
      <c r="AA89" s="26">
        <v>0</v>
      </c>
      <c r="AB89" s="26">
        <v>0</v>
      </c>
      <c r="AC89" s="26">
        <v>0</v>
      </c>
      <c r="AD89" s="15">
        <f t="shared" si="4"/>
        <v>0</v>
      </c>
    </row>
    <row r="90" spans="2:30">
      <c r="B90" s="1">
        <v>44979</v>
      </c>
      <c r="C90" s="51">
        <f t="shared" si="3"/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>
        <f>-VLOOKUP(B90,Resumo_HSF!$C$13:$AH$200,28,FALSE)</f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6">
        <v>0</v>
      </c>
      <c r="U90" s="26">
        <v>0</v>
      </c>
      <c r="V90" s="26">
        <v>0</v>
      </c>
      <c r="W90" s="26">
        <v>0</v>
      </c>
      <c r="X90" s="26">
        <f>-IF(VLOOKUP($B90,Resumo_HSF!$C$13:$AB$1000,16,FALSE)=VLOOKUP($B89,Resumo_HSF!$C$13:$AB$1000,16,FALSE),0,(VLOOKUP($B90,Resumo_HSF!$C$13:$AB$1000,16,FALSE)-VLOOKUP($B89,Resumo_HSF!$C$13:$AB$1000,16,FALSE))*VLOOKUP($B90,Resumo_HSF!$C$13:$AB$1000,15,FALSE))</f>
        <v>0</v>
      </c>
      <c r="Y90" s="26">
        <v>0</v>
      </c>
      <c r="Z90" s="26">
        <v>0</v>
      </c>
      <c r="AA90" s="26">
        <v>0</v>
      </c>
      <c r="AB90" s="26">
        <v>0</v>
      </c>
      <c r="AC90" s="26">
        <v>0</v>
      </c>
      <c r="AD90" s="15">
        <f t="shared" ref="AD90:AD121" si="5">SUM(D90:AB90)</f>
        <v>0</v>
      </c>
    </row>
    <row r="91" spans="2:30">
      <c r="B91" s="1">
        <v>44980</v>
      </c>
      <c r="C91" s="51">
        <f t="shared" ref="C91" si="6">AD91</f>
        <v>0</v>
      </c>
      <c r="D91" s="26">
        <v>0</v>
      </c>
      <c r="E91" s="26">
        <v>0</v>
      </c>
      <c r="F91" s="26">
        <v>0</v>
      </c>
      <c r="G91" s="26">
        <v>0</v>
      </c>
      <c r="H91" s="26">
        <v>0</v>
      </c>
      <c r="I91" s="26">
        <v>0</v>
      </c>
      <c r="J91" s="26">
        <v>0</v>
      </c>
      <c r="K91">
        <f>-VLOOKUP(B91,Resumo_HSF!$C$13:$AH$200,28,FALSE)</f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6">
        <v>0</v>
      </c>
      <c r="V91" s="26">
        <v>0</v>
      </c>
      <c r="W91" s="26">
        <v>0</v>
      </c>
      <c r="X91" s="26">
        <f>-IF(VLOOKUP($B91,Resumo_HSF!$C$13:$AB$1000,16,FALSE)=VLOOKUP($B90,Resumo_HSF!$C$13:$AB$1000,16,FALSE),0,(VLOOKUP($B91,Resumo_HSF!$C$13:$AB$1000,16,FALSE)-VLOOKUP($B90,Resumo_HSF!$C$13:$AB$1000,16,FALSE))*VLOOKUP($B91,Resumo_HSF!$C$13:$AB$1000,15,FALSE))</f>
        <v>0</v>
      </c>
      <c r="Y91" s="26">
        <v>0</v>
      </c>
      <c r="Z91" s="26">
        <v>0</v>
      </c>
      <c r="AA91" s="26">
        <v>0</v>
      </c>
      <c r="AB91" s="26">
        <v>0</v>
      </c>
      <c r="AC91" s="26">
        <v>0</v>
      </c>
      <c r="AD91" s="15">
        <f t="shared" si="5"/>
        <v>0</v>
      </c>
    </row>
    <row r="92" spans="2:30">
      <c r="B92" s="1">
        <v>44981</v>
      </c>
      <c r="C92" s="51">
        <f t="shared" ref="C92" si="7">AD92</f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>
        <f>-VLOOKUP(B92,Resumo_HSF!$C$13:$AH$200,28,FALSE)</f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6">
        <v>0</v>
      </c>
      <c r="V92" s="26">
        <v>0</v>
      </c>
      <c r="W92" s="26">
        <v>0</v>
      </c>
      <c r="X92" s="26">
        <f>-IF(VLOOKUP($B92,Resumo_HSF!$C$13:$AB$1000,16,FALSE)=VLOOKUP($B91,Resumo_HSF!$C$13:$AB$1000,16,FALSE),0,(VLOOKUP($B92,Resumo_HSF!$C$13:$AB$1000,16,FALSE)-VLOOKUP($B91,Resumo_HSF!$C$13:$AB$1000,16,FALSE))*VLOOKUP($B92,Resumo_HSF!$C$13:$AB$1000,15,FALSE))</f>
        <v>0</v>
      </c>
      <c r="Y92" s="26">
        <v>0</v>
      </c>
      <c r="Z92" s="26">
        <v>0</v>
      </c>
      <c r="AA92" s="26">
        <v>0</v>
      </c>
      <c r="AB92" s="26">
        <v>0</v>
      </c>
      <c r="AC92" s="26">
        <v>0</v>
      </c>
      <c r="AD92" s="15">
        <f t="shared" si="5"/>
        <v>0</v>
      </c>
    </row>
    <row r="93" spans="2:30">
      <c r="B93" s="1">
        <v>44984</v>
      </c>
      <c r="C93" s="51">
        <f t="shared" ref="C93" si="8">AD93</f>
        <v>0</v>
      </c>
      <c r="D93" s="26">
        <v>0</v>
      </c>
      <c r="E93" s="26">
        <v>0</v>
      </c>
      <c r="F93" s="26">
        <v>0</v>
      </c>
      <c r="G93" s="26">
        <v>0</v>
      </c>
      <c r="H93" s="26">
        <v>0</v>
      </c>
      <c r="I93" s="26">
        <v>0</v>
      </c>
      <c r="J93" s="26">
        <v>0</v>
      </c>
      <c r="K93">
        <f>-VLOOKUP(B93,Resumo_HSF!$C$13:$AH$200,28,FALSE)</f>
        <v>0</v>
      </c>
      <c r="L93" s="26">
        <v>0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6">
        <v>0</v>
      </c>
      <c r="V93" s="26">
        <v>0</v>
      </c>
      <c r="W93" s="26">
        <v>0</v>
      </c>
      <c r="X93" s="26">
        <f>-IF(VLOOKUP($B93,Resumo_HSF!$C$13:$AB$1000,16,FALSE)=VLOOKUP($B92,Resumo_HSF!$C$13:$AB$1000,16,FALSE),0,(VLOOKUP($B93,Resumo_HSF!$C$13:$AB$1000,16,FALSE)-VLOOKUP($B92,Resumo_HSF!$C$13:$AB$1000,16,FALSE))*VLOOKUP($B93,Resumo_HSF!$C$13:$AB$1000,15,FALSE))</f>
        <v>0</v>
      </c>
      <c r="Y93" s="26">
        <v>0</v>
      </c>
      <c r="Z93" s="26">
        <v>0</v>
      </c>
      <c r="AA93" s="26">
        <v>0</v>
      </c>
      <c r="AB93" s="26">
        <v>0</v>
      </c>
      <c r="AC93" s="26">
        <v>0</v>
      </c>
      <c r="AD93" s="15">
        <f t="shared" si="5"/>
        <v>0</v>
      </c>
    </row>
    <row r="94" spans="2:30">
      <c r="B94" s="1">
        <v>44985</v>
      </c>
      <c r="C94" s="51">
        <f t="shared" ref="C94" si="9">AD94</f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>
        <f>-VLOOKUP(B94,Resumo_HSF!$C$13:$AH$200,28,FALSE)</f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6">
        <v>0</v>
      </c>
      <c r="T94" s="26">
        <v>0</v>
      </c>
      <c r="U94" s="26">
        <v>0</v>
      </c>
      <c r="V94" s="26">
        <v>0</v>
      </c>
      <c r="W94" s="26">
        <v>0</v>
      </c>
      <c r="X94" s="26">
        <f>-IF(VLOOKUP($B94,Resumo_HSF!$C$13:$AB$1000,16,FALSE)=VLOOKUP($B93,Resumo_HSF!$C$13:$AB$1000,16,FALSE),0,(VLOOKUP($B94,Resumo_HSF!$C$13:$AB$1000,16,FALSE)-VLOOKUP($B93,Resumo_HSF!$C$13:$AB$1000,16,FALSE))*VLOOKUP($B94,Resumo_HSF!$C$13:$AB$1000,15,FALSE))</f>
        <v>0</v>
      </c>
      <c r="Y94" s="26">
        <v>0</v>
      </c>
      <c r="Z94" s="26">
        <v>0</v>
      </c>
      <c r="AA94" s="26">
        <v>0</v>
      </c>
      <c r="AB94" s="26">
        <v>0</v>
      </c>
      <c r="AC94" s="26">
        <v>0</v>
      </c>
      <c r="AD94" s="15">
        <f t="shared" si="5"/>
        <v>0</v>
      </c>
    </row>
    <row r="95" spans="2:30">
      <c r="B95" s="1">
        <v>44986</v>
      </c>
      <c r="C95" s="51">
        <f t="shared" ref="C95" si="10">AD95</f>
        <v>-9.4430311037285719E-7</v>
      </c>
      <c r="D95" s="26">
        <v>0</v>
      </c>
      <c r="E95" s="26">
        <v>0</v>
      </c>
      <c r="F95" s="26">
        <v>0</v>
      </c>
      <c r="G95" s="26">
        <v>0</v>
      </c>
      <c r="H95" s="26">
        <v>0</v>
      </c>
      <c r="I95" s="26">
        <v>0</v>
      </c>
      <c r="J95" s="26">
        <v>0</v>
      </c>
      <c r="K95">
        <f>-VLOOKUP(B95,Resumo_HSF!$C$13:$AH$200,28,FALSE)</f>
        <v>0</v>
      </c>
      <c r="L95" s="26">
        <v>0</v>
      </c>
      <c r="M95" s="26">
        <v>0</v>
      </c>
      <c r="N95" s="26">
        <v>0</v>
      </c>
      <c r="O95" s="26">
        <v>0</v>
      </c>
      <c r="P95" s="26">
        <v>-500</v>
      </c>
      <c r="Q95" s="26">
        <v>0</v>
      </c>
      <c r="R95" s="26">
        <v>0</v>
      </c>
      <c r="S95" s="26">
        <v>0</v>
      </c>
      <c r="T95" s="26">
        <v>0</v>
      </c>
      <c r="U95" s="26">
        <v>0</v>
      </c>
      <c r="V95" s="26">
        <v>0</v>
      </c>
      <c r="W95" s="26">
        <v>0</v>
      </c>
      <c r="X95" s="26">
        <f>-IF(VLOOKUP($B95,Resumo_HSF!$C$13:$AB$1000,16,FALSE)=VLOOKUP($B94,Resumo_HSF!$C$13:$AB$1000,16,FALSE),0,(VLOOKUP($B95,Resumo_HSF!$C$13:$AB$1000,16,FALSE)-VLOOKUP($B94,Resumo_HSF!$C$13:$AB$1000,16,FALSE))*VLOOKUP($B95,Resumo_HSF!$C$13:$AB$1000,15,FALSE))</f>
        <v>499.99999905569689</v>
      </c>
      <c r="Y95" s="26">
        <v>0</v>
      </c>
      <c r="Z95" s="26">
        <v>0</v>
      </c>
      <c r="AA95" s="26">
        <v>0</v>
      </c>
      <c r="AB95" s="26">
        <v>0</v>
      </c>
      <c r="AC95" s="26">
        <v>0</v>
      </c>
      <c r="AD95" s="15">
        <f t="shared" si="5"/>
        <v>-9.4430311037285719E-7</v>
      </c>
    </row>
    <row r="96" spans="2:30">
      <c r="B96" s="1">
        <v>44987</v>
      </c>
      <c r="C96" s="51">
        <f t="shared" ref="C96" si="11">AD96</f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>
        <f>-VLOOKUP(B96,Resumo_HSF!$C$13:$AH$200,28,FALSE)</f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6">
        <v>0</v>
      </c>
      <c r="V96" s="26">
        <v>0</v>
      </c>
      <c r="W96" s="26">
        <v>0</v>
      </c>
      <c r="X96" s="26">
        <f>-IF(VLOOKUP($B96,Resumo_HSF!$C$13:$AB$1000,16,FALSE)=VLOOKUP($B95,Resumo_HSF!$C$13:$AB$1000,16,FALSE),0,(VLOOKUP($B96,Resumo_HSF!$C$13:$AB$1000,16,FALSE)-VLOOKUP($B95,Resumo_HSF!$C$13:$AB$1000,16,FALSE))*VLOOKUP($B96,Resumo_HSF!$C$13:$AB$1000,15,FALSE))</f>
        <v>0</v>
      </c>
      <c r="Y96" s="26">
        <v>0</v>
      </c>
      <c r="Z96" s="26">
        <v>0</v>
      </c>
      <c r="AA96" s="26">
        <v>0</v>
      </c>
      <c r="AB96" s="26">
        <v>0</v>
      </c>
      <c r="AC96" s="26">
        <v>0</v>
      </c>
      <c r="AD96" s="15">
        <f t="shared" si="5"/>
        <v>0</v>
      </c>
    </row>
    <row r="97" spans="2:30">
      <c r="B97" s="1">
        <v>44988</v>
      </c>
      <c r="C97" s="51">
        <f t="shared" ref="C97" si="12">AD97</f>
        <v>0</v>
      </c>
      <c r="D97" s="26">
        <v>0</v>
      </c>
      <c r="E97" s="26">
        <v>0</v>
      </c>
      <c r="F97" s="26">
        <v>0</v>
      </c>
      <c r="G97" s="26">
        <v>0</v>
      </c>
      <c r="H97" s="26">
        <v>0</v>
      </c>
      <c r="I97" s="26">
        <v>0</v>
      </c>
      <c r="J97" s="26">
        <v>0</v>
      </c>
      <c r="K97">
        <f>-VLOOKUP(B97,Resumo_HSF!$C$13:$AH$200,28,FALSE)</f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6">
        <v>0</v>
      </c>
      <c r="V97" s="26">
        <v>0</v>
      </c>
      <c r="W97" s="26">
        <v>0</v>
      </c>
      <c r="X97" s="26">
        <f>-IF(VLOOKUP($B97,Resumo_HSF!$C$13:$AB$1000,16,FALSE)=VLOOKUP($B96,Resumo_HSF!$C$13:$AB$1000,16,FALSE),0,(VLOOKUP($B97,Resumo_HSF!$C$13:$AB$1000,16,FALSE)-VLOOKUP($B96,Resumo_HSF!$C$13:$AB$1000,16,FALSE))*VLOOKUP($B97,Resumo_HSF!$C$13:$AB$1000,15,FALSE))</f>
        <v>0</v>
      </c>
      <c r="Y97" s="26">
        <v>0</v>
      </c>
      <c r="Z97" s="26">
        <v>0</v>
      </c>
      <c r="AA97" s="26">
        <v>0</v>
      </c>
      <c r="AB97" s="26">
        <v>0</v>
      </c>
      <c r="AC97" s="26">
        <v>0</v>
      </c>
      <c r="AD97" s="15">
        <f t="shared" si="5"/>
        <v>0</v>
      </c>
    </row>
    <row r="98" spans="2:30">
      <c r="B98" s="1">
        <v>44991</v>
      </c>
      <c r="C98" s="51">
        <f t="shared" ref="C98" si="13">AD98</f>
        <v>7.2759576141834259E-12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>
        <f>-VLOOKUP(B98,Resumo_HSF!$C$13:$AH$200,28,FALSE)</f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6">
        <v>9000</v>
      </c>
      <c r="V98" s="26">
        <v>0</v>
      </c>
      <c r="W98" s="26">
        <v>0</v>
      </c>
      <c r="X98" s="26">
        <f>-IF(VLOOKUP($B98,Resumo_HSF!$C$13:$AB$1000,16,FALSE)=VLOOKUP($B97,Resumo_HSF!$C$13:$AB$1000,16,FALSE),0,(VLOOKUP($B98,Resumo_HSF!$C$13:$AB$1000,16,FALSE)-VLOOKUP($B97,Resumo_HSF!$C$13:$AB$1000,16,FALSE))*VLOOKUP($B98,Resumo_HSF!$C$13:$AB$1000,15,FALSE))</f>
        <v>-8999.9999999999927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15">
        <f t="shared" si="5"/>
        <v>7.2759576141834259E-12</v>
      </c>
    </row>
    <row r="99" spans="2:30">
      <c r="B99" s="1">
        <v>44992</v>
      </c>
      <c r="C99" s="51">
        <f t="shared" ref="C99" si="14">AD99</f>
        <v>1.2024629540974274E-6</v>
      </c>
      <c r="D99" s="26">
        <v>-8223.02</v>
      </c>
      <c r="E99" s="26">
        <v>0</v>
      </c>
      <c r="F99" s="26">
        <v>0</v>
      </c>
      <c r="G99" s="26">
        <v>0</v>
      </c>
      <c r="H99" s="26">
        <v>0</v>
      </c>
      <c r="I99" s="26">
        <v>0</v>
      </c>
      <c r="J99" s="26">
        <v>0</v>
      </c>
      <c r="K99">
        <f>-VLOOKUP(B99,Resumo_HSF!$C$13:$AH$200,28,FALSE)</f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6">
        <v>0</v>
      </c>
      <c r="V99" s="26">
        <v>0</v>
      </c>
      <c r="W99" s="26">
        <v>0</v>
      </c>
      <c r="X99" s="26">
        <f>-IF(VLOOKUP($B99,Resumo_HSF!$C$13:$AB$1000,16,FALSE)=VLOOKUP($B98,Resumo_HSF!$C$13:$AB$1000,16,FALSE),0,(VLOOKUP($B99,Resumo_HSF!$C$13:$AB$1000,16,FALSE)-VLOOKUP($B98,Resumo_HSF!$C$13:$AB$1000,16,FALSE))*VLOOKUP($B99,Resumo_HSF!$C$13:$AB$1000,15,FALSE))</f>
        <v>8223.0200012024634</v>
      </c>
      <c r="Y99" s="26">
        <v>0</v>
      </c>
      <c r="Z99" s="26">
        <v>0</v>
      </c>
      <c r="AA99" s="26">
        <v>0</v>
      </c>
      <c r="AB99" s="26">
        <v>0</v>
      </c>
      <c r="AC99" s="26">
        <v>0</v>
      </c>
      <c r="AD99" s="15">
        <f t="shared" si="5"/>
        <v>1.2024629540974274E-6</v>
      </c>
    </row>
    <row r="100" spans="2:30">
      <c r="B100" s="1">
        <v>44993</v>
      </c>
      <c r="C100" s="51">
        <f t="shared" ref="C100" si="15">AD100</f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>
        <f>-VLOOKUP(B100,Resumo_HSF!$C$13:$AH$200,28,FALSE)</f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6">
        <v>0</v>
      </c>
      <c r="T100" s="26">
        <v>0</v>
      </c>
      <c r="U100" s="26">
        <v>0</v>
      </c>
      <c r="V100" s="26">
        <v>0</v>
      </c>
      <c r="W100" s="26">
        <v>0</v>
      </c>
      <c r="X100" s="26">
        <f>-IF(VLOOKUP($B100,Resumo_HSF!$C$13:$AB$1000,16,FALSE)=VLOOKUP($B99,Resumo_HSF!$C$13:$AB$1000,16,FALSE),0,(VLOOKUP($B100,Resumo_HSF!$C$13:$AB$1000,16,FALSE)-VLOOKUP($B99,Resumo_HSF!$C$13:$AB$1000,16,FALSE))*VLOOKUP($B100,Resumo_HSF!$C$13:$AB$1000,15,FALSE))</f>
        <v>0</v>
      </c>
      <c r="Y100" s="26">
        <v>0</v>
      </c>
      <c r="Z100" s="26">
        <v>0</v>
      </c>
      <c r="AA100" s="26">
        <v>0</v>
      </c>
      <c r="AB100" s="26">
        <v>0</v>
      </c>
      <c r="AC100" s="26">
        <v>0</v>
      </c>
      <c r="AD100" s="15">
        <f t="shared" si="5"/>
        <v>0</v>
      </c>
    </row>
    <row r="101" spans="2:30">
      <c r="B101" s="1">
        <v>44994</v>
      </c>
      <c r="C101" s="51">
        <f t="shared" ref="C101" si="16">AD101</f>
        <v>0</v>
      </c>
      <c r="D101" s="26">
        <v>0</v>
      </c>
      <c r="E101" s="26">
        <v>0</v>
      </c>
      <c r="F101" s="26">
        <v>0</v>
      </c>
      <c r="G101" s="26">
        <v>0</v>
      </c>
      <c r="H101" s="26">
        <v>0</v>
      </c>
      <c r="I101" s="26">
        <v>0</v>
      </c>
      <c r="J101" s="26">
        <v>0</v>
      </c>
      <c r="K101">
        <f>-VLOOKUP(B101,Resumo_HSF!$C$13:$AH$200,28,FALSE)</f>
        <v>0</v>
      </c>
      <c r="L101" s="26">
        <v>0</v>
      </c>
      <c r="M101" s="26">
        <v>0</v>
      </c>
      <c r="N101" s="26">
        <v>0</v>
      </c>
      <c r="O101" s="26">
        <v>0</v>
      </c>
      <c r="P101" s="26">
        <v>0</v>
      </c>
      <c r="Q101" s="26">
        <v>0</v>
      </c>
      <c r="R101" s="26">
        <v>0</v>
      </c>
      <c r="S101" s="26">
        <v>0</v>
      </c>
      <c r="T101" s="26">
        <v>0</v>
      </c>
      <c r="U101" s="26">
        <v>0</v>
      </c>
      <c r="V101" s="26">
        <v>0</v>
      </c>
      <c r="W101" s="26">
        <v>0</v>
      </c>
      <c r="X101" s="26">
        <f>-IF(VLOOKUP($B101,Resumo_HSF!$C$13:$AB$1000,16,FALSE)=VLOOKUP($B100,Resumo_HSF!$C$13:$AB$1000,16,FALSE),0,(VLOOKUP($B101,Resumo_HSF!$C$13:$AB$1000,16,FALSE)-VLOOKUP($B100,Resumo_HSF!$C$13:$AB$1000,16,FALSE))*VLOOKUP($B101,Resumo_HSF!$C$13:$AB$1000,15,FALSE))</f>
        <v>0</v>
      </c>
      <c r="Y101" s="26">
        <v>0</v>
      </c>
      <c r="Z101" s="26">
        <v>0</v>
      </c>
      <c r="AA101" s="26">
        <v>0</v>
      </c>
      <c r="AB101" s="26">
        <v>0</v>
      </c>
      <c r="AC101" s="26">
        <v>0</v>
      </c>
      <c r="AD101" s="15">
        <f t="shared" si="5"/>
        <v>0</v>
      </c>
    </row>
    <row r="102" spans="2:30">
      <c r="B102" s="1">
        <v>44995</v>
      </c>
      <c r="C102" s="51">
        <f t="shared" ref="C102" si="17">AD102</f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>
        <f>-VLOOKUP(B102,Resumo_HSF!$C$13:$AH$200,28,FALSE)</f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26">
        <v>0</v>
      </c>
      <c r="U102" s="26">
        <v>0</v>
      </c>
      <c r="V102" s="26">
        <v>0</v>
      </c>
      <c r="W102" s="26">
        <v>0</v>
      </c>
      <c r="X102" s="26">
        <f>-IF(VLOOKUP($B102,Resumo_HSF!$C$13:$AB$1000,16,FALSE)=VLOOKUP($B101,Resumo_HSF!$C$13:$AB$1000,16,FALSE),0,(VLOOKUP($B102,Resumo_HSF!$C$13:$AB$1000,16,FALSE)-VLOOKUP($B101,Resumo_HSF!$C$13:$AB$1000,16,FALSE))*VLOOKUP($B102,Resumo_HSF!$C$13:$AB$1000,15,FALSE))</f>
        <v>0</v>
      </c>
      <c r="Y102" s="26">
        <v>0</v>
      </c>
      <c r="Z102" s="26">
        <v>0</v>
      </c>
      <c r="AA102" s="26">
        <v>0</v>
      </c>
      <c r="AB102" s="26">
        <v>0</v>
      </c>
      <c r="AC102" s="26">
        <v>0</v>
      </c>
      <c r="AD102" s="15">
        <f t="shared" si="5"/>
        <v>0</v>
      </c>
    </row>
    <row r="103" spans="2:30">
      <c r="B103" s="1">
        <v>44998</v>
      </c>
      <c r="C103" s="51">
        <f t="shared" ref="C103" si="18">AD103</f>
        <v>0</v>
      </c>
      <c r="D103" s="26">
        <v>0</v>
      </c>
      <c r="E103" s="26">
        <v>0</v>
      </c>
      <c r="F103" s="26">
        <v>0</v>
      </c>
      <c r="G103" s="26">
        <v>0</v>
      </c>
      <c r="H103" s="26">
        <v>0</v>
      </c>
      <c r="I103" s="26">
        <v>0</v>
      </c>
      <c r="J103" s="26">
        <v>0</v>
      </c>
      <c r="K103">
        <f>-VLOOKUP(B103,Resumo_HSF!$C$13:$AH$200,28,FALSE)</f>
        <v>0</v>
      </c>
      <c r="L103" s="26">
        <v>0</v>
      </c>
      <c r="M103" s="26">
        <v>0</v>
      </c>
      <c r="N103" s="26">
        <v>0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26">
        <v>0</v>
      </c>
      <c r="U103" s="26">
        <v>0</v>
      </c>
      <c r="V103" s="26">
        <v>0</v>
      </c>
      <c r="W103" s="26">
        <v>0</v>
      </c>
      <c r="X103" s="26">
        <f>-IF(VLOOKUP($B103,Resumo_HSF!$C$13:$AB$1000,16,FALSE)=VLOOKUP($B102,Resumo_HSF!$C$13:$AB$1000,16,FALSE),0,(VLOOKUP($B103,Resumo_HSF!$C$13:$AB$1000,16,FALSE)-VLOOKUP($B102,Resumo_HSF!$C$13:$AB$1000,16,FALSE))*VLOOKUP($B103,Resumo_HSF!$C$13:$AB$1000,15,FALSE))</f>
        <v>0</v>
      </c>
      <c r="Y103" s="26">
        <v>0</v>
      </c>
      <c r="Z103" s="26">
        <v>0</v>
      </c>
      <c r="AA103" s="26">
        <v>0</v>
      </c>
      <c r="AB103" s="26">
        <v>0</v>
      </c>
      <c r="AC103" s="26">
        <v>0</v>
      </c>
      <c r="AD103" s="15">
        <f t="shared" si="5"/>
        <v>0</v>
      </c>
    </row>
    <row r="104" spans="2:30">
      <c r="B104" s="1">
        <v>44999</v>
      </c>
      <c r="C104" s="51">
        <f t="shared" ref="C104" si="19">AD104</f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>
        <f>-VLOOKUP(B104,Resumo_HSF!$C$13:$AH$200,28,FALSE)</f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6">
        <v>0</v>
      </c>
      <c r="T104" s="26">
        <v>0</v>
      </c>
      <c r="U104" s="26">
        <v>0</v>
      </c>
      <c r="V104" s="26">
        <v>0</v>
      </c>
      <c r="W104" s="26">
        <v>0</v>
      </c>
      <c r="X104" s="26">
        <f>-IF(VLOOKUP($B104,Resumo_HSF!$C$13:$AB$1000,16,FALSE)=VLOOKUP($B103,Resumo_HSF!$C$13:$AB$1000,16,FALSE),0,(VLOOKUP($B104,Resumo_HSF!$C$13:$AB$1000,16,FALSE)-VLOOKUP($B103,Resumo_HSF!$C$13:$AB$1000,16,FALSE))*VLOOKUP($B104,Resumo_HSF!$C$13:$AB$1000,15,FALSE))</f>
        <v>0</v>
      </c>
      <c r="Y104" s="26">
        <v>0</v>
      </c>
      <c r="Z104" s="26">
        <v>0</v>
      </c>
      <c r="AA104" s="26">
        <v>0</v>
      </c>
      <c r="AB104" s="26">
        <v>0</v>
      </c>
      <c r="AC104" s="26">
        <v>0</v>
      </c>
      <c r="AD104" s="15">
        <f t="shared" si="5"/>
        <v>0</v>
      </c>
    </row>
    <row r="105" spans="2:30">
      <c r="B105" s="1">
        <v>45000</v>
      </c>
      <c r="C105" s="51">
        <f t="shared" ref="C105" si="20">AD105</f>
        <v>0</v>
      </c>
      <c r="D105" s="26">
        <v>0</v>
      </c>
      <c r="E105" s="26">
        <v>0</v>
      </c>
      <c r="F105" s="26">
        <v>0</v>
      </c>
      <c r="G105" s="26">
        <v>0</v>
      </c>
      <c r="H105" s="26">
        <v>0</v>
      </c>
      <c r="I105" s="26">
        <v>0</v>
      </c>
      <c r="J105" s="26">
        <v>0</v>
      </c>
      <c r="K105">
        <f>-VLOOKUP(B105,Resumo_HSF!$C$13:$AH$200,28,FALSE)</f>
        <v>0</v>
      </c>
      <c r="L105" s="26">
        <v>0</v>
      </c>
      <c r="M105" s="26">
        <v>0</v>
      </c>
      <c r="N105" s="26">
        <v>0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6">
        <v>0</v>
      </c>
      <c r="V105" s="26">
        <v>0</v>
      </c>
      <c r="W105" s="26">
        <v>0</v>
      </c>
      <c r="X105" s="26">
        <f>-IF(VLOOKUP($B105,Resumo_HSF!$C$13:$AB$1000,16,FALSE)=VLOOKUP($B104,Resumo_HSF!$C$13:$AB$1000,16,FALSE),0,(VLOOKUP($B105,Resumo_HSF!$C$13:$AB$1000,16,FALSE)-VLOOKUP($B104,Resumo_HSF!$C$13:$AB$1000,16,FALSE))*VLOOKUP($B105,Resumo_HSF!$C$13:$AB$1000,15,FALSE))</f>
        <v>0</v>
      </c>
      <c r="Y105" s="26">
        <v>0</v>
      </c>
      <c r="Z105" s="26">
        <v>0</v>
      </c>
      <c r="AA105" s="26">
        <v>0</v>
      </c>
      <c r="AB105" s="26">
        <v>0</v>
      </c>
      <c r="AC105" s="26">
        <v>0</v>
      </c>
      <c r="AD105" s="15">
        <f t="shared" si="5"/>
        <v>0</v>
      </c>
    </row>
    <row r="106" spans="2:30">
      <c r="B106" s="1">
        <v>45001</v>
      </c>
      <c r="C106" s="51">
        <f t="shared" ref="C106" si="21">AD106</f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>
        <f>-VLOOKUP(B106,Resumo_HSF!$C$13:$AH$200,28,FALSE)</f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26">
        <v>0</v>
      </c>
      <c r="U106" s="26">
        <v>0</v>
      </c>
      <c r="V106" s="26">
        <v>0</v>
      </c>
      <c r="W106" s="26">
        <v>0</v>
      </c>
      <c r="X106" s="26">
        <f>-IF(VLOOKUP($B106,Resumo_HSF!$C$13:$AB$1000,16,FALSE)=VLOOKUP($B105,Resumo_HSF!$C$13:$AB$1000,16,FALSE),0,(VLOOKUP($B106,Resumo_HSF!$C$13:$AB$1000,16,FALSE)-VLOOKUP($B105,Resumo_HSF!$C$13:$AB$1000,16,FALSE))*VLOOKUP($B106,Resumo_HSF!$C$13:$AB$1000,15,FALSE))</f>
        <v>0</v>
      </c>
      <c r="Y106" s="26">
        <v>0</v>
      </c>
      <c r="Z106" s="26">
        <v>0</v>
      </c>
      <c r="AA106" s="26">
        <v>0</v>
      </c>
      <c r="AB106" s="26">
        <v>0</v>
      </c>
      <c r="AC106" s="26">
        <v>0</v>
      </c>
      <c r="AD106" s="15">
        <f t="shared" si="5"/>
        <v>0</v>
      </c>
    </row>
    <row r="107" spans="2:30">
      <c r="B107" s="1">
        <v>45002</v>
      </c>
      <c r="C107" s="51">
        <f t="shared" ref="C107" si="22">AD107</f>
        <v>0</v>
      </c>
      <c r="D107" s="26">
        <v>0</v>
      </c>
      <c r="E107" s="26">
        <v>0</v>
      </c>
      <c r="F107" s="26">
        <v>0</v>
      </c>
      <c r="G107" s="26">
        <v>0</v>
      </c>
      <c r="H107" s="26">
        <v>0</v>
      </c>
      <c r="I107" s="26">
        <v>0</v>
      </c>
      <c r="J107" s="26">
        <v>0</v>
      </c>
      <c r="K107">
        <f>-VLOOKUP(B107,Resumo_HSF!$C$13:$AH$200,28,FALSE)</f>
        <v>0</v>
      </c>
      <c r="L107" s="26">
        <v>0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26">
        <v>0</v>
      </c>
      <c r="U107" s="26">
        <v>0</v>
      </c>
      <c r="V107" s="26">
        <v>0</v>
      </c>
      <c r="W107" s="26">
        <v>0</v>
      </c>
      <c r="X107" s="26">
        <f>-IF(VLOOKUP($B107,Resumo_HSF!$C$13:$AB$1000,16,FALSE)=VLOOKUP($B106,Resumo_HSF!$C$13:$AB$1000,16,FALSE),0,(VLOOKUP($B107,Resumo_HSF!$C$13:$AB$1000,16,FALSE)-VLOOKUP($B106,Resumo_HSF!$C$13:$AB$1000,16,FALSE))*VLOOKUP($B107,Resumo_HSF!$C$13:$AB$1000,15,FALSE))</f>
        <v>0</v>
      </c>
      <c r="Y107" s="26">
        <v>0</v>
      </c>
      <c r="Z107" s="26">
        <v>0</v>
      </c>
      <c r="AA107" s="26">
        <v>0</v>
      </c>
      <c r="AB107" s="26">
        <v>0</v>
      </c>
      <c r="AC107" s="26">
        <v>0</v>
      </c>
      <c r="AD107" s="15">
        <f t="shared" si="5"/>
        <v>0</v>
      </c>
    </row>
    <row r="108" spans="2:30">
      <c r="B108" s="1">
        <v>45005</v>
      </c>
      <c r="C108" s="51">
        <f t="shared" ref="C108" si="23">AD108</f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>
        <f>-VLOOKUP(B108,Resumo_HSF!$C$13:$AH$200,28,FALSE)</f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26">
        <v>0</v>
      </c>
      <c r="U108" s="26">
        <v>0</v>
      </c>
      <c r="V108" s="26">
        <v>0</v>
      </c>
      <c r="W108" s="26">
        <v>0</v>
      </c>
      <c r="X108" s="26">
        <f>-IF(VLOOKUP($B108,Resumo_HSF!$C$13:$AB$1000,16,FALSE)=VLOOKUP($B107,Resumo_HSF!$C$13:$AB$1000,16,FALSE),0,(VLOOKUP($B108,Resumo_HSF!$C$13:$AB$1000,16,FALSE)-VLOOKUP($B107,Resumo_HSF!$C$13:$AB$1000,16,FALSE))*VLOOKUP($B108,Resumo_HSF!$C$13:$AB$1000,15,FALSE))</f>
        <v>0</v>
      </c>
      <c r="Y108" s="26">
        <v>0</v>
      </c>
      <c r="Z108" s="26">
        <v>0</v>
      </c>
      <c r="AA108" s="26">
        <v>0</v>
      </c>
      <c r="AB108" s="26">
        <v>0</v>
      </c>
      <c r="AC108" s="26">
        <v>0</v>
      </c>
      <c r="AD108" s="15">
        <f t="shared" si="5"/>
        <v>0</v>
      </c>
    </row>
    <row r="109" spans="2:30">
      <c r="B109" s="1">
        <v>45006</v>
      </c>
      <c r="C109" s="51">
        <f t="shared" ref="C109" si="24">AD109</f>
        <v>0</v>
      </c>
      <c r="D109" s="26">
        <v>0</v>
      </c>
      <c r="E109" s="26">
        <v>0</v>
      </c>
      <c r="F109" s="26">
        <v>0</v>
      </c>
      <c r="G109" s="26">
        <v>0</v>
      </c>
      <c r="H109" s="26">
        <v>0</v>
      </c>
      <c r="I109" s="26">
        <v>0</v>
      </c>
      <c r="J109" s="26">
        <v>0</v>
      </c>
      <c r="K109">
        <f>-VLOOKUP(B109,Resumo_HSF!$C$13:$AH$200,28,FALSE)</f>
        <v>0</v>
      </c>
      <c r="L109" s="26">
        <v>0</v>
      </c>
      <c r="M109" s="26">
        <v>0</v>
      </c>
      <c r="N109" s="26">
        <v>0</v>
      </c>
      <c r="O109" s="26">
        <v>0</v>
      </c>
      <c r="P109" s="26">
        <v>0</v>
      </c>
      <c r="Q109" s="26">
        <v>0</v>
      </c>
      <c r="R109" s="26">
        <v>0</v>
      </c>
      <c r="S109" s="26">
        <v>0</v>
      </c>
      <c r="T109" s="26">
        <v>0</v>
      </c>
      <c r="U109" s="26">
        <v>0</v>
      </c>
      <c r="V109" s="26">
        <v>0</v>
      </c>
      <c r="W109" s="26">
        <v>0</v>
      </c>
      <c r="X109" s="26">
        <f>-IF(VLOOKUP($B109,Resumo_HSF!$C$13:$AB$1000,16,FALSE)=VLOOKUP($B108,Resumo_HSF!$C$13:$AB$1000,16,FALSE),0,(VLOOKUP($B109,Resumo_HSF!$C$13:$AB$1000,16,FALSE)-VLOOKUP($B108,Resumo_HSF!$C$13:$AB$1000,16,FALSE))*VLOOKUP($B109,Resumo_HSF!$C$13:$AB$1000,15,FALSE))</f>
        <v>0</v>
      </c>
      <c r="Y109" s="26">
        <v>0</v>
      </c>
      <c r="Z109" s="26">
        <v>0</v>
      </c>
      <c r="AA109" s="26">
        <v>0</v>
      </c>
      <c r="AB109" s="26">
        <v>0</v>
      </c>
      <c r="AC109" s="26">
        <v>0</v>
      </c>
      <c r="AD109" s="15">
        <f t="shared" si="5"/>
        <v>0</v>
      </c>
    </row>
    <row r="110" spans="2:30">
      <c r="B110" s="1">
        <v>45007</v>
      </c>
      <c r="C110" s="51">
        <f t="shared" ref="C110" si="25">AD110</f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>
        <f>-VLOOKUP(B110,Resumo_HSF!$C$13:$AH$200,28,FALSE)</f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26">
        <v>0</v>
      </c>
      <c r="U110" s="26">
        <v>0</v>
      </c>
      <c r="V110" s="26">
        <v>0</v>
      </c>
      <c r="W110" s="26">
        <v>0</v>
      </c>
      <c r="X110" s="26">
        <f>-IF(VLOOKUP($B110,Resumo_HSF!$C$13:$AB$1000,16,FALSE)=VLOOKUP($B109,Resumo_HSF!$C$13:$AB$1000,16,FALSE),0,(VLOOKUP($B110,Resumo_HSF!$C$13:$AB$1000,16,FALSE)-VLOOKUP($B109,Resumo_HSF!$C$13:$AB$1000,16,FALSE))*VLOOKUP($B110,Resumo_HSF!$C$13:$AB$1000,15,FALSE))</f>
        <v>0</v>
      </c>
      <c r="Y110" s="26">
        <v>0</v>
      </c>
      <c r="Z110" s="26">
        <v>0</v>
      </c>
      <c r="AA110" s="26">
        <v>0</v>
      </c>
      <c r="AB110" s="26">
        <v>0</v>
      </c>
      <c r="AC110" s="26">
        <v>0</v>
      </c>
      <c r="AD110" s="15">
        <f t="shared" si="5"/>
        <v>0</v>
      </c>
    </row>
    <row r="111" spans="2:30">
      <c r="B111" s="1">
        <v>45008</v>
      </c>
      <c r="C111" s="51">
        <f t="shared" ref="C111:C112" si="26">AD111</f>
        <v>0</v>
      </c>
      <c r="D111" s="26">
        <v>0</v>
      </c>
      <c r="E111" s="26">
        <v>0</v>
      </c>
      <c r="F111" s="26">
        <v>0</v>
      </c>
      <c r="G111" s="26">
        <v>0</v>
      </c>
      <c r="H111" s="26">
        <v>0</v>
      </c>
      <c r="I111" s="26">
        <v>0</v>
      </c>
      <c r="J111" s="26">
        <v>0</v>
      </c>
      <c r="K111">
        <f>-VLOOKUP(B111,Resumo_HSF!$C$13:$AH$200,28,FALSE)</f>
        <v>0</v>
      </c>
      <c r="L111" s="26">
        <v>0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26">
        <v>0</v>
      </c>
      <c r="U111" s="26">
        <v>0</v>
      </c>
      <c r="V111" s="26">
        <v>0</v>
      </c>
      <c r="W111" s="26">
        <v>0</v>
      </c>
      <c r="X111" s="26">
        <f>-IF(VLOOKUP($B111,Resumo_HSF!$C$13:$AB$1000,16,FALSE)=VLOOKUP($B110,Resumo_HSF!$C$13:$AB$1000,16,FALSE),0,(VLOOKUP($B111,Resumo_HSF!$C$13:$AB$1000,16,FALSE)-VLOOKUP($B110,Resumo_HSF!$C$13:$AB$1000,16,FALSE))*VLOOKUP($B111,Resumo_HSF!$C$13:$AB$1000,15,FALSE))</f>
        <v>0</v>
      </c>
      <c r="Y111" s="26">
        <v>0</v>
      </c>
      <c r="Z111" s="26">
        <v>0</v>
      </c>
      <c r="AA111" s="26">
        <v>0</v>
      </c>
      <c r="AB111" s="26">
        <v>0</v>
      </c>
      <c r="AC111" s="26">
        <v>0</v>
      </c>
      <c r="AD111" s="15">
        <f t="shared" si="5"/>
        <v>0</v>
      </c>
    </row>
    <row r="112" spans="2:30">
      <c r="B112" s="1">
        <v>45009</v>
      </c>
      <c r="C112" s="51">
        <f t="shared" si="26"/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>
        <f>-VLOOKUP(B112,Resumo_HSF!$C$13:$AH$200,28,FALSE)</f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6">
        <v>0</v>
      </c>
      <c r="T112" s="26">
        <v>0</v>
      </c>
      <c r="U112" s="26">
        <v>0</v>
      </c>
      <c r="V112" s="26">
        <v>0</v>
      </c>
      <c r="W112" s="26">
        <v>0</v>
      </c>
      <c r="X112" s="26">
        <f>-IF(VLOOKUP($B112,Resumo_HSF!$C$13:$AB$1000,16,FALSE)=VLOOKUP($B111,Resumo_HSF!$C$13:$AB$1000,16,FALSE),0,(VLOOKUP($B112,Resumo_HSF!$C$13:$AB$1000,16,FALSE)-VLOOKUP($B111,Resumo_HSF!$C$13:$AB$1000,16,FALSE))*VLOOKUP($B112,Resumo_HSF!$C$13:$AB$1000,15,FALSE))</f>
        <v>0</v>
      </c>
      <c r="Y112" s="26">
        <v>0</v>
      </c>
      <c r="Z112" s="26">
        <v>0</v>
      </c>
      <c r="AA112" s="26">
        <v>0</v>
      </c>
      <c r="AB112" s="26">
        <v>0</v>
      </c>
      <c r="AC112" s="26">
        <v>0</v>
      </c>
      <c r="AD112" s="15">
        <f t="shared" si="5"/>
        <v>0</v>
      </c>
    </row>
    <row r="113" spans="2:30">
      <c r="B113" s="1">
        <v>45012</v>
      </c>
      <c r="C113" s="51">
        <f t="shared" ref="C113" si="27">AD113</f>
        <v>0</v>
      </c>
      <c r="D113" s="26">
        <v>0</v>
      </c>
      <c r="E113" s="26">
        <v>0</v>
      </c>
      <c r="F113" s="26">
        <v>0</v>
      </c>
      <c r="G113" s="26">
        <v>0</v>
      </c>
      <c r="H113" s="26">
        <v>0</v>
      </c>
      <c r="I113" s="26">
        <v>0</v>
      </c>
      <c r="J113" s="26">
        <v>0</v>
      </c>
      <c r="K113">
        <f>-VLOOKUP(B113,Resumo_HSF!$C$13:$AH$200,28,FALSE)</f>
        <v>0</v>
      </c>
      <c r="L113" s="26">
        <v>0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26">
        <v>0</v>
      </c>
      <c r="U113" s="26">
        <v>0</v>
      </c>
      <c r="V113" s="26">
        <v>0</v>
      </c>
      <c r="W113" s="26">
        <v>0</v>
      </c>
      <c r="X113" s="26">
        <f>-IF(VLOOKUP($B113,Resumo_HSF!$C$13:$AB$1000,16,FALSE)=VLOOKUP($B112,Resumo_HSF!$C$13:$AB$1000,16,FALSE),0,(VLOOKUP($B113,Resumo_HSF!$C$13:$AB$1000,16,FALSE)-VLOOKUP($B112,Resumo_HSF!$C$13:$AB$1000,16,FALSE))*VLOOKUP($B113,Resumo_HSF!$C$13:$AB$1000,15,FALSE))</f>
        <v>0</v>
      </c>
      <c r="Y113" s="26">
        <v>0</v>
      </c>
      <c r="Z113" s="26">
        <v>0</v>
      </c>
      <c r="AA113" s="26">
        <v>0</v>
      </c>
      <c r="AB113" s="26">
        <v>0</v>
      </c>
      <c r="AC113" s="26">
        <v>0</v>
      </c>
      <c r="AD113" s="15">
        <f t="shared" si="5"/>
        <v>0</v>
      </c>
    </row>
    <row r="114" spans="2:30">
      <c r="B114" s="1">
        <v>45013</v>
      </c>
      <c r="C114" s="51">
        <f t="shared" ref="C114" si="28">AD114</f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>
        <f>-VLOOKUP(B114,Resumo_HSF!$C$13:$AH$200,28,FALSE)</f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0</v>
      </c>
      <c r="T114" s="26">
        <v>0</v>
      </c>
      <c r="U114" s="26">
        <v>0</v>
      </c>
      <c r="V114" s="26">
        <v>0</v>
      </c>
      <c r="W114" s="26">
        <v>0</v>
      </c>
      <c r="X114" s="26">
        <f>-IF(VLOOKUP($B114,Resumo_HSF!$C$13:$AB$1000,16,FALSE)=VLOOKUP($B113,Resumo_HSF!$C$13:$AB$1000,16,FALSE),0,(VLOOKUP($B114,Resumo_HSF!$C$13:$AB$1000,16,FALSE)-VLOOKUP($B113,Resumo_HSF!$C$13:$AB$1000,16,FALSE))*VLOOKUP($B114,Resumo_HSF!$C$13:$AB$1000,15,FALSE))</f>
        <v>0</v>
      </c>
      <c r="Y114" s="26">
        <v>0</v>
      </c>
      <c r="Z114" s="26">
        <v>0</v>
      </c>
      <c r="AA114" s="26">
        <v>0</v>
      </c>
      <c r="AB114" s="26">
        <v>0</v>
      </c>
      <c r="AC114" s="26">
        <v>0</v>
      </c>
      <c r="AD114" s="15">
        <f t="shared" si="5"/>
        <v>0</v>
      </c>
    </row>
    <row r="115" spans="2:30">
      <c r="B115" s="1">
        <v>45014</v>
      </c>
      <c r="C115" s="51">
        <f t="shared" ref="C115" si="29">AD115</f>
        <v>0</v>
      </c>
      <c r="D115" s="26">
        <v>0</v>
      </c>
      <c r="E115" s="26">
        <v>0</v>
      </c>
      <c r="F115" s="26">
        <v>0</v>
      </c>
      <c r="G115" s="26">
        <v>0</v>
      </c>
      <c r="H115" s="26">
        <v>0</v>
      </c>
      <c r="I115" s="26">
        <v>0</v>
      </c>
      <c r="J115" s="26">
        <v>0</v>
      </c>
      <c r="K115">
        <f>-VLOOKUP(B115,Resumo_HSF!$C$13:$AH$200,28,FALSE)</f>
        <v>0</v>
      </c>
      <c r="L115" s="26">
        <v>0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6">
        <v>0</v>
      </c>
      <c r="V115" s="26">
        <v>0</v>
      </c>
      <c r="W115" s="26">
        <v>0</v>
      </c>
      <c r="X115" s="26">
        <f>-IF(VLOOKUP($B115,Resumo_HSF!$C$13:$AB$1000,16,FALSE)=VLOOKUP($B114,Resumo_HSF!$C$13:$AB$1000,16,FALSE),0,(VLOOKUP($B115,Resumo_HSF!$C$13:$AB$1000,16,FALSE)-VLOOKUP($B114,Resumo_HSF!$C$13:$AB$1000,16,FALSE))*VLOOKUP($B115,Resumo_HSF!$C$13:$AB$1000,15,FALSE))</f>
        <v>0</v>
      </c>
      <c r="Y115" s="26">
        <v>0</v>
      </c>
      <c r="Z115" s="26">
        <v>0</v>
      </c>
      <c r="AA115" s="26">
        <v>0</v>
      </c>
      <c r="AB115" s="26">
        <v>0</v>
      </c>
      <c r="AC115" s="26">
        <v>0</v>
      </c>
      <c r="AD115" s="15">
        <f t="shared" si="5"/>
        <v>0</v>
      </c>
    </row>
    <row r="116" spans="2:30">
      <c r="B116" s="1">
        <v>45015</v>
      </c>
      <c r="C116" s="51">
        <f t="shared" ref="C116" si="30">AD116</f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>
        <f>-VLOOKUP(B116,Resumo_HSF!$C$13:$AH$200,28,FALSE)</f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6">
        <v>0</v>
      </c>
      <c r="V116" s="26">
        <v>0</v>
      </c>
      <c r="W116" s="26">
        <v>0</v>
      </c>
      <c r="X116" s="26">
        <f>-IF(VLOOKUP($B116,Resumo_HSF!$C$13:$AB$1000,16,FALSE)=VLOOKUP($B115,Resumo_HSF!$C$13:$AB$1000,16,FALSE),0,(VLOOKUP($B116,Resumo_HSF!$C$13:$AB$1000,16,FALSE)-VLOOKUP($B115,Resumo_HSF!$C$13:$AB$1000,16,FALSE))*VLOOKUP($B116,Resumo_HSF!$C$13:$AB$1000,15,FALSE))</f>
        <v>0</v>
      </c>
      <c r="Y116" s="26">
        <v>0</v>
      </c>
      <c r="Z116" s="26">
        <v>0</v>
      </c>
      <c r="AA116" s="26">
        <v>0</v>
      </c>
      <c r="AB116" s="26">
        <v>0</v>
      </c>
      <c r="AC116" s="26">
        <v>0</v>
      </c>
      <c r="AD116" s="15">
        <f t="shared" si="5"/>
        <v>0</v>
      </c>
    </row>
    <row r="117" spans="2:30">
      <c r="B117" s="1">
        <v>45016</v>
      </c>
      <c r="C117" s="51">
        <f t="shared" ref="C117" si="31">AD117</f>
        <v>0</v>
      </c>
      <c r="D117" s="26">
        <v>0</v>
      </c>
      <c r="E117" s="26">
        <v>0</v>
      </c>
      <c r="F117" s="26">
        <v>0</v>
      </c>
      <c r="G117" s="26">
        <v>0</v>
      </c>
      <c r="H117" s="26">
        <v>0</v>
      </c>
      <c r="I117" s="26">
        <v>0</v>
      </c>
      <c r="J117" s="26">
        <v>0</v>
      </c>
      <c r="K117">
        <f>-VLOOKUP(B117,Resumo_HSF!$C$13:$AH$200,28,FALSE)</f>
        <v>0</v>
      </c>
      <c r="L117" s="26">
        <v>0</v>
      </c>
      <c r="M117" s="26">
        <v>0</v>
      </c>
      <c r="N117" s="26">
        <v>0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6">
        <v>0</v>
      </c>
      <c r="V117" s="26">
        <v>0</v>
      </c>
      <c r="W117" s="26">
        <v>0</v>
      </c>
      <c r="X117" s="26">
        <f>-IF(VLOOKUP($B117,Resumo_HSF!$C$13:$AB$1000,16,FALSE)=VLOOKUP($B116,Resumo_HSF!$C$13:$AB$1000,16,FALSE),0,(VLOOKUP($B117,Resumo_HSF!$C$13:$AB$1000,16,FALSE)-VLOOKUP($B116,Resumo_HSF!$C$13:$AB$1000,16,FALSE))*VLOOKUP($B117,Resumo_HSF!$C$13:$AB$1000,15,FALSE))</f>
        <v>0</v>
      </c>
      <c r="Y117" s="26">
        <v>0</v>
      </c>
      <c r="Z117" s="26">
        <v>0</v>
      </c>
      <c r="AA117" s="26">
        <v>0</v>
      </c>
      <c r="AB117" s="26">
        <v>0</v>
      </c>
      <c r="AC117" s="26">
        <v>0</v>
      </c>
      <c r="AD117" s="15">
        <f t="shared" si="5"/>
        <v>0</v>
      </c>
    </row>
    <row r="118" spans="2:30">
      <c r="B118" s="1">
        <v>45019</v>
      </c>
      <c r="C118" s="51">
        <f t="shared" ref="C118" si="32">AD118</f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>
        <f>-VLOOKUP(B118,Resumo_HSF!$C$13:$AH$200,28,FALSE)</f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6">
        <v>0</v>
      </c>
      <c r="V118" s="26">
        <v>0</v>
      </c>
      <c r="W118" s="26">
        <v>0</v>
      </c>
      <c r="X118" s="26">
        <f>-IF(VLOOKUP($B118,Resumo_HSF!$C$13:$AB$1000,16,FALSE)=VLOOKUP($B117,Resumo_HSF!$C$13:$AB$1000,16,FALSE),0,(VLOOKUP($B118,Resumo_HSF!$C$13:$AB$1000,16,FALSE)-VLOOKUP($B117,Resumo_HSF!$C$13:$AB$1000,16,FALSE))*VLOOKUP($B118,Resumo_HSF!$C$13:$AB$1000,15,FALSE))</f>
        <v>0</v>
      </c>
      <c r="Y118" s="26">
        <v>0</v>
      </c>
      <c r="Z118" s="26">
        <v>0</v>
      </c>
      <c r="AA118" s="26">
        <v>0</v>
      </c>
      <c r="AB118" s="26">
        <v>0</v>
      </c>
      <c r="AC118" s="26">
        <v>0</v>
      </c>
      <c r="AD118" s="15">
        <f t="shared" si="5"/>
        <v>0</v>
      </c>
    </row>
    <row r="119" spans="2:30">
      <c r="B119" s="1">
        <v>45020</v>
      </c>
      <c r="C119" s="51">
        <f t="shared" ref="C119" si="33">AD119</f>
        <v>0</v>
      </c>
      <c r="D119" s="26">
        <v>0</v>
      </c>
      <c r="E119" s="26">
        <v>0</v>
      </c>
      <c r="F119" s="26">
        <v>0</v>
      </c>
      <c r="G119" s="26">
        <v>0</v>
      </c>
      <c r="H119" s="26">
        <v>0</v>
      </c>
      <c r="I119" s="26">
        <v>0</v>
      </c>
      <c r="J119" s="26">
        <v>0</v>
      </c>
      <c r="K119">
        <f>-VLOOKUP(B119,Resumo_HSF!$C$13:$AH$200,28,FALSE)</f>
        <v>0</v>
      </c>
      <c r="L119" s="26">
        <v>0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6">
        <v>0</v>
      </c>
      <c r="V119" s="26">
        <v>0</v>
      </c>
      <c r="W119" s="26">
        <v>0</v>
      </c>
      <c r="X119" s="26">
        <f>-IF(VLOOKUP($B119,Resumo_HSF!$C$13:$AB$1000,16,FALSE)=VLOOKUP($B118,Resumo_HSF!$C$13:$AB$1000,16,FALSE),0,(VLOOKUP($B119,Resumo_HSF!$C$13:$AB$1000,16,FALSE)-VLOOKUP($B118,Resumo_HSF!$C$13:$AB$1000,16,FALSE))*VLOOKUP($B119,Resumo_HSF!$C$13:$AB$1000,15,FALSE))</f>
        <v>0</v>
      </c>
      <c r="Y119" s="26">
        <v>0</v>
      </c>
      <c r="Z119" s="26">
        <v>0</v>
      </c>
      <c r="AA119" s="26">
        <v>0</v>
      </c>
      <c r="AB119" s="26">
        <v>0</v>
      </c>
      <c r="AC119" s="26">
        <v>0</v>
      </c>
      <c r="AD119" s="15">
        <f t="shared" si="5"/>
        <v>0</v>
      </c>
    </row>
    <row r="120" spans="2:30">
      <c r="B120" s="1">
        <v>45021</v>
      </c>
      <c r="C120" s="51">
        <f t="shared" ref="C120" si="34">AD120</f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>
        <f>-VLOOKUP(B120,Resumo_HSF!$C$13:$AH$200,28,FALSE)</f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26">
        <v>0</v>
      </c>
      <c r="U120" s="26">
        <v>0</v>
      </c>
      <c r="V120" s="26">
        <v>0</v>
      </c>
      <c r="W120" s="26">
        <v>0</v>
      </c>
      <c r="X120" s="26">
        <f>-IF(VLOOKUP($B120,Resumo_HSF!$C$13:$AB$1000,16,FALSE)=VLOOKUP($B119,Resumo_HSF!$C$13:$AB$1000,16,FALSE),0,(VLOOKUP($B120,Resumo_HSF!$C$13:$AB$1000,16,FALSE)-VLOOKUP($B119,Resumo_HSF!$C$13:$AB$1000,16,FALSE))*VLOOKUP($B120,Resumo_HSF!$C$13:$AB$1000,15,FALSE))</f>
        <v>0</v>
      </c>
      <c r="Y120" s="26">
        <v>0</v>
      </c>
      <c r="Z120" s="26">
        <v>0</v>
      </c>
      <c r="AA120" s="26">
        <v>0</v>
      </c>
      <c r="AB120" s="26">
        <v>0</v>
      </c>
      <c r="AC120" s="26">
        <v>0</v>
      </c>
      <c r="AD120" s="15">
        <f t="shared" si="5"/>
        <v>0</v>
      </c>
    </row>
    <row r="121" spans="2:30">
      <c r="B121" s="1">
        <v>45022</v>
      </c>
      <c r="C121" s="51">
        <f t="shared" ref="C121:C123" si="35">AD121</f>
        <v>-8.163988240994513E-8</v>
      </c>
      <c r="D121" s="26">
        <v>0</v>
      </c>
      <c r="E121" s="26">
        <v>0</v>
      </c>
      <c r="F121" s="26">
        <v>0</v>
      </c>
      <c r="G121" s="26">
        <v>0</v>
      </c>
      <c r="H121" s="26">
        <v>0</v>
      </c>
      <c r="I121" s="26">
        <v>0</v>
      </c>
      <c r="J121" s="26">
        <v>0</v>
      </c>
      <c r="K121">
        <f>-VLOOKUP(B121,Resumo_HSF!$C$13:$AH$200,28,FALSE)</f>
        <v>0</v>
      </c>
      <c r="L121" s="26">
        <v>0</v>
      </c>
      <c r="M121" s="26">
        <v>0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6">
        <v>10000</v>
      </c>
      <c r="V121" s="26">
        <v>0</v>
      </c>
      <c r="W121" s="26">
        <v>0</v>
      </c>
      <c r="X121" s="26">
        <f>-IF(VLOOKUP($B121,Resumo_HSF!$C$13:$AB$1000,16,FALSE)=VLOOKUP($B120,Resumo_HSF!$C$13:$AB$1000,16,FALSE),0,(VLOOKUP($B121,Resumo_HSF!$C$13:$AB$1000,16,FALSE)-VLOOKUP($B120,Resumo_HSF!$C$13:$AB$1000,16,FALSE))*VLOOKUP($B121,Resumo_HSF!$C$13:$AB$1000,15,FALSE))</f>
        <v>-10000.00000008164</v>
      </c>
      <c r="Y121" s="26">
        <v>0</v>
      </c>
      <c r="Z121" s="26">
        <v>0</v>
      </c>
      <c r="AA121" s="26">
        <v>0</v>
      </c>
      <c r="AB121" s="26">
        <v>0</v>
      </c>
      <c r="AC121" s="26">
        <v>0</v>
      </c>
      <c r="AD121" s="15">
        <f t="shared" si="5"/>
        <v>-8.163988240994513E-8</v>
      </c>
    </row>
    <row r="122" spans="2:30">
      <c r="B122" s="1">
        <v>45026</v>
      </c>
      <c r="C122" s="51">
        <f t="shared" si="35"/>
        <v>-6.1936952988617122E-7</v>
      </c>
      <c r="D122" s="26">
        <v>-9884.67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>
        <f>-VLOOKUP(B122,Resumo_HSF!$C$13:$AH$200,28,FALSE)</f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0</v>
      </c>
      <c r="U122" s="26">
        <v>0</v>
      </c>
      <c r="V122" s="26">
        <v>0</v>
      </c>
      <c r="W122" s="26">
        <v>0</v>
      </c>
      <c r="X122" s="26">
        <f>-IF(VLOOKUP($B122,Resumo_HSF!$C$13:$AB$1000,16,FALSE)=VLOOKUP($B121,Resumo_HSF!$C$13:$AB$1000,16,FALSE),0,(VLOOKUP($B122,Resumo_HSF!$C$13:$AB$1000,16,FALSE)-VLOOKUP($B121,Resumo_HSF!$C$13:$AB$1000,16,FALSE))*VLOOKUP($B122,Resumo_HSF!$C$13:$AB$1000,15,FALSE))</f>
        <v>9884.6699993806305</v>
      </c>
      <c r="Y122" s="26">
        <v>0</v>
      </c>
      <c r="Z122" s="26">
        <v>0</v>
      </c>
      <c r="AA122" s="26">
        <v>0</v>
      </c>
      <c r="AB122" s="26">
        <v>0</v>
      </c>
      <c r="AC122" s="26">
        <v>0</v>
      </c>
      <c r="AD122" s="15">
        <f t="shared" ref="AD122:AD153" si="36">SUM(D122:AB122)</f>
        <v>-6.1936952988617122E-7</v>
      </c>
    </row>
    <row r="123" spans="2:30">
      <c r="B123" s="1">
        <v>45027</v>
      </c>
      <c r="C123" s="51">
        <f t="shared" si="35"/>
        <v>-1.7836969163909089E-6</v>
      </c>
      <c r="D123" s="26">
        <v>0</v>
      </c>
      <c r="E123" s="26">
        <v>0</v>
      </c>
      <c r="F123" s="26">
        <v>0</v>
      </c>
      <c r="G123" s="26">
        <v>0</v>
      </c>
      <c r="H123" s="26">
        <v>0</v>
      </c>
      <c r="I123" s="26">
        <v>3428.17</v>
      </c>
      <c r="J123" s="26">
        <v>0</v>
      </c>
      <c r="K123">
        <f>-VLOOKUP(B123,Resumo_HSF!$C$13:$AH$200,28,FALSE)</f>
        <v>0</v>
      </c>
      <c r="L123" s="26">
        <v>0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0</v>
      </c>
      <c r="U123" s="26">
        <v>0</v>
      </c>
      <c r="V123" s="26">
        <v>0</v>
      </c>
      <c r="W123" s="26">
        <v>0</v>
      </c>
      <c r="X123" s="26">
        <f>-IF(VLOOKUP($B123,Resumo_HSF!$C$13:$AB$1000,16,FALSE)=VLOOKUP($B122,Resumo_HSF!$C$13:$AB$1000,16,FALSE),0,(VLOOKUP($B123,Resumo_HSF!$C$13:$AB$1000,16,FALSE)-VLOOKUP($B122,Resumo_HSF!$C$13:$AB$1000,16,FALSE))*VLOOKUP($B123,Resumo_HSF!$C$13:$AB$1000,15,FALSE))</f>
        <v>-3428.170001783697</v>
      </c>
      <c r="Y123" s="26">
        <v>0</v>
      </c>
      <c r="Z123" s="26">
        <v>0</v>
      </c>
      <c r="AA123" s="26">
        <v>0</v>
      </c>
      <c r="AB123" s="26">
        <v>0</v>
      </c>
      <c r="AC123" s="26">
        <v>0</v>
      </c>
      <c r="AD123" s="15">
        <f t="shared" si="36"/>
        <v>-1.7836969163909089E-6</v>
      </c>
    </row>
    <row r="124" spans="2:30">
      <c r="B124" s="1">
        <v>45028</v>
      </c>
      <c r="C124" s="51">
        <f t="shared" ref="C124" si="37">AD124</f>
        <v>3.6383977430887171E-7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>
        <f>-VLOOKUP(B124,Resumo_HSF!$C$13:$AH$200,28,FALSE)</f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-145</v>
      </c>
      <c r="Q124" s="26">
        <v>0</v>
      </c>
      <c r="R124" s="26">
        <v>0</v>
      </c>
      <c r="S124" s="26">
        <v>0</v>
      </c>
      <c r="T124" s="26">
        <v>0</v>
      </c>
      <c r="U124" s="26">
        <v>0</v>
      </c>
      <c r="V124" s="26">
        <v>0</v>
      </c>
      <c r="W124" s="26">
        <v>0</v>
      </c>
      <c r="X124" s="26">
        <f>-IF(VLOOKUP($B124,Resumo_HSF!$C$13:$AB$1000,16,FALSE)=VLOOKUP($B123,Resumo_HSF!$C$13:$AB$1000,16,FALSE),0,(VLOOKUP($B124,Resumo_HSF!$C$13:$AB$1000,16,FALSE)-VLOOKUP($B123,Resumo_HSF!$C$13:$AB$1000,16,FALSE))*VLOOKUP($B124,Resumo_HSF!$C$13:$AB$1000,15,FALSE))</f>
        <v>145.00000036383977</v>
      </c>
      <c r="Y124" s="26">
        <v>0</v>
      </c>
      <c r="Z124" s="26">
        <v>0</v>
      </c>
      <c r="AA124" s="26">
        <v>0</v>
      </c>
      <c r="AB124" s="26">
        <v>0</v>
      </c>
      <c r="AC124" s="26">
        <v>0</v>
      </c>
      <c r="AD124" s="15">
        <f t="shared" si="36"/>
        <v>3.6383977430887171E-7</v>
      </c>
    </row>
    <row r="125" spans="2:30">
      <c r="B125" s="1">
        <v>45029</v>
      </c>
      <c r="C125" s="51">
        <f t="shared" ref="C125" si="38">AD125</f>
        <v>0</v>
      </c>
      <c r="D125" s="26">
        <v>0</v>
      </c>
      <c r="E125" s="26">
        <v>0</v>
      </c>
      <c r="F125" s="26">
        <v>0</v>
      </c>
      <c r="G125" s="26">
        <v>0</v>
      </c>
      <c r="H125" s="26">
        <v>0</v>
      </c>
      <c r="I125" s="26">
        <v>0</v>
      </c>
      <c r="J125" s="26">
        <v>0</v>
      </c>
      <c r="K125">
        <f>-VLOOKUP(B125,Resumo_HSF!$C$13:$AH$200,28,FALSE)</f>
        <v>0</v>
      </c>
      <c r="L125" s="26">
        <v>0</v>
      </c>
      <c r="M125" s="26">
        <v>0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6">
        <v>0</v>
      </c>
      <c r="V125" s="26">
        <v>0</v>
      </c>
      <c r="W125" s="26">
        <v>0</v>
      </c>
      <c r="X125" s="26">
        <f>-IF(VLOOKUP($B125,Resumo_HSF!$C$13:$AB$1000,16,FALSE)=VLOOKUP($B124,Resumo_HSF!$C$13:$AB$1000,16,FALSE),0,(VLOOKUP($B125,Resumo_HSF!$C$13:$AB$1000,16,FALSE)-VLOOKUP($B124,Resumo_HSF!$C$13:$AB$1000,16,FALSE))*VLOOKUP($B125,Resumo_HSF!$C$13:$AB$1000,15,FALSE))</f>
        <v>0</v>
      </c>
      <c r="Y125" s="26">
        <v>0</v>
      </c>
      <c r="Z125" s="26">
        <v>0</v>
      </c>
      <c r="AA125" s="26">
        <v>0</v>
      </c>
      <c r="AB125" s="26">
        <v>0</v>
      </c>
      <c r="AC125" s="26">
        <v>0</v>
      </c>
      <c r="AD125" s="15">
        <f t="shared" si="36"/>
        <v>0</v>
      </c>
    </row>
    <row r="126" spans="2:30">
      <c r="B126" s="1">
        <v>45030</v>
      </c>
      <c r="C126" s="51">
        <f t="shared" ref="C126" si="39">AD126</f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>
        <f>-VLOOKUP(B126,Resumo_HSF!$C$13:$AH$200,28,FALSE)</f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0</v>
      </c>
      <c r="U126" s="26">
        <v>0</v>
      </c>
      <c r="V126" s="26">
        <v>0</v>
      </c>
      <c r="W126" s="26">
        <v>0</v>
      </c>
      <c r="X126" s="26">
        <f>-IF(VLOOKUP($B126,Resumo_HSF!$C$13:$AB$1000,16,FALSE)=VLOOKUP($B125,Resumo_HSF!$C$13:$AB$1000,16,FALSE),0,(VLOOKUP($B126,Resumo_HSF!$C$13:$AB$1000,16,FALSE)-VLOOKUP($B125,Resumo_HSF!$C$13:$AB$1000,16,FALSE))*VLOOKUP($B126,Resumo_HSF!$C$13:$AB$1000,15,FALSE))</f>
        <v>0</v>
      </c>
      <c r="Y126" s="26">
        <v>0</v>
      </c>
      <c r="Z126" s="26">
        <v>0</v>
      </c>
      <c r="AA126" s="26">
        <v>0</v>
      </c>
      <c r="AB126" s="26">
        <v>0</v>
      </c>
      <c r="AC126" s="26">
        <v>0</v>
      </c>
      <c r="AD126" s="15">
        <f t="shared" si="36"/>
        <v>0</v>
      </c>
    </row>
    <row r="127" spans="2:30">
      <c r="B127" s="1">
        <v>45033</v>
      </c>
      <c r="C127" s="51">
        <f t="shared" ref="C127" si="40">AD127</f>
        <v>0</v>
      </c>
      <c r="D127" s="26">
        <v>0</v>
      </c>
      <c r="E127" s="26">
        <v>0</v>
      </c>
      <c r="F127" s="26">
        <v>0</v>
      </c>
      <c r="G127" s="26">
        <v>0</v>
      </c>
      <c r="H127" s="26">
        <v>0</v>
      </c>
      <c r="I127" s="26">
        <v>0</v>
      </c>
      <c r="J127" s="26">
        <v>0</v>
      </c>
      <c r="K127">
        <f>-VLOOKUP(B127,Resumo_HSF!$C$13:$AH$200,28,FALSE)</f>
        <v>0</v>
      </c>
      <c r="L127" s="26">
        <v>0</v>
      </c>
      <c r="M127" s="26">
        <v>0</v>
      </c>
      <c r="N127" s="26">
        <v>0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6">
        <v>0</v>
      </c>
      <c r="V127" s="26">
        <v>0</v>
      </c>
      <c r="W127" s="26">
        <v>0</v>
      </c>
      <c r="X127" s="26">
        <f>-IF(VLOOKUP($B127,Resumo_HSF!$C$13:$AB$1000,16,FALSE)=VLOOKUP($B126,Resumo_HSF!$C$13:$AB$1000,16,FALSE),0,(VLOOKUP($B127,Resumo_HSF!$C$13:$AB$1000,16,FALSE)-VLOOKUP($B126,Resumo_HSF!$C$13:$AB$1000,16,FALSE))*VLOOKUP($B127,Resumo_HSF!$C$13:$AB$1000,15,FALSE))</f>
        <v>0</v>
      </c>
      <c r="Y127" s="26">
        <v>0</v>
      </c>
      <c r="Z127" s="26">
        <v>0</v>
      </c>
      <c r="AA127" s="26">
        <v>0</v>
      </c>
      <c r="AB127" s="26">
        <v>0</v>
      </c>
      <c r="AC127" s="26">
        <v>0</v>
      </c>
      <c r="AD127" s="15">
        <f t="shared" si="36"/>
        <v>0</v>
      </c>
    </row>
    <row r="128" spans="2:30">
      <c r="B128" s="1">
        <v>45034</v>
      </c>
      <c r="C128" s="51">
        <f t="shared" ref="C128" si="41">AD128</f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>
        <f>-VLOOKUP(B128,Resumo_HSF!$C$13:$AH$200,28,FALSE)</f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6">
        <v>0</v>
      </c>
      <c r="V128" s="26">
        <v>0</v>
      </c>
      <c r="W128" s="26">
        <v>0</v>
      </c>
      <c r="X128" s="26">
        <f>-IF(VLOOKUP($B128,Resumo_HSF!$C$13:$AB$1000,16,FALSE)=VLOOKUP($B127,Resumo_HSF!$C$13:$AB$1000,16,FALSE),0,(VLOOKUP($B128,Resumo_HSF!$C$13:$AB$1000,16,FALSE)-VLOOKUP($B127,Resumo_HSF!$C$13:$AB$1000,16,FALSE))*VLOOKUP($B128,Resumo_HSF!$C$13:$AB$1000,15,FALSE))</f>
        <v>0</v>
      </c>
      <c r="Y128" s="26">
        <v>0</v>
      </c>
      <c r="Z128" s="26">
        <v>0</v>
      </c>
      <c r="AA128" s="26">
        <v>0</v>
      </c>
      <c r="AB128" s="26">
        <v>0</v>
      </c>
      <c r="AC128" s="26">
        <v>0</v>
      </c>
      <c r="AD128" s="15">
        <f t="shared" si="36"/>
        <v>0</v>
      </c>
    </row>
    <row r="129" spans="2:30">
      <c r="B129" s="1">
        <v>45035</v>
      </c>
      <c r="C129" s="51">
        <f t="shared" ref="C129" si="42">AD129</f>
        <v>-2.1513415049412288E-7</v>
      </c>
      <c r="D129" s="26">
        <v>0</v>
      </c>
      <c r="E129" s="26">
        <v>0</v>
      </c>
      <c r="F129" s="26">
        <v>0</v>
      </c>
      <c r="G129" s="26">
        <v>0</v>
      </c>
      <c r="H129" s="26">
        <v>0</v>
      </c>
      <c r="I129" s="26">
        <v>0</v>
      </c>
      <c r="J129" s="26">
        <v>0</v>
      </c>
      <c r="K129">
        <f>-VLOOKUP(B129,Resumo_HSF!$C$13:$AH$200,28,FALSE)</f>
        <v>0</v>
      </c>
      <c r="L129" s="26">
        <v>0</v>
      </c>
      <c r="M129" s="26">
        <v>0</v>
      </c>
      <c r="N129" s="26">
        <v>0</v>
      </c>
      <c r="O129" s="26">
        <v>0</v>
      </c>
      <c r="P129" s="26">
        <v>-2047.78</v>
      </c>
      <c r="Q129" s="26">
        <v>0</v>
      </c>
      <c r="R129" s="26">
        <v>0</v>
      </c>
      <c r="S129" s="26">
        <v>0</v>
      </c>
      <c r="T129" s="26">
        <v>0</v>
      </c>
      <c r="U129" s="26">
        <v>0</v>
      </c>
      <c r="V129" s="26">
        <v>0</v>
      </c>
      <c r="W129" s="26">
        <v>0</v>
      </c>
      <c r="X129" s="26">
        <f>-IF(VLOOKUP($B129,Resumo_HSF!$C$13:$AB$1000,16,FALSE)=VLOOKUP($B128,Resumo_HSF!$C$13:$AB$1000,16,FALSE),0,(VLOOKUP($B129,Resumo_HSF!$C$13:$AB$1000,16,FALSE)-VLOOKUP($B128,Resumo_HSF!$C$13:$AB$1000,16,FALSE))*VLOOKUP($B129,Resumo_HSF!$C$13:$AB$1000,15,FALSE))</f>
        <v>2047.7799997848658</v>
      </c>
      <c r="Y129" s="26">
        <v>0</v>
      </c>
      <c r="Z129" s="26">
        <v>0</v>
      </c>
      <c r="AA129" s="26">
        <v>0</v>
      </c>
      <c r="AB129" s="26">
        <v>0</v>
      </c>
      <c r="AC129" s="26">
        <v>0</v>
      </c>
      <c r="AD129" s="15">
        <f t="shared" si="36"/>
        <v>-2.1513415049412288E-7</v>
      </c>
    </row>
    <row r="130" spans="2:30">
      <c r="B130" s="1">
        <v>45036</v>
      </c>
      <c r="C130" s="51">
        <f t="shared" ref="C130" si="43">AD130</f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>
        <f>-VLOOKUP(B130,Resumo_HSF!$C$13:$AH$200,28,FALSE)</f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6">
        <v>0</v>
      </c>
      <c r="V130" s="26">
        <v>0</v>
      </c>
      <c r="W130" s="26">
        <v>0</v>
      </c>
      <c r="X130" s="26">
        <f>-IF(VLOOKUP($B130,Resumo_HSF!$C$13:$AB$1000,16,FALSE)=VLOOKUP($B129,Resumo_HSF!$C$13:$AB$1000,16,FALSE),0,(VLOOKUP($B130,Resumo_HSF!$C$13:$AB$1000,16,FALSE)-VLOOKUP($B129,Resumo_HSF!$C$13:$AB$1000,16,FALSE))*VLOOKUP($B130,Resumo_HSF!$C$13:$AB$1000,15,FALSE))</f>
        <v>0</v>
      </c>
      <c r="Y130" s="26">
        <v>0</v>
      </c>
      <c r="Z130" s="26">
        <v>0</v>
      </c>
      <c r="AA130" s="26">
        <v>0</v>
      </c>
      <c r="AB130" s="26">
        <v>0</v>
      </c>
      <c r="AC130" s="26">
        <v>0</v>
      </c>
      <c r="AD130" s="15">
        <f t="shared" si="36"/>
        <v>0</v>
      </c>
    </row>
    <row r="131" spans="2:30">
      <c r="B131" s="1">
        <v>45040</v>
      </c>
      <c r="C131" s="51">
        <f t="shared" ref="C131" si="44">AD131</f>
        <v>0</v>
      </c>
      <c r="D131" s="26">
        <v>0</v>
      </c>
      <c r="E131" s="26">
        <v>0</v>
      </c>
      <c r="F131" s="26">
        <v>0</v>
      </c>
      <c r="G131" s="26">
        <v>0</v>
      </c>
      <c r="H131" s="26">
        <v>0</v>
      </c>
      <c r="I131" s="26">
        <v>0</v>
      </c>
      <c r="J131" s="26">
        <v>0</v>
      </c>
      <c r="K131">
        <f>-VLOOKUP(B131,Resumo_HSF!$C$13:$AH$200,28,FALSE)</f>
        <v>0</v>
      </c>
      <c r="L131" s="26">
        <v>0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6">
        <v>0</v>
      </c>
      <c r="V131" s="26">
        <v>0</v>
      </c>
      <c r="W131" s="26">
        <v>0</v>
      </c>
      <c r="X131" s="26">
        <f>-IF(VLOOKUP($B131,Resumo_HSF!$C$13:$AB$1000,16,FALSE)=VLOOKUP($B130,Resumo_HSF!$C$13:$AB$1000,16,FALSE),0,(VLOOKUP($B131,Resumo_HSF!$C$13:$AB$1000,16,FALSE)-VLOOKUP($B130,Resumo_HSF!$C$13:$AB$1000,16,FALSE))*VLOOKUP($B131,Resumo_HSF!$C$13:$AB$1000,15,FALSE))</f>
        <v>0</v>
      </c>
      <c r="Y131" s="26">
        <v>0</v>
      </c>
      <c r="Z131" s="26">
        <v>0</v>
      </c>
      <c r="AA131" s="26">
        <v>0</v>
      </c>
      <c r="AB131" s="26">
        <v>0</v>
      </c>
      <c r="AC131" s="26">
        <v>0</v>
      </c>
      <c r="AD131" s="15">
        <f t="shared" si="36"/>
        <v>0</v>
      </c>
    </row>
    <row r="132" spans="2:30">
      <c r="B132" s="1">
        <v>45041</v>
      </c>
      <c r="C132" s="51">
        <f t="shared" ref="C132" si="45">AD132</f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>
        <f>-VLOOKUP(B132,Resumo_HSF!$C$13:$AH$200,28,FALSE)</f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26">
        <v>0</v>
      </c>
      <c r="U132" s="26">
        <v>0</v>
      </c>
      <c r="V132" s="26">
        <v>0</v>
      </c>
      <c r="W132" s="26">
        <v>0</v>
      </c>
      <c r="X132" s="26">
        <f>-IF(VLOOKUP($B132,Resumo_HSF!$C$13:$AB$1000,16,FALSE)=VLOOKUP($B131,Resumo_HSF!$C$13:$AB$1000,16,FALSE),0,(VLOOKUP($B132,Resumo_HSF!$C$13:$AB$1000,16,FALSE)-VLOOKUP($B131,Resumo_HSF!$C$13:$AB$1000,16,FALSE))*VLOOKUP($B132,Resumo_HSF!$C$13:$AB$1000,15,FALSE))</f>
        <v>0</v>
      </c>
      <c r="Y132" s="26">
        <v>0</v>
      </c>
      <c r="Z132" s="26">
        <v>0</v>
      </c>
      <c r="AA132" s="26">
        <v>0</v>
      </c>
      <c r="AB132" s="26">
        <v>0</v>
      </c>
      <c r="AC132" s="26">
        <v>0</v>
      </c>
      <c r="AD132" s="15">
        <f t="shared" si="36"/>
        <v>0</v>
      </c>
    </row>
    <row r="133" spans="2:30">
      <c r="B133" s="1">
        <v>45042</v>
      </c>
      <c r="C133" s="51">
        <f t="shared" ref="C133" si="46">AD133</f>
        <v>0</v>
      </c>
      <c r="D133" s="26">
        <v>0</v>
      </c>
      <c r="E133" s="26">
        <v>0</v>
      </c>
      <c r="F133" s="26">
        <v>0</v>
      </c>
      <c r="G133" s="26">
        <v>0</v>
      </c>
      <c r="H133" s="26">
        <v>0</v>
      </c>
      <c r="I133" s="26">
        <v>0</v>
      </c>
      <c r="J133" s="26">
        <v>0</v>
      </c>
      <c r="K133">
        <f>-VLOOKUP(B133,Resumo_HSF!$C$13:$AH$200,28,FALSE)</f>
        <v>0</v>
      </c>
      <c r="L133" s="26">
        <v>0</v>
      </c>
      <c r="M133" s="26">
        <v>0</v>
      </c>
      <c r="N133" s="26">
        <v>0</v>
      </c>
      <c r="O133" s="26">
        <v>0</v>
      </c>
      <c r="P133" s="26">
        <v>0</v>
      </c>
      <c r="Q133" s="26">
        <v>0</v>
      </c>
      <c r="R133" s="26">
        <v>0</v>
      </c>
      <c r="S133" s="26">
        <v>0</v>
      </c>
      <c r="T133" s="26">
        <v>0</v>
      </c>
      <c r="U133" s="26">
        <v>0</v>
      </c>
      <c r="V133" s="26">
        <v>0</v>
      </c>
      <c r="W133" s="26">
        <v>0</v>
      </c>
      <c r="X133" s="26">
        <f>-IF(VLOOKUP($B133,Resumo_HSF!$C$13:$AB$1000,16,FALSE)=VLOOKUP($B132,Resumo_HSF!$C$13:$AB$1000,16,FALSE),0,(VLOOKUP($B133,Resumo_HSF!$C$13:$AB$1000,16,FALSE)-VLOOKUP($B132,Resumo_HSF!$C$13:$AB$1000,16,FALSE))*VLOOKUP($B133,Resumo_HSF!$C$13:$AB$1000,15,FALSE))</f>
        <v>0</v>
      </c>
      <c r="Y133" s="26">
        <v>0</v>
      </c>
      <c r="Z133" s="26">
        <v>0</v>
      </c>
      <c r="AA133" s="26">
        <v>0</v>
      </c>
      <c r="AB133" s="26">
        <v>0</v>
      </c>
      <c r="AC133" s="26">
        <v>0</v>
      </c>
      <c r="AD133" s="15">
        <f t="shared" si="36"/>
        <v>0</v>
      </c>
    </row>
    <row r="134" spans="2:30">
      <c r="B134" s="1">
        <v>45043</v>
      </c>
      <c r="C134" s="51">
        <f t="shared" ref="C134:C137" si="47">AD134</f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>
        <f>-VLOOKUP(B134,Resumo_HSF!$C$13:$AH$200,28,FALSE)</f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6">
        <v>0</v>
      </c>
      <c r="T134" s="26">
        <v>0</v>
      </c>
      <c r="U134" s="26">
        <v>0</v>
      </c>
      <c r="V134" s="26">
        <v>0</v>
      </c>
      <c r="W134" s="26">
        <v>0</v>
      </c>
      <c r="X134" s="26">
        <f>-IF(VLOOKUP($B134,Resumo_HSF!$C$13:$AB$1000,16,FALSE)=VLOOKUP($B133,Resumo_HSF!$C$13:$AB$1000,16,FALSE),0,(VLOOKUP($B134,Resumo_HSF!$C$13:$AB$1000,16,FALSE)-VLOOKUP($B133,Resumo_HSF!$C$13:$AB$1000,16,FALSE))*VLOOKUP($B134,Resumo_HSF!$C$13:$AB$1000,15,FALSE))</f>
        <v>0</v>
      </c>
      <c r="Y134" s="26">
        <v>0</v>
      </c>
      <c r="Z134" s="26">
        <v>0</v>
      </c>
      <c r="AA134" s="26">
        <v>0</v>
      </c>
      <c r="AB134" s="26">
        <v>0</v>
      </c>
      <c r="AC134" s="26">
        <v>0</v>
      </c>
      <c r="AD134" s="15">
        <f t="shared" si="36"/>
        <v>0</v>
      </c>
    </row>
    <row r="135" spans="2:30">
      <c r="B135" s="1">
        <v>45044</v>
      </c>
      <c r="C135" s="51">
        <f t="shared" si="47"/>
        <v>0</v>
      </c>
      <c r="D135" s="26">
        <v>0</v>
      </c>
      <c r="E135" s="26">
        <v>0</v>
      </c>
      <c r="F135" s="26">
        <v>0</v>
      </c>
      <c r="G135" s="26">
        <v>0</v>
      </c>
      <c r="H135" s="26">
        <v>0</v>
      </c>
      <c r="I135" s="26">
        <v>0</v>
      </c>
      <c r="J135" s="26">
        <v>0</v>
      </c>
      <c r="K135">
        <f>-VLOOKUP(B135,Resumo_HSF!$C$13:$AH$200,28,FALSE)</f>
        <v>0</v>
      </c>
      <c r="L135" s="26">
        <v>0</v>
      </c>
      <c r="M135" s="26">
        <v>0</v>
      </c>
      <c r="N135" s="26">
        <v>0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26">
        <v>0</v>
      </c>
      <c r="U135" s="26">
        <v>0</v>
      </c>
      <c r="V135" s="26">
        <v>0</v>
      </c>
      <c r="W135" s="26">
        <v>0</v>
      </c>
      <c r="X135" s="26">
        <f>-IF(VLOOKUP($B135,Resumo_HSF!$C$13:$AB$1000,16,FALSE)=VLOOKUP($B134,Resumo_HSF!$C$13:$AB$1000,16,FALSE),0,(VLOOKUP($B135,Resumo_HSF!$C$13:$AB$1000,16,FALSE)-VLOOKUP($B134,Resumo_HSF!$C$13:$AB$1000,16,FALSE))*VLOOKUP($B135,Resumo_HSF!$C$13:$AB$1000,15,FALSE))</f>
        <v>0</v>
      </c>
      <c r="Y135" s="26">
        <v>0</v>
      </c>
      <c r="Z135" s="26">
        <v>0</v>
      </c>
      <c r="AA135" s="26">
        <v>0</v>
      </c>
      <c r="AB135" s="26">
        <v>0</v>
      </c>
      <c r="AC135" s="26">
        <v>0</v>
      </c>
      <c r="AD135" s="15">
        <f t="shared" si="36"/>
        <v>0</v>
      </c>
    </row>
    <row r="136" spans="2:30">
      <c r="B136" s="1">
        <v>45048</v>
      </c>
      <c r="C136" s="51">
        <f t="shared" si="47"/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>
        <f>-VLOOKUP(B136,Resumo_HSF!$C$13:$AH$200,28,FALSE)</f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6">
        <v>0</v>
      </c>
      <c r="T136" s="26">
        <v>0</v>
      </c>
      <c r="U136" s="26">
        <v>0</v>
      </c>
      <c r="V136" s="26">
        <v>0</v>
      </c>
      <c r="W136" s="26">
        <v>0</v>
      </c>
      <c r="X136" s="26">
        <f>-IF(VLOOKUP($B136,Resumo_HSF!$C$13:$AB$1000,16,FALSE)=VLOOKUP($B135,Resumo_HSF!$C$13:$AB$1000,16,FALSE),0,(VLOOKUP($B136,Resumo_HSF!$C$13:$AB$1000,16,FALSE)-VLOOKUP($B135,Resumo_HSF!$C$13:$AB$1000,16,FALSE))*VLOOKUP($B136,Resumo_HSF!$C$13:$AB$1000,15,FALSE))</f>
        <v>0</v>
      </c>
      <c r="Y136" s="26">
        <v>0</v>
      </c>
      <c r="Z136" s="26">
        <v>0</v>
      </c>
      <c r="AA136" s="26">
        <v>0</v>
      </c>
      <c r="AB136" s="26">
        <v>0</v>
      </c>
      <c r="AC136" s="26">
        <v>0</v>
      </c>
      <c r="AD136" s="15">
        <f t="shared" si="36"/>
        <v>0</v>
      </c>
    </row>
    <row r="137" spans="2:30">
      <c r="B137" s="1">
        <v>45049</v>
      </c>
      <c r="C137" s="51">
        <f t="shared" si="47"/>
        <v>0</v>
      </c>
      <c r="D137" s="26">
        <v>0</v>
      </c>
      <c r="E137" s="26">
        <v>0</v>
      </c>
      <c r="F137" s="26">
        <v>0</v>
      </c>
      <c r="G137" s="26">
        <v>0</v>
      </c>
      <c r="H137" s="26">
        <v>0</v>
      </c>
      <c r="I137" s="26">
        <v>0</v>
      </c>
      <c r="J137" s="26">
        <v>0</v>
      </c>
      <c r="K137">
        <f>-VLOOKUP(B137,Resumo_HSF!$C$13:$AH$200,28,FALSE)</f>
        <v>0</v>
      </c>
      <c r="L137" s="26">
        <v>0</v>
      </c>
      <c r="M137" s="26">
        <v>0</v>
      </c>
      <c r="N137" s="26">
        <v>0</v>
      </c>
      <c r="O137" s="26">
        <v>0</v>
      </c>
      <c r="P137" s="26">
        <v>0</v>
      </c>
      <c r="Q137" s="26">
        <v>0</v>
      </c>
      <c r="R137" s="26">
        <v>0</v>
      </c>
      <c r="S137" s="26">
        <v>0</v>
      </c>
      <c r="T137" s="26">
        <v>0</v>
      </c>
      <c r="U137" s="26">
        <v>0</v>
      </c>
      <c r="V137" s="26">
        <v>0</v>
      </c>
      <c r="W137" s="26">
        <v>0</v>
      </c>
      <c r="X137" s="26">
        <f>-IF(VLOOKUP($B137,Resumo_HSF!$C$13:$AB$1000,16,FALSE)=VLOOKUP($B136,Resumo_HSF!$C$13:$AB$1000,16,FALSE),0,(VLOOKUP($B137,Resumo_HSF!$C$13:$AB$1000,16,FALSE)-VLOOKUP($B136,Resumo_HSF!$C$13:$AB$1000,16,FALSE))*VLOOKUP($B137,Resumo_HSF!$C$13:$AB$1000,15,FALSE))</f>
        <v>0</v>
      </c>
      <c r="Y137" s="26">
        <v>0</v>
      </c>
      <c r="Z137" s="26">
        <v>0</v>
      </c>
      <c r="AA137" s="26">
        <v>0</v>
      </c>
      <c r="AB137" s="26">
        <v>0</v>
      </c>
      <c r="AC137" s="26">
        <v>0</v>
      </c>
      <c r="AD137" s="15">
        <f t="shared" si="36"/>
        <v>0</v>
      </c>
    </row>
    <row r="138" spans="2:30">
      <c r="B138" s="1">
        <v>45050</v>
      </c>
      <c r="C138" s="51">
        <f t="shared" ref="C138" si="48">AD138</f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>
        <f>-VLOOKUP(B138,Resumo_HSF!$C$13:$AH$200,28,FALSE)</f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6">
        <v>0</v>
      </c>
      <c r="T138" s="26">
        <v>0</v>
      </c>
      <c r="U138" s="26">
        <v>0</v>
      </c>
      <c r="V138" s="26">
        <v>0</v>
      </c>
      <c r="W138" s="26">
        <v>0</v>
      </c>
      <c r="X138" s="26">
        <f>-IF(VLOOKUP($B138,Resumo_HSF!$C$13:$AB$1000,16,FALSE)=VLOOKUP($B137,Resumo_HSF!$C$13:$AB$1000,16,FALSE),0,(VLOOKUP($B138,Resumo_HSF!$C$13:$AB$1000,16,FALSE)-VLOOKUP($B137,Resumo_HSF!$C$13:$AB$1000,16,FALSE))*VLOOKUP($B138,Resumo_HSF!$C$13:$AB$1000,15,FALSE))</f>
        <v>0</v>
      </c>
      <c r="Y138" s="26">
        <v>0</v>
      </c>
      <c r="Z138" s="26">
        <v>0</v>
      </c>
      <c r="AA138" s="26">
        <v>0</v>
      </c>
      <c r="AB138" s="26">
        <v>0</v>
      </c>
      <c r="AC138" s="26">
        <v>0</v>
      </c>
      <c r="AD138" s="15">
        <f t="shared" si="36"/>
        <v>0</v>
      </c>
    </row>
    <row r="139" spans="2:30">
      <c r="B139" s="1">
        <v>45051</v>
      </c>
      <c r="C139" s="51">
        <f>AD138</f>
        <v>0</v>
      </c>
      <c r="D139" s="26">
        <v>0</v>
      </c>
      <c r="E139" s="26">
        <v>0</v>
      </c>
      <c r="F139" s="26">
        <v>0</v>
      </c>
      <c r="G139" s="26">
        <v>0</v>
      </c>
      <c r="H139" s="26">
        <v>0</v>
      </c>
      <c r="I139" s="26">
        <v>0</v>
      </c>
      <c r="J139" s="26">
        <v>0</v>
      </c>
      <c r="K139">
        <f>-VLOOKUP(B139,Resumo_HSF!$C$13:$AH$200,28,FALSE)</f>
        <v>0</v>
      </c>
      <c r="L139" s="26">
        <v>0</v>
      </c>
      <c r="M139" s="26">
        <v>0</v>
      </c>
      <c r="N139" s="26">
        <v>0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6">
        <v>9000</v>
      </c>
      <c r="V139" s="26">
        <v>0</v>
      </c>
      <c r="W139" s="26">
        <v>0</v>
      </c>
      <c r="X139" s="26">
        <f>-IF(VLOOKUP($B139,Resumo_HSF!$C$13:$AB$1000,16,FALSE)=VLOOKUP($B138,Resumo_HSF!$C$13:$AB$1000,16,FALSE),0,(VLOOKUP($B139,Resumo_HSF!$C$13:$AB$1000,16,FALSE)-VLOOKUP($B138,Resumo_HSF!$C$13:$AB$1000,16,FALSE))*VLOOKUP($B139,Resumo_HSF!$C$13:$AB$1000,15,FALSE))</f>
        <v>-9000.0000000325053</v>
      </c>
      <c r="Y139" s="26">
        <v>0</v>
      </c>
      <c r="Z139" s="26">
        <v>0</v>
      </c>
      <c r="AA139" s="26">
        <v>0</v>
      </c>
      <c r="AB139" s="26">
        <v>0</v>
      </c>
      <c r="AC139" s="26">
        <v>0</v>
      </c>
      <c r="AD139" s="15">
        <f t="shared" si="36"/>
        <v>-3.2505340641364455E-8</v>
      </c>
    </row>
    <row r="140" spans="2:30">
      <c r="B140" s="1">
        <v>45054</v>
      </c>
      <c r="C140" s="51">
        <f t="shared" ref="C140" si="49">AD140</f>
        <v>1.5536761566181667E-6</v>
      </c>
      <c r="D140" s="26">
        <v>-7579.98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>
        <f>-VLOOKUP(B140,Resumo_HSF!$C$13:$AH$200,28,FALSE)</f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6">
        <v>0</v>
      </c>
      <c r="V140" s="26">
        <v>0</v>
      </c>
      <c r="W140" s="26">
        <v>0</v>
      </c>
      <c r="X140" s="26">
        <f>-IF(VLOOKUP($B140,Resumo_HSF!$C$13:$AB$1000,16,FALSE)=VLOOKUP($B139,Resumo_HSF!$C$13:$AB$1000,16,FALSE),0,(VLOOKUP($B140,Resumo_HSF!$C$13:$AB$1000,16,FALSE)-VLOOKUP($B139,Resumo_HSF!$C$13:$AB$1000,16,FALSE))*VLOOKUP($B140,Resumo_HSF!$C$13:$AB$1000,15,FALSE))</f>
        <v>7579.9800015536757</v>
      </c>
      <c r="Y140" s="26">
        <v>0</v>
      </c>
      <c r="Z140" s="26">
        <v>0</v>
      </c>
      <c r="AA140" s="26">
        <v>0</v>
      </c>
      <c r="AB140" s="26">
        <v>0</v>
      </c>
      <c r="AC140" s="26">
        <v>0</v>
      </c>
      <c r="AD140" s="15">
        <f t="shared" si="36"/>
        <v>1.5536761566181667E-6</v>
      </c>
    </row>
    <row r="141" spans="2:30">
      <c r="B141" s="1">
        <v>45055</v>
      </c>
      <c r="C141" s="51">
        <f t="shared" ref="C141" si="50">AD141</f>
        <v>-1.6676458471920341E-6</v>
      </c>
      <c r="D141" s="26">
        <v>0</v>
      </c>
      <c r="E141" s="26">
        <v>0</v>
      </c>
      <c r="F141" s="26">
        <v>0</v>
      </c>
      <c r="G141" s="26">
        <v>0</v>
      </c>
      <c r="H141" s="26">
        <v>0</v>
      </c>
      <c r="I141" s="26">
        <v>0</v>
      </c>
      <c r="J141" s="26">
        <v>0</v>
      </c>
      <c r="K141">
        <f>-VLOOKUP(B141,Resumo_HSF!$C$13:$AH$200,28,FALSE)</f>
        <v>0</v>
      </c>
      <c r="L141" s="26">
        <v>0</v>
      </c>
      <c r="M141" s="26">
        <v>0</v>
      </c>
      <c r="N141" s="26">
        <v>-4743.42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6">
        <v>0</v>
      </c>
      <c r="V141" s="26">
        <v>0</v>
      </c>
      <c r="W141" s="26">
        <v>0</v>
      </c>
      <c r="X141" s="26">
        <f>-IF(VLOOKUP($B141,Resumo_HSF!$C$13:$AB$1000,16,FALSE)=VLOOKUP($B140,Resumo_HSF!$C$13:$AB$1000,16,FALSE),0,(VLOOKUP($B141,Resumo_HSF!$C$13:$AB$1000,16,FALSE)-VLOOKUP($B140,Resumo_HSF!$C$13:$AB$1000,16,FALSE))*VLOOKUP($B141,Resumo_HSF!$C$13:$AB$1000,15,FALSE))</f>
        <v>4743.4199983323542</v>
      </c>
      <c r="Y141" s="26">
        <v>0</v>
      </c>
      <c r="Z141" s="26">
        <v>0</v>
      </c>
      <c r="AA141" s="26">
        <v>0</v>
      </c>
      <c r="AB141" s="26">
        <v>0</v>
      </c>
      <c r="AC141" s="26">
        <v>0</v>
      </c>
      <c r="AD141" s="15">
        <f t="shared" si="36"/>
        <v>-1.6676458471920341E-6</v>
      </c>
    </row>
    <row r="142" spans="2:30">
      <c r="B142" s="1">
        <v>45056</v>
      </c>
      <c r="C142" s="51">
        <f t="shared" ref="C142" si="51">AD142</f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>
        <f>-VLOOKUP(B142,Resumo_HSF!$C$13:$AH$200,28,FALSE)</f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6">
        <v>0</v>
      </c>
      <c r="V142" s="26">
        <v>0</v>
      </c>
      <c r="W142" s="26">
        <v>0</v>
      </c>
      <c r="X142" s="26">
        <f>-IF(VLOOKUP($B142,Resumo_HSF!$C$13:$AB$1000,16,FALSE)=VLOOKUP($B141,Resumo_HSF!$C$13:$AB$1000,16,FALSE),0,(VLOOKUP($B142,Resumo_HSF!$C$13:$AB$1000,16,FALSE)-VLOOKUP($B141,Resumo_HSF!$C$13:$AB$1000,16,FALSE))*VLOOKUP($B142,Resumo_HSF!$C$13:$AB$1000,15,FALSE))</f>
        <v>0</v>
      </c>
      <c r="Y142" s="26">
        <v>0</v>
      </c>
      <c r="Z142" s="26">
        <v>0</v>
      </c>
      <c r="AA142" s="26">
        <v>0</v>
      </c>
      <c r="AB142" s="26">
        <v>0</v>
      </c>
      <c r="AC142" s="26">
        <v>0</v>
      </c>
      <c r="AD142" s="15">
        <f t="shared" si="36"/>
        <v>0</v>
      </c>
    </row>
    <row r="143" spans="2:30">
      <c r="B143" s="1">
        <v>45057</v>
      </c>
      <c r="C143" s="51">
        <f t="shared" ref="C143" si="52">AD143</f>
        <v>0</v>
      </c>
      <c r="D143" s="26">
        <v>0</v>
      </c>
      <c r="E143" s="26">
        <v>0</v>
      </c>
      <c r="F143" s="26">
        <v>0</v>
      </c>
      <c r="G143" s="26">
        <v>0</v>
      </c>
      <c r="H143" s="26">
        <v>0</v>
      </c>
      <c r="I143" s="26">
        <v>0</v>
      </c>
      <c r="J143" s="26">
        <v>0</v>
      </c>
      <c r="K143">
        <f>-VLOOKUP(B143,Resumo_HSF!$C$13:$AH$200,28,FALSE)</f>
        <v>0</v>
      </c>
      <c r="L143" s="26">
        <v>0</v>
      </c>
      <c r="M143" s="26">
        <v>0</v>
      </c>
      <c r="N143" s="26">
        <v>0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6">
        <v>0</v>
      </c>
      <c r="V143" s="26">
        <v>0</v>
      </c>
      <c r="W143" s="26">
        <v>0</v>
      </c>
      <c r="X143" s="26">
        <f>-IF(VLOOKUP($B143,Resumo_HSF!$C$13:$AB$1000,16,FALSE)=VLOOKUP($B142,Resumo_HSF!$C$13:$AB$1000,16,FALSE),0,(VLOOKUP($B143,Resumo_HSF!$C$13:$AB$1000,16,FALSE)-VLOOKUP($B142,Resumo_HSF!$C$13:$AB$1000,16,FALSE))*VLOOKUP($B143,Resumo_HSF!$C$13:$AB$1000,15,FALSE))</f>
        <v>0</v>
      </c>
      <c r="Y143" s="26">
        <v>0</v>
      </c>
      <c r="Z143" s="26">
        <v>0</v>
      </c>
      <c r="AA143" s="26">
        <v>0</v>
      </c>
      <c r="AB143" s="26">
        <v>0</v>
      </c>
      <c r="AC143" s="26">
        <v>0</v>
      </c>
      <c r="AD143" s="15">
        <f t="shared" si="36"/>
        <v>0</v>
      </c>
    </row>
    <row r="144" spans="2:30">
      <c r="B144" s="1">
        <v>45058</v>
      </c>
      <c r="C144" s="51">
        <f t="shared" ref="C144" si="53">AD144</f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>
        <f>-VLOOKUP(B144,Resumo_HSF!$C$13:$AH$200,28,FALSE)</f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26">
        <v>0</v>
      </c>
      <c r="U144" s="26">
        <v>0</v>
      </c>
      <c r="V144" s="26">
        <v>0</v>
      </c>
      <c r="W144" s="26">
        <v>0</v>
      </c>
      <c r="X144" s="26">
        <f>-IF(VLOOKUP($B144,Resumo_HSF!$C$13:$AB$1000,16,FALSE)=VLOOKUP($B143,Resumo_HSF!$C$13:$AB$1000,16,FALSE),0,(VLOOKUP($B144,Resumo_HSF!$C$13:$AB$1000,16,FALSE)-VLOOKUP($B143,Resumo_HSF!$C$13:$AB$1000,16,FALSE))*VLOOKUP($B144,Resumo_HSF!$C$13:$AB$1000,15,FALSE))</f>
        <v>0</v>
      </c>
      <c r="Y144" s="26">
        <v>0</v>
      </c>
      <c r="Z144" s="26">
        <v>0</v>
      </c>
      <c r="AA144" s="26">
        <v>0</v>
      </c>
      <c r="AB144" s="26">
        <v>0</v>
      </c>
      <c r="AC144" s="26">
        <v>0</v>
      </c>
      <c r="AD144" s="15">
        <f t="shared" si="36"/>
        <v>0</v>
      </c>
    </row>
    <row r="145" spans="2:30">
      <c r="B145" s="1">
        <v>45061</v>
      </c>
      <c r="C145" s="51">
        <f t="shared" ref="C145" si="54">AD145</f>
        <v>0</v>
      </c>
      <c r="D145" s="26">
        <v>0</v>
      </c>
      <c r="E145" s="26">
        <v>0</v>
      </c>
      <c r="F145" s="26">
        <v>0</v>
      </c>
      <c r="G145" s="26">
        <v>0</v>
      </c>
      <c r="H145" s="26">
        <v>0</v>
      </c>
      <c r="I145" s="26">
        <v>0</v>
      </c>
      <c r="J145" s="26">
        <v>0</v>
      </c>
      <c r="K145">
        <f>-VLOOKUP(B145,Resumo_HSF!$C$13:$AH$200,28,FALSE)</f>
        <v>0</v>
      </c>
      <c r="L145" s="26">
        <v>0</v>
      </c>
      <c r="M145" s="26">
        <v>0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26">
        <v>0</v>
      </c>
      <c r="U145" s="26">
        <v>0</v>
      </c>
      <c r="V145" s="26">
        <v>0</v>
      </c>
      <c r="W145" s="26">
        <v>0</v>
      </c>
      <c r="X145" s="26">
        <f>-IF(VLOOKUP($B145,Resumo_HSF!$C$13:$AB$1000,16,FALSE)=VLOOKUP($B144,Resumo_HSF!$C$13:$AB$1000,16,FALSE),0,(VLOOKUP($B145,Resumo_HSF!$C$13:$AB$1000,16,FALSE)-VLOOKUP($B144,Resumo_HSF!$C$13:$AB$1000,16,FALSE))*VLOOKUP($B145,Resumo_HSF!$C$13:$AB$1000,15,FALSE))</f>
        <v>0</v>
      </c>
      <c r="Y145" s="26">
        <v>0</v>
      </c>
      <c r="Z145" s="26">
        <v>0</v>
      </c>
      <c r="AA145" s="26">
        <v>0</v>
      </c>
      <c r="AB145" s="26">
        <v>0</v>
      </c>
      <c r="AC145" s="26">
        <v>0</v>
      </c>
      <c r="AD145" s="15">
        <f t="shared" si="36"/>
        <v>0</v>
      </c>
    </row>
    <row r="146" spans="2:30">
      <c r="B146" s="1">
        <v>45062</v>
      </c>
      <c r="C146" s="51">
        <f t="shared" ref="C146" si="55">AD146</f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>
        <f>-VLOOKUP(B146,Resumo_HSF!$C$13:$AH$200,28,FALSE)</f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0</v>
      </c>
      <c r="U146" s="26">
        <v>0</v>
      </c>
      <c r="V146" s="26">
        <v>0</v>
      </c>
      <c r="W146" s="26">
        <v>0</v>
      </c>
      <c r="X146" s="26">
        <f>-IF(VLOOKUP($B146,Resumo_HSF!$C$13:$AB$1000,16,FALSE)=VLOOKUP($B145,Resumo_HSF!$C$13:$AB$1000,16,FALSE),0,(VLOOKUP($B146,Resumo_HSF!$C$13:$AB$1000,16,FALSE)-VLOOKUP($B145,Resumo_HSF!$C$13:$AB$1000,16,FALSE))*VLOOKUP($B146,Resumo_HSF!$C$13:$AB$1000,15,FALSE))</f>
        <v>0</v>
      </c>
      <c r="Y146" s="26">
        <v>0</v>
      </c>
      <c r="Z146" s="26">
        <v>0</v>
      </c>
      <c r="AA146" s="26">
        <v>0</v>
      </c>
      <c r="AB146" s="26">
        <v>0</v>
      </c>
      <c r="AC146" s="26">
        <v>0</v>
      </c>
      <c r="AD146" s="15">
        <f t="shared" si="36"/>
        <v>0</v>
      </c>
    </row>
    <row r="147" spans="2:30">
      <c r="B147" s="1">
        <v>45063</v>
      </c>
      <c r="C147" s="51">
        <f t="shared" ref="C147" si="56">AD147</f>
        <v>0</v>
      </c>
      <c r="D147" s="26">
        <v>0</v>
      </c>
      <c r="E147" s="26">
        <v>0</v>
      </c>
      <c r="F147" s="26">
        <v>0</v>
      </c>
      <c r="G147" s="26">
        <v>0</v>
      </c>
      <c r="H147" s="26">
        <v>0</v>
      </c>
      <c r="I147" s="26">
        <v>0</v>
      </c>
      <c r="J147" s="26">
        <v>0</v>
      </c>
      <c r="K147">
        <f>-VLOOKUP(B147,Resumo_HSF!$C$13:$AH$200,28,FALSE)</f>
        <v>0</v>
      </c>
      <c r="L147" s="26">
        <v>0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6">
        <v>0</v>
      </c>
      <c r="V147" s="26">
        <v>0</v>
      </c>
      <c r="W147" s="26">
        <v>0</v>
      </c>
      <c r="X147" s="26">
        <f>-IF(VLOOKUP($B147,Resumo_HSF!$C$13:$AB$1000,16,FALSE)=VLOOKUP($B146,Resumo_HSF!$C$13:$AB$1000,16,FALSE),0,(VLOOKUP($B147,Resumo_HSF!$C$13:$AB$1000,16,FALSE)-VLOOKUP($B146,Resumo_HSF!$C$13:$AB$1000,16,FALSE))*VLOOKUP($B147,Resumo_HSF!$C$13:$AB$1000,15,FALSE))</f>
        <v>0</v>
      </c>
      <c r="Y147" s="26">
        <v>0</v>
      </c>
      <c r="Z147" s="26">
        <v>0</v>
      </c>
      <c r="AA147" s="26">
        <v>0</v>
      </c>
      <c r="AB147" s="26">
        <v>0</v>
      </c>
      <c r="AC147" s="26">
        <v>0</v>
      </c>
      <c r="AD147" s="15">
        <f t="shared" si="36"/>
        <v>0</v>
      </c>
    </row>
    <row r="148" spans="2:30">
      <c r="B148" s="1">
        <v>45064</v>
      </c>
      <c r="C148" s="51">
        <f t="shared" ref="C148" si="57">AD148</f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>
        <f>-VLOOKUP(B148,Resumo_HSF!$C$13:$AH$200,28,FALSE)</f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26">
        <v>0</v>
      </c>
      <c r="U148" s="26">
        <v>0</v>
      </c>
      <c r="V148" s="26">
        <v>0</v>
      </c>
      <c r="W148" s="26">
        <v>0</v>
      </c>
      <c r="X148" s="26">
        <f>-IF(VLOOKUP($B148,Resumo_HSF!$C$13:$AB$1000,16,FALSE)=VLOOKUP($B147,Resumo_HSF!$C$13:$AB$1000,16,FALSE),0,(VLOOKUP($B148,Resumo_HSF!$C$13:$AB$1000,16,FALSE)-VLOOKUP($B147,Resumo_HSF!$C$13:$AB$1000,16,FALSE))*VLOOKUP($B148,Resumo_HSF!$C$13:$AB$1000,15,FALSE))</f>
        <v>0</v>
      </c>
      <c r="Y148" s="26">
        <v>0</v>
      </c>
      <c r="Z148" s="26">
        <v>0</v>
      </c>
      <c r="AA148" s="26">
        <v>0</v>
      </c>
      <c r="AB148" s="26">
        <v>0</v>
      </c>
      <c r="AC148" s="26">
        <v>0</v>
      </c>
      <c r="AD148" s="15">
        <f t="shared" si="36"/>
        <v>0</v>
      </c>
    </row>
    <row r="149" spans="2:30">
      <c r="B149" s="1">
        <v>45065</v>
      </c>
      <c r="C149" s="51">
        <f t="shared" ref="C149" si="58">AD149</f>
        <v>0</v>
      </c>
      <c r="D149" s="26">
        <v>0</v>
      </c>
      <c r="E149" s="26">
        <v>0</v>
      </c>
      <c r="F149" s="26">
        <v>0</v>
      </c>
      <c r="G149" s="26">
        <v>0</v>
      </c>
      <c r="H149" s="26">
        <v>0</v>
      </c>
      <c r="I149" s="26">
        <v>0</v>
      </c>
      <c r="J149" s="26">
        <v>0</v>
      </c>
      <c r="K149">
        <f>-VLOOKUP(B149,Resumo_HSF!$C$13:$AH$200,28,FALSE)</f>
        <v>0</v>
      </c>
      <c r="L149" s="26">
        <v>0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6">
        <v>0</v>
      </c>
      <c r="V149" s="26">
        <v>0</v>
      </c>
      <c r="W149" s="26">
        <v>0</v>
      </c>
      <c r="X149" s="26">
        <f>-IF(VLOOKUP($B149,Resumo_HSF!$C$13:$AB$1000,16,FALSE)=VLOOKUP($B148,Resumo_HSF!$C$13:$AB$1000,16,FALSE),0,(VLOOKUP($B149,Resumo_HSF!$C$13:$AB$1000,16,FALSE)-VLOOKUP($B148,Resumo_HSF!$C$13:$AB$1000,16,FALSE))*VLOOKUP($B149,Resumo_HSF!$C$13:$AB$1000,15,FALSE))</f>
        <v>0</v>
      </c>
      <c r="Y149" s="26">
        <v>0</v>
      </c>
      <c r="Z149" s="26">
        <v>0</v>
      </c>
      <c r="AA149" s="26">
        <v>0</v>
      </c>
      <c r="AB149" s="26">
        <v>0</v>
      </c>
      <c r="AC149" s="26">
        <v>0</v>
      </c>
      <c r="AD149" s="15">
        <f t="shared" si="36"/>
        <v>0</v>
      </c>
    </row>
    <row r="150" spans="2:30">
      <c r="B150" s="1">
        <v>45068</v>
      </c>
      <c r="C150" s="51">
        <f t="shared" ref="C150" si="59">AD150</f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>
        <f>-VLOOKUP(B150,Resumo_HSF!$C$13:$AH$200,28,FALSE)</f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6">
        <v>0</v>
      </c>
      <c r="V150" s="26">
        <v>0</v>
      </c>
      <c r="W150" s="26">
        <v>0</v>
      </c>
      <c r="X150" s="26">
        <f>-IF(VLOOKUP($B150,Resumo_HSF!$C$13:$AB$1000,16,FALSE)=VLOOKUP($B149,Resumo_HSF!$C$13:$AB$1000,16,FALSE),0,(VLOOKUP($B150,Resumo_HSF!$C$13:$AB$1000,16,FALSE)-VLOOKUP($B149,Resumo_HSF!$C$13:$AB$1000,16,FALSE))*VLOOKUP($B150,Resumo_HSF!$C$13:$AB$1000,15,FALSE))</f>
        <v>0</v>
      </c>
      <c r="Y150" s="26">
        <v>0</v>
      </c>
      <c r="Z150" s="26">
        <v>0</v>
      </c>
      <c r="AA150" s="26">
        <v>0</v>
      </c>
      <c r="AB150" s="26">
        <v>0</v>
      </c>
      <c r="AC150" s="26">
        <v>0</v>
      </c>
      <c r="AD150" s="15">
        <f t="shared" si="36"/>
        <v>0</v>
      </c>
    </row>
    <row r="151" spans="2:30">
      <c r="B151" s="1">
        <v>45069</v>
      </c>
      <c r="C151" s="51">
        <f t="shared" ref="C151" si="60">AD151</f>
        <v>0</v>
      </c>
      <c r="D151" s="26">
        <v>0</v>
      </c>
      <c r="E151" s="26">
        <v>0</v>
      </c>
      <c r="F151" s="26">
        <v>0</v>
      </c>
      <c r="G151" s="26">
        <v>0</v>
      </c>
      <c r="H151" s="26">
        <v>0</v>
      </c>
      <c r="I151" s="26">
        <v>0</v>
      </c>
      <c r="J151" s="26">
        <v>0</v>
      </c>
      <c r="K151">
        <f>-VLOOKUP(B151,Resumo_HSF!$C$13:$AH$200,28,FALSE)</f>
        <v>0</v>
      </c>
      <c r="L151" s="26">
        <v>0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6">
        <v>0</v>
      </c>
      <c r="V151" s="26">
        <v>0</v>
      </c>
      <c r="W151" s="26">
        <v>0</v>
      </c>
      <c r="X151" s="26">
        <f>-IF(VLOOKUP($B151,Resumo_HSF!$C$13:$AB$1000,16,FALSE)=VLOOKUP($B150,Resumo_HSF!$C$13:$AB$1000,16,FALSE),0,(VLOOKUP($B151,Resumo_HSF!$C$13:$AB$1000,16,FALSE)-VLOOKUP($B150,Resumo_HSF!$C$13:$AB$1000,16,FALSE))*VLOOKUP($B151,Resumo_HSF!$C$13:$AB$1000,15,FALSE))</f>
        <v>0</v>
      </c>
      <c r="Y151" s="26">
        <v>0</v>
      </c>
      <c r="Z151" s="26">
        <v>0</v>
      </c>
      <c r="AA151" s="26">
        <v>0</v>
      </c>
      <c r="AB151" s="26">
        <v>0</v>
      </c>
      <c r="AC151" s="26">
        <v>0</v>
      </c>
      <c r="AD151" s="15">
        <f t="shared" si="36"/>
        <v>0</v>
      </c>
    </row>
    <row r="152" spans="2:30">
      <c r="B152" s="1">
        <v>45070</v>
      </c>
      <c r="C152" s="51">
        <f t="shared" ref="C152" si="61">AD152</f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>
        <f>-VLOOKUP(B152,Resumo_HSF!$C$13:$AH$200,28,FALSE)</f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6">
        <v>0</v>
      </c>
      <c r="V152" s="26">
        <v>0</v>
      </c>
      <c r="W152" s="26">
        <v>0</v>
      </c>
      <c r="X152" s="26">
        <f>-IF(VLOOKUP($B152,Resumo_HSF!$C$13:$AB$1000,16,FALSE)=VLOOKUP($B151,Resumo_HSF!$C$13:$AB$1000,16,FALSE),0,(VLOOKUP($B152,Resumo_HSF!$C$13:$AB$1000,16,FALSE)-VLOOKUP($B151,Resumo_HSF!$C$13:$AB$1000,16,FALSE))*VLOOKUP($B152,Resumo_HSF!$C$13:$AB$1000,15,FALSE))</f>
        <v>0</v>
      </c>
      <c r="Y152" s="26">
        <v>0</v>
      </c>
      <c r="Z152" s="26">
        <v>0</v>
      </c>
      <c r="AA152" s="26">
        <v>0</v>
      </c>
      <c r="AB152" s="26">
        <v>0</v>
      </c>
      <c r="AC152" s="26">
        <v>0</v>
      </c>
      <c r="AD152" s="15">
        <f t="shared" si="36"/>
        <v>0</v>
      </c>
    </row>
    <row r="153" spans="2:30">
      <c r="B153" s="1">
        <v>45071</v>
      </c>
      <c r="C153" s="51">
        <f t="shared" ref="C153" si="62">AD153</f>
        <v>0</v>
      </c>
      <c r="D153" s="26">
        <v>0</v>
      </c>
      <c r="E153" s="26">
        <v>0</v>
      </c>
      <c r="F153" s="26">
        <v>0</v>
      </c>
      <c r="G153" s="26">
        <v>0</v>
      </c>
      <c r="H153" s="26">
        <v>0</v>
      </c>
      <c r="I153" s="26">
        <v>0</v>
      </c>
      <c r="J153" s="26">
        <v>0</v>
      </c>
      <c r="K153">
        <f>-VLOOKUP(B153,Resumo_HSF!$C$13:$AH$200,28,FALSE)</f>
        <v>0</v>
      </c>
      <c r="L153" s="26">
        <v>0</v>
      </c>
      <c r="M153" s="26">
        <v>0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6">
        <v>0</v>
      </c>
      <c r="V153" s="26">
        <v>0</v>
      </c>
      <c r="W153" s="26">
        <v>0</v>
      </c>
      <c r="X153" s="26">
        <f>-IF(VLOOKUP($B153,Resumo_HSF!$C$13:$AB$1000,16,FALSE)=VLOOKUP($B152,Resumo_HSF!$C$13:$AB$1000,16,FALSE),0,(VLOOKUP($B153,Resumo_HSF!$C$13:$AB$1000,16,FALSE)-VLOOKUP($B152,Resumo_HSF!$C$13:$AB$1000,16,FALSE))*VLOOKUP($B153,Resumo_HSF!$C$13:$AB$1000,15,FALSE))</f>
        <v>0</v>
      </c>
      <c r="Y153" s="26">
        <v>0</v>
      </c>
      <c r="Z153" s="26">
        <v>0</v>
      </c>
      <c r="AA153" s="26">
        <v>0</v>
      </c>
      <c r="AB153" s="26">
        <v>0</v>
      </c>
      <c r="AC153" s="26">
        <v>0</v>
      </c>
      <c r="AD153" s="15">
        <f t="shared" si="36"/>
        <v>0</v>
      </c>
    </row>
    <row r="154" spans="2:30">
      <c r="B154" s="1">
        <v>45072</v>
      </c>
      <c r="C154" s="51">
        <f t="shared" ref="C154" si="63">AD154</f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>
        <f>-VLOOKUP(B154,Resumo_HSF!$C$13:$AH$200,28,FALSE)</f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6">
        <v>0</v>
      </c>
      <c r="V154" s="26">
        <v>0</v>
      </c>
      <c r="W154" s="26">
        <v>0</v>
      </c>
      <c r="X154" s="26">
        <f>-IF(VLOOKUP($B154,Resumo_HSF!$C$13:$AB$1000,16,FALSE)=VLOOKUP($B153,Resumo_HSF!$C$13:$AB$1000,16,FALSE),0,(VLOOKUP($B154,Resumo_HSF!$C$13:$AB$1000,16,FALSE)-VLOOKUP($B153,Resumo_HSF!$C$13:$AB$1000,16,FALSE))*VLOOKUP($B154,Resumo_HSF!$C$13:$AB$1000,15,FALSE))</f>
        <v>0</v>
      </c>
      <c r="Y154" s="26">
        <v>0</v>
      </c>
      <c r="Z154" s="26">
        <v>0</v>
      </c>
      <c r="AA154" s="26">
        <v>0</v>
      </c>
      <c r="AB154" s="26">
        <v>0</v>
      </c>
      <c r="AC154" s="26">
        <v>0</v>
      </c>
      <c r="AD154" s="15">
        <f t="shared" ref="AD154:AD155" si="64">SUM(D154:AB154)</f>
        <v>0</v>
      </c>
    </row>
    <row r="155" spans="2:30">
      <c r="B155" s="1">
        <v>45075</v>
      </c>
      <c r="C155" s="51">
        <f t="shared" ref="C155" si="65">AD155</f>
        <v>1.9588456687813505E-6</v>
      </c>
      <c r="D155" s="26">
        <v>0</v>
      </c>
      <c r="E155" s="26">
        <v>0</v>
      </c>
      <c r="F155" s="26">
        <v>0</v>
      </c>
      <c r="G155" s="26">
        <v>0</v>
      </c>
      <c r="H155" s="26">
        <v>0</v>
      </c>
      <c r="I155" s="26">
        <v>29.35</v>
      </c>
      <c r="J155" s="26">
        <v>0</v>
      </c>
      <c r="K155">
        <f>-VLOOKUP(B155,Resumo_HSF!$C$13:$AH$200,28,FALSE)</f>
        <v>0</v>
      </c>
      <c r="L155" s="26">
        <v>0</v>
      </c>
      <c r="M155" s="26">
        <v>0</v>
      </c>
      <c r="N155" s="2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6">
        <v>0</v>
      </c>
      <c r="V155" s="26">
        <v>0</v>
      </c>
      <c r="W155" s="26">
        <v>0</v>
      </c>
      <c r="X155" s="26">
        <f>-IF(VLOOKUP($B155,Resumo_HSF!$C$13:$AB$1000,16,FALSE)=VLOOKUP($B154,Resumo_HSF!$C$13:$AB$1000,16,FALSE),0,(VLOOKUP($B155,Resumo_HSF!$C$13:$AB$1000,16,FALSE)-VLOOKUP($B154,Resumo_HSF!$C$13:$AB$1000,16,FALSE))*VLOOKUP($B155,Resumo_HSF!$C$13:$AB$1000,15,FALSE))</f>
        <v>-29.349998041154333</v>
      </c>
      <c r="Y155" s="26">
        <v>0</v>
      </c>
      <c r="Z155" s="26">
        <v>0</v>
      </c>
      <c r="AA155" s="26">
        <v>0</v>
      </c>
      <c r="AB155" s="26">
        <v>0</v>
      </c>
      <c r="AC155" s="26">
        <v>0</v>
      </c>
      <c r="AD155" s="15">
        <f t="shared" si="64"/>
        <v>1.9588456687813505E-6</v>
      </c>
    </row>
    <row r="156" spans="2:30">
      <c r="B156" s="1">
        <v>45076</v>
      </c>
      <c r="C156" s="51">
        <f t="shared" ref="C156" si="66">AD156</f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>
        <f>-VLOOKUP(B156,Resumo_HSF!$C$13:$AH$200,28,FALSE)</f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6">
        <v>0</v>
      </c>
      <c r="T156" s="26">
        <v>0</v>
      </c>
      <c r="U156" s="26">
        <v>0</v>
      </c>
      <c r="V156" s="26">
        <v>0</v>
      </c>
      <c r="W156" s="26">
        <v>0</v>
      </c>
      <c r="X156" s="26">
        <f>-IF(VLOOKUP($B156,Resumo_HSF!$C$13:$AB$1000,16,FALSE)=VLOOKUP($B155,Resumo_HSF!$C$13:$AB$1000,16,FALSE),0,(VLOOKUP($B156,Resumo_HSF!$C$13:$AB$1000,16,FALSE)-VLOOKUP($B155,Resumo_HSF!$C$13:$AB$1000,16,FALSE))*VLOOKUP($B156,Resumo_HSF!$C$13:$AB$1000,15,FALSE))</f>
        <v>0</v>
      </c>
      <c r="Y156" s="26">
        <v>0</v>
      </c>
      <c r="Z156" s="26">
        <v>0</v>
      </c>
      <c r="AA156" s="26">
        <v>0</v>
      </c>
      <c r="AB156" s="26">
        <v>0</v>
      </c>
      <c r="AC156" s="26">
        <v>0</v>
      </c>
      <c r="AD156" s="15">
        <f t="shared" ref="AD156" si="67">SUM(D156:AB156)</f>
        <v>0</v>
      </c>
    </row>
    <row r="157" spans="2:30">
      <c r="B157" s="1">
        <v>45077</v>
      </c>
      <c r="C157" s="51">
        <f t="shared" ref="C157" si="68">AD157</f>
        <v>0</v>
      </c>
      <c r="D157" s="26">
        <v>0</v>
      </c>
      <c r="E157" s="26">
        <v>0</v>
      </c>
      <c r="F157" s="26">
        <v>0</v>
      </c>
      <c r="G157" s="26">
        <v>0</v>
      </c>
      <c r="H157" s="26">
        <v>0</v>
      </c>
      <c r="I157" s="26">
        <v>0</v>
      </c>
      <c r="J157" s="26">
        <v>0</v>
      </c>
      <c r="K157">
        <f>-VLOOKUP(B157,Resumo_HSF!$C$13:$AH$200,28,FALSE)</f>
        <v>-50000</v>
      </c>
      <c r="L157" s="26">
        <v>0</v>
      </c>
      <c r="M157" s="26">
        <v>0</v>
      </c>
      <c r="N157" s="26">
        <v>0</v>
      </c>
      <c r="O157" s="26">
        <v>0</v>
      </c>
      <c r="P157" s="26">
        <v>0</v>
      </c>
      <c r="Q157" s="26">
        <v>0</v>
      </c>
      <c r="R157" s="26">
        <v>50000</v>
      </c>
      <c r="S157" s="26">
        <v>0</v>
      </c>
      <c r="T157" s="26">
        <v>0</v>
      </c>
      <c r="U157" s="26">
        <v>0</v>
      </c>
      <c r="V157" s="26">
        <v>0</v>
      </c>
      <c r="W157" s="26">
        <v>0</v>
      </c>
      <c r="X157" s="26">
        <f>-IF(VLOOKUP($B157,Resumo_HSF!$C$13:$AB$1000,16,FALSE)=VLOOKUP($B156,Resumo_HSF!$C$13:$AB$1000,16,FALSE),0,(VLOOKUP($B157,Resumo_HSF!$C$13:$AB$1000,16,FALSE)-VLOOKUP($B156,Resumo_HSF!$C$13:$AB$1000,16,FALSE))*VLOOKUP($B157,Resumo_HSF!$C$13:$AB$1000,15,FALSE))</f>
        <v>0</v>
      </c>
      <c r="Y157" s="26">
        <v>0</v>
      </c>
      <c r="Z157" s="26">
        <v>0</v>
      </c>
      <c r="AA157" s="26">
        <v>0</v>
      </c>
      <c r="AB157" s="26">
        <v>0</v>
      </c>
      <c r="AC157" s="26">
        <v>0</v>
      </c>
      <c r="AD157" s="15">
        <f>SUM(D157:AB157)</f>
        <v>0</v>
      </c>
    </row>
    <row r="158" spans="2:30">
      <c r="B158" s="1">
        <v>45078</v>
      </c>
      <c r="C158" s="51">
        <f t="shared" ref="C158" si="69">AD158</f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>
        <f>-VLOOKUP(B158,Resumo_HSF!$C$13:$AH$200,28,FALSE)</f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6">
        <v>0</v>
      </c>
      <c r="T158" s="26">
        <v>0</v>
      </c>
      <c r="U158" s="26">
        <v>0</v>
      </c>
      <c r="V158" s="26">
        <v>0</v>
      </c>
      <c r="W158" s="26">
        <v>0</v>
      </c>
      <c r="X158" s="26">
        <f>-IF(VLOOKUP($B158,Resumo_HSF!$C$13:$AB$1000,16,FALSE)=VLOOKUP($B157,Resumo_HSF!$C$13:$AB$1000,16,FALSE),0,(VLOOKUP($B158,Resumo_HSF!$C$13:$AB$1000,16,FALSE)-VLOOKUP($B157,Resumo_HSF!$C$13:$AB$1000,16,FALSE))*VLOOKUP($B158,Resumo_HSF!$C$13:$AB$1000,15,FALSE))</f>
        <v>0</v>
      </c>
      <c r="Y158" s="26">
        <v>0</v>
      </c>
      <c r="Z158" s="26">
        <v>0</v>
      </c>
      <c r="AA158" s="26">
        <v>0</v>
      </c>
      <c r="AB158" s="26">
        <v>0</v>
      </c>
      <c r="AC158" s="26">
        <v>0</v>
      </c>
      <c r="AD158" s="15">
        <f>SUM(D158:AB158)</f>
        <v>0</v>
      </c>
    </row>
    <row r="159" spans="2:30">
      <c r="B159" s="1">
        <v>45079</v>
      </c>
      <c r="C159" s="51">
        <f t="shared" ref="C159" si="70">AD159</f>
        <v>0</v>
      </c>
      <c r="D159" s="26">
        <v>0</v>
      </c>
      <c r="E159" s="26">
        <v>0</v>
      </c>
      <c r="F159" s="26">
        <v>0</v>
      </c>
      <c r="G159" s="26">
        <v>0</v>
      </c>
      <c r="H159" s="26">
        <v>0</v>
      </c>
      <c r="I159" s="26">
        <v>0</v>
      </c>
      <c r="J159" s="26">
        <v>0</v>
      </c>
      <c r="K159">
        <f>-VLOOKUP(B159,Resumo_HSF!$C$13:$AH$200,28,FALSE)</f>
        <v>0</v>
      </c>
      <c r="L159" s="26">
        <v>0</v>
      </c>
      <c r="M159" s="26">
        <v>0</v>
      </c>
      <c r="N159" s="26">
        <v>0</v>
      </c>
      <c r="O159" s="26">
        <v>0</v>
      </c>
      <c r="P159" s="26">
        <v>0</v>
      </c>
      <c r="Q159" s="26">
        <v>0</v>
      </c>
      <c r="R159" s="26">
        <v>0</v>
      </c>
      <c r="S159" s="26">
        <v>0</v>
      </c>
      <c r="T159" s="26">
        <v>0</v>
      </c>
      <c r="U159" s="26">
        <v>0</v>
      </c>
      <c r="V159" s="26">
        <v>0</v>
      </c>
      <c r="W159" s="26">
        <v>0</v>
      </c>
      <c r="X159" s="26">
        <f>-IF(VLOOKUP($B159,Resumo_HSF!$C$13:$AB$1000,16,FALSE)=VLOOKUP($B158,Resumo_HSF!$C$13:$AB$1000,16,FALSE),0,(VLOOKUP($B159,Resumo_HSF!$C$13:$AB$1000,16,FALSE)-VLOOKUP($B158,Resumo_HSF!$C$13:$AB$1000,16,FALSE))*VLOOKUP($B159,Resumo_HSF!$C$13:$AB$1000,15,FALSE))</f>
        <v>0</v>
      </c>
      <c r="Y159" s="26">
        <v>0</v>
      </c>
      <c r="Z159" s="26">
        <v>0</v>
      </c>
      <c r="AA159" s="26">
        <v>0</v>
      </c>
      <c r="AB159" s="26">
        <v>0</v>
      </c>
      <c r="AC159" s="26">
        <v>0</v>
      </c>
      <c r="AD159" s="15">
        <f>SUM(D159:AB159)</f>
        <v>0</v>
      </c>
    </row>
    <row r="160" spans="2:30">
      <c r="B160" s="1">
        <v>45082</v>
      </c>
      <c r="C160" s="51">
        <f t="shared" ref="C160:C161" si="71">AD160</f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>
        <f>-VLOOKUP(B160,Resumo_HSF!$C$13:$AH$200,28,FALSE)</f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6">
        <v>0</v>
      </c>
      <c r="T160" s="26">
        <v>0</v>
      </c>
      <c r="U160" s="26">
        <v>0</v>
      </c>
      <c r="V160" s="26">
        <v>0</v>
      </c>
      <c r="W160" s="26">
        <v>0</v>
      </c>
      <c r="X160" s="26">
        <f>-IF(VLOOKUP($B160,Resumo_HSF!$C$13:$AB$1000,16,FALSE)=VLOOKUP($B159,Resumo_HSF!$C$13:$AB$1000,16,FALSE),0,(VLOOKUP($B160,Resumo_HSF!$C$13:$AB$1000,16,FALSE)-VLOOKUP($B159,Resumo_HSF!$C$13:$AB$1000,16,FALSE))*VLOOKUP($B160,Resumo_HSF!$C$13:$AB$1000,15,FALSE))</f>
        <v>0</v>
      </c>
      <c r="Y160" s="26">
        <v>0</v>
      </c>
      <c r="Z160" s="26">
        <v>0</v>
      </c>
      <c r="AA160" s="26">
        <v>0</v>
      </c>
      <c r="AB160" s="26">
        <v>0</v>
      </c>
      <c r="AC160" s="26">
        <v>0</v>
      </c>
      <c r="AD160" s="15">
        <f t="shared" ref="AD160:AD161" si="72">SUM(D160:AB160)</f>
        <v>0</v>
      </c>
    </row>
    <row r="161" spans="2:30">
      <c r="B161" s="1">
        <v>45083</v>
      </c>
      <c r="C161" s="51">
        <f t="shared" si="71"/>
        <v>-1.5010555216576904E-6</v>
      </c>
      <c r="D161" s="26">
        <v>0</v>
      </c>
      <c r="E161" s="26">
        <v>0</v>
      </c>
      <c r="F161" s="26">
        <v>0</v>
      </c>
      <c r="G161" s="26">
        <v>0</v>
      </c>
      <c r="H161" s="26">
        <v>0</v>
      </c>
      <c r="I161" s="26">
        <v>0</v>
      </c>
      <c r="J161" s="26">
        <v>0</v>
      </c>
      <c r="K161">
        <f>-VLOOKUP(B161,Resumo_HSF!$C$13:$AH$200,28,FALSE)</f>
        <v>0</v>
      </c>
      <c r="L161" s="26">
        <v>0</v>
      </c>
      <c r="M161" s="26">
        <v>0</v>
      </c>
      <c r="N161" s="26">
        <v>0</v>
      </c>
      <c r="O161" s="26">
        <v>0</v>
      </c>
      <c r="P161" s="26">
        <v>0</v>
      </c>
      <c r="Q161" s="26">
        <v>0</v>
      </c>
      <c r="R161" s="26">
        <v>0</v>
      </c>
      <c r="S161" s="26">
        <v>0</v>
      </c>
      <c r="T161" s="26">
        <v>0</v>
      </c>
      <c r="U161" s="26">
        <v>10000</v>
      </c>
      <c r="V161" s="26">
        <v>0</v>
      </c>
      <c r="W161" s="26">
        <v>0</v>
      </c>
      <c r="X161" s="26">
        <f>-IF(VLOOKUP($B161,Resumo_HSF!$C$13:$AB$1000,16,FALSE)=VLOOKUP($B160,Resumo_HSF!$C$13:$AB$1000,16,FALSE),0,(VLOOKUP($B161,Resumo_HSF!$C$13:$AB$1000,16,FALSE)-VLOOKUP($B160,Resumo_HSF!$C$13:$AB$1000,16,FALSE))*VLOOKUP($B161,Resumo_HSF!$C$13:$AB$1000,15,FALSE))</f>
        <v>-10000.000001501056</v>
      </c>
      <c r="Y161" s="26">
        <v>0</v>
      </c>
      <c r="Z161" s="26">
        <v>0</v>
      </c>
      <c r="AA161" s="26">
        <v>0</v>
      </c>
      <c r="AB161" s="26">
        <v>0</v>
      </c>
      <c r="AC161" s="26">
        <v>0</v>
      </c>
      <c r="AD161" s="15">
        <f t="shared" si="72"/>
        <v>-1.5010555216576904E-6</v>
      </c>
    </row>
    <row r="162" spans="2:30">
      <c r="B162" s="1">
        <v>45084</v>
      </c>
      <c r="C162" s="51">
        <f t="shared" ref="C162:C163" si="73">AD162</f>
        <v>-1.3547542039304972E-6</v>
      </c>
      <c r="D162" s="26">
        <v>-9799.39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>
        <f>-VLOOKUP(B162,Resumo_HSF!$C$13:$AH$200,28,FALSE)</f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-145</v>
      </c>
      <c r="Q162" s="26">
        <v>0</v>
      </c>
      <c r="R162" s="26">
        <v>0</v>
      </c>
      <c r="S162" s="26">
        <v>0</v>
      </c>
      <c r="T162" s="26">
        <v>0</v>
      </c>
      <c r="U162" s="26">
        <v>0</v>
      </c>
      <c r="V162" s="26">
        <v>0</v>
      </c>
      <c r="W162" s="26">
        <v>0</v>
      </c>
      <c r="X162" s="26">
        <f>-IF(VLOOKUP($B162,Resumo_HSF!$C$13:$AB$1000,16,FALSE)=VLOOKUP($B161,Resumo_HSF!$C$13:$AB$1000,16,FALSE),0,(VLOOKUP($B162,Resumo_HSF!$C$13:$AB$1000,16,FALSE)-VLOOKUP($B161,Resumo_HSF!$C$13:$AB$1000,16,FALSE))*VLOOKUP($B162,Resumo_HSF!$C$13:$AB$1000,15,FALSE))</f>
        <v>9944.3899986452452</v>
      </c>
      <c r="Y162" s="26">
        <v>0</v>
      </c>
      <c r="Z162" s="26">
        <v>0</v>
      </c>
      <c r="AA162" s="26">
        <v>0</v>
      </c>
      <c r="AB162" s="26">
        <v>0</v>
      </c>
      <c r="AC162" s="26">
        <v>0</v>
      </c>
      <c r="AD162" s="15">
        <f t="shared" ref="AD162:AD163" si="74">SUM(D162:AB162)</f>
        <v>-1.3547542039304972E-6</v>
      </c>
    </row>
    <row r="163" spans="2:30">
      <c r="B163" s="1">
        <v>45086</v>
      </c>
      <c r="C163" s="51">
        <f t="shared" si="73"/>
        <v>0</v>
      </c>
      <c r="D163" s="26">
        <v>0</v>
      </c>
      <c r="E163" s="26">
        <v>0</v>
      </c>
      <c r="F163" s="26">
        <v>0</v>
      </c>
      <c r="G163" s="26">
        <v>0</v>
      </c>
      <c r="H163" s="26">
        <v>0</v>
      </c>
      <c r="I163" s="26">
        <v>0</v>
      </c>
      <c r="J163" s="26">
        <v>0</v>
      </c>
      <c r="K163">
        <f>-VLOOKUP(B163,Resumo_HSF!$C$13:$AH$200,28,FALSE)</f>
        <v>0</v>
      </c>
      <c r="L163" s="26">
        <v>0</v>
      </c>
      <c r="M163" s="26">
        <v>0</v>
      </c>
      <c r="N163" s="26">
        <v>0</v>
      </c>
      <c r="O163" s="26">
        <v>0</v>
      </c>
      <c r="P163" s="26">
        <v>0</v>
      </c>
      <c r="Q163" s="26">
        <v>0</v>
      </c>
      <c r="R163" s="26">
        <v>0</v>
      </c>
      <c r="S163" s="26">
        <v>0</v>
      </c>
      <c r="T163" s="26">
        <v>0</v>
      </c>
      <c r="U163" s="26">
        <v>0</v>
      </c>
      <c r="V163" s="26">
        <v>0</v>
      </c>
      <c r="W163" s="26">
        <v>0</v>
      </c>
      <c r="X163" s="26">
        <f>-IF(VLOOKUP($B163,Resumo_HSF!$C$13:$AB$1000,16,FALSE)=VLOOKUP($B162,Resumo_HSF!$C$13:$AB$1000,16,FALSE),0,(VLOOKUP($B163,Resumo_HSF!$C$13:$AB$1000,16,FALSE)-VLOOKUP($B162,Resumo_HSF!$C$13:$AB$1000,16,FALSE))*VLOOKUP($B163,Resumo_HSF!$C$13:$AB$1000,15,FALSE))</f>
        <v>0</v>
      </c>
      <c r="Y163" s="26">
        <v>0</v>
      </c>
      <c r="Z163" s="26">
        <v>0</v>
      </c>
      <c r="AA163" s="26">
        <v>0</v>
      </c>
      <c r="AB163" s="26">
        <v>0</v>
      </c>
      <c r="AC163" s="26">
        <v>0</v>
      </c>
      <c r="AD163" s="15">
        <f t="shared" si="74"/>
        <v>0</v>
      </c>
    </row>
    <row r="164" spans="2:30">
      <c r="B164" s="1">
        <v>45089</v>
      </c>
      <c r="C164" s="51">
        <f t="shared" ref="C164:C165" si="75">AD164</f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>
        <f>-VLOOKUP(B164,Resumo_HSF!$C$13:$AH$200,28,FALSE)</f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6">
        <v>0</v>
      </c>
      <c r="T164" s="26">
        <v>0</v>
      </c>
      <c r="U164" s="26">
        <v>0</v>
      </c>
      <c r="V164" s="26">
        <v>0</v>
      </c>
      <c r="W164" s="26">
        <v>0</v>
      </c>
      <c r="X164" s="26">
        <f>-IF(VLOOKUP($B164,Resumo_HSF!$C$13:$AB$1000,16,FALSE)=VLOOKUP($B163,Resumo_HSF!$C$13:$AB$1000,16,FALSE),0,(VLOOKUP($B164,Resumo_HSF!$C$13:$AB$1000,16,FALSE)-VLOOKUP($B163,Resumo_HSF!$C$13:$AB$1000,16,FALSE))*VLOOKUP($B164,Resumo_HSF!$C$13:$AB$1000,15,FALSE))</f>
        <v>0</v>
      </c>
      <c r="Y164" s="26">
        <v>0</v>
      </c>
      <c r="Z164" s="26">
        <v>0</v>
      </c>
      <c r="AA164" s="26">
        <v>0</v>
      </c>
      <c r="AB164" s="26">
        <v>0</v>
      </c>
      <c r="AC164" s="26">
        <v>0</v>
      </c>
      <c r="AD164" s="15">
        <f t="shared" ref="AD164:AD165" si="76">SUM(D164:AB164)</f>
        <v>0</v>
      </c>
    </row>
    <row r="165" spans="2:30">
      <c r="B165" s="1">
        <v>45090</v>
      </c>
      <c r="C165" s="51">
        <f t="shared" si="75"/>
        <v>0</v>
      </c>
      <c r="D165" s="26">
        <v>0</v>
      </c>
      <c r="E165" s="26">
        <v>0</v>
      </c>
      <c r="F165" s="26">
        <v>0</v>
      </c>
      <c r="G165" s="26">
        <v>0</v>
      </c>
      <c r="H165" s="26">
        <v>0</v>
      </c>
      <c r="I165" s="26">
        <v>0</v>
      </c>
      <c r="J165" s="26">
        <v>0</v>
      </c>
      <c r="K165">
        <f>-VLOOKUP(B165,Resumo_HSF!$C$13:$AH$200,28,FALSE)</f>
        <v>0</v>
      </c>
      <c r="L165" s="26">
        <v>0</v>
      </c>
      <c r="M165" s="26">
        <v>0</v>
      </c>
      <c r="N165" s="26">
        <v>0</v>
      </c>
      <c r="O165" s="26">
        <v>0</v>
      </c>
      <c r="P165" s="26">
        <v>0</v>
      </c>
      <c r="Q165" s="26">
        <v>0</v>
      </c>
      <c r="R165" s="26">
        <v>0</v>
      </c>
      <c r="S165" s="26">
        <v>0</v>
      </c>
      <c r="T165" s="26">
        <v>0</v>
      </c>
      <c r="U165" s="26">
        <v>0</v>
      </c>
      <c r="V165" s="26">
        <v>0</v>
      </c>
      <c r="W165" s="26">
        <v>0</v>
      </c>
      <c r="X165" s="26">
        <f>-IF(VLOOKUP($B165,Resumo_HSF!$C$13:$AB$1000,16,FALSE)=VLOOKUP($B164,Resumo_HSF!$C$13:$AB$1000,16,FALSE),0,(VLOOKUP($B165,Resumo_HSF!$C$13:$AB$1000,16,FALSE)-VLOOKUP($B164,Resumo_HSF!$C$13:$AB$1000,16,FALSE))*VLOOKUP($B165,Resumo_HSF!$C$13:$AB$1000,15,FALSE))</f>
        <v>0</v>
      </c>
      <c r="Y165" s="26">
        <v>0</v>
      </c>
      <c r="Z165" s="26">
        <v>0</v>
      </c>
      <c r="AA165" s="26">
        <v>0</v>
      </c>
      <c r="AB165" s="26">
        <v>0</v>
      </c>
      <c r="AC165" s="26">
        <v>0</v>
      </c>
      <c r="AD165" s="15">
        <f t="shared" si="76"/>
        <v>0</v>
      </c>
    </row>
    <row r="166" spans="2:30">
      <c r="B166" s="1">
        <v>45091</v>
      </c>
      <c r="C166" s="51">
        <f t="shared" ref="C166" si="77">AD166</f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>
        <f>-VLOOKUP(B166,Resumo_HSF!$C$13:$AH$200,28,FALSE)</f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6">
        <v>0</v>
      </c>
      <c r="T166" s="26">
        <v>0</v>
      </c>
      <c r="U166" s="26">
        <v>0</v>
      </c>
      <c r="V166" s="26">
        <v>0</v>
      </c>
      <c r="W166" s="26">
        <v>0</v>
      </c>
      <c r="X166" s="26">
        <f>-IF(VLOOKUP($B166,Resumo_HSF!$C$13:$AB$1000,16,FALSE)=VLOOKUP($B165,Resumo_HSF!$C$13:$AB$1000,16,FALSE),0,(VLOOKUP($B166,Resumo_HSF!$C$13:$AB$1000,16,FALSE)-VLOOKUP($B165,Resumo_HSF!$C$13:$AB$1000,16,FALSE))*VLOOKUP($B166,Resumo_HSF!$C$13:$AB$1000,15,FALSE))</f>
        <v>0</v>
      </c>
      <c r="Y166" s="26">
        <v>0</v>
      </c>
      <c r="Z166" s="26">
        <v>0</v>
      </c>
      <c r="AA166" s="26">
        <v>0</v>
      </c>
      <c r="AB166" s="26">
        <v>0</v>
      </c>
      <c r="AC166" s="26">
        <v>0</v>
      </c>
      <c r="AD166" s="15">
        <f t="shared" ref="AD166" si="78">SUM(D166:AB166)</f>
        <v>0</v>
      </c>
    </row>
    <row r="167" spans="2:30">
      <c r="B167" s="1">
        <v>45092</v>
      </c>
      <c r="C167" s="51">
        <f t="shared" ref="C167" si="79">AD167</f>
        <v>0</v>
      </c>
      <c r="D167" s="26">
        <v>0</v>
      </c>
      <c r="E167" s="26">
        <v>0</v>
      </c>
      <c r="F167" s="26">
        <v>0</v>
      </c>
      <c r="G167" s="26">
        <v>0</v>
      </c>
      <c r="H167" s="26">
        <v>0</v>
      </c>
      <c r="I167" s="26">
        <v>0</v>
      </c>
      <c r="J167" s="26">
        <v>0</v>
      </c>
      <c r="K167">
        <f>-VLOOKUP(B167,Resumo_HSF!$C$13:$AH$200,28,FALSE)</f>
        <v>0</v>
      </c>
      <c r="L167" s="26">
        <v>0</v>
      </c>
      <c r="M167" s="26">
        <v>0</v>
      </c>
      <c r="N167" s="26">
        <v>0</v>
      </c>
      <c r="O167" s="26">
        <v>0</v>
      </c>
      <c r="P167" s="26">
        <v>0</v>
      </c>
      <c r="Q167" s="26">
        <v>0</v>
      </c>
      <c r="R167" s="26">
        <v>0</v>
      </c>
      <c r="S167" s="26">
        <v>0</v>
      </c>
      <c r="T167" s="26">
        <v>0</v>
      </c>
      <c r="U167" s="26">
        <v>0</v>
      </c>
      <c r="V167" s="26">
        <v>0</v>
      </c>
      <c r="W167" s="26">
        <v>0</v>
      </c>
      <c r="X167" s="26">
        <f>-IF(VLOOKUP($B167,Resumo_HSF!$C$13:$AB$1000,16,FALSE)=VLOOKUP($B166,Resumo_HSF!$C$13:$AB$1000,16,FALSE),0,(VLOOKUP($B167,Resumo_HSF!$C$13:$AB$1000,16,FALSE)-VLOOKUP($B166,Resumo_HSF!$C$13:$AB$1000,16,FALSE))*VLOOKUP($B167,Resumo_HSF!$C$13:$AB$1000,15,FALSE))</f>
        <v>0</v>
      </c>
      <c r="Y167" s="26">
        <v>0</v>
      </c>
      <c r="Z167" s="26">
        <v>0</v>
      </c>
      <c r="AA167" s="26">
        <v>0</v>
      </c>
      <c r="AB167" s="26">
        <v>0</v>
      </c>
      <c r="AC167" s="26">
        <v>0</v>
      </c>
      <c r="AD167" s="15">
        <f t="shared" ref="AD167" si="80">SUM(D167:AB167)</f>
        <v>0</v>
      </c>
    </row>
    <row r="168" spans="2:30">
      <c r="B168" s="1">
        <v>45093</v>
      </c>
      <c r="C168" s="51">
        <f t="shared" ref="C168" si="81">AD168</f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>
        <f>-VLOOKUP(B168,Resumo_HSF!$C$13:$AH$200,28,FALSE)</f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6">
        <v>0</v>
      </c>
      <c r="T168" s="26">
        <v>0</v>
      </c>
      <c r="U168" s="26">
        <v>0</v>
      </c>
      <c r="V168" s="26">
        <v>0</v>
      </c>
      <c r="W168" s="26">
        <v>0</v>
      </c>
      <c r="X168" s="26">
        <f>-IF(VLOOKUP($B168,Resumo_HSF!$C$13:$AB$1000,16,FALSE)=VLOOKUP($B167,Resumo_HSF!$C$13:$AB$1000,16,FALSE),0,(VLOOKUP($B168,Resumo_HSF!$C$13:$AB$1000,16,FALSE)-VLOOKUP($B167,Resumo_HSF!$C$13:$AB$1000,16,FALSE))*VLOOKUP($B168,Resumo_HSF!$C$13:$AB$1000,15,FALSE))</f>
        <v>0</v>
      </c>
      <c r="Y168" s="26">
        <v>0</v>
      </c>
      <c r="Z168" s="26">
        <v>0</v>
      </c>
      <c r="AA168" s="26">
        <v>0</v>
      </c>
      <c r="AB168" s="26">
        <v>0</v>
      </c>
      <c r="AC168" s="26">
        <v>0</v>
      </c>
      <c r="AD168" s="15">
        <f t="shared" ref="AD168" si="82">SUM(D168:AB168)</f>
        <v>0</v>
      </c>
    </row>
    <row r="169" spans="2:30">
      <c r="B169" s="1">
        <v>45096</v>
      </c>
      <c r="C169" s="51">
        <f t="shared" ref="C169" si="83">AD169</f>
        <v>0</v>
      </c>
      <c r="D169" s="26">
        <v>0</v>
      </c>
      <c r="E169" s="26">
        <v>0</v>
      </c>
      <c r="F169" s="26">
        <v>0</v>
      </c>
      <c r="G169" s="26">
        <v>0</v>
      </c>
      <c r="H169" s="26">
        <v>0</v>
      </c>
      <c r="I169" s="26">
        <v>0</v>
      </c>
      <c r="J169" s="26">
        <v>0</v>
      </c>
      <c r="K169">
        <f>-VLOOKUP(B169,Resumo_HSF!$C$13:$AH$200,28,FALSE)</f>
        <v>0</v>
      </c>
      <c r="L169" s="26">
        <v>0</v>
      </c>
      <c r="M169" s="26">
        <v>0</v>
      </c>
      <c r="N169" s="26">
        <v>0</v>
      </c>
      <c r="O169" s="26">
        <v>0</v>
      </c>
      <c r="P169" s="26">
        <v>0</v>
      </c>
      <c r="Q169" s="26">
        <v>0</v>
      </c>
      <c r="R169" s="26">
        <v>0</v>
      </c>
      <c r="S169" s="26">
        <v>0</v>
      </c>
      <c r="T169" s="26">
        <v>0</v>
      </c>
      <c r="U169" s="26">
        <v>0</v>
      </c>
      <c r="V169" s="26">
        <v>0</v>
      </c>
      <c r="W169" s="26">
        <v>0</v>
      </c>
      <c r="X169" s="26">
        <f>-IF(VLOOKUP($B169,Resumo_HSF!$C$13:$AB$1000,16,FALSE)=VLOOKUP($B168,Resumo_HSF!$C$13:$AB$1000,16,FALSE),0,(VLOOKUP($B169,Resumo_HSF!$C$13:$AB$1000,16,FALSE)-VLOOKUP($B168,Resumo_HSF!$C$13:$AB$1000,16,FALSE))*VLOOKUP($B169,Resumo_HSF!$C$13:$AB$1000,15,FALSE))</f>
        <v>0</v>
      </c>
      <c r="Y169" s="26">
        <v>0</v>
      </c>
      <c r="Z169" s="26">
        <v>0</v>
      </c>
      <c r="AA169" s="26">
        <v>0</v>
      </c>
      <c r="AB169" s="26">
        <v>0</v>
      </c>
      <c r="AC169" s="26">
        <v>0</v>
      </c>
      <c r="AD169" s="15">
        <f t="shared" ref="AD169" si="84">SUM(D169:AB169)</f>
        <v>0</v>
      </c>
    </row>
    <row r="170" spans="2:30">
      <c r="B170" s="1">
        <v>45097</v>
      </c>
      <c r="C170" s="51">
        <f t="shared" ref="C170" si="85">AD170</f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0</v>
      </c>
      <c r="I170" s="26">
        <v>0</v>
      </c>
      <c r="J170" s="26">
        <v>0</v>
      </c>
      <c r="K170">
        <f>-VLOOKUP(B170,Resumo_HSF!$C$13:$AH$200,28,FALSE)</f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6">
        <v>0</v>
      </c>
      <c r="T170" s="26">
        <v>0</v>
      </c>
      <c r="U170" s="26">
        <v>0</v>
      </c>
      <c r="V170" s="26">
        <v>0</v>
      </c>
      <c r="W170" s="26">
        <v>0</v>
      </c>
      <c r="X170" s="26">
        <f>-IF(VLOOKUP($B170,Resumo_HSF!$C$13:$AB$1000,16,FALSE)=VLOOKUP($B169,Resumo_HSF!$C$13:$AB$1000,16,FALSE),0,(VLOOKUP($B170,Resumo_HSF!$C$13:$AB$1000,16,FALSE)-VLOOKUP($B169,Resumo_HSF!$C$13:$AB$1000,16,FALSE))*VLOOKUP($B170,Resumo_HSF!$C$13:$AB$1000,15,FALSE))</f>
        <v>0</v>
      </c>
      <c r="Y170" s="26">
        <v>0</v>
      </c>
      <c r="Z170" s="26">
        <v>0</v>
      </c>
      <c r="AA170" s="26">
        <v>0</v>
      </c>
      <c r="AB170" s="26">
        <v>0</v>
      </c>
      <c r="AC170" s="26">
        <v>0</v>
      </c>
      <c r="AD170" s="15">
        <f t="shared" ref="AD170" si="86">SUM(D170:AB170)</f>
        <v>0</v>
      </c>
    </row>
    <row r="171" spans="2:30">
      <c r="B171" s="1">
        <v>45098</v>
      </c>
      <c r="C171" s="51">
        <f t="shared" ref="C171" si="87">AD171</f>
        <v>0</v>
      </c>
      <c r="D171" s="26">
        <v>0</v>
      </c>
      <c r="E171" s="26">
        <v>0</v>
      </c>
      <c r="F171" s="26">
        <v>0</v>
      </c>
      <c r="G171" s="26">
        <v>0</v>
      </c>
      <c r="H171" s="26">
        <v>0</v>
      </c>
      <c r="I171" s="26">
        <v>0</v>
      </c>
      <c r="J171" s="26">
        <v>0</v>
      </c>
      <c r="K171">
        <f>-VLOOKUP(B171,Resumo_HSF!$C$13:$AH$200,28,FALSE)</f>
        <v>0</v>
      </c>
      <c r="L171" s="26">
        <v>0</v>
      </c>
      <c r="M171" s="26">
        <v>0</v>
      </c>
      <c r="N171" s="26">
        <v>0</v>
      </c>
      <c r="O171" s="26">
        <v>0</v>
      </c>
      <c r="P171" s="26">
        <v>0</v>
      </c>
      <c r="Q171" s="26">
        <v>0</v>
      </c>
      <c r="R171" s="26">
        <v>0</v>
      </c>
      <c r="S171" s="26">
        <v>0</v>
      </c>
      <c r="T171" s="26">
        <v>0</v>
      </c>
      <c r="U171" s="26">
        <v>0</v>
      </c>
      <c r="V171" s="26">
        <v>0</v>
      </c>
      <c r="W171" s="26">
        <v>0</v>
      </c>
      <c r="X171" s="26">
        <f>-IF(VLOOKUP($B171,Resumo_HSF!$C$13:$AB$1000,16,FALSE)=VLOOKUP($B170,Resumo_HSF!$C$13:$AB$1000,16,FALSE),0,(VLOOKUP($B171,Resumo_HSF!$C$13:$AB$1000,16,FALSE)-VLOOKUP($B170,Resumo_HSF!$C$13:$AB$1000,16,FALSE))*VLOOKUP($B171,Resumo_HSF!$C$13:$AB$1000,15,FALSE))</f>
        <v>0</v>
      </c>
      <c r="Y171" s="26">
        <v>0</v>
      </c>
      <c r="Z171" s="26">
        <v>0</v>
      </c>
      <c r="AA171" s="26">
        <v>0</v>
      </c>
      <c r="AB171" s="26">
        <v>0</v>
      </c>
      <c r="AC171" s="26">
        <v>0</v>
      </c>
      <c r="AD171" s="15">
        <f t="shared" ref="AD171" si="88">SUM(D171:AB171)</f>
        <v>0</v>
      </c>
    </row>
    <row r="172" spans="2:30">
      <c r="B172" s="1">
        <v>45099</v>
      </c>
      <c r="C172" s="51">
        <f t="shared" ref="C172" si="89">AD172</f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0</v>
      </c>
      <c r="I172" s="26">
        <v>0</v>
      </c>
      <c r="J172" s="26">
        <v>0</v>
      </c>
      <c r="K172">
        <f>-VLOOKUP(B172,Resumo_HSF!$C$13:$AH$200,28,FALSE)</f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6">
        <v>0</v>
      </c>
      <c r="T172" s="26">
        <v>0</v>
      </c>
      <c r="U172" s="26">
        <v>0</v>
      </c>
      <c r="V172" s="26">
        <v>0</v>
      </c>
      <c r="W172" s="26">
        <v>0</v>
      </c>
      <c r="X172" s="26">
        <f>-IF(VLOOKUP($B172,Resumo_HSF!$C$13:$AB$1000,16,FALSE)=VLOOKUP($B171,Resumo_HSF!$C$13:$AB$1000,16,FALSE),0,(VLOOKUP($B172,Resumo_HSF!$C$13:$AB$1000,16,FALSE)-VLOOKUP($B171,Resumo_HSF!$C$13:$AB$1000,16,FALSE))*VLOOKUP($B172,Resumo_HSF!$C$13:$AB$1000,15,FALSE))</f>
        <v>0</v>
      </c>
      <c r="Y172" s="26">
        <v>0</v>
      </c>
      <c r="Z172" s="26">
        <v>0</v>
      </c>
      <c r="AA172" s="26">
        <v>0</v>
      </c>
      <c r="AB172" s="26">
        <v>0</v>
      </c>
      <c r="AC172" s="26">
        <v>0</v>
      </c>
      <c r="AD172" s="15">
        <f t="shared" ref="AD172" si="90">SUM(D172:AB172)</f>
        <v>0</v>
      </c>
    </row>
    <row r="173" spans="2:30">
      <c r="B173" s="1">
        <v>45100</v>
      </c>
      <c r="C173" s="51">
        <f t="shared" ref="C173" si="91">AD173</f>
        <v>0</v>
      </c>
      <c r="D173" s="26">
        <v>0</v>
      </c>
      <c r="E173" s="26">
        <v>0</v>
      </c>
      <c r="F173" s="26">
        <v>0</v>
      </c>
      <c r="G173" s="26">
        <v>0</v>
      </c>
      <c r="H173" s="26">
        <v>0</v>
      </c>
      <c r="I173" s="26">
        <v>0</v>
      </c>
      <c r="J173" s="26">
        <v>0</v>
      </c>
      <c r="K173">
        <f>-VLOOKUP(B173,Resumo_HSF!$C$13:$AH$200,28,FALSE)</f>
        <v>0</v>
      </c>
      <c r="L173" s="26">
        <v>0</v>
      </c>
      <c r="M173" s="26">
        <v>0</v>
      </c>
      <c r="N173" s="26">
        <v>0</v>
      </c>
      <c r="O173" s="26">
        <v>0</v>
      </c>
      <c r="P173" s="26">
        <v>0</v>
      </c>
      <c r="Q173" s="26">
        <v>0</v>
      </c>
      <c r="R173" s="26">
        <v>0</v>
      </c>
      <c r="S173" s="26">
        <v>0</v>
      </c>
      <c r="T173" s="26">
        <v>0</v>
      </c>
      <c r="U173" s="26">
        <v>0</v>
      </c>
      <c r="V173" s="26">
        <v>0</v>
      </c>
      <c r="W173" s="26">
        <v>0</v>
      </c>
      <c r="X173" s="26">
        <f>-IF(VLOOKUP($B173,Resumo_HSF!$C$13:$AB$1000,16,FALSE)=VLOOKUP($B172,Resumo_HSF!$C$13:$AB$1000,16,FALSE),0,(VLOOKUP($B173,Resumo_HSF!$C$13:$AB$1000,16,FALSE)-VLOOKUP($B172,Resumo_HSF!$C$13:$AB$1000,16,FALSE))*VLOOKUP($B173,Resumo_HSF!$C$13:$AB$1000,15,FALSE))</f>
        <v>0</v>
      </c>
      <c r="Y173" s="26">
        <v>0</v>
      </c>
      <c r="Z173" s="26">
        <v>0</v>
      </c>
      <c r="AA173" s="26">
        <v>0</v>
      </c>
      <c r="AB173" s="26">
        <v>0</v>
      </c>
      <c r="AC173" s="26">
        <v>0</v>
      </c>
      <c r="AD173" s="15">
        <f t="shared" ref="AD173" si="92">SUM(D173:AB173)</f>
        <v>0</v>
      </c>
    </row>
    <row r="174" spans="2:30">
      <c r="B174" s="1">
        <v>45103</v>
      </c>
      <c r="C174" s="51">
        <f t="shared" ref="C174:C175" si="93">AD174</f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0</v>
      </c>
      <c r="I174" s="26">
        <v>0</v>
      </c>
      <c r="J174" s="26">
        <v>0</v>
      </c>
      <c r="K174">
        <f>-VLOOKUP(B174,Resumo_HSF!$C$13:$AH$200,28,FALSE)</f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6">
        <v>0</v>
      </c>
      <c r="T174" s="26">
        <v>0</v>
      </c>
      <c r="U174" s="26">
        <v>0</v>
      </c>
      <c r="V174" s="26">
        <v>0</v>
      </c>
      <c r="W174" s="26">
        <v>0</v>
      </c>
      <c r="X174" s="26">
        <f>-IF(VLOOKUP($B174,Resumo_HSF!$C$13:$AB$1000,16,FALSE)=VLOOKUP($B173,Resumo_HSF!$C$13:$AB$1000,16,FALSE),0,(VLOOKUP($B174,Resumo_HSF!$C$13:$AB$1000,16,FALSE)-VLOOKUP($B173,Resumo_HSF!$C$13:$AB$1000,16,FALSE))*VLOOKUP($B174,Resumo_HSF!$C$13:$AB$1000,15,FALSE))</f>
        <v>0</v>
      </c>
      <c r="Y174" s="26">
        <v>0</v>
      </c>
      <c r="Z174" s="26">
        <v>0</v>
      </c>
      <c r="AA174" s="26">
        <v>0</v>
      </c>
      <c r="AB174" s="26">
        <v>0</v>
      </c>
      <c r="AC174" s="26">
        <v>0</v>
      </c>
      <c r="AD174" s="15">
        <f t="shared" ref="AD174:AD175" si="94">SUM(D174:AB174)</f>
        <v>0</v>
      </c>
    </row>
    <row r="175" spans="2:30">
      <c r="B175" s="1">
        <v>45104</v>
      </c>
      <c r="C175" s="51">
        <f t="shared" si="93"/>
        <v>0</v>
      </c>
      <c r="D175" s="26">
        <v>0</v>
      </c>
      <c r="E175" s="26">
        <v>0</v>
      </c>
      <c r="F175" s="26">
        <v>0</v>
      </c>
      <c r="G175" s="26">
        <v>0</v>
      </c>
      <c r="H175" s="26">
        <v>0</v>
      </c>
      <c r="I175" s="26">
        <v>0</v>
      </c>
      <c r="J175" s="26">
        <v>0</v>
      </c>
      <c r="K175">
        <f>-VLOOKUP(B175,Resumo_HSF!$C$13:$AH$200,28,FALSE)</f>
        <v>0</v>
      </c>
      <c r="L175" s="26">
        <v>0</v>
      </c>
      <c r="M175" s="26">
        <v>0</v>
      </c>
      <c r="N175" s="26">
        <v>0</v>
      </c>
      <c r="O175" s="26">
        <v>0</v>
      </c>
      <c r="P175" s="26">
        <v>0</v>
      </c>
      <c r="Q175" s="26">
        <v>0</v>
      </c>
      <c r="R175" s="26">
        <v>0</v>
      </c>
      <c r="S175" s="26">
        <v>0</v>
      </c>
      <c r="T175" s="26">
        <v>0</v>
      </c>
      <c r="U175" s="26">
        <v>0</v>
      </c>
      <c r="V175" s="26">
        <v>0</v>
      </c>
      <c r="W175" s="26">
        <v>0</v>
      </c>
      <c r="X175" s="26">
        <f>-IF(VLOOKUP($B175,Resumo_HSF!$C$13:$AB$1000,16,FALSE)=VLOOKUP($B174,Resumo_HSF!$C$13:$AB$1000,16,FALSE),0,(VLOOKUP($B175,Resumo_HSF!$C$13:$AB$1000,16,FALSE)-VLOOKUP($B174,Resumo_HSF!$C$13:$AB$1000,16,FALSE))*VLOOKUP($B175,Resumo_HSF!$C$13:$AB$1000,15,FALSE))</f>
        <v>0</v>
      </c>
      <c r="Y175" s="26">
        <v>0</v>
      </c>
      <c r="Z175" s="26">
        <v>0</v>
      </c>
      <c r="AA175" s="26">
        <v>0</v>
      </c>
      <c r="AB175" s="26">
        <v>0</v>
      </c>
      <c r="AC175" s="26">
        <v>0</v>
      </c>
      <c r="AD175" s="15">
        <f t="shared" si="94"/>
        <v>0</v>
      </c>
    </row>
    <row r="176" spans="2:30">
      <c r="B176" s="1">
        <v>45105</v>
      </c>
      <c r="C176" s="51">
        <f t="shared" ref="C176" si="95">AD176</f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0</v>
      </c>
      <c r="I176" s="26">
        <v>0</v>
      </c>
      <c r="J176" s="26">
        <v>0</v>
      </c>
      <c r="K176">
        <f>-VLOOKUP(B176,Resumo_HSF!$C$13:$AH$200,28,FALSE)</f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6">
        <v>0</v>
      </c>
      <c r="T176" s="26">
        <v>0</v>
      </c>
      <c r="U176" s="26">
        <v>0</v>
      </c>
      <c r="V176" s="26">
        <v>0</v>
      </c>
      <c r="W176" s="26">
        <v>0</v>
      </c>
      <c r="X176" s="26">
        <f>-IF(VLOOKUP($B176,Resumo_HSF!$C$13:$AB$1000,16,FALSE)=VLOOKUP($B175,Resumo_HSF!$C$13:$AB$1000,16,FALSE),0,(VLOOKUP($B176,Resumo_HSF!$C$13:$AB$1000,16,FALSE)-VLOOKUP($B175,Resumo_HSF!$C$13:$AB$1000,16,FALSE))*VLOOKUP($B176,Resumo_HSF!$C$13:$AB$1000,15,FALSE))</f>
        <v>0</v>
      </c>
      <c r="Y176" s="26">
        <v>0</v>
      </c>
      <c r="Z176" s="26">
        <v>0</v>
      </c>
      <c r="AA176" s="26">
        <v>0</v>
      </c>
      <c r="AB176" s="26">
        <v>0</v>
      </c>
      <c r="AC176" s="26">
        <v>0</v>
      </c>
      <c r="AD176" s="15">
        <f t="shared" ref="AD176" si="96">SUM(D176:AB176)</f>
        <v>0</v>
      </c>
    </row>
    <row r="177" spans="2:30">
      <c r="B177" s="1">
        <v>45106</v>
      </c>
      <c r="C177" s="51">
        <f t="shared" ref="C177" si="97">AD177</f>
        <v>0</v>
      </c>
      <c r="D177" s="26">
        <v>0</v>
      </c>
      <c r="E177" s="26">
        <v>0</v>
      </c>
      <c r="F177" s="26">
        <v>0</v>
      </c>
      <c r="G177" s="26">
        <v>0</v>
      </c>
      <c r="H177" s="26">
        <v>0</v>
      </c>
      <c r="I177" s="26">
        <v>0</v>
      </c>
      <c r="J177" s="26">
        <v>0</v>
      </c>
      <c r="K177">
        <f>-VLOOKUP(B177,Resumo_HSF!$C$13:$AH$200,28,FALSE)</f>
        <v>0</v>
      </c>
      <c r="L177" s="26">
        <v>0</v>
      </c>
      <c r="M177" s="26">
        <v>0</v>
      </c>
      <c r="N177" s="26">
        <v>0</v>
      </c>
      <c r="O177" s="26">
        <v>0</v>
      </c>
      <c r="P177" s="26">
        <v>0</v>
      </c>
      <c r="Q177" s="26">
        <v>0</v>
      </c>
      <c r="R177" s="26">
        <v>0</v>
      </c>
      <c r="S177" s="26">
        <v>0</v>
      </c>
      <c r="T177" s="26">
        <v>0</v>
      </c>
      <c r="U177" s="26">
        <v>0</v>
      </c>
      <c r="V177" s="26">
        <v>0</v>
      </c>
      <c r="W177" s="26">
        <v>0</v>
      </c>
      <c r="X177" s="26">
        <f>-IF(VLOOKUP($B177,Resumo_HSF!$C$13:$AB$1000,16,FALSE)=VLOOKUP($B176,Resumo_HSF!$C$13:$AB$1000,16,FALSE),0,(VLOOKUP($B177,Resumo_HSF!$C$13:$AB$1000,16,FALSE)-VLOOKUP($B176,Resumo_HSF!$C$13:$AB$1000,16,FALSE))*VLOOKUP($B177,Resumo_HSF!$C$13:$AB$1000,15,FALSE))</f>
        <v>0</v>
      </c>
      <c r="Y177" s="26">
        <v>0</v>
      </c>
      <c r="Z177" s="26">
        <v>0</v>
      </c>
      <c r="AA177" s="26">
        <v>0</v>
      </c>
      <c r="AB177" s="26">
        <v>0</v>
      </c>
      <c r="AC177" s="26">
        <v>0</v>
      </c>
      <c r="AD177" s="15">
        <f t="shared" ref="AD177" si="98">SUM(D177:AB177)</f>
        <v>0</v>
      </c>
    </row>
    <row r="178" spans="2:30">
      <c r="B178" s="1">
        <v>45107</v>
      </c>
      <c r="C178" s="51">
        <f t="shared" ref="C178:C179" si="99">AD178</f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0</v>
      </c>
      <c r="I178" s="26">
        <v>0</v>
      </c>
      <c r="J178" s="26">
        <v>0</v>
      </c>
      <c r="K178">
        <f>-VLOOKUP(B178,Resumo_HSF!$C$13:$AH$200,28,FALSE)</f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6">
        <v>0</v>
      </c>
      <c r="T178" s="26">
        <v>0</v>
      </c>
      <c r="U178" s="26">
        <v>0</v>
      </c>
      <c r="V178" s="26">
        <v>0</v>
      </c>
      <c r="W178" s="26">
        <v>0</v>
      </c>
      <c r="X178" s="26">
        <f>-IF(VLOOKUP($B178,Resumo_HSF!$C$13:$AB$1000,16,FALSE)=VLOOKUP($B177,Resumo_HSF!$C$13:$AB$1000,16,FALSE),0,(VLOOKUP($B178,Resumo_HSF!$C$13:$AB$1000,16,FALSE)-VLOOKUP($B177,Resumo_HSF!$C$13:$AB$1000,16,FALSE))*VLOOKUP($B178,Resumo_HSF!$C$13:$AB$1000,15,FALSE))</f>
        <v>0</v>
      </c>
      <c r="Y178" s="26">
        <v>0</v>
      </c>
      <c r="Z178" s="26">
        <v>0</v>
      </c>
      <c r="AA178" s="26">
        <v>0</v>
      </c>
      <c r="AB178" s="26">
        <v>0</v>
      </c>
      <c r="AC178" s="26">
        <v>0</v>
      </c>
      <c r="AD178" s="15">
        <f t="shared" ref="AD178:AD179" si="100">SUM(D178:AB178)</f>
        <v>0</v>
      </c>
    </row>
    <row r="179" spans="2:30">
      <c r="B179" s="1">
        <v>45110</v>
      </c>
      <c r="C179" s="51">
        <f t="shared" si="99"/>
        <v>0</v>
      </c>
      <c r="D179" s="26">
        <v>0</v>
      </c>
      <c r="E179" s="26">
        <v>0</v>
      </c>
      <c r="F179" s="26">
        <v>0</v>
      </c>
      <c r="G179" s="26">
        <v>0</v>
      </c>
      <c r="H179" s="26">
        <v>0</v>
      </c>
      <c r="I179" s="26">
        <v>0</v>
      </c>
      <c r="J179" s="26">
        <v>0</v>
      </c>
      <c r="K179">
        <f>-VLOOKUP(B179,Resumo_HSF!$C$13:$AH$200,28,FALSE)</f>
        <v>0</v>
      </c>
      <c r="L179" s="26">
        <v>0</v>
      </c>
      <c r="M179" s="26">
        <v>0</v>
      </c>
      <c r="N179" s="26">
        <v>0</v>
      </c>
      <c r="O179" s="26">
        <v>0</v>
      </c>
      <c r="P179" s="26">
        <v>0</v>
      </c>
      <c r="Q179" s="26">
        <v>0</v>
      </c>
      <c r="R179" s="26">
        <v>0</v>
      </c>
      <c r="S179" s="26">
        <v>0</v>
      </c>
      <c r="T179" s="26">
        <v>0</v>
      </c>
      <c r="U179" s="26">
        <v>0</v>
      </c>
      <c r="V179" s="26">
        <v>0</v>
      </c>
      <c r="W179" s="26">
        <v>0</v>
      </c>
      <c r="X179" s="26">
        <f>-IF(VLOOKUP($B179,Resumo_HSF!$C$13:$AB$1000,16,FALSE)=VLOOKUP($B178,Resumo_HSF!$C$13:$AB$1000,16,FALSE),0,(VLOOKUP($B179,Resumo_HSF!$C$13:$AB$1000,16,FALSE)-VLOOKUP($B178,Resumo_HSF!$C$13:$AB$1000,16,FALSE))*VLOOKUP($B179,Resumo_HSF!$C$13:$AB$1000,15,FALSE))</f>
        <v>0</v>
      </c>
      <c r="Y179" s="26">
        <v>0</v>
      </c>
      <c r="Z179" s="26">
        <v>0</v>
      </c>
      <c r="AA179" s="26">
        <v>0</v>
      </c>
      <c r="AB179" s="26">
        <v>0</v>
      </c>
      <c r="AC179" s="26">
        <v>0</v>
      </c>
      <c r="AD179" s="15">
        <f t="shared" si="100"/>
        <v>0</v>
      </c>
    </row>
    <row r="180" spans="2:30">
      <c r="B180" s="1">
        <v>45111</v>
      </c>
      <c r="C180" s="51">
        <f t="shared" ref="C180" si="101">AD180</f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0</v>
      </c>
      <c r="I180" s="26">
        <v>0</v>
      </c>
      <c r="J180" s="26">
        <v>0</v>
      </c>
      <c r="K180">
        <f>-VLOOKUP(B180,Resumo_HSF!$C$13:$AH$200,28,FALSE)</f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6">
        <v>0</v>
      </c>
      <c r="T180" s="26">
        <v>0</v>
      </c>
      <c r="U180" s="26">
        <v>0</v>
      </c>
      <c r="V180" s="26">
        <v>0</v>
      </c>
      <c r="W180" s="26">
        <v>0</v>
      </c>
      <c r="X180" s="26">
        <f>-IF(VLOOKUP($B180,Resumo_HSF!$C$13:$AB$1000,16,FALSE)=VLOOKUP($B179,Resumo_HSF!$C$13:$AB$1000,16,FALSE),0,(VLOOKUP($B180,Resumo_HSF!$C$13:$AB$1000,16,FALSE)-VLOOKUP($B179,Resumo_HSF!$C$13:$AB$1000,16,FALSE))*VLOOKUP($B180,Resumo_HSF!$C$13:$AB$1000,15,FALSE))</f>
        <v>0</v>
      </c>
      <c r="Y180" s="26">
        <v>0</v>
      </c>
      <c r="Z180" s="26">
        <v>0</v>
      </c>
      <c r="AA180" s="26">
        <v>0</v>
      </c>
      <c r="AB180" s="26">
        <v>0</v>
      </c>
      <c r="AC180" s="26">
        <v>0</v>
      </c>
      <c r="AD180" s="15">
        <f t="shared" ref="AD180" si="102">SUM(D180:AB180)</f>
        <v>0</v>
      </c>
    </row>
    <row r="181" spans="2:30">
      <c r="B181" s="1">
        <v>45112</v>
      </c>
      <c r="C181" s="51">
        <f t="shared" ref="C181:C183" si="103">AD181</f>
        <v>0</v>
      </c>
      <c r="D181" s="26">
        <v>0</v>
      </c>
      <c r="E181" s="26">
        <v>0</v>
      </c>
      <c r="F181" s="26">
        <v>0</v>
      </c>
      <c r="G181" s="26">
        <v>0</v>
      </c>
      <c r="H181" s="26">
        <v>0</v>
      </c>
      <c r="I181" s="26">
        <v>0</v>
      </c>
      <c r="J181" s="26">
        <v>0</v>
      </c>
      <c r="K181">
        <f>-VLOOKUP(B181,Resumo_HSF!$C$13:$AH$200,28,FALSE)</f>
        <v>0</v>
      </c>
      <c r="L181" s="26">
        <v>0</v>
      </c>
      <c r="M181" s="26">
        <v>0</v>
      </c>
      <c r="N181" s="26">
        <v>0</v>
      </c>
      <c r="O181" s="26">
        <v>0</v>
      </c>
      <c r="P181" s="26">
        <v>0</v>
      </c>
      <c r="Q181" s="26">
        <v>0</v>
      </c>
      <c r="R181" s="26">
        <v>0</v>
      </c>
      <c r="S181" s="26">
        <v>0</v>
      </c>
      <c r="T181" s="26">
        <v>0</v>
      </c>
      <c r="U181" s="26">
        <v>0</v>
      </c>
      <c r="V181" s="26">
        <v>0</v>
      </c>
      <c r="W181" s="26">
        <v>0</v>
      </c>
      <c r="X181" s="26">
        <f>-IF(VLOOKUP($B181,Resumo_HSF!$C$13:$AB$1000,16,FALSE)=VLOOKUP($B180,Resumo_HSF!$C$13:$AB$1000,16,FALSE),0,(VLOOKUP($B181,Resumo_HSF!$C$13:$AB$1000,16,FALSE)-VLOOKUP($B180,Resumo_HSF!$C$13:$AB$1000,16,FALSE))*VLOOKUP($B181,Resumo_HSF!$C$13:$AB$1000,15,FALSE))</f>
        <v>0</v>
      </c>
      <c r="Y181" s="26">
        <v>0</v>
      </c>
      <c r="Z181" s="26">
        <v>0</v>
      </c>
      <c r="AA181" s="26">
        <v>0</v>
      </c>
      <c r="AB181" s="26">
        <v>0</v>
      </c>
      <c r="AC181" s="26">
        <v>0</v>
      </c>
      <c r="AD181" s="15">
        <f t="shared" ref="AD181:AD183" si="104">SUM(D181:AB181)</f>
        <v>0</v>
      </c>
    </row>
    <row r="182" spans="2:30">
      <c r="B182" s="1">
        <v>45113</v>
      </c>
      <c r="C182" s="51">
        <f t="shared" si="103"/>
        <v>-1.5308251022361219E-7</v>
      </c>
      <c r="D182" s="26">
        <v>0</v>
      </c>
      <c r="E182" s="26">
        <v>0</v>
      </c>
      <c r="F182" s="26">
        <v>0</v>
      </c>
      <c r="G182" s="26">
        <v>0</v>
      </c>
      <c r="H182" s="26">
        <v>0</v>
      </c>
      <c r="I182" s="26">
        <v>0</v>
      </c>
      <c r="J182" s="26">
        <v>0</v>
      </c>
      <c r="K182">
        <f>-VLOOKUP(B182,Resumo_HSF!$C$13:$AH$200,28,FALSE)</f>
        <v>0</v>
      </c>
      <c r="L182" s="26">
        <v>0</v>
      </c>
      <c r="M182" s="26">
        <v>0</v>
      </c>
      <c r="N182" s="26">
        <v>0</v>
      </c>
      <c r="O182" s="26">
        <v>0</v>
      </c>
      <c r="P182" s="26">
        <v>0</v>
      </c>
      <c r="Q182" s="26">
        <v>0</v>
      </c>
      <c r="R182" s="26">
        <v>0</v>
      </c>
      <c r="S182" s="26">
        <v>0</v>
      </c>
      <c r="T182" s="26">
        <v>0</v>
      </c>
      <c r="U182" s="26">
        <v>11500</v>
      </c>
      <c r="V182" s="26">
        <v>0</v>
      </c>
      <c r="W182" s="26">
        <v>0</v>
      </c>
      <c r="X182" s="26">
        <f>-IF(VLOOKUP($B182,Resumo_HSF!$C$13:$AB$1000,16,FALSE)=VLOOKUP($B181,Resumo_HSF!$C$13:$AB$1000,16,FALSE),0,(VLOOKUP($B182,Resumo_HSF!$C$13:$AB$1000,16,FALSE)-VLOOKUP($B181,Resumo_HSF!$C$13:$AB$1000,16,FALSE))*VLOOKUP($B182,Resumo_HSF!$C$13:$AB$1000,15,FALSE))</f>
        <v>-11500.000000153083</v>
      </c>
      <c r="Y182" s="26">
        <v>0</v>
      </c>
      <c r="Z182" s="26">
        <v>0</v>
      </c>
      <c r="AA182" s="26">
        <v>0</v>
      </c>
      <c r="AB182" s="26">
        <v>0</v>
      </c>
      <c r="AC182" s="26">
        <v>0</v>
      </c>
      <c r="AD182" s="15">
        <f t="shared" si="104"/>
        <v>-1.5308251022361219E-7</v>
      </c>
    </row>
    <row r="183" spans="2:30">
      <c r="B183" s="1">
        <v>45114</v>
      </c>
      <c r="C183" s="51">
        <f t="shared" si="103"/>
        <v>-1.0860403563128784E-6</v>
      </c>
      <c r="D183" s="26">
        <v>-10396.200000000001</v>
      </c>
      <c r="E183" s="26">
        <v>0</v>
      </c>
      <c r="F183" s="26">
        <v>0</v>
      </c>
      <c r="G183" s="26">
        <v>0</v>
      </c>
      <c r="H183" s="26">
        <v>0</v>
      </c>
      <c r="I183" s="26">
        <v>0</v>
      </c>
      <c r="J183" s="26">
        <v>0</v>
      </c>
      <c r="K183">
        <f>-VLOOKUP(B183,Resumo_HSF!$C$13:$AH$200,28,FALSE)</f>
        <v>0</v>
      </c>
      <c r="L183" s="26">
        <v>0</v>
      </c>
      <c r="M183" s="26">
        <v>0</v>
      </c>
      <c r="N183" s="26">
        <v>0</v>
      </c>
      <c r="O183" s="26">
        <v>0</v>
      </c>
      <c r="P183" s="26">
        <v>0</v>
      </c>
      <c r="Q183" s="26">
        <v>0</v>
      </c>
      <c r="R183" s="26">
        <v>0</v>
      </c>
      <c r="S183" s="26">
        <v>0</v>
      </c>
      <c r="T183" s="26">
        <v>0</v>
      </c>
      <c r="U183" s="26">
        <v>0</v>
      </c>
      <c r="V183" s="26">
        <v>0</v>
      </c>
      <c r="W183" s="26">
        <v>0</v>
      </c>
      <c r="X183" s="26">
        <f>-IF(VLOOKUP($B183,Resumo_HSF!$C$13:$AB$1000,16,FALSE)=VLOOKUP($B182,Resumo_HSF!$C$13:$AB$1000,16,FALSE),0,(VLOOKUP($B183,Resumo_HSF!$C$13:$AB$1000,16,FALSE)-VLOOKUP($B182,Resumo_HSF!$C$13:$AB$1000,16,FALSE))*VLOOKUP($B183,Resumo_HSF!$C$13:$AB$1000,15,FALSE))</f>
        <v>10396.19999891396</v>
      </c>
      <c r="Y183" s="26">
        <v>0</v>
      </c>
      <c r="Z183" s="26">
        <v>0</v>
      </c>
      <c r="AA183" s="26">
        <v>0</v>
      </c>
      <c r="AB183" s="26">
        <v>0</v>
      </c>
      <c r="AC183" s="26">
        <v>0</v>
      </c>
      <c r="AD183" s="15">
        <f t="shared" si="104"/>
        <v>-1.0860403563128784E-6</v>
      </c>
    </row>
    <row r="184" spans="2:30">
      <c r="B184" s="1">
        <v>45117</v>
      </c>
      <c r="C184" s="51">
        <f t="shared" ref="C184" si="105">AD184</f>
        <v>0</v>
      </c>
      <c r="D184" s="26">
        <v>0</v>
      </c>
      <c r="E184" s="26">
        <v>0</v>
      </c>
      <c r="F184" s="26">
        <v>0</v>
      </c>
      <c r="G184" s="26">
        <v>0</v>
      </c>
      <c r="H184" s="26">
        <v>0</v>
      </c>
      <c r="I184" s="26">
        <v>0</v>
      </c>
      <c r="J184" s="26">
        <v>0</v>
      </c>
      <c r="K184">
        <f>-VLOOKUP(B184,Resumo_HSF!$C$13:$AH$200,28,FALSE)</f>
        <v>0</v>
      </c>
      <c r="L184" s="26">
        <v>0</v>
      </c>
      <c r="M184" s="26">
        <v>0</v>
      </c>
      <c r="N184" s="26">
        <v>0</v>
      </c>
      <c r="O184" s="26">
        <v>0</v>
      </c>
      <c r="P184" s="26">
        <v>0</v>
      </c>
      <c r="Q184" s="26">
        <v>0</v>
      </c>
      <c r="R184" s="26">
        <v>0</v>
      </c>
      <c r="S184" s="26">
        <v>0</v>
      </c>
      <c r="T184" s="26">
        <v>0</v>
      </c>
      <c r="U184" s="26">
        <v>0</v>
      </c>
      <c r="V184" s="26">
        <v>0</v>
      </c>
      <c r="W184" s="26">
        <v>0</v>
      </c>
      <c r="X184" s="26">
        <f>-IF(VLOOKUP($B184,Resumo_HSF!$C$13:$AB$1000,16,FALSE)=VLOOKUP($B183,Resumo_HSF!$C$13:$AB$1000,16,FALSE),0,(VLOOKUP($B184,Resumo_HSF!$C$13:$AB$1000,16,FALSE)-VLOOKUP($B183,Resumo_HSF!$C$13:$AB$1000,16,FALSE))*VLOOKUP($B184,Resumo_HSF!$C$13:$AB$1000,15,FALSE))</f>
        <v>0</v>
      </c>
      <c r="Y184" s="26">
        <v>0</v>
      </c>
      <c r="Z184" s="26">
        <v>0</v>
      </c>
      <c r="AA184" s="26">
        <v>0</v>
      </c>
      <c r="AB184" s="26">
        <v>0</v>
      </c>
      <c r="AC184" s="26">
        <v>0</v>
      </c>
      <c r="AD184" s="15">
        <f t="shared" ref="AD184" si="106">SUM(D184:AB184)</f>
        <v>0</v>
      </c>
    </row>
    <row r="185" spans="2:30">
      <c r="B185" s="1">
        <v>45118</v>
      </c>
      <c r="C185" s="51">
        <f t="shared" ref="C185" si="107">AD185</f>
        <v>0</v>
      </c>
      <c r="D185" s="26">
        <v>0</v>
      </c>
      <c r="E185" s="26">
        <v>0</v>
      </c>
      <c r="F185" s="26">
        <v>0</v>
      </c>
      <c r="G185" s="26">
        <v>0</v>
      </c>
      <c r="H185" s="26">
        <v>0</v>
      </c>
      <c r="I185" s="26">
        <v>0</v>
      </c>
      <c r="J185" s="26">
        <v>0</v>
      </c>
      <c r="K185">
        <f>-VLOOKUP(B185,Resumo_HSF!$C$13:$AH$200,28,FALSE)</f>
        <v>0</v>
      </c>
      <c r="L185" s="26">
        <v>0</v>
      </c>
      <c r="M185" s="26">
        <v>0</v>
      </c>
      <c r="N185" s="26">
        <v>0</v>
      </c>
      <c r="O185" s="26">
        <v>0</v>
      </c>
      <c r="P185" s="26">
        <v>0</v>
      </c>
      <c r="Q185" s="26">
        <v>0</v>
      </c>
      <c r="R185" s="26">
        <v>0</v>
      </c>
      <c r="S185" s="26">
        <v>0</v>
      </c>
      <c r="T185" s="26">
        <v>0</v>
      </c>
      <c r="U185" s="26">
        <v>0</v>
      </c>
      <c r="V185" s="26">
        <v>0</v>
      </c>
      <c r="W185" s="26">
        <v>0</v>
      </c>
      <c r="X185" s="26">
        <f>-IF(VLOOKUP($B185,Resumo_HSF!$C$13:$AB$1000,16,FALSE)=VLOOKUP($B184,Resumo_HSF!$C$13:$AB$1000,16,FALSE),0,(VLOOKUP($B185,Resumo_HSF!$C$13:$AB$1000,16,FALSE)-VLOOKUP($B184,Resumo_HSF!$C$13:$AB$1000,16,FALSE))*VLOOKUP($B185,Resumo_HSF!$C$13:$AB$1000,15,FALSE))</f>
        <v>0</v>
      </c>
      <c r="Y185" s="26">
        <v>0</v>
      </c>
      <c r="Z185" s="26">
        <v>0</v>
      </c>
      <c r="AA185" s="26">
        <v>0</v>
      </c>
      <c r="AB185" s="26">
        <v>0</v>
      </c>
      <c r="AC185" s="26">
        <v>0</v>
      </c>
      <c r="AD185" s="15">
        <f t="shared" ref="AD185" si="108">SUM(D185:AB185)</f>
        <v>0</v>
      </c>
    </row>
    <row r="186" spans="2:30">
      <c r="B186" s="1">
        <v>45119</v>
      </c>
      <c r="C186" s="51">
        <f t="shared" ref="C186" si="109">AD186</f>
        <v>0</v>
      </c>
      <c r="D186" s="26">
        <v>0</v>
      </c>
      <c r="E186" s="26">
        <v>0</v>
      </c>
      <c r="F186" s="26">
        <v>0</v>
      </c>
      <c r="G186" s="26">
        <v>0</v>
      </c>
      <c r="H186" s="26">
        <v>0</v>
      </c>
      <c r="I186" s="26">
        <v>0</v>
      </c>
      <c r="J186" s="26">
        <v>0</v>
      </c>
      <c r="K186">
        <f>-VLOOKUP(B186,Resumo_HSF!$C$13:$AH$200,28,FALSE)</f>
        <v>-50000</v>
      </c>
      <c r="L186" s="26">
        <v>0</v>
      </c>
      <c r="M186" s="26">
        <v>0</v>
      </c>
      <c r="N186" s="26">
        <v>0</v>
      </c>
      <c r="O186" s="26">
        <v>0</v>
      </c>
      <c r="P186" s="26">
        <v>0</v>
      </c>
      <c r="Q186" s="26">
        <v>0</v>
      </c>
      <c r="R186" s="26">
        <v>50000</v>
      </c>
      <c r="S186" s="26">
        <v>0</v>
      </c>
      <c r="T186" s="26">
        <v>0</v>
      </c>
      <c r="U186" s="26">
        <v>0</v>
      </c>
      <c r="V186" s="26">
        <v>0</v>
      </c>
      <c r="W186" s="26">
        <v>0</v>
      </c>
      <c r="X186" s="26">
        <f>-IF(VLOOKUP($B186,Resumo_HSF!$C$13:$AB$1000,16,FALSE)=VLOOKUP($B185,Resumo_HSF!$C$13:$AB$1000,16,FALSE),0,(VLOOKUP($B186,Resumo_HSF!$C$13:$AB$1000,16,FALSE)-VLOOKUP($B185,Resumo_HSF!$C$13:$AB$1000,16,FALSE))*VLOOKUP($B186,Resumo_HSF!$C$13:$AB$1000,15,FALSE))</f>
        <v>0</v>
      </c>
      <c r="Y186" s="26">
        <v>0</v>
      </c>
      <c r="Z186" s="26">
        <v>0</v>
      </c>
      <c r="AA186" s="26">
        <v>0</v>
      </c>
      <c r="AB186" s="26">
        <v>0</v>
      </c>
      <c r="AC186" s="26">
        <v>0</v>
      </c>
      <c r="AD186" s="15">
        <f t="shared" ref="AD186" si="110">SUM(D186:AB186)</f>
        <v>0</v>
      </c>
    </row>
    <row r="187" spans="2:30">
      <c r="B187" s="1">
        <v>45120</v>
      </c>
      <c r="C187" s="51">
        <f t="shared" ref="C187" si="111">AD187</f>
        <v>0</v>
      </c>
      <c r="D187" s="26">
        <v>0</v>
      </c>
      <c r="E187" s="26">
        <v>0</v>
      </c>
      <c r="F187" s="26">
        <v>0</v>
      </c>
      <c r="G187" s="26">
        <v>0</v>
      </c>
      <c r="H187" s="26">
        <v>0</v>
      </c>
      <c r="I187" s="26">
        <v>0</v>
      </c>
      <c r="J187" s="26">
        <v>0</v>
      </c>
      <c r="K187">
        <f>-VLOOKUP(B187,Resumo_HSF!$C$13:$AH$200,28,FALSE)</f>
        <v>0</v>
      </c>
      <c r="L187" s="26">
        <v>0</v>
      </c>
      <c r="M187" s="26">
        <v>0</v>
      </c>
      <c r="N187" s="26">
        <v>0</v>
      </c>
      <c r="O187" s="26">
        <v>0</v>
      </c>
      <c r="P187" s="26">
        <v>0</v>
      </c>
      <c r="Q187" s="26">
        <v>0</v>
      </c>
      <c r="R187" s="26">
        <v>0</v>
      </c>
      <c r="S187" s="26">
        <v>0</v>
      </c>
      <c r="T187" s="26">
        <v>0</v>
      </c>
      <c r="U187" s="26">
        <v>0</v>
      </c>
      <c r="V187" s="26">
        <v>0</v>
      </c>
      <c r="W187" s="26">
        <v>0</v>
      </c>
      <c r="X187" s="26">
        <f>-IF(VLOOKUP($B187,Resumo_HSF!$C$13:$AB$1000,16,FALSE)=VLOOKUP($B186,Resumo_HSF!$C$13:$AB$1000,16,FALSE),0,(VLOOKUP($B187,Resumo_HSF!$C$13:$AB$1000,16,FALSE)-VLOOKUP($B186,Resumo_HSF!$C$13:$AB$1000,16,FALSE))*VLOOKUP($B187,Resumo_HSF!$C$13:$AB$1000,15,FALSE))</f>
        <v>0</v>
      </c>
      <c r="Y187" s="26">
        <v>0</v>
      </c>
      <c r="Z187" s="26">
        <v>0</v>
      </c>
      <c r="AA187" s="26">
        <v>0</v>
      </c>
      <c r="AB187" s="26">
        <v>0</v>
      </c>
      <c r="AC187" s="26">
        <v>0</v>
      </c>
      <c r="AD187" s="15">
        <f t="shared" ref="AD187" si="112">SUM(D187:AB187)</f>
        <v>0</v>
      </c>
    </row>
    <row r="188" spans="2:30">
      <c r="B188" s="1">
        <v>45121</v>
      </c>
      <c r="C188" s="51">
        <f t="shared" ref="C188" si="113">AD188</f>
        <v>0</v>
      </c>
      <c r="D188" s="26">
        <v>0</v>
      </c>
      <c r="E188" s="26">
        <v>0</v>
      </c>
      <c r="F188" s="26">
        <v>0</v>
      </c>
      <c r="G188" s="26">
        <v>0</v>
      </c>
      <c r="H188" s="26">
        <v>0</v>
      </c>
      <c r="I188" s="26">
        <v>0</v>
      </c>
      <c r="J188" s="26">
        <v>0</v>
      </c>
      <c r="K188">
        <f>-VLOOKUP(B188,Resumo_HSF!$C$13:$AH$200,28,FALSE)</f>
        <v>0</v>
      </c>
      <c r="L188" s="26">
        <v>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6">
        <v>0</v>
      </c>
      <c r="T188" s="26">
        <v>0</v>
      </c>
      <c r="U188" s="26">
        <v>0</v>
      </c>
      <c r="V188" s="26">
        <v>0</v>
      </c>
      <c r="W188" s="26">
        <v>0</v>
      </c>
      <c r="X188" s="26">
        <f>-IF(VLOOKUP($B188,Resumo_HSF!$C$13:$AB$1000,16,FALSE)=VLOOKUP($B187,Resumo_HSF!$C$13:$AB$1000,16,FALSE),0,(VLOOKUP($B188,Resumo_HSF!$C$13:$AB$1000,16,FALSE)-VLOOKUP($B187,Resumo_HSF!$C$13:$AB$1000,16,FALSE))*VLOOKUP($B188,Resumo_HSF!$C$13:$AB$1000,15,FALSE))</f>
        <v>0</v>
      </c>
      <c r="Y188" s="26">
        <v>0</v>
      </c>
      <c r="Z188" s="26">
        <v>0</v>
      </c>
      <c r="AA188" s="26">
        <v>0</v>
      </c>
      <c r="AB188" s="26">
        <v>0</v>
      </c>
      <c r="AC188" s="26">
        <v>0</v>
      </c>
      <c r="AD188" s="15">
        <f t="shared" ref="AD188" si="114">SUM(D188:AB188)</f>
        <v>0</v>
      </c>
    </row>
    <row r="189" spans="2:30">
      <c r="B189" s="1">
        <v>45124</v>
      </c>
      <c r="C189" s="51">
        <f t="shared" ref="C189:C190" si="115">AD189</f>
        <v>0</v>
      </c>
      <c r="D189" s="26">
        <v>0</v>
      </c>
      <c r="E189" s="26">
        <v>0</v>
      </c>
      <c r="F189" s="26">
        <v>0</v>
      </c>
      <c r="G189" s="26">
        <v>0</v>
      </c>
      <c r="H189" s="26">
        <v>0</v>
      </c>
      <c r="I189" s="26">
        <v>0</v>
      </c>
      <c r="J189" s="26">
        <v>0</v>
      </c>
      <c r="K189">
        <f>-VLOOKUP(B189,Resumo_HSF!$C$13:$AH$200,28,FALSE)</f>
        <v>0</v>
      </c>
      <c r="L189" s="26">
        <v>0</v>
      </c>
      <c r="M189" s="26">
        <v>0</v>
      </c>
      <c r="N189" s="26">
        <v>0</v>
      </c>
      <c r="O189" s="26">
        <v>0</v>
      </c>
      <c r="P189" s="26">
        <v>0</v>
      </c>
      <c r="Q189" s="26">
        <v>0</v>
      </c>
      <c r="R189" s="26">
        <v>0</v>
      </c>
      <c r="S189" s="26">
        <v>0</v>
      </c>
      <c r="T189" s="26">
        <v>0</v>
      </c>
      <c r="U189" s="26">
        <v>0</v>
      </c>
      <c r="V189" s="26">
        <v>0</v>
      </c>
      <c r="W189" s="26">
        <v>0</v>
      </c>
      <c r="X189" s="26">
        <f>-IF(VLOOKUP($B189,Resumo_HSF!$C$13:$AB$1000,16,FALSE)=VLOOKUP($B188,Resumo_HSF!$C$13:$AB$1000,16,FALSE),0,(VLOOKUP($B189,Resumo_HSF!$C$13:$AB$1000,16,FALSE)-VLOOKUP($B188,Resumo_HSF!$C$13:$AB$1000,16,FALSE))*VLOOKUP($B189,Resumo_HSF!$C$13:$AB$1000,15,FALSE))</f>
        <v>0</v>
      </c>
      <c r="Y189" s="26">
        <v>0</v>
      </c>
      <c r="Z189" s="26">
        <v>0</v>
      </c>
      <c r="AA189" s="26">
        <v>0</v>
      </c>
      <c r="AB189" s="26">
        <v>0</v>
      </c>
      <c r="AC189" s="26">
        <v>0</v>
      </c>
      <c r="AD189" s="15">
        <f t="shared" ref="AD189:AD190" si="116">SUM(D189:AB189)</f>
        <v>0</v>
      </c>
    </row>
    <row r="190" spans="2:30">
      <c r="B190" s="1">
        <v>45125</v>
      </c>
      <c r="C190" s="51">
        <f t="shared" si="115"/>
        <v>0</v>
      </c>
      <c r="D190" s="26">
        <v>0</v>
      </c>
      <c r="E190" s="26">
        <v>0</v>
      </c>
      <c r="F190" s="26">
        <v>0</v>
      </c>
      <c r="G190" s="26">
        <v>0</v>
      </c>
      <c r="H190" s="26">
        <v>0</v>
      </c>
      <c r="I190" s="26">
        <v>0</v>
      </c>
      <c r="J190" s="26">
        <v>0</v>
      </c>
      <c r="K190">
        <f>-VLOOKUP(B190,Resumo_HSF!$C$13:$AH$200,28,FALSE)</f>
        <v>0</v>
      </c>
      <c r="L190" s="26">
        <v>0</v>
      </c>
      <c r="M190" s="26">
        <v>0</v>
      </c>
      <c r="N190" s="26">
        <v>0</v>
      </c>
      <c r="O190" s="26">
        <v>0</v>
      </c>
      <c r="P190" s="26">
        <v>0</v>
      </c>
      <c r="Q190" s="26">
        <v>0</v>
      </c>
      <c r="R190" s="26">
        <v>0</v>
      </c>
      <c r="S190" s="26">
        <v>0</v>
      </c>
      <c r="T190" s="26">
        <v>0</v>
      </c>
      <c r="U190" s="26">
        <v>0</v>
      </c>
      <c r="V190" s="26">
        <v>0</v>
      </c>
      <c r="W190" s="26">
        <v>0</v>
      </c>
      <c r="X190" s="26">
        <f>-IF(VLOOKUP($B190,Resumo_HSF!$C$13:$AB$1000,16,FALSE)=VLOOKUP($B189,Resumo_HSF!$C$13:$AB$1000,16,FALSE),0,(VLOOKUP($B190,Resumo_HSF!$C$13:$AB$1000,16,FALSE)-VLOOKUP($B189,Resumo_HSF!$C$13:$AB$1000,16,FALSE))*VLOOKUP($B190,Resumo_HSF!$C$13:$AB$1000,15,FALSE))</f>
        <v>0</v>
      </c>
      <c r="Y190" s="26">
        <v>0</v>
      </c>
      <c r="Z190" s="26">
        <v>0</v>
      </c>
      <c r="AA190" s="26">
        <v>0</v>
      </c>
      <c r="AB190" s="26">
        <v>0</v>
      </c>
      <c r="AC190" s="26">
        <v>0</v>
      </c>
      <c r="AD190" s="15">
        <f t="shared" si="116"/>
        <v>0</v>
      </c>
    </row>
    <row r="191" spans="2:30">
      <c r="B191" s="1">
        <v>45126</v>
      </c>
      <c r="C191" s="51">
        <f t="shared" ref="C191" si="117">AD191</f>
        <v>0</v>
      </c>
      <c r="D191" s="26">
        <v>0</v>
      </c>
      <c r="E191" s="26">
        <v>0</v>
      </c>
      <c r="F191" s="26">
        <v>0</v>
      </c>
      <c r="G191" s="26">
        <v>0</v>
      </c>
      <c r="H191" s="26">
        <v>0</v>
      </c>
      <c r="I191" s="26">
        <v>0</v>
      </c>
      <c r="J191" s="26">
        <v>0</v>
      </c>
      <c r="K191">
        <f>-VLOOKUP(B191,Resumo_HSF!$C$13:$AH$200,28,FALSE)</f>
        <v>0</v>
      </c>
      <c r="L191" s="26">
        <v>0</v>
      </c>
      <c r="M191" s="26">
        <v>0</v>
      </c>
      <c r="N191" s="26">
        <v>0</v>
      </c>
      <c r="O191" s="26">
        <v>0</v>
      </c>
      <c r="P191" s="26">
        <v>0</v>
      </c>
      <c r="Q191" s="26">
        <v>0</v>
      </c>
      <c r="R191" s="26">
        <v>0</v>
      </c>
      <c r="S191" s="26">
        <v>0</v>
      </c>
      <c r="T191" s="26">
        <v>0</v>
      </c>
      <c r="U191" s="26">
        <v>0</v>
      </c>
      <c r="V191" s="26">
        <v>0</v>
      </c>
      <c r="W191" s="26">
        <v>0</v>
      </c>
      <c r="X191" s="26">
        <f>-IF(VLOOKUP($B191,Resumo_HSF!$C$13:$AB$1000,16,FALSE)=VLOOKUP($B190,Resumo_HSF!$C$13:$AB$1000,16,FALSE),0,(VLOOKUP($B191,Resumo_HSF!$C$13:$AB$1000,16,FALSE)-VLOOKUP($B190,Resumo_HSF!$C$13:$AB$1000,16,FALSE))*VLOOKUP($B191,Resumo_HSF!$C$13:$AB$1000,15,FALSE))</f>
        <v>0</v>
      </c>
      <c r="Y191" s="26">
        <v>0</v>
      </c>
      <c r="Z191" s="26">
        <v>0</v>
      </c>
      <c r="AA191" s="26">
        <v>0</v>
      </c>
      <c r="AB191" s="26">
        <v>0</v>
      </c>
      <c r="AC191" s="26">
        <v>0</v>
      </c>
      <c r="AD191" s="15">
        <f t="shared" ref="AD191" si="118">SUM(D191:AB191)</f>
        <v>0</v>
      </c>
    </row>
    <row r="192" spans="2:30">
      <c r="B192" s="1">
        <v>45127</v>
      </c>
      <c r="C192" s="51">
        <f t="shared" ref="C192" si="119">AD192</f>
        <v>0</v>
      </c>
      <c r="D192" s="26">
        <v>0</v>
      </c>
      <c r="E192" s="26">
        <v>0</v>
      </c>
      <c r="F192" s="26">
        <v>0</v>
      </c>
      <c r="G192" s="26">
        <v>0</v>
      </c>
      <c r="H192" s="26">
        <v>0</v>
      </c>
      <c r="I192" s="26">
        <v>0</v>
      </c>
      <c r="J192" s="26">
        <v>0</v>
      </c>
      <c r="K192">
        <f>-VLOOKUP(B192,Resumo_HSF!$C$13:$AH$200,28,FALSE)</f>
        <v>0</v>
      </c>
      <c r="L192" s="26">
        <v>0</v>
      </c>
      <c r="M192" s="26">
        <v>0</v>
      </c>
      <c r="N192" s="26">
        <v>0</v>
      </c>
      <c r="O192" s="26">
        <v>0</v>
      </c>
      <c r="P192" s="26">
        <v>0</v>
      </c>
      <c r="Q192" s="26">
        <v>0</v>
      </c>
      <c r="R192" s="26">
        <v>0</v>
      </c>
      <c r="S192" s="26">
        <v>0</v>
      </c>
      <c r="T192" s="26">
        <v>0</v>
      </c>
      <c r="U192" s="26">
        <v>0</v>
      </c>
      <c r="V192" s="26">
        <v>0</v>
      </c>
      <c r="W192" s="26">
        <v>0</v>
      </c>
      <c r="X192" s="26">
        <f>-IF(VLOOKUP($B192,Resumo_HSF!$C$13:$AB$1000,16,FALSE)=VLOOKUP($B191,Resumo_HSF!$C$13:$AB$1000,16,FALSE),0,(VLOOKUP($B192,Resumo_HSF!$C$13:$AB$1000,16,FALSE)-VLOOKUP($B191,Resumo_HSF!$C$13:$AB$1000,16,FALSE))*VLOOKUP($B192,Resumo_HSF!$C$13:$AB$1000,15,FALSE))</f>
        <v>0</v>
      </c>
      <c r="Y192" s="26">
        <v>0</v>
      </c>
      <c r="Z192" s="26">
        <v>0</v>
      </c>
      <c r="AA192" s="26">
        <v>0</v>
      </c>
      <c r="AB192" s="26">
        <v>0</v>
      </c>
      <c r="AC192" s="26">
        <v>0</v>
      </c>
      <c r="AD192" s="15">
        <f t="shared" ref="AD192" si="120">SUM(D192:AB192)</f>
        <v>0</v>
      </c>
    </row>
    <row r="193" spans="2:30">
      <c r="B193" s="1">
        <v>45128</v>
      </c>
      <c r="C193" s="51">
        <f t="shared" ref="C193" si="121">AD193</f>
        <v>0</v>
      </c>
      <c r="D193" s="26">
        <v>0</v>
      </c>
      <c r="E193" s="26">
        <v>0</v>
      </c>
      <c r="F193" s="26">
        <v>0</v>
      </c>
      <c r="G193" s="26">
        <v>0</v>
      </c>
      <c r="H193" s="26">
        <v>0</v>
      </c>
      <c r="I193" s="26">
        <v>0</v>
      </c>
      <c r="J193" s="26">
        <v>0</v>
      </c>
      <c r="K193">
        <f>-VLOOKUP(B193,Resumo_HSF!$C$13:$AH$200,28,FALSE)</f>
        <v>0</v>
      </c>
      <c r="L193" s="26">
        <v>0</v>
      </c>
      <c r="M193" s="26">
        <v>0</v>
      </c>
      <c r="N193" s="26">
        <v>0</v>
      </c>
      <c r="O193" s="26">
        <v>0</v>
      </c>
      <c r="P193" s="26">
        <v>0</v>
      </c>
      <c r="Q193" s="26">
        <v>0</v>
      </c>
      <c r="R193" s="26">
        <v>0</v>
      </c>
      <c r="S193" s="26">
        <v>0</v>
      </c>
      <c r="T193" s="26">
        <v>0</v>
      </c>
      <c r="U193" s="26">
        <v>0</v>
      </c>
      <c r="V193" s="26">
        <v>0</v>
      </c>
      <c r="W193" s="26">
        <v>0</v>
      </c>
      <c r="X193" s="26">
        <f>-IF(VLOOKUP($B193,Resumo_HSF!$C$13:$AB$1000,16,FALSE)=VLOOKUP($B192,Resumo_HSF!$C$13:$AB$1000,16,FALSE),0,(VLOOKUP($B193,Resumo_HSF!$C$13:$AB$1000,16,FALSE)-VLOOKUP($B192,Resumo_HSF!$C$13:$AB$1000,16,FALSE))*VLOOKUP($B193,Resumo_HSF!$C$13:$AB$1000,15,FALSE))</f>
        <v>0</v>
      </c>
      <c r="Y193" s="26">
        <v>0</v>
      </c>
      <c r="Z193" s="26">
        <v>0</v>
      </c>
      <c r="AA193" s="26">
        <v>0</v>
      </c>
      <c r="AB193" s="26">
        <v>0</v>
      </c>
      <c r="AC193" s="26">
        <v>0</v>
      </c>
      <c r="AD193" s="15">
        <f t="shared" ref="AD193" si="122">SUM(D193:AB193)</f>
        <v>0</v>
      </c>
    </row>
    <row r="194" spans="2:30">
      <c r="B194" s="1">
        <v>45131</v>
      </c>
      <c r="C194" s="51">
        <f t="shared" ref="C194" si="123">AD194</f>
        <v>0</v>
      </c>
      <c r="D194" s="26">
        <v>0</v>
      </c>
      <c r="E194" s="26">
        <v>0</v>
      </c>
      <c r="F194" s="26">
        <v>0</v>
      </c>
      <c r="G194" s="26">
        <v>0</v>
      </c>
      <c r="H194" s="26">
        <v>0</v>
      </c>
      <c r="I194" s="26">
        <v>0</v>
      </c>
      <c r="J194" s="26">
        <v>0</v>
      </c>
      <c r="K194">
        <f>-VLOOKUP(B194,Resumo_HSF!$C$13:$AH$200,28,FALSE)</f>
        <v>0</v>
      </c>
      <c r="L194" s="26">
        <v>0</v>
      </c>
      <c r="M194" s="26">
        <v>0</v>
      </c>
      <c r="N194" s="26">
        <v>0</v>
      </c>
      <c r="O194" s="26">
        <v>0</v>
      </c>
      <c r="P194" s="26">
        <v>0</v>
      </c>
      <c r="Q194" s="26">
        <v>0</v>
      </c>
      <c r="R194" s="26">
        <v>0</v>
      </c>
      <c r="S194" s="26">
        <v>0</v>
      </c>
      <c r="T194" s="26">
        <v>0</v>
      </c>
      <c r="U194" s="26">
        <v>0</v>
      </c>
      <c r="V194" s="26">
        <v>0</v>
      </c>
      <c r="W194" s="26">
        <v>0</v>
      </c>
      <c r="X194" s="26">
        <f>-IF(VLOOKUP($B194,Resumo_HSF!$C$13:$AB$1000,16,FALSE)=VLOOKUP($B193,Resumo_HSF!$C$13:$AB$1000,16,FALSE),0,(VLOOKUP($B194,Resumo_HSF!$C$13:$AB$1000,16,FALSE)-VLOOKUP($B193,Resumo_HSF!$C$13:$AB$1000,16,FALSE))*VLOOKUP($B194,Resumo_HSF!$C$13:$AB$1000,15,FALSE))</f>
        <v>0</v>
      </c>
      <c r="Y194" s="26">
        <v>0</v>
      </c>
      <c r="Z194" s="26">
        <v>0</v>
      </c>
      <c r="AA194" s="26">
        <v>0</v>
      </c>
      <c r="AB194" s="26">
        <v>0</v>
      </c>
      <c r="AC194" s="26">
        <v>0</v>
      </c>
      <c r="AD194" s="15">
        <f t="shared" ref="AD194" si="124">SUM(D194:AB194)</f>
        <v>0</v>
      </c>
    </row>
    <row r="195" spans="2:30">
      <c r="B195" s="1">
        <v>45132</v>
      </c>
      <c r="C195" s="51">
        <f t="shared" ref="C195" si="125">AD195</f>
        <v>0</v>
      </c>
      <c r="D195" s="26">
        <v>0</v>
      </c>
      <c r="E195" s="26">
        <v>0</v>
      </c>
      <c r="F195" s="26">
        <v>0</v>
      </c>
      <c r="G195" s="26">
        <v>0</v>
      </c>
      <c r="H195" s="26">
        <v>0</v>
      </c>
      <c r="I195" s="26">
        <v>0</v>
      </c>
      <c r="J195" s="26">
        <v>0</v>
      </c>
      <c r="K195">
        <f>-VLOOKUP(B195,Resumo_HSF!$C$13:$AH$200,28,FALSE)</f>
        <v>0</v>
      </c>
      <c r="L195" s="26">
        <v>0</v>
      </c>
      <c r="M195" s="26">
        <v>0</v>
      </c>
      <c r="N195" s="26">
        <v>0</v>
      </c>
      <c r="O195" s="26">
        <v>0</v>
      </c>
      <c r="P195" s="26">
        <v>0</v>
      </c>
      <c r="Q195" s="26">
        <v>0</v>
      </c>
      <c r="R195" s="26">
        <v>0</v>
      </c>
      <c r="S195" s="26">
        <v>0</v>
      </c>
      <c r="T195" s="26">
        <v>0</v>
      </c>
      <c r="U195" s="26">
        <v>0</v>
      </c>
      <c r="V195" s="26">
        <v>0</v>
      </c>
      <c r="W195" s="26">
        <v>0</v>
      </c>
      <c r="X195" s="26">
        <f>-IF(VLOOKUP($B195,Resumo_HSF!$C$13:$AB$1000,16,FALSE)=VLOOKUP($B194,Resumo_HSF!$C$13:$AB$1000,16,FALSE),0,(VLOOKUP($B195,Resumo_HSF!$C$13:$AB$1000,16,FALSE)-VLOOKUP($B194,Resumo_HSF!$C$13:$AB$1000,16,FALSE))*VLOOKUP($B195,Resumo_HSF!$C$13:$AB$1000,15,FALSE))</f>
        <v>0</v>
      </c>
      <c r="Y195" s="26">
        <v>0</v>
      </c>
      <c r="Z195" s="26">
        <v>0</v>
      </c>
      <c r="AA195" s="26">
        <v>0</v>
      </c>
      <c r="AB195" s="26">
        <v>0</v>
      </c>
      <c r="AC195" s="26">
        <v>0</v>
      </c>
      <c r="AD195" s="15">
        <f t="shared" ref="AD195" si="126">SUM(D195:AB195)</f>
        <v>0</v>
      </c>
    </row>
    <row r="196" spans="2:30">
      <c r="B196" s="1">
        <v>45133</v>
      </c>
      <c r="C196" s="51">
        <f t="shared" ref="C196" si="127">AD196</f>
        <v>0</v>
      </c>
      <c r="D196" s="26">
        <v>0</v>
      </c>
      <c r="E196" s="26">
        <v>0</v>
      </c>
      <c r="F196" s="26">
        <v>0</v>
      </c>
      <c r="G196" s="26">
        <v>0</v>
      </c>
      <c r="H196" s="26">
        <v>0</v>
      </c>
      <c r="I196" s="26">
        <v>0</v>
      </c>
      <c r="J196" s="26">
        <v>0</v>
      </c>
      <c r="K196">
        <f>-VLOOKUP(B196,Resumo_HSF!$C$13:$AH$200,28,FALSE)</f>
        <v>0</v>
      </c>
      <c r="L196" s="26">
        <v>0</v>
      </c>
      <c r="M196" s="26">
        <v>0</v>
      </c>
      <c r="N196" s="26">
        <v>0</v>
      </c>
      <c r="O196" s="26">
        <v>0</v>
      </c>
      <c r="P196" s="26">
        <v>0</v>
      </c>
      <c r="Q196" s="26">
        <v>0</v>
      </c>
      <c r="R196" s="26">
        <v>0</v>
      </c>
      <c r="S196" s="26">
        <v>0</v>
      </c>
      <c r="T196" s="26">
        <v>0</v>
      </c>
      <c r="U196" s="26">
        <v>0</v>
      </c>
      <c r="V196" s="26">
        <v>0</v>
      </c>
      <c r="W196" s="26">
        <v>0</v>
      </c>
      <c r="X196" s="26">
        <f>-IF(VLOOKUP($B196,Resumo_HSF!$C$13:$AB$1000,16,FALSE)=VLOOKUP($B195,Resumo_HSF!$C$13:$AB$1000,16,FALSE),0,(VLOOKUP($B196,Resumo_HSF!$C$13:$AB$1000,16,FALSE)-VLOOKUP($B195,Resumo_HSF!$C$13:$AB$1000,16,FALSE))*VLOOKUP($B196,Resumo_HSF!$C$13:$AB$1000,15,FALSE))</f>
        <v>0</v>
      </c>
      <c r="Y196" s="26">
        <v>0</v>
      </c>
      <c r="Z196" s="26">
        <v>0</v>
      </c>
      <c r="AA196" s="26">
        <v>0</v>
      </c>
      <c r="AB196" s="26">
        <v>0</v>
      </c>
      <c r="AC196" s="26">
        <v>0</v>
      </c>
      <c r="AD196" s="15">
        <f t="shared" ref="AD196" si="128">SUM(D196:AB196)</f>
        <v>0</v>
      </c>
    </row>
    <row r="197" spans="2:30">
      <c r="B197" s="1">
        <v>45134</v>
      </c>
      <c r="C197" s="51">
        <f t="shared" ref="C197" si="129">AD197</f>
        <v>0</v>
      </c>
      <c r="D197" s="26">
        <v>0</v>
      </c>
      <c r="E197" s="26">
        <v>0</v>
      </c>
      <c r="F197" s="26">
        <v>0</v>
      </c>
      <c r="G197" s="26">
        <v>0</v>
      </c>
      <c r="H197" s="26">
        <v>0</v>
      </c>
      <c r="I197" s="26">
        <v>0</v>
      </c>
      <c r="J197" s="26">
        <v>0</v>
      </c>
      <c r="K197">
        <f>-VLOOKUP(B197,Resumo_HSF!$C$13:$AH$200,28,FALSE)</f>
        <v>0</v>
      </c>
      <c r="L197" s="26">
        <v>0</v>
      </c>
      <c r="M197" s="26">
        <v>0</v>
      </c>
      <c r="N197" s="26">
        <v>0</v>
      </c>
      <c r="O197" s="26">
        <v>0</v>
      </c>
      <c r="P197" s="26">
        <v>0</v>
      </c>
      <c r="Q197" s="26">
        <v>0</v>
      </c>
      <c r="R197" s="26">
        <v>0</v>
      </c>
      <c r="S197" s="26">
        <v>0</v>
      </c>
      <c r="T197" s="26">
        <v>0</v>
      </c>
      <c r="U197" s="26">
        <v>0</v>
      </c>
      <c r="V197" s="26">
        <v>0</v>
      </c>
      <c r="W197" s="26">
        <v>0</v>
      </c>
      <c r="X197" s="26">
        <f>-IF(VLOOKUP($B197,Resumo_HSF!$C$13:$AB$1000,16,FALSE)=VLOOKUP($B196,Resumo_HSF!$C$13:$AB$1000,16,FALSE),0,(VLOOKUP($B197,Resumo_HSF!$C$13:$AB$1000,16,FALSE)-VLOOKUP($B196,Resumo_HSF!$C$13:$AB$1000,16,FALSE))*VLOOKUP($B197,Resumo_HSF!$C$13:$AB$1000,15,FALSE))</f>
        <v>0</v>
      </c>
      <c r="Y197" s="26">
        <v>0</v>
      </c>
      <c r="Z197" s="26">
        <v>0</v>
      </c>
      <c r="AA197" s="26">
        <v>0</v>
      </c>
      <c r="AB197" s="26">
        <v>0</v>
      </c>
      <c r="AC197" s="26">
        <v>0</v>
      </c>
      <c r="AD197" s="15">
        <f t="shared" ref="AD197" si="130">SUM(D197:AB197)</f>
        <v>0</v>
      </c>
    </row>
    <row r="198" spans="2:30">
      <c r="B198" s="1">
        <v>45135</v>
      </c>
      <c r="C198" s="51">
        <f t="shared" ref="C198" si="131">AD198</f>
        <v>0</v>
      </c>
      <c r="D198" s="26">
        <v>0</v>
      </c>
      <c r="E198" s="26">
        <v>0</v>
      </c>
      <c r="F198" s="26">
        <v>0</v>
      </c>
      <c r="G198" s="26">
        <v>0</v>
      </c>
      <c r="H198" s="26">
        <v>0</v>
      </c>
      <c r="I198" s="26">
        <v>0</v>
      </c>
      <c r="J198" s="26">
        <v>0</v>
      </c>
      <c r="K198">
        <f>-VLOOKUP(B198,Resumo_HSF!$C$13:$AH$200,28,FALSE)</f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26">
        <v>0</v>
      </c>
      <c r="U198" s="26">
        <v>0</v>
      </c>
      <c r="V198" s="26">
        <v>0</v>
      </c>
      <c r="W198" s="26">
        <v>0</v>
      </c>
      <c r="X198" s="26">
        <f>-IF(VLOOKUP($B198,Resumo_HSF!$C$13:$AB$1000,16,FALSE)=VLOOKUP($B197,Resumo_HSF!$C$13:$AB$1000,16,FALSE),0,(VLOOKUP($B198,Resumo_HSF!$C$13:$AB$1000,16,FALSE)-VLOOKUP($B197,Resumo_HSF!$C$13:$AB$1000,16,FALSE))*VLOOKUP($B198,Resumo_HSF!$C$13:$AB$1000,15,FALSE))</f>
        <v>0</v>
      </c>
      <c r="Y198" s="26">
        <v>0</v>
      </c>
      <c r="Z198" s="26">
        <v>0</v>
      </c>
      <c r="AA198" s="26">
        <v>0</v>
      </c>
      <c r="AB198" s="26">
        <v>0</v>
      </c>
      <c r="AC198" s="26">
        <v>0</v>
      </c>
      <c r="AD198" s="15">
        <f t="shared" ref="AD198" si="132">SUM(D198:AB198)</f>
        <v>0</v>
      </c>
    </row>
    <row r="199" spans="2:30">
      <c r="B199" s="1">
        <v>45138</v>
      </c>
      <c r="C199" s="51">
        <f t="shared" ref="C199" si="133">AD199</f>
        <v>0</v>
      </c>
      <c r="D199" s="26">
        <v>0</v>
      </c>
      <c r="E199" s="26">
        <v>0</v>
      </c>
      <c r="F199" s="26">
        <v>0</v>
      </c>
      <c r="G199" s="26">
        <v>0</v>
      </c>
      <c r="H199" s="26">
        <v>0</v>
      </c>
      <c r="I199" s="26">
        <v>0</v>
      </c>
      <c r="J199" s="26">
        <v>0</v>
      </c>
      <c r="K199">
        <f>-VLOOKUP(B199,Resumo_HSF!$C$13:$AH$200,28,FALSE)</f>
        <v>0</v>
      </c>
      <c r="L199" s="26">
        <v>0</v>
      </c>
      <c r="M199" s="26">
        <v>0</v>
      </c>
      <c r="N199" s="26">
        <v>0</v>
      </c>
      <c r="O199" s="26">
        <v>0</v>
      </c>
      <c r="P199" s="26">
        <v>0</v>
      </c>
      <c r="Q199" s="26">
        <v>0</v>
      </c>
      <c r="R199" s="26">
        <v>0</v>
      </c>
      <c r="S199" s="26">
        <v>0</v>
      </c>
      <c r="T199" s="26">
        <v>0</v>
      </c>
      <c r="U199" s="26">
        <v>0</v>
      </c>
      <c r="V199" s="26">
        <v>0</v>
      </c>
      <c r="W199" s="26">
        <v>0</v>
      </c>
      <c r="X199" s="26">
        <f>-IF(VLOOKUP($B199,Resumo_HSF!$C$13:$AB$1000,16,FALSE)=VLOOKUP($B198,Resumo_HSF!$C$13:$AB$1000,16,FALSE),0,(VLOOKUP($B199,Resumo_HSF!$C$13:$AB$1000,16,FALSE)-VLOOKUP($B198,Resumo_HSF!$C$13:$AB$1000,16,FALSE))*VLOOKUP($B199,Resumo_HSF!$C$13:$AB$1000,15,FALSE))</f>
        <v>0</v>
      </c>
      <c r="Y199" s="26">
        <v>0</v>
      </c>
      <c r="Z199" s="26">
        <v>0</v>
      </c>
      <c r="AA199" s="26">
        <v>0</v>
      </c>
      <c r="AB199" s="26">
        <v>0</v>
      </c>
      <c r="AC199" s="26">
        <v>0</v>
      </c>
      <c r="AD199" s="15">
        <f t="shared" ref="AD199" si="134">SUM(D199:AB199)</f>
        <v>0</v>
      </c>
    </row>
    <row r="200" spans="2:30">
      <c r="B200" s="1">
        <f>WORKDAY(B199,1,Feriados!A2:A842)</f>
        <v>45139</v>
      </c>
      <c r="C200" s="51">
        <f t="shared" ref="C200" si="135">AD200</f>
        <v>0</v>
      </c>
      <c r="D200" s="26">
        <v>0</v>
      </c>
      <c r="E200" s="26">
        <v>0</v>
      </c>
      <c r="F200" s="26">
        <v>0</v>
      </c>
      <c r="G200" s="26">
        <v>0</v>
      </c>
      <c r="H200" s="26">
        <v>0</v>
      </c>
      <c r="I200" s="26">
        <v>0</v>
      </c>
      <c r="J200" s="26">
        <v>0</v>
      </c>
      <c r="K200">
        <f>-VLOOKUP(B200,Resumo_HSF!$C$13:$AH$200,28,FALSE)</f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6">
        <v>0</v>
      </c>
      <c r="T200" s="26">
        <v>0</v>
      </c>
      <c r="U200" s="26">
        <v>0</v>
      </c>
      <c r="V200" s="26">
        <v>0</v>
      </c>
      <c r="W200" s="26">
        <v>0</v>
      </c>
      <c r="X200" s="26">
        <f>-IF(VLOOKUP($B200,Resumo_HSF!$C$13:$AB$1000,16,FALSE)=VLOOKUP($B199,Resumo_HSF!$C$13:$AB$1000,16,FALSE),0,(VLOOKUP($B200,Resumo_HSF!$C$13:$AB$1000,16,FALSE)-VLOOKUP($B199,Resumo_HSF!$C$13:$AB$1000,16,FALSE))*VLOOKUP($B200,Resumo_HSF!$C$13:$AB$1000,15,FALSE))</f>
        <v>0</v>
      </c>
      <c r="Y200" s="26">
        <v>0</v>
      </c>
      <c r="Z200" s="26">
        <v>0</v>
      </c>
      <c r="AA200" s="26">
        <v>0</v>
      </c>
      <c r="AB200" s="26">
        <v>0</v>
      </c>
      <c r="AC200" s="26">
        <v>0</v>
      </c>
      <c r="AD200" s="15">
        <f t="shared" ref="AD200" si="136">SUM(D200:AB200)</f>
        <v>0</v>
      </c>
    </row>
    <row r="201" spans="2:30">
      <c r="B201" s="1">
        <f>WORKDAY(B200,1,Feriados!A3:A843)</f>
        <v>45140</v>
      </c>
      <c r="C201" s="51">
        <f t="shared" ref="C201" si="137">AD201</f>
        <v>0</v>
      </c>
      <c r="D201" s="26">
        <v>0</v>
      </c>
      <c r="E201" s="26">
        <v>0</v>
      </c>
      <c r="F201" s="26">
        <v>0</v>
      </c>
      <c r="G201" s="26">
        <v>0</v>
      </c>
      <c r="H201" s="26">
        <v>0</v>
      </c>
      <c r="I201" s="26">
        <v>0</v>
      </c>
      <c r="J201" s="26">
        <v>0</v>
      </c>
      <c r="K201">
        <f>-VLOOKUP(B201,Resumo_HSF!$C$13:$AH$200,28,FALSE)</f>
        <v>0</v>
      </c>
      <c r="L201" s="26">
        <v>0</v>
      </c>
      <c r="M201" s="26">
        <v>0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26">
        <v>0</v>
      </c>
      <c r="T201" s="26">
        <v>0</v>
      </c>
      <c r="U201" s="26">
        <v>0</v>
      </c>
      <c r="V201" s="26">
        <v>0</v>
      </c>
      <c r="W201" s="26">
        <v>0</v>
      </c>
      <c r="X201" s="26">
        <f>-IF(VLOOKUP($B201,Resumo_HSF!$C$13:$AB$1000,16,FALSE)=VLOOKUP($B200,Resumo_HSF!$C$13:$AB$1000,16,FALSE),0,(VLOOKUP($B201,Resumo_HSF!$C$13:$AB$1000,16,FALSE)-VLOOKUP($B200,Resumo_HSF!$C$13:$AB$1000,16,FALSE))*VLOOKUP($B201,Resumo_HSF!$C$13:$AB$1000,15,FALSE))</f>
        <v>0</v>
      </c>
      <c r="Y201" s="26">
        <v>0</v>
      </c>
      <c r="Z201" s="26">
        <v>0</v>
      </c>
      <c r="AA201" s="26">
        <v>0</v>
      </c>
      <c r="AB201" s="26">
        <v>0</v>
      </c>
      <c r="AC201" s="26">
        <v>0</v>
      </c>
      <c r="AD201" s="15">
        <f t="shared" ref="AD201" si="138">SUM(D201:AB201)</f>
        <v>0</v>
      </c>
    </row>
    <row r="202" spans="2:30">
      <c r="B202" s="1">
        <f>WORKDAY(B201,1,Feriados!A4:A844)</f>
        <v>45141</v>
      </c>
      <c r="C202" s="51">
        <f t="shared" ref="C202:C203" si="139">AD202</f>
        <v>0</v>
      </c>
      <c r="D202" s="26">
        <v>0</v>
      </c>
      <c r="E202" s="26">
        <v>0</v>
      </c>
      <c r="F202" s="26">
        <v>0</v>
      </c>
      <c r="G202" s="26">
        <v>0</v>
      </c>
      <c r="H202" s="26">
        <v>0</v>
      </c>
      <c r="I202" s="26">
        <v>0</v>
      </c>
      <c r="J202" s="26">
        <v>0</v>
      </c>
      <c r="K202">
        <f>-VLOOKUP(B202,Resumo_HSF!$C$13:$AH$200,28,FALSE)</f>
        <v>0</v>
      </c>
      <c r="L202" s="26">
        <v>0</v>
      </c>
      <c r="M202" s="26">
        <v>0</v>
      </c>
      <c r="N202" s="26">
        <v>0</v>
      </c>
      <c r="O202" s="26">
        <v>0</v>
      </c>
      <c r="P202" s="26">
        <v>0</v>
      </c>
      <c r="Q202" s="26">
        <v>0</v>
      </c>
      <c r="R202" s="26">
        <v>0</v>
      </c>
      <c r="S202" s="26">
        <v>0</v>
      </c>
      <c r="T202" s="26">
        <v>0</v>
      </c>
      <c r="U202" s="26">
        <v>0</v>
      </c>
      <c r="V202" s="26">
        <v>0</v>
      </c>
      <c r="W202" s="26">
        <v>0</v>
      </c>
      <c r="X202" s="26">
        <f>-IF(VLOOKUP($B202,Resumo_HSF!$C$13:$AB$1000,16,FALSE)=VLOOKUP($B201,Resumo_HSF!$C$13:$AB$1000,16,FALSE),0,(VLOOKUP($B202,Resumo_HSF!$C$13:$AB$1000,16,FALSE)-VLOOKUP($B201,Resumo_HSF!$C$13:$AB$1000,16,FALSE))*VLOOKUP($B202,Resumo_HSF!$C$13:$AB$1000,15,FALSE))</f>
        <v>0</v>
      </c>
      <c r="Y202" s="26">
        <v>0</v>
      </c>
      <c r="Z202" s="26">
        <v>0</v>
      </c>
      <c r="AA202" s="26">
        <v>0</v>
      </c>
      <c r="AB202" s="26">
        <v>0</v>
      </c>
      <c r="AC202" s="26">
        <v>0</v>
      </c>
      <c r="AD202" s="15">
        <f t="shared" ref="AD202:AD203" si="140">SUM(D202:AB202)</f>
        <v>0</v>
      </c>
    </row>
    <row r="203" spans="2:30">
      <c r="B203" s="1">
        <f>WORKDAY(B202,1,Feriados!A5:A845)</f>
        <v>45142</v>
      </c>
      <c r="C203" s="51">
        <f t="shared" si="139"/>
        <v>-1.6211361071327701E-6</v>
      </c>
      <c r="D203" s="26">
        <v>0</v>
      </c>
      <c r="E203" s="26">
        <v>0</v>
      </c>
      <c r="F203" s="26">
        <v>0</v>
      </c>
      <c r="G203" s="26">
        <v>0</v>
      </c>
      <c r="H203" s="26">
        <v>0</v>
      </c>
      <c r="I203" s="26">
        <v>0</v>
      </c>
      <c r="J203" s="26">
        <v>0</v>
      </c>
      <c r="K203">
        <f>-VLOOKUP(B203,Resumo_HSF!$C$13:$AH$200,28,FALSE)</f>
        <v>0</v>
      </c>
      <c r="L203" s="26">
        <v>0</v>
      </c>
      <c r="M203" s="26">
        <v>0</v>
      </c>
      <c r="N203" s="26">
        <v>0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0</v>
      </c>
      <c r="U203" s="26">
        <v>12000</v>
      </c>
      <c r="V203" s="26">
        <v>0</v>
      </c>
      <c r="W203" s="26">
        <v>0</v>
      </c>
      <c r="X203" s="26">
        <f>-IF(VLOOKUP($B203,Resumo_HSF!$C$13:$AB$1000,16,FALSE)=VLOOKUP($B202,Resumo_HSF!$C$13:$AB$1000,16,FALSE),0,(VLOOKUP($B203,Resumo_HSF!$C$13:$AB$1000,16,FALSE)-VLOOKUP($B202,Resumo_HSF!$C$13:$AB$1000,16,FALSE))*VLOOKUP($B203,Resumo_HSF!$C$13:$AB$1000,15,FALSE))</f>
        <v>-12000.000001621136</v>
      </c>
      <c r="Y203" s="26">
        <v>0</v>
      </c>
      <c r="Z203" s="26">
        <v>0</v>
      </c>
      <c r="AA203" s="26">
        <v>0</v>
      </c>
      <c r="AB203" s="26">
        <v>0</v>
      </c>
      <c r="AC203" s="26">
        <v>0</v>
      </c>
      <c r="AD203" s="15">
        <f t="shared" si="140"/>
        <v>-1.6211361071327701E-6</v>
      </c>
    </row>
    <row r="204" spans="2:30">
      <c r="B204" s="1">
        <f>WORKDAY(B203,1,Feriados!A6:A846)</f>
        <v>45145</v>
      </c>
      <c r="C204" s="51">
        <f t="shared" ref="C204:C205" si="141">AD204</f>
        <v>5.9999801031153766E-2</v>
      </c>
      <c r="D204" s="26">
        <v>-10600</v>
      </c>
      <c r="E204" s="26">
        <v>0</v>
      </c>
      <c r="F204" s="26">
        <v>0</v>
      </c>
      <c r="G204" s="26">
        <v>0</v>
      </c>
      <c r="H204" s="26">
        <v>0</v>
      </c>
      <c r="I204" s="26">
        <v>0</v>
      </c>
      <c r="J204" s="26">
        <v>0</v>
      </c>
      <c r="K204">
        <f>-VLOOKUP(B204,Resumo_HSF!$C$13:$AH$200,28,FALSE)</f>
        <v>0</v>
      </c>
      <c r="L204" s="26">
        <v>0</v>
      </c>
      <c r="M204" s="26">
        <v>0</v>
      </c>
      <c r="N204" s="26">
        <v>0</v>
      </c>
      <c r="O204" s="26">
        <v>0</v>
      </c>
      <c r="P204" s="26">
        <v>0</v>
      </c>
      <c r="Q204" s="26">
        <v>0</v>
      </c>
      <c r="R204" s="26">
        <v>0</v>
      </c>
      <c r="S204" s="26">
        <v>0</v>
      </c>
      <c r="T204" s="26">
        <v>0</v>
      </c>
      <c r="U204" s="26">
        <v>0</v>
      </c>
      <c r="V204" s="26">
        <v>0</v>
      </c>
      <c r="W204" s="26">
        <v>0</v>
      </c>
      <c r="X204" s="26">
        <f>-IF(VLOOKUP($B204,Resumo_HSF!$C$13:$AB$1000,16,FALSE)=VLOOKUP($B203,Resumo_HSF!$C$13:$AB$1000,16,FALSE),0,(VLOOKUP($B204,Resumo_HSF!$C$13:$AB$1000,16,FALSE)-VLOOKUP($B203,Resumo_HSF!$C$13:$AB$1000,16,FALSE))*VLOOKUP($B204,Resumo_HSF!$C$13:$AB$1000,15,FALSE))</f>
        <v>10600.059999801031</v>
      </c>
      <c r="Y204" s="26">
        <v>0</v>
      </c>
      <c r="Z204" s="26">
        <v>0</v>
      </c>
      <c r="AA204" s="26">
        <v>0</v>
      </c>
      <c r="AB204" s="26">
        <v>0</v>
      </c>
      <c r="AC204" s="26">
        <v>0</v>
      </c>
      <c r="AD204" s="15">
        <f t="shared" ref="AD204:AD205" si="142">SUM(D204:AB204)</f>
        <v>5.9999801031153766E-2</v>
      </c>
    </row>
    <row r="205" spans="2:30">
      <c r="B205" s="1">
        <f>WORKDAY(B204,1,Feriados!A7:A847)</f>
        <v>45146</v>
      </c>
      <c r="C205" s="51">
        <f t="shared" si="141"/>
        <v>0</v>
      </c>
      <c r="D205" s="26">
        <v>0</v>
      </c>
      <c r="E205" s="26">
        <v>0</v>
      </c>
      <c r="F205" s="26">
        <v>0</v>
      </c>
      <c r="G205" s="26">
        <v>0</v>
      </c>
      <c r="H205" s="26">
        <v>0</v>
      </c>
      <c r="I205" s="26">
        <v>0</v>
      </c>
      <c r="J205" s="26">
        <v>0</v>
      </c>
      <c r="K205">
        <f>-VLOOKUP(B205,Resumo_HSF!$C$13:$AH$200,28,FALSE)</f>
        <v>0</v>
      </c>
      <c r="L205" s="26">
        <v>0</v>
      </c>
      <c r="M205" s="26">
        <v>0</v>
      </c>
      <c r="N205" s="26">
        <v>0</v>
      </c>
      <c r="O205" s="26">
        <v>0</v>
      </c>
      <c r="P205" s="26">
        <v>0</v>
      </c>
      <c r="Q205" s="26">
        <v>0</v>
      </c>
      <c r="R205" s="26">
        <v>0</v>
      </c>
      <c r="S205" s="26">
        <v>0</v>
      </c>
      <c r="T205" s="26">
        <v>0</v>
      </c>
      <c r="U205" s="26">
        <v>0</v>
      </c>
      <c r="V205" s="26">
        <v>0</v>
      </c>
      <c r="W205" s="26">
        <v>0</v>
      </c>
      <c r="X205" s="26">
        <f>-IF(VLOOKUP($B205,Resumo_HSF!$C$13:$AB$1000,16,FALSE)=VLOOKUP($B204,Resumo_HSF!$C$13:$AB$1000,16,FALSE),0,(VLOOKUP($B205,Resumo_HSF!$C$13:$AB$1000,16,FALSE)-VLOOKUP($B204,Resumo_HSF!$C$13:$AB$1000,16,FALSE))*VLOOKUP($B205,Resumo_HSF!$C$13:$AB$1000,15,FALSE))</f>
        <v>0</v>
      </c>
      <c r="Y205" s="26">
        <v>0</v>
      </c>
      <c r="Z205" s="26">
        <v>0</v>
      </c>
      <c r="AA205" s="26">
        <v>0</v>
      </c>
      <c r="AB205" s="26">
        <v>0</v>
      </c>
      <c r="AC205" s="26">
        <v>0</v>
      </c>
      <c r="AD205" s="15">
        <f t="shared" si="142"/>
        <v>0</v>
      </c>
    </row>
    <row r="206" spans="2:30">
      <c r="B206" s="1">
        <f>WORKDAY(B205,1,Feriados!A8:A848)</f>
        <v>45147</v>
      </c>
      <c r="C206" s="51">
        <f t="shared" ref="C206" si="143">AD206</f>
        <v>0</v>
      </c>
      <c r="D206" s="26">
        <v>0</v>
      </c>
      <c r="E206" s="26">
        <v>0</v>
      </c>
      <c r="F206" s="26">
        <v>0</v>
      </c>
      <c r="G206" s="26">
        <v>0</v>
      </c>
      <c r="H206" s="26">
        <v>0</v>
      </c>
      <c r="I206" s="26">
        <v>0</v>
      </c>
      <c r="J206" s="26">
        <v>0</v>
      </c>
      <c r="K206">
        <f>-VLOOKUP(B206,Resumo_HSF!$C$13:$AH$200,28,FALSE)</f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26">
        <v>0</v>
      </c>
      <c r="U206" s="26">
        <v>0</v>
      </c>
      <c r="V206" s="26">
        <v>0</v>
      </c>
      <c r="W206" s="26">
        <v>0</v>
      </c>
      <c r="X206" s="26">
        <f>-IF(VLOOKUP($B206,Resumo_HSF!$C$13:$AB$1000,16,FALSE)=VLOOKUP($B205,Resumo_HSF!$C$13:$AB$1000,16,FALSE),0,(VLOOKUP($B206,Resumo_HSF!$C$13:$AB$1000,16,FALSE)-VLOOKUP($B205,Resumo_HSF!$C$13:$AB$1000,16,FALSE))*VLOOKUP($B206,Resumo_HSF!$C$13:$AB$1000,15,FALSE))</f>
        <v>0</v>
      </c>
      <c r="Y206" s="26">
        <v>0</v>
      </c>
      <c r="Z206" s="26">
        <v>0</v>
      </c>
      <c r="AA206" s="26">
        <v>0</v>
      </c>
      <c r="AB206" s="26">
        <v>0</v>
      </c>
      <c r="AC206" s="26">
        <v>0</v>
      </c>
      <c r="AD206" s="15">
        <f t="shared" ref="AD206" si="144">SUM(D206:AB206)</f>
        <v>0</v>
      </c>
    </row>
    <row r="207" spans="2:30">
      <c r="B207" s="1">
        <f>WORKDAY(B206,1,Feriados!A9:A849)</f>
        <v>45148</v>
      </c>
      <c r="C207" s="51">
        <f t="shared" ref="C207" si="145">AD207</f>
        <v>0</v>
      </c>
      <c r="D207" s="26">
        <v>0</v>
      </c>
      <c r="E207" s="26">
        <v>0</v>
      </c>
      <c r="F207" s="26">
        <v>0</v>
      </c>
      <c r="G207" s="26">
        <v>0</v>
      </c>
      <c r="H207" s="26">
        <v>0</v>
      </c>
      <c r="I207" s="26">
        <v>0</v>
      </c>
      <c r="J207" s="26">
        <v>0</v>
      </c>
      <c r="K207">
        <f>-VLOOKUP(B207,Resumo_HSF!$C$13:$AH$600,28,FALSE)</f>
        <v>0</v>
      </c>
      <c r="L207" s="26">
        <v>0</v>
      </c>
      <c r="M207" s="26">
        <v>0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26">
        <v>0</v>
      </c>
      <c r="U207" s="26">
        <v>0</v>
      </c>
      <c r="V207" s="26">
        <v>0</v>
      </c>
      <c r="W207" s="26">
        <v>0</v>
      </c>
      <c r="X207" s="26">
        <f>-IF(VLOOKUP($B207,Resumo_HSF!$C$13:$AB$1000,16,FALSE)=VLOOKUP($B206,Resumo_HSF!$C$13:$AB$1000,16,FALSE),0,(VLOOKUP($B207,Resumo_HSF!$C$13:$AB$1000,16,FALSE)-VLOOKUP($B206,Resumo_HSF!$C$13:$AB$1000,16,FALSE))*VLOOKUP($B207,Resumo_HSF!$C$13:$AB$1000,15,FALSE))</f>
        <v>0</v>
      </c>
      <c r="Y207" s="26">
        <v>0</v>
      </c>
      <c r="Z207" s="26">
        <v>0</v>
      </c>
      <c r="AA207" s="26">
        <v>0</v>
      </c>
      <c r="AB207" s="26">
        <v>0</v>
      </c>
      <c r="AC207" s="26">
        <v>0</v>
      </c>
      <c r="AD207" s="15">
        <f t="shared" ref="AD207" si="146">SUM(D207:AB207)</f>
        <v>0</v>
      </c>
    </row>
    <row r="208" spans="2:30">
      <c r="B208" s="1">
        <f>WORKDAY(B207,1,Feriados!A10:A850)</f>
        <v>45149</v>
      </c>
      <c r="C208" s="51">
        <f t="shared" ref="C208" si="147">AD208</f>
        <v>7.4291648388680187E-7</v>
      </c>
      <c r="D208" s="26">
        <v>0</v>
      </c>
      <c r="E208" s="26">
        <v>0</v>
      </c>
      <c r="F208" s="26">
        <v>0</v>
      </c>
      <c r="G208" s="26">
        <v>0</v>
      </c>
      <c r="H208" s="26">
        <v>0</v>
      </c>
      <c r="I208" s="26">
        <v>0</v>
      </c>
      <c r="J208" s="26">
        <v>0</v>
      </c>
      <c r="K208">
        <f>-VLOOKUP(B208,Resumo_HSF!$C$13:$AH$600,28,FALSE)</f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-145</v>
      </c>
      <c r="Q208" s="26">
        <v>0</v>
      </c>
      <c r="R208" s="26">
        <v>0</v>
      </c>
      <c r="S208" s="26">
        <v>0</v>
      </c>
      <c r="T208" s="26">
        <v>0</v>
      </c>
      <c r="U208" s="26">
        <v>0</v>
      </c>
      <c r="V208" s="26">
        <v>0</v>
      </c>
      <c r="W208" s="26">
        <v>0</v>
      </c>
      <c r="X208" s="26">
        <f>-IF(VLOOKUP($B208,Resumo_HSF!$C$13:$AB$1000,16,FALSE)=VLOOKUP($B207,Resumo_HSF!$C$13:$AB$1000,16,FALSE),0,(VLOOKUP($B208,Resumo_HSF!$C$13:$AB$1000,16,FALSE)-VLOOKUP($B207,Resumo_HSF!$C$13:$AB$1000,16,FALSE))*VLOOKUP($B208,Resumo_HSF!$C$13:$AB$1000,15,FALSE))</f>
        <v>145.00000074291648</v>
      </c>
      <c r="Y208" s="26">
        <v>0</v>
      </c>
      <c r="Z208" s="26">
        <v>0</v>
      </c>
      <c r="AA208" s="26">
        <v>0</v>
      </c>
      <c r="AB208" s="26">
        <v>0</v>
      </c>
      <c r="AC208" s="26">
        <v>0</v>
      </c>
      <c r="AD208" s="15">
        <f t="shared" ref="AD208" si="148">SUM(D208:AB208)</f>
        <v>7.4291648388680187E-7</v>
      </c>
    </row>
    <row r="209" spans="2:30">
      <c r="B209" s="1">
        <f>WORKDAY(B208,1,Feriados!A11:A851)</f>
        <v>45152</v>
      </c>
      <c r="C209" s="51">
        <f t="shared" ref="C209" si="149">AD209</f>
        <v>0</v>
      </c>
      <c r="D209" s="26">
        <v>0</v>
      </c>
      <c r="E209" s="26">
        <v>0</v>
      </c>
      <c r="F209" s="26">
        <v>0</v>
      </c>
      <c r="G209" s="26">
        <v>0</v>
      </c>
      <c r="H209" s="26">
        <v>0</v>
      </c>
      <c r="I209" s="26">
        <v>0</v>
      </c>
      <c r="J209" s="26">
        <v>0</v>
      </c>
      <c r="K209">
        <f>-VLOOKUP(B209,Resumo_HSF!$C$13:$AH$600,28,FALSE)</f>
        <v>0</v>
      </c>
      <c r="L209" s="26">
        <v>0</v>
      </c>
      <c r="M209" s="26">
        <v>0</v>
      </c>
      <c r="N209" s="26">
        <v>0</v>
      </c>
      <c r="O209" s="26">
        <v>0</v>
      </c>
      <c r="P209" s="26">
        <v>0</v>
      </c>
      <c r="Q209" s="26">
        <v>0</v>
      </c>
      <c r="R209" s="26">
        <v>0</v>
      </c>
      <c r="S209" s="26">
        <v>0</v>
      </c>
      <c r="T209" s="26">
        <v>0</v>
      </c>
      <c r="U209" s="26">
        <v>0</v>
      </c>
      <c r="V209" s="26">
        <v>0</v>
      </c>
      <c r="W209" s="26">
        <v>0</v>
      </c>
      <c r="X209" s="26">
        <f>-IF(VLOOKUP($B209,Resumo_HSF!$C$13:$AB$1000,16,FALSE)=VLOOKUP($B208,Resumo_HSF!$C$13:$AB$1000,16,FALSE),0,(VLOOKUP($B209,Resumo_HSF!$C$13:$AB$1000,16,FALSE)-VLOOKUP($B208,Resumo_HSF!$C$13:$AB$1000,16,FALSE))*VLOOKUP($B209,Resumo_HSF!$C$13:$AB$1000,15,FALSE))</f>
        <v>0</v>
      </c>
      <c r="Y209" s="26">
        <v>0</v>
      </c>
      <c r="Z209" s="26">
        <v>0</v>
      </c>
      <c r="AA209" s="26">
        <v>0</v>
      </c>
      <c r="AB209" s="26">
        <v>0</v>
      </c>
      <c r="AC209" s="26">
        <v>0</v>
      </c>
      <c r="AD209" s="15">
        <f t="shared" ref="AD209" si="150">SUM(D209:AB209)</f>
        <v>0</v>
      </c>
    </row>
    <row r="210" spans="2:30">
      <c r="B210" s="1">
        <f>WORKDAY(B209,1,Feriados!A12:A852)</f>
        <v>45153</v>
      </c>
      <c r="C210" s="51">
        <f t="shared" ref="C210" si="151">AD210</f>
        <v>0</v>
      </c>
      <c r="D210" s="26">
        <v>0</v>
      </c>
      <c r="E210" s="26">
        <v>0</v>
      </c>
      <c r="F210" s="26">
        <v>0</v>
      </c>
      <c r="G210" s="26">
        <v>0</v>
      </c>
      <c r="H210" s="26">
        <v>0</v>
      </c>
      <c r="I210" s="26">
        <v>0</v>
      </c>
      <c r="J210" s="26">
        <v>0</v>
      </c>
      <c r="K210">
        <f>-VLOOKUP(B210,Resumo_HSF!$C$13:$AH$600,28,FALSE)</f>
        <v>0</v>
      </c>
      <c r="L210" s="26">
        <v>0</v>
      </c>
      <c r="M210" s="26">
        <v>0</v>
      </c>
      <c r="N210" s="26">
        <v>0</v>
      </c>
      <c r="O210" s="26">
        <v>0</v>
      </c>
      <c r="P210" s="26">
        <v>0</v>
      </c>
      <c r="Q210" s="26">
        <v>0</v>
      </c>
      <c r="R210" s="26">
        <v>0</v>
      </c>
      <c r="S210" s="26">
        <v>0</v>
      </c>
      <c r="T210" s="26">
        <v>0</v>
      </c>
      <c r="U210" s="26">
        <v>0</v>
      </c>
      <c r="V210" s="26">
        <v>0</v>
      </c>
      <c r="W210" s="26">
        <v>0</v>
      </c>
      <c r="X210" s="26">
        <f>-IF(VLOOKUP($B210,Resumo_HSF!$C$13:$AB$1000,16,FALSE)=VLOOKUP($B209,Resumo_HSF!$C$13:$AB$1000,16,FALSE),0,(VLOOKUP($B210,Resumo_HSF!$C$13:$AB$1000,16,FALSE)-VLOOKUP($B209,Resumo_HSF!$C$13:$AB$1000,16,FALSE))*VLOOKUP($B210,Resumo_HSF!$C$13:$AB$1000,15,FALSE))</f>
        <v>0</v>
      </c>
      <c r="Y210" s="26">
        <v>0</v>
      </c>
      <c r="Z210" s="26">
        <v>0</v>
      </c>
      <c r="AA210" s="26">
        <v>0</v>
      </c>
      <c r="AB210" s="26">
        <v>0</v>
      </c>
      <c r="AC210" s="26">
        <v>0</v>
      </c>
      <c r="AD210" s="15">
        <f t="shared" ref="AD210" si="152">SUM(D210:AB210)</f>
        <v>0</v>
      </c>
    </row>
    <row r="211" spans="2:30">
      <c r="B211" s="1">
        <f>WORKDAY(B210,1,Feriados!A13:A853)</f>
        <v>45154</v>
      </c>
      <c r="C211" s="51">
        <f t="shared" ref="C211" si="153">AD211</f>
        <v>0</v>
      </c>
      <c r="D211" s="26">
        <v>0</v>
      </c>
      <c r="E211" s="26">
        <v>0</v>
      </c>
      <c r="F211" s="26">
        <v>0</v>
      </c>
      <c r="G211" s="26">
        <v>0</v>
      </c>
      <c r="H211" s="26">
        <v>0</v>
      </c>
      <c r="I211" s="26">
        <v>0</v>
      </c>
      <c r="J211" s="26">
        <v>0</v>
      </c>
      <c r="K211">
        <f>-VLOOKUP(B211,Resumo_HSF!$C$13:$AH$600,28,FALSE)</f>
        <v>0</v>
      </c>
      <c r="L211" s="26">
        <v>0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0</v>
      </c>
      <c r="W211" s="26">
        <v>0</v>
      </c>
      <c r="X211" s="26">
        <f>-IF(VLOOKUP($B211,Resumo_HSF!$C$13:$AB$1000,16,FALSE)=VLOOKUP($B210,Resumo_HSF!$C$13:$AB$1000,16,FALSE),0,(VLOOKUP($B211,Resumo_HSF!$C$13:$AB$1000,16,FALSE)-VLOOKUP($B210,Resumo_HSF!$C$13:$AB$1000,16,FALSE))*VLOOKUP($B211,Resumo_HSF!$C$13:$AB$1000,15,FALSE))</f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15">
        <f t="shared" ref="AD211" si="154">SUM(D211:AB211)</f>
        <v>0</v>
      </c>
    </row>
    <row r="212" spans="2:30">
      <c r="B212" s="1">
        <f>WORKDAY(B211,1,Feriados!A14:A854)</f>
        <v>45155</v>
      </c>
      <c r="C212" s="51">
        <f t="shared" ref="C212" si="155">AD212</f>
        <v>0</v>
      </c>
      <c r="D212" s="26">
        <v>0</v>
      </c>
      <c r="E212" s="26">
        <v>0</v>
      </c>
      <c r="F212" s="26">
        <v>0</v>
      </c>
      <c r="G212" s="26">
        <v>0</v>
      </c>
      <c r="H212" s="26">
        <v>0</v>
      </c>
      <c r="I212" s="26">
        <v>0</v>
      </c>
      <c r="J212" s="26">
        <v>0</v>
      </c>
      <c r="K212">
        <f>-VLOOKUP(B212,Resumo_HSF!$C$13:$AH$600,28,FALSE)</f>
        <v>0</v>
      </c>
      <c r="L212" s="26">
        <v>0</v>
      </c>
      <c r="M212" s="26">
        <v>0</v>
      </c>
      <c r="N212" s="26">
        <v>0</v>
      </c>
      <c r="O212" s="26">
        <v>0</v>
      </c>
      <c r="P212" s="26">
        <v>0</v>
      </c>
      <c r="Q212" s="26">
        <v>0</v>
      </c>
      <c r="R212" s="26">
        <v>0</v>
      </c>
      <c r="S212" s="26">
        <v>0</v>
      </c>
      <c r="T212" s="26">
        <v>0</v>
      </c>
      <c r="U212" s="26">
        <v>0</v>
      </c>
      <c r="V212" s="26">
        <v>0</v>
      </c>
      <c r="W212" s="26">
        <v>0</v>
      </c>
      <c r="X212" s="26">
        <f>-IF(VLOOKUP($B212,Resumo_HSF!$C$13:$AB$1000,16,FALSE)=VLOOKUP($B211,Resumo_HSF!$C$13:$AB$1000,16,FALSE),0,(VLOOKUP($B212,Resumo_HSF!$C$13:$AB$1000,16,FALSE)-VLOOKUP($B211,Resumo_HSF!$C$13:$AB$1000,16,FALSE))*VLOOKUP($B212,Resumo_HSF!$C$13:$AB$1000,15,FALSE))</f>
        <v>0</v>
      </c>
      <c r="Y212" s="26">
        <v>0</v>
      </c>
      <c r="Z212" s="26">
        <v>0</v>
      </c>
      <c r="AA212" s="26">
        <v>0</v>
      </c>
      <c r="AB212" s="26">
        <v>0</v>
      </c>
      <c r="AC212" s="26">
        <v>0</v>
      </c>
      <c r="AD212" s="15">
        <f t="shared" ref="AD212" si="156">SUM(D212:AB212)</f>
        <v>0</v>
      </c>
    </row>
    <row r="213" spans="2:30">
      <c r="B213" s="1">
        <f>WORKDAY(B212,1,Feriados!A15:A855)</f>
        <v>45156</v>
      </c>
      <c r="C213" s="51">
        <f t="shared" ref="C213" si="157">AD213</f>
        <v>0</v>
      </c>
      <c r="D213" s="26">
        <v>0</v>
      </c>
      <c r="E213" s="26">
        <v>0</v>
      </c>
      <c r="F213" s="26">
        <v>0</v>
      </c>
      <c r="G213" s="26">
        <v>0</v>
      </c>
      <c r="H213" s="26">
        <v>0</v>
      </c>
      <c r="I213" s="26">
        <v>0</v>
      </c>
      <c r="J213" s="26">
        <v>0</v>
      </c>
      <c r="K213">
        <f>-VLOOKUP(B213,Resumo_HSF!$C$13:$AH$600,28,FALSE)</f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f>-IF(VLOOKUP($B213,Resumo_HSF!$C$13:$AB$1000,16,FALSE)=VLOOKUP($B212,Resumo_HSF!$C$13:$AB$1000,16,FALSE),0,(VLOOKUP($B213,Resumo_HSF!$C$13:$AB$1000,16,FALSE)-VLOOKUP($B212,Resumo_HSF!$C$13:$AB$1000,16,FALSE))*VLOOKUP($B213,Resumo_HSF!$C$13:$AB$1000,15,FALSE))</f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0</v>
      </c>
      <c r="AD213" s="15">
        <f t="shared" ref="AD213" si="158">SUM(D213:AB213)</f>
        <v>0</v>
      </c>
    </row>
    <row r="214" spans="2:30">
      <c r="B214" s="1">
        <f>WORKDAY(B213,1,Feriados!A16:A856)</f>
        <v>45159</v>
      </c>
      <c r="C214" s="51">
        <f t="shared" ref="C214" si="159">AD214</f>
        <v>0</v>
      </c>
      <c r="D214" s="26">
        <v>0</v>
      </c>
      <c r="E214" s="26">
        <v>0</v>
      </c>
      <c r="F214" s="26">
        <v>0</v>
      </c>
      <c r="G214" s="26">
        <v>0</v>
      </c>
      <c r="H214" s="26">
        <v>0</v>
      </c>
      <c r="I214" s="26">
        <v>0</v>
      </c>
      <c r="J214" s="26">
        <v>0</v>
      </c>
      <c r="K214">
        <f>-VLOOKUP(B214,Resumo_HSF!$C$13:$AH$600,28,FALSE)</f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f>-IF(VLOOKUP($B214,Resumo_HSF!$C$13:$AB$1000,16,FALSE)=VLOOKUP($B213,Resumo_HSF!$C$13:$AB$1000,16,FALSE),0,(VLOOKUP($B214,Resumo_HSF!$C$13:$AB$1000,16,FALSE)-VLOOKUP($B213,Resumo_HSF!$C$13:$AB$1000,16,FALSE))*VLOOKUP($B214,Resumo_HSF!$C$13:$AB$1000,15,FALSE))</f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15">
        <f t="shared" ref="AD214" si="160">SUM(D214:AB214)</f>
        <v>0</v>
      </c>
    </row>
    <row r="215" spans="2:30">
      <c r="B215" s="1">
        <f>WORKDAY(B214,1,Feriados!A17:A857)</f>
        <v>45160</v>
      </c>
      <c r="C215" s="51">
        <f t="shared" ref="C215" si="161">AD215</f>
        <v>0</v>
      </c>
      <c r="D215" s="26">
        <v>0</v>
      </c>
      <c r="E215" s="26">
        <v>0</v>
      </c>
      <c r="F215" s="26">
        <v>0</v>
      </c>
      <c r="G215" s="26">
        <v>0</v>
      </c>
      <c r="H215" s="26">
        <v>0</v>
      </c>
      <c r="I215" s="26">
        <v>0</v>
      </c>
      <c r="J215" s="26">
        <v>0</v>
      </c>
      <c r="K215">
        <f>-VLOOKUP(B215,Resumo_HSF!$C$13:$AH$600,28,FALSE)</f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f>-IF(VLOOKUP($B215,Resumo_HSF!$C$13:$AB$1000,16,FALSE)=VLOOKUP($B214,Resumo_HSF!$C$13:$AB$1000,16,FALSE),0,(VLOOKUP($B215,Resumo_HSF!$C$13:$AB$1000,16,FALSE)-VLOOKUP($B214,Resumo_HSF!$C$13:$AB$1000,16,FALSE))*VLOOKUP($B215,Resumo_HSF!$C$13:$AB$1000,15,FALSE))</f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0</v>
      </c>
      <c r="AD215" s="15">
        <f t="shared" ref="AD215" si="162">SUM(D215:AB215)</f>
        <v>0</v>
      </c>
    </row>
    <row r="216" spans="2:30">
      <c r="B216" s="1">
        <f>WORKDAY(B215,1,Feriados!A18:A858)</f>
        <v>45161</v>
      </c>
      <c r="C216" s="51">
        <f t="shared" ref="C216:C217" si="163">AD216</f>
        <v>0</v>
      </c>
      <c r="D216" s="26">
        <v>0</v>
      </c>
      <c r="E216" s="26">
        <v>0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>
        <f>-VLOOKUP(B216,Resumo_HSF!$C$13:$AH$600,28,FALSE)</f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f>-IF(VLOOKUP($B216,Resumo_HSF!$C$13:$AB$1000,16,FALSE)=VLOOKUP($B215,Resumo_HSF!$C$13:$AB$1000,16,FALSE),0,(VLOOKUP($B216,Resumo_HSF!$C$13:$AB$1000,16,FALSE)-VLOOKUP($B215,Resumo_HSF!$C$13:$AB$1000,16,FALSE))*VLOOKUP($B216,Resumo_HSF!$C$13:$AB$1000,15,FALSE))</f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0</v>
      </c>
      <c r="AD216" s="15">
        <f t="shared" ref="AD216:AD217" si="164">SUM(D216:AB216)</f>
        <v>0</v>
      </c>
    </row>
    <row r="217" spans="2:30">
      <c r="B217" s="1">
        <f>WORKDAY(B216,1,Feriados!A19:A859)</f>
        <v>45162</v>
      </c>
      <c r="C217" s="51">
        <f t="shared" si="163"/>
        <v>0</v>
      </c>
      <c r="D217" s="26">
        <v>0</v>
      </c>
      <c r="E217" s="26">
        <v>0</v>
      </c>
      <c r="F217" s="26">
        <v>0</v>
      </c>
      <c r="G217" s="26">
        <v>0</v>
      </c>
      <c r="H217" s="26">
        <v>0</v>
      </c>
      <c r="I217" s="26">
        <v>0</v>
      </c>
      <c r="J217" s="26">
        <v>0</v>
      </c>
      <c r="K217">
        <f>-VLOOKUP(B217,Resumo_HSF!$C$13:$AH$600,28,FALSE)</f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f>-IF(VLOOKUP($B217,Resumo_HSF!$C$13:$AB$1000,16,FALSE)=VLOOKUP($B216,Resumo_HSF!$C$13:$AB$1000,16,FALSE),0,(VLOOKUP($B217,Resumo_HSF!$C$13:$AB$1000,16,FALSE)-VLOOKUP($B216,Resumo_HSF!$C$13:$AB$1000,16,FALSE))*VLOOKUP($B217,Resumo_HSF!$C$13:$AB$1000,15,FALSE))</f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0</v>
      </c>
      <c r="AD217" s="15">
        <f t="shared" si="164"/>
        <v>0</v>
      </c>
    </row>
    <row r="218" spans="2:30">
      <c r="B218" s="1">
        <f>WORKDAY(B217,1,Feriados!A20:A860)</f>
        <v>45163</v>
      </c>
      <c r="C218" s="51">
        <f t="shared" ref="C218" si="165">AD218</f>
        <v>0</v>
      </c>
      <c r="D218" s="26">
        <v>0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>
        <f>-VLOOKUP(B218,Resumo_HSF!$C$13:$AH$600,28,FALSE)</f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f>-IF(VLOOKUP($B218,Resumo_HSF!$C$13:$AB$1000,16,FALSE)=VLOOKUP($B217,Resumo_HSF!$C$13:$AB$1000,16,FALSE),0,(VLOOKUP($B218,Resumo_HSF!$C$13:$AB$1000,16,FALSE)-VLOOKUP($B217,Resumo_HSF!$C$13:$AB$1000,16,FALSE))*VLOOKUP($B218,Resumo_HSF!$C$13:$AB$1000,15,FALSE))</f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15">
        <f t="shared" ref="AD218" si="166">SUM(D218:AB218)</f>
        <v>0</v>
      </c>
    </row>
    <row r="219" spans="2:30">
      <c r="B219" s="1">
        <f>WORKDAY(B218,1,Feriados!A21:A861)</f>
        <v>45166</v>
      </c>
      <c r="C219" s="51">
        <f t="shared" ref="C219:C221" si="167">AD219</f>
        <v>0</v>
      </c>
      <c r="D219" s="26">
        <v>0</v>
      </c>
      <c r="E219" s="26">
        <v>0</v>
      </c>
      <c r="F219" s="26">
        <v>0</v>
      </c>
      <c r="G219" s="26">
        <v>0</v>
      </c>
      <c r="H219" s="26">
        <v>0</v>
      </c>
      <c r="I219" s="26">
        <v>0</v>
      </c>
      <c r="J219" s="26">
        <v>0</v>
      </c>
      <c r="K219">
        <f>-VLOOKUP(B219,Resumo_HSF!$C$13:$AH$600,28,FALSE)</f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f>-IF(VLOOKUP($B219,Resumo_HSF!$C$13:$AB$1000,16,FALSE)=VLOOKUP($B218,Resumo_HSF!$C$13:$AB$1000,16,FALSE),0,(VLOOKUP($B219,Resumo_HSF!$C$13:$AB$1000,16,FALSE)-VLOOKUP($B218,Resumo_HSF!$C$13:$AB$1000,16,FALSE))*VLOOKUP($B219,Resumo_HSF!$C$13:$AB$1000,15,FALSE))</f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15">
        <f t="shared" ref="AD219:AD221" si="168">SUM(D219:AB219)</f>
        <v>0</v>
      </c>
    </row>
    <row r="220" spans="2:30">
      <c r="B220" s="1">
        <f>WORKDAY(B219,1,Feriados!A22:A862)</f>
        <v>45167</v>
      </c>
      <c r="C220" s="51">
        <f t="shared" si="167"/>
        <v>0</v>
      </c>
      <c r="D220" s="26">
        <v>0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>
        <f>-VLOOKUP(B220,Resumo_HSF!$C$13:$AH$600,28,FALSE)</f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f>-IF(VLOOKUP($B220,Resumo_HSF!$C$13:$AB$1000,16,FALSE)=VLOOKUP($B219,Resumo_HSF!$C$13:$AB$1000,16,FALSE),0,(VLOOKUP($B220,Resumo_HSF!$C$13:$AB$1000,16,FALSE)-VLOOKUP($B219,Resumo_HSF!$C$13:$AB$1000,16,FALSE))*VLOOKUP($B220,Resumo_HSF!$C$13:$AB$1000,15,FALSE))</f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15">
        <f t="shared" si="168"/>
        <v>0</v>
      </c>
    </row>
    <row r="221" spans="2:30">
      <c r="B221" s="1">
        <f>WORKDAY(B220,1,Feriados!A23:A863)</f>
        <v>45168</v>
      </c>
      <c r="C221" s="51">
        <f t="shared" si="167"/>
        <v>0</v>
      </c>
      <c r="D221" s="26">
        <v>0</v>
      </c>
      <c r="E221" s="26">
        <v>0</v>
      </c>
      <c r="F221" s="26">
        <v>0</v>
      </c>
      <c r="G221" s="26">
        <v>0</v>
      </c>
      <c r="H221" s="26">
        <v>0</v>
      </c>
      <c r="I221" s="26">
        <v>0</v>
      </c>
      <c r="J221" s="26">
        <v>0</v>
      </c>
      <c r="K221">
        <f>-VLOOKUP(B221,Resumo_HSF!$C$13:$AH$600,28,FALSE)</f>
        <v>0</v>
      </c>
      <c r="L221" s="26">
        <v>0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f>-IF(VLOOKUP($B221,Resumo_HSF!$C$13:$AB$1000,16,FALSE)=VLOOKUP($B220,Resumo_HSF!$C$13:$AB$1000,16,FALSE),0,(VLOOKUP($B221,Resumo_HSF!$C$13:$AB$1000,16,FALSE)-VLOOKUP($B220,Resumo_HSF!$C$13:$AB$1000,16,FALSE))*VLOOKUP($B221,Resumo_HSF!$C$13:$AB$1000,15,FALSE))</f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0</v>
      </c>
      <c r="AD221" s="15">
        <f t="shared" si="168"/>
        <v>0</v>
      </c>
    </row>
    <row r="222" spans="2:30">
      <c r="B222" s="1">
        <f>WORKDAY(B221,1,Feriados!A24:A864)</f>
        <v>45169</v>
      </c>
      <c r="C222" s="51">
        <f t="shared" ref="C222" si="169">AD222</f>
        <v>0</v>
      </c>
      <c r="D222" s="26">
        <v>0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>
        <f>-VLOOKUP(B222,Resumo_HSF!$C$13:$AH$600,28,FALSE)</f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f>-IF(VLOOKUP($B222,Resumo_HSF!$C$13:$AB$1000,16,FALSE)=VLOOKUP($B221,Resumo_HSF!$C$13:$AB$1000,16,FALSE),0,(VLOOKUP($B222,Resumo_HSF!$C$13:$AB$1000,16,FALSE)-VLOOKUP($B221,Resumo_HSF!$C$13:$AB$1000,16,FALSE))*VLOOKUP($B222,Resumo_HSF!$C$13:$AB$1000,15,FALSE))</f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15">
        <f t="shared" ref="AD222" si="170">SUM(D222:AB222)</f>
        <v>0</v>
      </c>
    </row>
    <row r="223" spans="2:30">
      <c r="B223" s="1">
        <f>WORKDAY(B222,1,Feriados!A25:A865)</f>
        <v>45170</v>
      </c>
      <c r="C223" s="51">
        <f t="shared" ref="C223" si="171">AD223</f>
        <v>0</v>
      </c>
      <c r="D223" s="26">
        <v>0</v>
      </c>
      <c r="E223" s="26">
        <v>0</v>
      </c>
      <c r="F223" s="26">
        <v>0</v>
      </c>
      <c r="G223" s="26">
        <v>0</v>
      </c>
      <c r="H223" s="26">
        <v>0</v>
      </c>
      <c r="I223" s="26">
        <v>0</v>
      </c>
      <c r="J223" s="26">
        <v>0</v>
      </c>
      <c r="K223">
        <f>-VLOOKUP(B223,Resumo_HSF!$C$13:$AH$600,28,FALSE)</f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f>-IF(VLOOKUP($B223,Resumo_HSF!$C$13:$AB$1000,16,FALSE)=VLOOKUP($B222,Resumo_HSF!$C$13:$AB$1000,16,FALSE),0,(VLOOKUP($B223,Resumo_HSF!$C$13:$AB$1000,16,FALSE)-VLOOKUP($B222,Resumo_HSF!$C$13:$AB$1000,16,FALSE))*VLOOKUP($B223,Resumo_HSF!$C$13:$AB$1000,15,FALSE))</f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15">
        <f t="shared" ref="AD223" si="172">SUM(D223:AB223)</f>
        <v>0</v>
      </c>
    </row>
    <row r="224" spans="2:30">
      <c r="B224" s="1">
        <f>WORKDAY(B223,1,Feriados!A26:A866)</f>
        <v>45173</v>
      </c>
      <c r="C224" s="51">
        <f t="shared" ref="C224:C225" si="173">AD224</f>
        <v>0</v>
      </c>
      <c r="D224" s="26">
        <v>0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>
        <f>-VLOOKUP(B224,Resumo_HSF!$C$13:$AH$600,28,FALSE)</f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f>-IF(VLOOKUP($B224,Resumo_HSF!$C$13:$AB$1000,16,FALSE)=VLOOKUP($B223,Resumo_HSF!$C$13:$AB$1000,16,FALSE),0,(VLOOKUP($B224,Resumo_HSF!$C$13:$AB$1000,16,FALSE)-VLOOKUP($B223,Resumo_HSF!$C$13:$AB$1000,16,FALSE))*VLOOKUP($B224,Resumo_HSF!$C$13:$AB$1000,15,FALSE))</f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0</v>
      </c>
      <c r="AD224" s="15">
        <f t="shared" ref="AD224:AD225" si="174">SUM(D224:AB224)</f>
        <v>0</v>
      </c>
    </row>
    <row r="225" spans="2:30">
      <c r="B225" s="1">
        <f>WORKDAY(B224,1,Feriados!A27:A867)</f>
        <v>45174</v>
      </c>
      <c r="C225" s="51">
        <f t="shared" si="173"/>
        <v>0</v>
      </c>
      <c r="D225" s="26">
        <v>0</v>
      </c>
      <c r="E225" s="26">
        <v>0</v>
      </c>
      <c r="F225" s="26">
        <v>0</v>
      </c>
      <c r="G225" s="26">
        <v>0</v>
      </c>
      <c r="H225" s="26">
        <v>0</v>
      </c>
      <c r="I225" s="26">
        <v>0</v>
      </c>
      <c r="J225" s="26">
        <v>0</v>
      </c>
      <c r="K225">
        <f>-VLOOKUP(B225,Resumo_HSF!$C$13:$AH$600,28,FALSE)</f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f>-IF(VLOOKUP($B225,Resumo_HSF!$C$13:$AB$1000,16,FALSE)=VLOOKUP($B224,Resumo_HSF!$C$13:$AB$1000,16,FALSE),0,(VLOOKUP($B225,Resumo_HSF!$C$13:$AB$1000,16,FALSE)-VLOOKUP($B224,Resumo_HSF!$C$13:$AB$1000,16,FALSE))*VLOOKUP($B225,Resumo_HSF!$C$13:$AB$1000,15,FALSE))</f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15">
        <f t="shared" si="174"/>
        <v>0</v>
      </c>
    </row>
    <row r="226" spans="2:30">
      <c r="B226" s="1">
        <f>WORKDAY(B225,1,Feriados!A28:A868)</f>
        <v>45175</v>
      </c>
      <c r="C226" s="51">
        <f t="shared" ref="C226" si="175">AD226</f>
        <v>-7.5661591836251318E-7</v>
      </c>
      <c r="D226" s="26">
        <v>0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>
        <f>-VLOOKUP(B226,Resumo_HSF!$C$13:$AH$600,28,FALSE)</f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12500</v>
      </c>
      <c r="V226" s="26">
        <v>0</v>
      </c>
      <c r="W226" s="26">
        <v>0</v>
      </c>
      <c r="X226" s="26">
        <f>-IF(VLOOKUP($B226,Resumo_HSF!$C$13:$AB$1000,16,FALSE)=VLOOKUP($B225,Resumo_HSF!$C$13:$AB$1000,16,FALSE),0,(VLOOKUP($B226,Resumo_HSF!$C$13:$AB$1000,16,FALSE)-VLOOKUP($B225,Resumo_HSF!$C$13:$AB$1000,16,FALSE))*VLOOKUP($B226,Resumo_HSF!$C$13:$AB$1000,15,FALSE))</f>
        <v>-12500.000000756616</v>
      </c>
      <c r="Y226" s="26">
        <v>0</v>
      </c>
      <c r="Z226" s="26">
        <v>0</v>
      </c>
      <c r="AA226" s="26">
        <v>0</v>
      </c>
      <c r="AB226" s="26">
        <v>0</v>
      </c>
      <c r="AC226" s="26">
        <v>0</v>
      </c>
      <c r="AD226" s="15">
        <f t="shared" ref="AD226" si="176">SUM(D226:AB226)</f>
        <v>-7.5661591836251318E-7</v>
      </c>
    </row>
    <row r="227" spans="2:30">
      <c r="B227" s="1">
        <f>WORKDAY(B226,1,Feriados!A29:A869)</f>
        <v>45177</v>
      </c>
      <c r="C227" s="51">
        <f t="shared" ref="C227" si="177">AD227</f>
        <v>5.8171463024336845E-7</v>
      </c>
      <c r="D227" s="26">
        <v>-11709.39</v>
      </c>
      <c r="E227" s="26">
        <v>0</v>
      </c>
      <c r="F227" s="26">
        <v>0</v>
      </c>
      <c r="G227" s="26">
        <v>0</v>
      </c>
      <c r="H227" s="26">
        <v>0</v>
      </c>
      <c r="I227" s="26">
        <v>0</v>
      </c>
      <c r="J227" s="26">
        <v>0</v>
      </c>
      <c r="K227">
        <f>-VLOOKUP(B227,Resumo_HSF!$C$13:$AH$600,28,FALSE)</f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f>-IF(VLOOKUP($B227,Resumo_HSF!$C$13:$AB$1000,16,FALSE)=VLOOKUP($B226,Resumo_HSF!$C$13:$AB$1000,16,FALSE),0,(VLOOKUP($B227,Resumo_HSF!$C$13:$AB$1000,16,FALSE)-VLOOKUP($B226,Resumo_HSF!$C$13:$AB$1000,16,FALSE))*VLOOKUP($B227,Resumo_HSF!$C$13:$AB$1000,15,FALSE))</f>
        <v>11709.390000581714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15">
        <f t="shared" ref="AD227" si="178">SUM(D227:AB227)</f>
        <v>5.8171463024336845E-7</v>
      </c>
    </row>
    <row r="228" spans="2:30">
      <c r="B228" s="1">
        <f>WORKDAY(B227,1,Feriados!A30:A870)</f>
        <v>45180</v>
      </c>
      <c r="C228" s="51">
        <f t="shared" ref="C228" si="179">AD228</f>
        <v>0</v>
      </c>
      <c r="D228" s="26">
        <v>0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>
        <f>-VLOOKUP(B228,Resumo_HSF!$C$13:$AH$600,28,FALSE)</f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f>-IF(VLOOKUP($B228,Resumo_HSF!$C$13:$AB$1000,16,FALSE)=VLOOKUP($B227,Resumo_HSF!$C$13:$AB$1000,16,FALSE),0,(VLOOKUP($B228,Resumo_HSF!$C$13:$AB$1000,16,FALSE)-VLOOKUP($B227,Resumo_HSF!$C$13:$AB$1000,16,FALSE))*VLOOKUP($B228,Resumo_HSF!$C$13:$AB$1000,15,FALSE))</f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15">
        <f t="shared" ref="AD228" si="180">SUM(D228:AB228)</f>
        <v>0</v>
      </c>
    </row>
    <row r="229" spans="2:30">
      <c r="B229" s="1">
        <f>WORKDAY(B228,1,Feriados!A31:A871)</f>
        <v>45181</v>
      </c>
      <c r="C229" s="51">
        <f t="shared" ref="C229" si="181">AD229</f>
        <v>0</v>
      </c>
      <c r="D229" s="26">
        <v>0</v>
      </c>
      <c r="E229" s="26">
        <v>0</v>
      </c>
      <c r="F229" s="26">
        <v>0</v>
      </c>
      <c r="G229" s="26">
        <v>0</v>
      </c>
      <c r="H229" s="26">
        <v>0</v>
      </c>
      <c r="I229" s="26">
        <v>0</v>
      </c>
      <c r="J229" s="26">
        <v>0</v>
      </c>
      <c r="K229">
        <f>-VLOOKUP(B229,Resumo_HSF!$C$13:$AH$600,28,FALSE)</f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f>-IF(VLOOKUP($B229,Resumo_HSF!$C$13:$AB$1000,16,FALSE)=VLOOKUP($B228,Resumo_HSF!$C$13:$AB$1000,16,FALSE),0,(VLOOKUP($B229,Resumo_HSF!$C$13:$AB$1000,16,FALSE)-VLOOKUP($B228,Resumo_HSF!$C$13:$AB$1000,16,FALSE))*VLOOKUP($B229,Resumo_HSF!$C$13:$AB$1000,15,FALSE))</f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15">
        <f t="shared" ref="AD229" si="182">SUM(D229:AB229)</f>
        <v>0</v>
      </c>
    </row>
    <row r="230" spans="2:30">
      <c r="B230" s="1">
        <f>WORKDAY(B229,1,Feriados!A32:A872)</f>
        <v>45182</v>
      </c>
      <c r="C230" s="51">
        <f t="shared" ref="C230" si="183">AD230</f>
        <v>0</v>
      </c>
      <c r="D230" s="26">
        <v>0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>
        <f>-VLOOKUP(B230,Resumo_HSF!$C$13:$AH$600,28,FALSE)</f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f>-IF(VLOOKUP($B230,Resumo_HSF!$C$13:$AB$1000,16,FALSE)=VLOOKUP($B229,Resumo_HSF!$C$13:$AB$1000,16,FALSE),0,(VLOOKUP($B230,Resumo_HSF!$C$13:$AB$1000,16,FALSE)-VLOOKUP($B229,Resumo_HSF!$C$13:$AB$1000,16,FALSE))*VLOOKUP($B230,Resumo_HSF!$C$13:$AB$1000,15,FALSE))</f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15">
        <f t="shared" ref="AD230" si="184">SUM(D230:AB230)</f>
        <v>0</v>
      </c>
    </row>
    <row r="231" spans="2:30">
      <c r="B231" s="1">
        <f>WORKDAY(B230,1,Feriados!A33:A873)</f>
        <v>45183</v>
      </c>
      <c r="C231" s="51">
        <f t="shared" ref="C231" si="185">AD231</f>
        <v>0</v>
      </c>
      <c r="D231" s="26">
        <v>0</v>
      </c>
      <c r="E231" s="26">
        <v>0</v>
      </c>
      <c r="F231" s="26">
        <v>0</v>
      </c>
      <c r="G231" s="26">
        <v>0</v>
      </c>
      <c r="H231" s="26">
        <v>0</v>
      </c>
      <c r="I231" s="26">
        <v>0</v>
      </c>
      <c r="J231" s="26">
        <v>0</v>
      </c>
      <c r="K231">
        <f>-VLOOKUP(B231,Resumo_HSF!$C$13:$AH$600,28,FALSE)</f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f>-IF(VLOOKUP($B231,Resumo_HSF!$C$13:$AB$1000,16,FALSE)=VLOOKUP($B230,Resumo_HSF!$C$13:$AB$1000,16,FALSE),0,(VLOOKUP($B231,Resumo_HSF!$C$13:$AB$1000,16,FALSE)-VLOOKUP($B230,Resumo_HSF!$C$13:$AB$1000,16,FALSE))*VLOOKUP($B231,Resumo_HSF!$C$13:$AB$1000,15,FALSE))</f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0</v>
      </c>
      <c r="AD231" s="15">
        <f t="shared" ref="AD231" si="186">SUM(D231:AB231)</f>
        <v>0</v>
      </c>
    </row>
    <row r="232" spans="2:30">
      <c r="B232" s="1">
        <f>WORKDAY(B231,1,Feriados!A34:A874)</f>
        <v>45184</v>
      </c>
      <c r="C232" s="51">
        <f t="shared" ref="C232" si="187">AD232</f>
        <v>0</v>
      </c>
      <c r="D232" s="26">
        <v>0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>
        <f>-VLOOKUP(B232,Resumo_HSF!$C$13:$AH$600,28,FALSE)</f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f>-IF(VLOOKUP($B232,Resumo_HSF!$C$13:$AB$1000,16,FALSE)=VLOOKUP($B231,Resumo_HSF!$C$13:$AB$1000,16,FALSE),0,(VLOOKUP($B232,Resumo_HSF!$C$13:$AB$1000,16,FALSE)-VLOOKUP($B231,Resumo_HSF!$C$13:$AB$1000,16,FALSE))*VLOOKUP($B232,Resumo_HSF!$C$13:$AB$1000,15,FALSE))</f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15">
        <f t="shared" ref="AD232" si="188">SUM(D232:AB232)</f>
        <v>0</v>
      </c>
    </row>
    <row r="233" spans="2:30">
      <c r="B233" s="1">
        <f>WORKDAY(B232,1,Feriados!A35:A875)</f>
        <v>45187</v>
      </c>
      <c r="C233" s="51">
        <f t="shared" ref="C233" si="189">AD233</f>
        <v>0</v>
      </c>
      <c r="D233" s="26">
        <v>0</v>
      </c>
      <c r="E233" s="26">
        <v>0</v>
      </c>
      <c r="F233" s="26">
        <v>0</v>
      </c>
      <c r="G233" s="26">
        <v>0</v>
      </c>
      <c r="H233" s="26">
        <v>0</v>
      </c>
      <c r="I233" s="26">
        <v>0</v>
      </c>
      <c r="J233" s="26">
        <v>0</v>
      </c>
      <c r="K233">
        <f>-VLOOKUP(B233,Resumo_HSF!$C$13:$AH$600,28,FALSE)</f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f>-IF(VLOOKUP($B233,Resumo_HSF!$C$13:$AB$1000,16,FALSE)=VLOOKUP($B232,Resumo_HSF!$C$13:$AB$1000,16,FALSE),0,(VLOOKUP($B233,Resumo_HSF!$C$13:$AB$1000,16,FALSE)-VLOOKUP($B232,Resumo_HSF!$C$13:$AB$1000,16,FALSE))*VLOOKUP($B233,Resumo_HSF!$C$13:$AB$1000,15,FALSE))</f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15">
        <f t="shared" ref="AD233" si="190">SUM(D233:AB233)</f>
        <v>0</v>
      </c>
    </row>
    <row r="234" spans="2:30">
      <c r="B234" s="1">
        <f>WORKDAY(B233,1,Feriados!A36:A876)</f>
        <v>45188</v>
      </c>
      <c r="C234" s="51">
        <f t="shared" ref="C234:C235" si="191">AD234</f>
        <v>0</v>
      </c>
      <c r="D234" s="26">
        <v>0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>
        <f>-VLOOKUP(B234,Resumo_HSF!$C$13:$AH$600,28,FALSE)</f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f>-IF(VLOOKUP($B234,Resumo_HSF!$C$13:$AB$1000,16,FALSE)=VLOOKUP($B233,Resumo_HSF!$C$13:$AB$1000,16,FALSE),0,(VLOOKUP($B234,Resumo_HSF!$C$13:$AB$1000,16,FALSE)-VLOOKUP($B233,Resumo_HSF!$C$13:$AB$1000,16,FALSE))*VLOOKUP($B234,Resumo_HSF!$C$13:$AB$1000,15,FALSE))</f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15">
        <f t="shared" ref="AD234:AD235" si="192">SUM(D234:AB234)</f>
        <v>0</v>
      </c>
    </row>
    <row r="235" spans="2:30">
      <c r="B235" s="1">
        <f>WORKDAY(B234,1,Feriados!A37:A877)</f>
        <v>45189</v>
      </c>
      <c r="C235" s="51">
        <f t="shared" si="191"/>
        <v>0</v>
      </c>
      <c r="D235" s="26">
        <v>0</v>
      </c>
      <c r="E235" s="26">
        <v>0</v>
      </c>
      <c r="F235" s="26">
        <v>0</v>
      </c>
      <c r="G235" s="26">
        <v>0</v>
      </c>
      <c r="H235" s="26">
        <v>0</v>
      </c>
      <c r="I235" s="26">
        <v>0</v>
      </c>
      <c r="J235" s="26">
        <v>0</v>
      </c>
      <c r="K235">
        <f>-VLOOKUP(B235,Resumo_HSF!$C$13:$AH$600,28,FALSE)</f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f>-IF(VLOOKUP($B235,Resumo_HSF!$C$13:$AB$1000,16,FALSE)=VLOOKUP($B234,Resumo_HSF!$C$13:$AB$1000,16,FALSE),0,(VLOOKUP($B235,Resumo_HSF!$C$13:$AB$1000,16,FALSE)-VLOOKUP($B234,Resumo_HSF!$C$13:$AB$1000,16,FALSE))*VLOOKUP($B235,Resumo_HSF!$C$13:$AB$1000,15,FALSE))</f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15">
        <f t="shared" si="192"/>
        <v>0</v>
      </c>
    </row>
    <row r="236" spans="2:30">
      <c r="B236" s="1">
        <f>WORKDAY(B235,1,Feriados!A38:A878)</f>
        <v>45190</v>
      </c>
      <c r="C236" s="51">
        <f t="shared" ref="C236" si="193">AD236</f>
        <v>0</v>
      </c>
      <c r="D236" s="26">
        <v>0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>
        <f>-VLOOKUP(B236,Resumo_HSF!$C$13:$AH$600,28,FALSE)</f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f>-IF(VLOOKUP($B236,Resumo_HSF!$C$13:$AB$1000,16,FALSE)=VLOOKUP($B235,Resumo_HSF!$C$13:$AB$1000,16,FALSE),0,(VLOOKUP($B236,Resumo_HSF!$C$13:$AB$1000,16,FALSE)-VLOOKUP($B235,Resumo_HSF!$C$13:$AB$1000,16,FALSE))*VLOOKUP($B236,Resumo_HSF!$C$13:$AB$1000,15,FALSE))</f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15">
        <f t="shared" ref="AD236" si="194">SUM(D236:AB236)</f>
        <v>0</v>
      </c>
    </row>
    <row r="237" spans="2:30">
      <c r="B237" s="1">
        <f>WORKDAY(B236,1,Feriados!A39:A879)</f>
        <v>45191</v>
      </c>
      <c r="C237" s="51">
        <f t="shared" ref="C237" si="195">AD237</f>
        <v>0</v>
      </c>
      <c r="D237" s="26">
        <v>0</v>
      </c>
      <c r="E237" s="26">
        <v>0</v>
      </c>
      <c r="F237" s="26">
        <v>0</v>
      </c>
      <c r="G237" s="26">
        <v>0</v>
      </c>
      <c r="H237" s="26">
        <v>0</v>
      </c>
      <c r="I237" s="26">
        <v>0</v>
      </c>
      <c r="J237" s="26">
        <v>0</v>
      </c>
      <c r="K237">
        <f>-VLOOKUP(B237,Resumo_HSF!$C$13:$AH$600,28,FALSE)</f>
        <v>0</v>
      </c>
      <c r="L237" s="26">
        <v>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f>-IF(VLOOKUP($B237,Resumo_HSF!$C$13:$AB$1000,16,FALSE)=VLOOKUP($B236,Resumo_HSF!$C$13:$AB$1000,16,FALSE),0,(VLOOKUP($B237,Resumo_HSF!$C$13:$AB$1000,16,FALSE)-VLOOKUP($B236,Resumo_HSF!$C$13:$AB$1000,16,FALSE))*VLOOKUP($B237,Resumo_HSF!$C$13:$AB$1000,15,FALSE))</f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0</v>
      </c>
      <c r="AD237" s="15">
        <f t="shared" ref="AD237" si="196">SUM(D237:AB237)</f>
        <v>0</v>
      </c>
    </row>
    <row r="238" spans="2:30">
      <c r="B238" s="1">
        <f>WORKDAY(B237,1,Feriados!A40:A880)</f>
        <v>45194</v>
      </c>
      <c r="C238" s="51">
        <f t="shared" ref="C238" si="197">AD238</f>
        <v>0</v>
      </c>
      <c r="D238" s="26">
        <v>0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>
        <f>-VLOOKUP(B238,Resumo_HSF!$C$13:$AH$600,28,FALSE)</f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f>-IF(VLOOKUP($B238,Resumo_HSF!$C$13:$AB$1000,16,FALSE)=VLOOKUP($B237,Resumo_HSF!$C$13:$AB$1000,16,FALSE),0,(VLOOKUP($B238,Resumo_HSF!$C$13:$AB$1000,16,FALSE)-VLOOKUP($B237,Resumo_HSF!$C$13:$AB$1000,16,FALSE))*VLOOKUP($B238,Resumo_HSF!$C$13:$AB$1000,15,FALSE))</f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15">
        <f t="shared" ref="AD238" si="198">SUM(D238:AB238)</f>
        <v>0</v>
      </c>
    </row>
    <row r="239" spans="2:30">
      <c r="B239" s="1">
        <f>WORKDAY(B238,1,Feriados!A41:A881)</f>
        <v>45195</v>
      </c>
      <c r="C239" s="51">
        <f t="shared" ref="C239" si="199">AD239</f>
        <v>0</v>
      </c>
      <c r="D239" s="26">
        <v>0</v>
      </c>
      <c r="E239" s="26">
        <v>0</v>
      </c>
      <c r="F239" s="26">
        <v>0</v>
      </c>
      <c r="G239" s="26">
        <v>0</v>
      </c>
      <c r="H239" s="26">
        <v>0</v>
      </c>
      <c r="I239" s="26">
        <v>0</v>
      </c>
      <c r="J239" s="26">
        <v>0</v>
      </c>
      <c r="K239">
        <f>-VLOOKUP(B239,Resumo_HSF!$C$13:$AH$600,28,FALSE)</f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f>-IF(VLOOKUP($B239,Resumo_HSF!$C$13:$AB$1000,16,FALSE)=VLOOKUP($B238,Resumo_HSF!$C$13:$AB$1000,16,FALSE),0,(VLOOKUP($B239,Resumo_HSF!$C$13:$AB$1000,16,FALSE)-VLOOKUP($B238,Resumo_HSF!$C$13:$AB$1000,16,FALSE))*VLOOKUP($B239,Resumo_HSF!$C$13:$AB$1000,15,FALSE))</f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15">
        <f t="shared" ref="AD239" si="200">SUM(D239:AB239)</f>
        <v>0</v>
      </c>
    </row>
    <row r="240" spans="2:30">
      <c r="B240" s="1">
        <f>WORKDAY(B239,1,Feriados!A42:A882)</f>
        <v>45196</v>
      </c>
      <c r="C240" s="51">
        <f t="shared" ref="C240" si="201">AD240</f>
        <v>0</v>
      </c>
      <c r="D240" s="26">
        <v>0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>
        <f>-VLOOKUP(B240,Resumo_HSF!$C$13:$AH$600,28,FALSE)</f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f>-IF(VLOOKUP($B240,Resumo_HSF!$C$13:$AB$1000,16,FALSE)=VLOOKUP($B239,Resumo_HSF!$C$13:$AB$1000,16,FALSE),0,(VLOOKUP($B240,Resumo_HSF!$C$13:$AB$1000,16,FALSE)-VLOOKUP($B239,Resumo_HSF!$C$13:$AB$1000,16,FALSE))*VLOOKUP($B240,Resumo_HSF!$C$13:$AB$1000,15,FALSE))</f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15">
        <f t="shared" ref="AD240" si="202">SUM(D240:AB240)</f>
        <v>0</v>
      </c>
    </row>
    <row r="241" spans="2:30">
      <c r="B241" s="1">
        <f>WORKDAY(B240,1,Feriados!A43:A883)</f>
        <v>45197</v>
      </c>
      <c r="C241" s="51">
        <f t="shared" ref="C241" si="203">AD241</f>
        <v>0</v>
      </c>
      <c r="D241" s="26">
        <v>0</v>
      </c>
      <c r="E241" s="26">
        <v>0</v>
      </c>
      <c r="F241" s="26">
        <v>0</v>
      </c>
      <c r="G241" s="26">
        <v>0</v>
      </c>
      <c r="H241" s="26">
        <v>0</v>
      </c>
      <c r="I241" s="26">
        <v>0</v>
      </c>
      <c r="J241" s="26">
        <v>0</v>
      </c>
      <c r="K241">
        <f>-VLOOKUP(B241,Resumo_HSF!$C$13:$AH$600,28,FALSE)</f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f>-IF(VLOOKUP($B241,Resumo_HSF!$C$13:$AB$1000,16,FALSE)=VLOOKUP($B240,Resumo_HSF!$C$13:$AB$1000,16,FALSE),0,(VLOOKUP($B241,Resumo_HSF!$C$13:$AB$1000,16,FALSE)-VLOOKUP($B240,Resumo_HSF!$C$13:$AB$1000,16,FALSE))*VLOOKUP($B241,Resumo_HSF!$C$13:$AB$1000,15,FALSE))</f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15">
        <f t="shared" ref="AD241" si="204">SUM(D241:AB241)</f>
        <v>0</v>
      </c>
    </row>
    <row r="242" spans="2:30">
      <c r="B242" s="1">
        <f>WORKDAY(B241,1,Feriados!A44:A884)</f>
        <v>45198</v>
      </c>
      <c r="C242" s="51">
        <f t="shared" ref="C242" si="205">AD242</f>
        <v>0</v>
      </c>
      <c r="D242" s="26">
        <v>0</v>
      </c>
      <c r="E242" s="26">
        <v>0</v>
      </c>
      <c r="F242" s="26">
        <v>0</v>
      </c>
      <c r="G242" s="26">
        <v>0</v>
      </c>
      <c r="H242" s="26">
        <v>0</v>
      </c>
      <c r="I242" s="26">
        <v>0</v>
      </c>
      <c r="J242" s="26">
        <v>0</v>
      </c>
      <c r="K242">
        <f>-VLOOKUP(B242,Resumo_HSF!$C$13:$AH$600,28,FALSE)</f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f>-IF(VLOOKUP($B242,Resumo_HSF!$C$13:$AB$1000,16,FALSE)=VLOOKUP($B241,Resumo_HSF!$C$13:$AB$1000,16,FALSE),0,(VLOOKUP($B242,Resumo_HSF!$C$13:$AB$1000,16,FALSE)-VLOOKUP($B241,Resumo_HSF!$C$13:$AB$1000,16,FALSE))*VLOOKUP($B242,Resumo_HSF!$C$13:$AB$1000,15,FALSE))</f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15">
        <f t="shared" ref="AD242" si="206">SUM(D242:AB242)</f>
        <v>0</v>
      </c>
    </row>
    <row r="243" spans="2:30">
      <c r="B243" s="1">
        <f>WORKDAY(B242,1,Feriados!A45:A885)</f>
        <v>45201</v>
      </c>
      <c r="C243" s="51">
        <f t="shared" ref="C243:C244" si="207">AD243</f>
        <v>0</v>
      </c>
      <c r="D243" s="26">
        <v>0</v>
      </c>
      <c r="E243" s="26">
        <v>0</v>
      </c>
      <c r="F243" s="26">
        <v>0</v>
      </c>
      <c r="G243" s="26">
        <v>0</v>
      </c>
      <c r="H243" s="26">
        <v>0</v>
      </c>
      <c r="I243" s="26">
        <v>0</v>
      </c>
      <c r="J243" s="26">
        <v>0</v>
      </c>
      <c r="K243">
        <f>-VLOOKUP(B243,Resumo_HSF!$C$13:$AH$600,28,FALSE)</f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f>-IF(VLOOKUP($B243,Resumo_HSF!$C$13:$AB$1000,16,FALSE)=VLOOKUP($B242,Resumo_HSF!$C$13:$AB$1000,16,FALSE),0,(VLOOKUP($B243,Resumo_HSF!$C$13:$AB$1000,16,FALSE)-VLOOKUP($B242,Resumo_HSF!$C$13:$AB$1000,16,FALSE))*VLOOKUP($B243,Resumo_HSF!$C$13:$AB$1000,15,FALSE))</f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15">
        <f t="shared" ref="AD243:AD244" si="208">SUM(D243:AB243)</f>
        <v>0</v>
      </c>
    </row>
    <row r="244" spans="2:30">
      <c r="B244" s="1">
        <f>WORKDAY(B243,1,Feriados!A46:A886)</f>
        <v>45202</v>
      </c>
      <c r="C244" s="51">
        <f t="shared" si="207"/>
        <v>0</v>
      </c>
      <c r="D244" s="26">
        <v>0</v>
      </c>
      <c r="E244" s="26">
        <v>0</v>
      </c>
      <c r="F244" s="26">
        <v>0</v>
      </c>
      <c r="G244" s="26">
        <v>0</v>
      </c>
      <c r="H244" s="26">
        <v>0</v>
      </c>
      <c r="I244" s="26">
        <v>0</v>
      </c>
      <c r="J244" s="26">
        <v>0</v>
      </c>
      <c r="K244">
        <f>-VLOOKUP(B244,Resumo_HSF!$C$13:$AH$600,28,FALSE)</f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f>-IF(VLOOKUP($B244,Resumo_HSF!$C$13:$AB$1000,16,FALSE)=VLOOKUP($B243,Resumo_HSF!$C$13:$AB$1000,16,FALSE),0,(VLOOKUP($B244,Resumo_HSF!$C$13:$AB$1000,16,FALSE)-VLOOKUP($B243,Resumo_HSF!$C$13:$AB$1000,16,FALSE))*VLOOKUP($B244,Resumo_HSF!$C$13:$AB$1000,15,FALSE))</f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15">
        <f t="shared" si="208"/>
        <v>0</v>
      </c>
    </row>
    <row r="245" spans="2:30">
      <c r="B245" s="1">
        <f>WORKDAY(B244,1,Feriados!A47:A887)</f>
        <v>45203</v>
      </c>
      <c r="C245" s="51">
        <f t="shared" ref="C245" si="209">AD245</f>
        <v>0</v>
      </c>
      <c r="D245" s="26">
        <v>0</v>
      </c>
      <c r="E245" s="26">
        <v>0</v>
      </c>
      <c r="F245" s="26">
        <v>0</v>
      </c>
      <c r="G245" s="26">
        <v>0</v>
      </c>
      <c r="H245" s="26">
        <v>0</v>
      </c>
      <c r="I245" s="26">
        <v>0</v>
      </c>
      <c r="J245" s="26">
        <v>0</v>
      </c>
      <c r="K245">
        <f>-VLOOKUP(B245,Resumo_HSF!$C$13:$AH$600,28,FALSE)</f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f>-IF(VLOOKUP($B245,Resumo_HSF!$C$13:$AB$1000,16,FALSE)=VLOOKUP($B244,Resumo_HSF!$C$13:$AB$1000,16,FALSE),0,(VLOOKUP($B245,Resumo_HSF!$C$13:$AB$1000,16,FALSE)-VLOOKUP($B244,Resumo_HSF!$C$13:$AB$1000,16,FALSE))*VLOOKUP($B245,Resumo_HSF!$C$13:$AB$1000,15,FALSE))</f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15">
        <f t="shared" ref="AD245" si="210">SUM(D245:AB245)</f>
        <v>0</v>
      </c>
    </row>
    <row r="246" spans="2:30">
      <c r="B246" s="1">
        <f>WORKDAY(B245,1,Feriados!A48:A888)</f>
        <v>45204</v>
      </c>
      <c r="C246" s="51">
        <f t="shared" ref="C246:C247" si="211">AD246</f>
        <v>-9.0949470177292824E-12</v>
      </c>
      <c r="D246" s="26">
        <v>0</v>
      </c>
      <c r="E246" s="26">
        <v>0</v>
      </c>
      <c r="F246" s="26">
        <v>0</v>
      </c>
      <c r="G246" s="26">
        <v>0</v>
      </c>
      <c r="H246" s="26">
        <v>0</v>
      </c>
      <c r="I246" s="26">
        <v>0</v>
      </c>
      <c r="J246" s="26">
        <v>0</v>
      </c>
      <c r="K246">
        <f>-VLOOKUP(B246,Resumo_HSF!$C$13:$AH$600,28,FALSE)</f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11500</v>
      </c>
      <c r="V246" s="26">
        <v>0</v>
      </c>
      <c r="W246" s="26">
        <v>0</v>
      </c>
      <c r="X246" s="26">
        <f>-IF(VLOOKUP($B246,Resumo_HSF!$C$13:$AB$1000,16,FALSE)=VLOOKUP($B245,Resumo_HSF!$C$13:$AB$1000,16,FALSE),0,(VLOOKUP($B246,Resumo_HSF!$C$13:$AB$1000,16,FALSE)-VLOOKUP($B245,Resumo_HSF!$C$13:$AB$1000,16,FALSE))*VLOOKUP($B246,Resumo_HSF!$C$13:$AB$1000,15,FALSE))</f>
        <v>-11500.000000000009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15">
        <f t="shared" ref="AD246:AD247" si="212">SUM(D246:AB246)</f>
        <v>-9.0949470177292824E-12</v>
      </c>
    </row>
    <row r="247" spans="2:30">
      <c r="B247" s="1">
        <f>WORKDAY(B246,1,Feriados!A49:A889)</f>
        <v>45205</v>
      </c>
      <c r="C247" s="51">
        <f t="shared" si="211"/>
        <v>-1.7410275177098811E-7</v>
      </c>
      <c r="D247" s="26">
        <v>-10230.870000000001</v>
      </c>
      <c r="E247" s="26">
        <v>0</v>
      </c>
      <c r="F247" s="26">
        <v>0</v>
      </c>
      <c r="G247" s="26">
        <v>0</v>
      </c>
      <c r="H247" s="26">
        <v>0</v>
      </c>
      <c r="I247" s="26">
        <v>0</v>
      </c>
      <c r="J247" s="26">
        <v>0</v>
      </c>
      <c r="K247">
        <f>-VLOOKUP(B247,Resumo_HSF!$C$13:$AH$600,28,FALSE)</f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f>-IF(VLOOKUP($B247,Resumo_HSF!$C$13:$AB$1000,16,FALSE)=VLOOKUP($B246,Resumo_HSF!$C$13:$AB$1000,16,FALSE),0,(VLOOKUP($B247,Resumo_HSF!$C$13:$AB$1000,16,FALSE)-VLOOKUP($B246,Resumo_HSF!$C$13:$AB$1000,16,FALSE))*VLOOKUP($B247,Resumo_HSF!$C$13:$AB$1000,15,FALSE))</f>
        <v>10230.869999825898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15">
        <f t="shared" si="212"/>
        <v>-1.7410275177098811E-7</v>
      </c>
    </row>
    <row r="248" spans="2:30">
      <c r="B248" s="1">
        <f>WORKDAY(B247,1,Feriados!A50:A890)</f>
        <v>45208</v>
      </c>
      <c r="C248" s="51">
        <f t="shared" ref="C248" si="213">AD248</f>
        <v>0</v>
      </c>
      <c r="D248" s="26">
        <v>0</v>
      </c>
      <c r="E248" s="26">
        <v>0</v>
      </c>
      <c r="F248" s="26">
        <v>0</v>
      </c>
      <c r="G248" s="26">
        <v>0</v>
      </c>
      <c r="H248" s="26">
        <v>0</v>
      </c>
      <c r="I248" s="26">
        <v>0</v>
      </c>
      <c r="J248" s="26">
        <v>0</v>
      </c>
      <c r="K248">
        <f>-VLOOKUP(B248,Resumo_HSF!$C$13:$AH$600,28,FALSE)</f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f>-IF(VLOOKUP($B248,Resumo_HSF!$C$13:$AB$1000,16,FALSE)=VLOOKUP($B247,Resumo_HSF!$C$13:$AB$1000,16,FALSE),0,(VLOOKUP($B248,Resumo_HSF!$C$13:$AB$1000,16,FALSE)-VLOOKUP($B247,Resumo_HSF!$C$13:$AB$1000,16,FALSE))*VLOOKUP($B248,Resumo_HSF!$C$13:$AB$1000,15,FALSE))</f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0</v>
      </c>
      <c r="AD248" s="15">
        <f t="shared" ref="AD248" si="214">SUM(D248:AB248)</f>
        <v>0</v>
      </c>
    </row>
    <row r="249" spans="2:30">
      <c r="B249" s="1">
        <f>WORKDAY(B248,1,Feriados!A51:A891)</f>
        <v>45209</v>
      </c>
      <c r="C249" s="51">
        <f t="shared" ref="C249" si="215">AD249</f>
        <v>0</v>
      </c>
      <c r="D249" s="26">
        <v>0</v>
      </c>
      <c r="E249" s="26">
        <v>0</v>
      </c>
      <c r="F249" s="26">
        <v>0</v>
      </c>
      <c r="G249" s="26">
        <v>0</v>
      </c>
      <c r="H249" s="26">
        <v>0</v>
      </c>
      <c r="I249" s="26">
        <v>0</v>
      </c>
      <c r="J249" s="26">
        <v>0</v>
      </c>
      <c r="K249">
        <f>-VLOOKUP(B249,Resumo_HSF!$C$13:$AH$600,28,FALSE)</f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f>-IF(VLOOKUP($B249,Resumo_HSF!$C$13:$AB$1000,16,FALSE)=VLOOKUP($B248,Resumo_HSF!$C$13:$AB$1000,16,FALSE),0,(VLOOKUP($B249,Resumo_HSF!$C$13:$AB$1000,16,FALSE)-VLOOKUP($B248,Resumo_HSF!$C$13:$AB$1000,16,FALSE))*VLOOKUP($B249,Resumo_HSF!$C$13:$AB$1000,15,FALSE))</f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15">
        <f t="shared" ref="AD249" si="216">SUM(D249:AB249)</f>
        <v>0</v>
      </c>
    </row>
    <row r="250" spans="2:30">
      <c r="B250" s="1">
        <f>WORKDAY(B249,1,Feriados!A52:A892)</f>
        <v>45210</v>
      </c>
      <c r="C250" s="51">
        <f t="shared" ref="C250" si="217">AD250</f>
        <v>0</v>
      </c>
      <c r="D250" s="26">
        <v>0</v>
      </c>
      <c r="E250" s="26">
        <v>0</v>
      </c>
      <c r="F250" s="26">
        <v>0</v>
      </c>
      <c r="G250" s="26">
        <v>0</v>
      </c>
      <c r="H250" s="26">
        <v>0</v>
      </c>
      <c r="I250" s="26">
        <v>0</v>
      </c>
      <c r="J250" s="26">
        <v>0</v>
      </c>
      <c r="K250">
        <f>-VLOOKUP(B250,Resumo_HSF!$C$13:$AH$600,28,FALSE)</f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f>-IF(VLOOKUP($B250,Resumo_HSF!$C$13:$AB$1000,16,FALSE)=VLOOKUP($B249,Resumo_HSF!$C$13:$AB$1000,16,FALSE),0,(VLOOKUP($B250,Resumo_HSF!$C$13:$AB$1000,16,FALSE)-VLOOKUP($B249,Resumo_HSF!$C$13:$AB$1000,16,FALSE))*VLOOKUP($B250,Resumo_HSF!$C$13:$AB$1000,15,FALSE))</f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15">
        <f t="shared" ref="AD250" si="218">SUM(D250:AB250)</f>
        <v>0</v>
      </c>
    </row>
    <row r="251" spans="2:30">
      <c r="B251" s="1">
        <f>WORKDAY(B250,1,Feriados!A53:A893)</f>
        <v>45212</v>
      </c>
      <c r="C251" s="51">
        <f t="shared" ref="C251" si="219">AD251</f>
        <v>0</v>
      </c>
      <c r="D251" s="26">
        <v>0</v>
      </c>
      <c r="E251" s="26">
        <v>0</v>
      </c>
      <c r="F251" s="26">
        <v>0</v>
      </c>
      <c r="G251" s="26">
        <v>0</v>
      </c>
      <c r="H251" s="26">
        <v>0</v>
      </c>
      <c r="I251" s="26">
        <v>0</v>
      </c>
      <c r="J251" s="26">
        <v>0</v>
      </c>
      <c r="K251">
        <f>-VLOOKUP(B251,Resumo_HSF!$C$13:$AH$600,28,FALSE)</f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f>-IF(VLOOKUP($B251,Resumo_HSF!$C$13:$AB$1000,16,FALSE)=VLOOKUP($B250,Resumo_HSF!$C$13:$AB$1000,16,FALSE),0,(VLOOKUP($B251,Resumo_HSF!$C$13:$AB$1000,16,FALSE)-VLOOKUP($B250,Resumo_HSF!$C$13:$AB$1000,16,FALSE))*VLOOKUP($B251,Resumo_HSF!$C$13:$AB$1000,15,FALSE))</f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15">
        <f t="shared" ref="AD251" si="220">SUM(D251:AB251)</f>
        <v>0</v>
      </c>
    </row>
    <row r="252" spans="2:30">
      <c r="B252" s="1">
        <f>WORKDAY(B251,1,Feriados!A54:A894)</f>
        <v>45215</v>
      </c>
      <c r="C252" s="51">
        <f t="shared" ref="C252" si="221">AD252</f>
        <v>0</v>
      </c>
      <c r="D252" s="26">
        <v>0</v>
      </c>
      <c r="E252" s="26">
        <v>0</v>
      </c>
      <c r="F252" s="26">
        <v>0</v>
      </c>
      <c r="G252" s="26">
        <v>0</v>
      </c>
      <c r="H252" s="26">
        <v>0</v>
      </c>
      <c r="I252" s="26">
        <v>0</v>
      </c>
      <c r="J252" s="26">
        <v>0</v>
      </c>
      <c r="K252">
        <f>-VLOOKUP(B252,Resumo_HSF!$C$13:$AH$600,28,FALSE)</f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f>-IF(VLOOKUP($B252,Resumo_HSF!$C$13:$AB$1000,16,FALSE)=VLOOKUP($B251,Resumo_HSF!$C$13:$AB$1000,16,FALSE),0,(VLOOKUP($B252,Resumo_HSF!$C$13:$AB$1000,16,FALSE)-VLOOKUP($B251,Resumo_HSF!$C$13:$AB$1000,16,FALSE))*VLOOKUP($B252,Resumo_HSF!$C$13:$AB$1000,15,FALSE))</f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15">
        <f t="shared" ref="AD252" si="222">SUM(D252:AB252)</f>
        <v>0</v>
      </c>
    </row>
    <row r="253" spans="2:30">
      <c r="B253" s="1">
        <f>WORKDAY(B252,1,Feriados!A55:A895)</f>
        <v>45216</v>
      </c>
      <c r="C253" s="51">
        <f t="shared" ref="C253" si="223">AD253</f>
        <v>0</v>
      </c>
      <c r="D253" s="26">
        <v>0</v>
      </c>
      <c r="E253" s="26">
        <v>0</v>
      </c>
      <c r="F253" s="26">
        <v>0</v>
      </c>
      <c r="G253" s="26">
        <v>0</v>
      </c>
      <c r="H253" s="26">
        <v>0</v>
      </c>
      <c r="I253" s="26">
        <v>0</v>
      </c>
      <c r="J253" s="26">
        <v>0</v>
      </c>
      <c r="K253">
        <f>-VLOOKUP(B253,Resumo_HSF!$C$13:$AH$600,28,FALSE)</f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f>-IF(VLOOKUP($B253,Resumo_HSF!$C$13:$AB$1000,16,FALSE)=VLOOKUP($B252,Resumo_HSF!$C$13:$AB$1000,16,FALSE),0,(VLOOKUP($B253,Resumo_HSF!$C$13:$AB$1000,16,FALSE)-VLOOKUP($B252,Resumo_HSF!$C$13:$AB$1000,16,FALSE))*VLOOKUP($B253,Resumo_HSF!$C$13:$AB$1000,15,FALSE))</f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15">
        <f t="shared" ref="AD253" si="224">SUM(D253:AB253)</f>
        <v>0</v>
      </c>
    </row>
    <row r="254" spans="2:30">
      <c r="B254" s="1">
        <f>WORKDAY(B253,1,Feriados!A56:A896)</f>
        <v>45217</v>
      </c>
      <c r="C254" s="51">
        <f t="shared" ref="C254:C255" si="225">AD254</f>
        <v>-1.4650634625468228E-6</v>
      </c>
      <c r="D254" s="26">
        <v>0</v>
      </c>
      <c r="E254" s="26">
        <v>0</v>
      </c>
      <c r="F254" s="26">
        <v>0</v>
      </c>
      <c r="G254" s="26">
        <v>0</v>
      </c>
      <c r="H254" s="26">
        <v>0</v>
      </c>
      <c r="I254" s="26">
        <v>0</v>
      </c>
      <c r="J254" s="26">
        <v>0</v>
      </c>
      <c r="K254">
        <f>-VLOOKUP(B254,Resumo_HSF!$C$13:$AH$600,28,FALSE)</f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-145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f>-IF(VLOOKUP($B254,Resumo_HSF!$C$13:$AB$1000,16,FALSE)=VLOOKUP($B253,Resumo_HSF!$C$13:$AB$1000,16,FALSE),0,(VLOOKUP($B254,Resumo_HSF!$C$13:$AB$1000,16,FALSE)-VLOOKUP($B253,Resumo_HSF!$C$13:$AB$1000,16,FALSE))*VLOOKUP($B254,Resumo_HSF!$C$13:$AB$1000,15,FALSE))</f>
        <v>144.99999853493654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15">
        <f t="shared" ref="AD254:AD255" si="226">SUM(D254:AB254)</f>
        <v>-1.4650634625468228E-6</v>
      </c>
    </row>
    <row r="255" spans="2:30">
      <c r="B255" s="1">
        <f>WORKDAY(B254,1,Feriados!A57:A897)</f>
        <v>45218</v>
      </c>
      <c r="C255" s="51">
        <f t="shared" si="225"/>
        <v>0</v>
      </c>
      <c r="D255" s="26">
        <v>0</v>
      </c>
      <c r="E255" s="26">
        <v>0</v>
      </c>
      <c r="F255" s="26">
        <v>0</v>
      </c>
      <c r="G255" s="26">
        <v>0</v>
      </c>
      <c r="H255" s="26">
        <v>0</v>
      </c>
      <c r="I255" s="26">
        <v>0</v>
      </c>
      <c r="J255" s="26">
        <v>0</v>
      </c>
      <c r="K255">
        <f>-VLOOKUP(B255,Resumo_HSF!$C$13:$AH$600,28,FALSE)</f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f>-IF(VLOOKUP($B255,Resumo_HSF!$C$13:$AB$1000,16,FALSE)=VLOOKUP($B254,Resumo_HSF!$C$13:$AB$1000,16,FALSE),0,(VLOOKUP($B255,Resumo_HSF!$C$13:$AB$1000,16,FALSE)-VLOOKUP($B254,Resumo_HSF!$C$13:$AB$1000,16,FALSE))*VLOOKUP($B255,Resumo_HSF!$C$13:$AB$1000,15,FALSE))</f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15">
        <f t="shared" si="226"/>
        <v>0</v>
      </c>
    </row>
    <row r="256" spans="2:30">
      <c r="B256" s="1">
        <f>WORKDAY(B255,1,Feriados!A58:A898)</f>
        <v>45219</v>
      </c>
      <c r="C256" s="51">
        <f t="shared" ref="C256" si="227">AD256</f>
        <v>0</v>
      </c>
      <c r="D256" s="26">
        <v>0</v>
      </c>
      <c r="E256" s="26">
        <v>0</v>
      </c>
      <c r="F256" s="26">
        <v>0</v>
      </c>
      <c r="G256" s="26">
        <v>0</v>
      </c>
      <c r="H256" s="26">
        <v>0</v>
      </c>
      <c r="I256" s="26">
        <v>0</v>
      </c>
      <c r="J256" s="26">
        <v>0</v>
      </c>
      <c r="K256">
        <f>-VLOOKUP(B256,Resumo_HSF!$C$13:$AH$600,28,FALSE)</f>
        <v>0</v>
      </c>
      <c r="L256" s="26">
        <v>0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6">
        <v>0</v>
      </c>
      <c r="T256" s="26">
        <v>0</v>
      </c>
      <c r="U256" s="26">
        <v>0</v>
      </c>
      <c r="V256" s="26">
        <v>0</v>
      </c>
      <c r="W256" s="26">
        <v>0</v>
      </c>
      <c r="X256" s="26">
        <f>-IF(VLOOKUP($B256,Resumo_HSF!$C$13:$AB$1000,16,FALSE)=VLOOKUP($B255,Resumo_HSF!$C$13:$AB$1000,16,FALSE),0,(VLOOKUP($B256,Resumo_HSF!$C$13:$AB$1000,16,FALSE)-VLOOKUP($B255,Resumo_HSF!$C$13:$AB$1000,16,FALSE))*VLOOKUP($B256,Resumo_HSF!$C$13:$AB$1000,15,FALSE))</f>
        <v>0</v>
      </c>
      <c r="Y256" s="26">
        <v>0</v>
      </c>
      <c r="Z256" s="26">
        <v>0</v>
      </c>
      <c r="AA256" s="26">
        <v>0</v>
      </c>
      <c r="AB256" s="26">
        <v>0</v>
      </c>
      <c r="AC256" s="26">
        <v>0</v>
      </c>
      <c r="AD256" s="15">
        <f t="shared" ref="AD256" si="228">SUM(D256:AB256)</f>
        <v>0</v>
      </c>
    </row>
    <row r="257" spans="2:30">
      <c r="B257" s="1">
        <f>WORKDAY(B256,1,Feriados!A59:A899)</f>
        <v>45222</v>
      </c>
      <c r="C257" s="51">
        <f t="shared" ref="C257" si="229">AD257</f>
        <v>0</v>
      </c>
      <c r="D257" s="26">
        <v>0</v>
      </c>
      <c r="E257" s="26">
        <v>0</v>
      </c>
      <c r="F257" s="26">
        <v>0</v>
      </c>
      <c r="G257" s="26">
        <v>0</v>
      </c>
      <c r="H257" s="26">
        <v>0</v>
      </c>
      <c r="I257" s="26">
        <v>0</v>
      </c>
      <c r="J257" s="26">
        <v>0</v>
      </c>
      <c r="K257">
        <f>-VLOOKUP(B257,Resumo_HSF!$C$13:$AH$600,28,FALSE)</f>
        <v>0</v>
      </c>
      <c r="L257" s="26">
        <v>0</v>
      </c>
      <c r="M257" s="26">
        <v>0</v>
      </c>
      <c r="N257" s="26">
        <v>0</v>
      </c>
      <c r="O257" s="26">
        <v>0</v>
      </c>
      <c r="P257" s="26">
        <v>0</v>
      </c>
      <c r="Q257" s="26">
        <v>0</v>
      </c>
      <c r="R257" s="26">
        <v>0</v>
      </c>
      <c r="S257" s="26">
        <v>0</v>
      </c>
      <c r="T257" s="26">
        <v>0</v>
      </c>
      <c r="U257" s="26">
        <v>0</v>
      </c>
      <c r="V257" s="26">
        <v>0</v>
      </c>
      <c r="W257" s="26">
        <v>0</v>
      </c>
      <c r="X257" s="26">
        <f>-IF(VLOOKUP($B257,Resumo_HSF!$C$13:$AB$1000,16,FALSE)=VLOOKUP($B256,Resumo_HSF!$C$13:$AB$1000,16,FALSE),0,(VLOOKUP($B257,Resumo_HSF!$C$13:$AB$1000,16,FALSE)-VLOOKUP($B256,Resumo_HSF!$C$13:$AB$1000,16,FALSE))*VLOOKUP($B257,Resumo_HSF!$C$13:$AB$1000,15,FALSE))</f>
        <v>0</v>
      </c>
      <c r="Y257" s="26">
        <v>0</v>
      </c>
      <c r="Z257" s="26">
        <v>0</v>
      </c>
      <c r="AA257" s="26">
        <v>0</v>
      </c>
      <c r="AB257" s="26">
        <v>0</v>
      </c>
      <c r="AC257" s="26">
        <v>0</v>
      </c>
      <c r="AD257" s="15">
        <f t="shared" ref="AD257" si="230">SUM(D257:AB257)</f>
        <v>0</v>
      </c>
    </row>
    <row r="258" spans="2:30">
      <c r="B258" s="1">
        <f>WORKDAY(B257,1,Feriados!A60:A900)</f>
        <v>45223</v>
      </c>
      <c r="C258" s="51">
        <f t="shared" ref="C258" si="231">AD258</f>
        <v>0</v>
      </c>
      <c r="D258" s="26">
        <v>0</v>
      </c>
      <c r="E258" s="26">
        <v>0</v>
      </c>
      <c r="F258" s="26">
        <v>0</v>
      </c>
      <c r="G258" s="26">
        <v>0</v>
      </c>
      <c r="H258" s="26">
        <v>0</v>
      </c>
      <c r="I258" s="26">
        <v>0</v>
      </c>
      <c r="J258" s="26">
        <v>0</v>
      </c>
      <c r="K258">
        <f>-VLOOKUP(B258,Resumo_HSF!$C$13:$AH$600,28,FALSE)</f>
        <v>0</v>
      </c>
      <c r="L258" s="26">
        <v>0</v>
      </c>
      <c r="M258" s="26">
        <v>0</v>
      </c>
      <c r="N258" s="26">
        <v>0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6">
        <v>0</v>
      </c>
      <c r="V258" s="26">
        <v>0</v>
      </c>
      <c r="W258" s="26">
        <v>0</v>
      </c>
      <c r="X258" s="26">
        <f>-IF(VLOOKUP($B258,Resumo_HSF!$C$13:$AB$1000,16,FALSE)=VLOOKUP($B257,Resumo_HSF!$C$13:$AB$1000,16,FALSE),0,(VLOOKUP($B258,Resumo_HSF!$C$13:$AB$1000,16,FALSE)-VLOOKUP($B257,Resumo_HSF!$C$13:$AB$1000,16,FALSE))*VLOOKUP($B258,Resumo_HSF!$C$13:$AB$1000,15,FALSE))</f>
        <v>0</v>
      </c>
      <c r="Y258" s="26">
        <v>0</v>
      </c>
      <c r="Z258" s="26">
        <v>0</v>
      </c>
      <c r="AA258" s="26">
        <v>0</v>
      </c>
      <c r="AB258" s="26">
        <v>0</v>
      </c>
      <c r="AC258" s="26">
        <v>0</v>
      </c>
      <c r="AD258" s="15">
        <f t="shared" ref="AD258" si="232">SUM(D258:AB258)</f>
        <v>0</v>
      </c>
    </row>
    <row r="259" spans="2:30">
      <c r="B259" s="1">
        <f>WORKDAY(B258,1,Feriados!A61:A901)</f>
        <v>45224</v>
      </c>
      <c r="C259" s="51">
        <f t="shared" ref="C259" si="233">AD259</f>
        <v>0</v>
      </c>
      <c r="D259" s="26">
        <v>0</v>
      </c>
      <c r="E259" s="26">
        <v>0</v>
      </c>
      <c r="F259" s="26">
        <v>0</v>
      </c>
      <c r="G259" s="26">
        <v>0</v>
      </c>
      <c r="H259" s="26">
        <v>0</v>
      </c>
      <c r="I259" s="26">
        <v>0</v>
      </c>
      <c r="J259" s="26">
        <v>0</v>
      </c>
      <c r="K259">
        <f>-VLOOKUP(B259,Resumo_HSF!$C$13:$AH$600,28,FALSE)</f>
        <v>0</v>
      </c>
      <c r="L259" s="26">
        <v>0</v>
      </c>
      <c r="M259" s="26">
        <v>0</v>
      </c>
      <c r="N259" s="26">
        <v>0</v>
      </c>
      <c r="O259" s="26">
        <v>0</v>
      </c>
      <c r="P259" s="26">
        <v>0</v>
      </c>
      <c r="Q259" s="26">
        <v>0</v>
      </c>
      <c r="R259" s="26">
        <v>0</v>
      </c>
      <c r="S259" s="26">
        <v>0</v>
      </c>
      <c r="T259" s="26">
        <v>0</v>
      </c>
      <c r="U259" s="26">
        <v>0</v>
      </c>
      <c r="V259" s="26">
        <v>0</v>
      </c>
      <c r="W259" s="26">
        <v>0</v>
      </c>
      <c r="X259" s="26">
        <f>-IF(VLOOKUP($B259,Resumo_HSF!$C$13:$AB$1000,16,FALSE)=VLOOKUP($B258,Resumo_HSF!$C$13:$AB$1000,16,FALSE),0,(VLOOKUP($B259,Resumo_HSF!$C$13:$AB$1000,16,FALSE)-VLOOKUP($B258,Resumo_HSF!$C$13:$AB$1000,16,FALSE))*VLOOKUP($B259,Resumo_HSF!$C$13:$AB$1000,15,FALSE))</f>
        <v>0</v>
      </c>
      <c r="Y259" s="26">
        <v>0</v>
      </c>
      <c r="Z259" s="26">
        <v>0</v>
      </c>
      <c r="AA259" s="26">
        <v>0</v>
      </c>
      <c r="AB259" s="26">
        <v>0</v>
      </c>
      <c r="AC259" s="26">
        <v>0</v>
      </c>
      <c r="AD259" s="15">
        <f t="shared" ref="AD259" si="234">SUM(D259:AB259)</f>
        <v>0</v>
      </c>
    </row>
    <row r="260" spans="2:30">
      <c r="B260" s="1">
        <f>WORKDAY(B259,1,Feriados!A62:A902)</f>
        <v>45225</v>
      </c>
      <c r="C260" s="51">
        <f t="shared" ref="C260" si="235">AD260</f>
        <v>0</v>
      </c>
      <c r="D260" s="26">
        <v>0</v>
      </c>
      <c r="E260" s="26">
        <v>0</v>
      </c>
      <c r="F260" s="26">
        <v>0</v>
      </c>
      <c r="G260" s="26">
        <v>0</v>
      </c>
      <c r="H260" s="26">
        <v>0</v>
      </c>
      <c r="I260" s="26">
        <v>0</v>
      </c>
      <c r="J260" s="26">
        <v>0</v>
      </c>
      <c r="K260">
        <f>-VLOOKUP(B260,Resumo_HSF!$C$13:$AH$600,28,FALSE)</f>
        <v>0</v>
      </c>
      <c r="L260" s="26">
        <v>0</v>
      </c>
      <c r="M260" s="26">
        <v>0</v>
      </c>
      <c r="N260" s="26">
        <v>0</v>
      </c>
      <c r="O260" s="26">
        <v>0</v>
      </c>
      <c r="P260" s="26">
        <v>0</v>
      </c>
      <c r="Q260" s="26">
        <v>0</v>
      </c>
      <c r="R260" s="26">
        <v>0</v>
      </c>
      <c r="S260" s="26">
        <v>0</v>
      </c>
      <c r="T260" s="26">
        <v>0</v>
      </c>
      <c r="U260" s="26">
        <v>0</v>
      </c>
      <c r="V260" s="26">
        <v>0</v>
      </c>
      <c r="W260" s="26">
        <v>0</v>
      </c>
      <c r="X260" s="26">
        <f>-IF(VLOOKUP($B260,Resumo_HSF!$C$13:$AB$1000,16,FALSE)=VLOOKUP($B259,Resumo_HSF!$C$13:$AB$1000,16,FALSE),0,(VLOOKUP($B260,Resumo_HSF!$C$13:$AB$1000,16,FALSE)-VLOOKUP($B259,Resumo_HSF!$C$13:$AB$1000,16,FALSE))*VLOOKUP($B260,Resumo_HSF!$C$13:$AB$1000,15,FALSE))</f>
        <v>0</v>
      </c>
      <c r="Y260" s="26">
        <v>0</v>
      </c>
      <c r="Z260" s="26">
        <v>0</v>
      </c>
      <c r="AA260" s="26">
        <v>0</v>
      </c>
      <c r="AB260" s="26">
        <v>0</v>
      </c>
      <c r="AC260" s="26">
        <v>0</v>
      </c>
      <c r="AD260" s="15">
        <f t="shared" ref="AD260" si="236">SUM(D260:AB260)</f>
        <v>0</v>
      </c>
    </row>
    <row r="261" spans="2:30">
      <c r="B261" s="1">
        <f>WORKDAY(B260,1,Feriados!A63:A903)</f>
        <v>45226</v>
      </c>
      <c r="C261" s="51">
        <f t="shared" ref="C261:C262" si="237">AD261</f>
        <v>0</v>
      </c>
      <c r="D261" s="26">
        <v>0</v>
      </c>
      <c r="E261" s="26">
        <v>0</v>
      </c>
      <c r="F261" s="26">
        <v>0</v>
      </c>
      <c r="G261" s="26">
        <v>0</v>
      </c>
      <c r="H261" s="26">
        <v>0</v>
      </c>
      <c r="I261" s="26">
        <v>0</v>
      </c>
      <c r="J261" s="26">
        <v>0</v>
      </c>
      <c r="K261">
        <f>-VLOOKUP(B261,Resumo_HSF!$C$13:$AH$600,28,FALSE)</f>
        <v>0</v>
      </c>
      <c r="L261" s="26">
        <v>0</v>
      </c>
      <c r="M261" s="26">
        <v>0</v>
      </c>
      <c r="N261" s="26">
        <v>0</v>
      </c>
      <c r="O261" s="26">
        <v>0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6">
        <v>0</v>
      </c>
      <c r="V261" s="26">
        <v>0</v>
      </c>
      <c r="W261" s="26">
        <v>0</v>
      </c>
      <c r="X261" s="26">
        <f>-IF(VLOOKUP($B261,Resumo_HSF!$C$13:$AB$1000,16,FALSE)=VLOOKUP($B260,Resumo_HSF!$C$13:$AB$1000,16,FALSE),0,(VLOOKUP($B261,Resumo_HSF!$C$13:$AB$1000,16,FALSE)-VLOOKUP($B260,Resumo_HSF!$C$13:$AB$1000,16,FALSE))*VLOOKUP($B261,Resumo_HSF!$C$13:$AB$1000,15,FALSE))</f>
        <v>0</v>
      </c>
      <c r="Y261" s="26">
        <v>0</v>
      </c>
      <c r="Z261" s="26">
        <v>0</v>
      </c>
      <c r="AA261" s="26">
        <v>0</v>
      </c>
      <c r="AB261" s="26">
        <v>0</v>
      </c>
      <c r="AC261" s="26">
        <v>0</v>
      </c>
      <c r="AD261" s="15">
        <f t="shared" ref="AD261:AD262" si="238">SUM(D261:AB261)</f>
        <v>0</v>
      </c>
    </row>
    <row r="262" spans="2:30">
      <c r="B262" s="1">
        <f>WORKDAY(B261,1,Feriados!A64:A904)</f>
        <v>45229</v>
      </c>
      <c r="C262" s="51">
        <f t="shared" si="237"/>
        <v>0</v>
      </c>
      <c r="D262" s="26">
        <v>0</v>
      </c>
      <c r="E262" s="26">
        <v>0</v>
      </c>
      <c r="F262" s="26">
        <v>0</v>
      </c>
      <c r="G262" s="26">
        <v>0</v>
      </c>
      <c r="H262" s="26">
        <v>0</v>
      </c>
      <c r="I262" s="26">
        <v>0</v>
      </c>
      <c r="J262" s="26">
        <v>0</v>
      </c>
      <c r="K262">
        <f>-VLOOKUP(B262,Resumo_HSF!$C$13:$AH$600,28,FALSE)</f>
        <v>0</v>
      </c>
      <c r="L262" s="26">
        <v>0</v>
      </c>
      <c r="M262" s="26">
        <v>0</v>
      </c>
      <c r="N262" s="26">
        <v>0</v>
      </c>
      <c r="O262" s="26">
        <v>0</v>
      </c>
      <c r="P262" s="26">
        <v>0</v>
      </c>
      <c r="Q262" s="26">
        <v>0</v>
      </c>
      <c r="R262" s="26">
        <v>0</v>
      </c>
      <c r="S262" s="26">
        <v>0</v>
      </c>
      <c r="T262" s="26">
        <v>0</v>
      </c>
      <c r="U262" s="26">
        <v>0</v>
      </c>
      <c r="V262" s="26">
        <v>0</v>
      </c>
      <c r="W262" s="26">
        <v>0</v>
      </c>
      <c r="X262" s="26">
        <f>-IF(VLOOKUP($B262,Resumo_HSF!$C$13:$AB$1000,16,FALSE)=VLOOKUP($B261,Resumo_HSF!$C$13:$AB$1000,16,FALSE),0,(VLOOKUP($B262,Resumo_HSF!$C$13:$AB$1000,16,FALSE)-VLOOKUP($B261,Resumo_HSF!$C$13:$AB$1000,16,FALSE))*VLOOKUP($B262,Resumo_HSF!$C$13:$AB$1000,15,FALSE))</f>
        <v>0</v>
      </c>
      <c r="Y262" s="26">
        <v>0</v>
      </c>
      <c r="Z262" s="26">
        <v>0</v>
      </c>
      <c r="AA262" s="26">
        <v>0</v>
      </c>
      <c r="AB262" s="26">
        <v>0</v>
      </c>
      <c r="AC262" s="26">
        <v>0</v>
      </c>
      <c r="AD262" s="15">
        <f t="shared" si="238"/>
        <v>0</v>
      </c>
    </row>
    <row r="263" spans="2:30">
      <c r="B263" s="1">
        <f>WORKDAY(B262,1,Feriados!A65:A905)</f>
        <v>45230</v>
      </c>
      <c r="C263" s="51">
        <f t="shared" ref="C263" si="239">AD263</f>
        <v>0</v>
      </c>
      <c r="D263" s="26">
        <v>0</v>
      </c>
      <c r="E263" s="26">
        <v>0</v>
      </c>
      <c r="F263" s="26">
        <v>0</v>
      </c>
      <c r="G263" s="26">
        <v>0</v>
      </c>
      <c r="H263" s="26">
        <v>0</v>
      </c>
      <c r="I263" s="26">
        <v>0</v>
      </c>
      <c r="J263" s="26">
        <v>0</v>
      </c>
      <c r="K263">
        <f>-VLOOKUP(B263,Resumo_HSF!$C$13:$AH$600,28,FALSE)</f>
        <v>0</v>
      </c>
      <c r="L263" s="26">
        <v>0</v>
      </c>
      <c r="M263" s="26">
        <v>0</v>
      </c>
      <c r="N263" s="26">
        <v>0</v>
      </c>
      <c r="O263" s="26">
        <v>0</v>
      </c>
      <c r="P263" s="26">
        <v>0</v>
      </c>
      <c r="Q263" s="26">
        <v>0</v>
      </c>
      <c r="R263" s="26">
        <v>0</v>
      </c>
      <c r="S263" s="26">
        <v>0</v>
      </c>
      <c r="T263" s="26">
        <v>0</v>
      </c>
      <c r="U263" s="26">
        <v>0</v>
      </c>
      <c r="V263" s="26">
        <v>0</v>
      </c>
      <c r="W263" s="26">
        <v>0</v>
      </c>
      <c r="X263" s="26">
        <f>-IF(VLOOKUP($B263,Resumo_HSF!$C$13:$AB$1000,16,FALSE)=VLOOKUP($B262,Resumo_HSF!$C$13:$AB$1000,16,FALSE),0,(VLOOKUP($B263,Resumo_HSF!$C$13:$AB$1000,16,FALSE)-VLOOKUP($B262,Resumo_HSF!$C$13:$AB$1000,16,FALSE))*VLOOKUP($B263,Resumo_HSF!$C$13:$AB$1000,15,FALSE))</f>
        <v>0</v>
      </c>
      <c r="Y263" s="26">
        <v>0</v>
      </c>
      <c r="Z263" s="26">
        <v>0</v>
      </c>
      <c r="AA263" s="26">
        <v>0</v>
      </c>
      <c r="AB263" s="26">
        <v>0</v>
      </c>
      <c r="AC263" s="26">
        <v>0</v>
      </c>
      <c r="AD263" s="15">
        <f t="shared" ref="AD263" si="240">SUM(D263:AB263)</f>
        <v>0</v>
      </c>
    </row>
    <row r="264" spans="2:30">
      <c r="B264" s="1">
        <f>WORKDAY(B263,1,Feriados!A66:A906)</f>
        <v>45231</v>
      </c>
      <c r="C264" s="51">
        <f t="shared" ref="C264:C265" si="241">AD264</f>
        <v>0</v>
      </c>
      <c r="D264" s="26">
        <v>0</v>
      </c>
      <c r="E264" s="26">
        <v>0</v>
      </c>
      <c r="F264" s="26">
        <v>0</v>
      </c>
      <c r="G264" s="26">
        <v>0</v>
      </c>
      <c r="H264" s="26">
        <v>0</v>
      </c>
      <c r="I264" s="26">
        <v>0</v>
      </c>
      <c r="J264" s="26">
        <v>0</v>
      </c>
      <c r="K264">
        <f>-VLOOKUP(B264,Resumo_HSF!$C$13:$AH$600,28,FALSE)</f>
        <v>0</v>
      </c>
      <c r="L264" s="26">
        <v>0</v>
      </c>
      <c r="M264" s="26">
        <v>0</v>
      </c>
      <c r="N264" s="26">
        <v>0</v>
      </c>
      <c r="O264" s="26">
        <v>0</v>
      </c>
      <c r="P264" s="26">
        <v>0</v>
      </c>
      <c r="Q264" s="26">
        <v>0</v>
      </c>
      <c r="R264" s="26">
        <v>0</v>
      </c>
      <c r="S264" s="26">
        <v>0</v>
      </c>
      <c r="T264" s="26">
        <v>0</v>
      </c>
      <c r="U264" s="26">
        <v>0</v>
      </c>
      <c r="V264" s="26">
        <v>0</v>
      </c>
      <c r="W264" s="26">
        <v>0</v>
      </c>
      <c r="X264" s="26">
        <f>-IF(VLOOKUP($B264,Resumo_HSF!$C$13:$AB$1000,16,FALSE)=VLOOKUP($B263,Resumo_HSF!$C$13:$AB$1000,16,FALSE),0,(VLOOKUP($B264,Resumo_HSF!$C$13:$AB$1000,16,FALSE)-VLOOKUP($B263,Resumo_HSF!$C$13:$AB$1000,16,FALSE))*VLOOKUP($B264,Resumo_HSF!$C$13:$AB$1000,15,FALSE))</f>
        <v>0</v>
      </c>
      <c r="Y264" s="26">
        <v>0</v>
      </c>
      <c r="Z264" s="26">
        <v>0</v>
      </c>
      <c r="AA264" s="26">
        <v>0</v>
      </c>
      <c r="AB264" s="26">
        <v>0</v>
      </c>
      <c r="AC264" s="26">
        <v>0</v>
      </c>
      <c r="AD264" s="15">
        <f t="shared" ref="AD264:AD265" si="242">SUM(D264:AB264)</f>
        <v>0</v>
      </c>
    </row>
    <row r="265" spans="2:30">
      <c r="B265" s="1">
        <f>WORKDAY(B264,1,Feriados!A67:A907)</f>
        <v>45233</v>
      </c>
      <c r="C265" s="51">
        <f t="shared" si="241"/>
        <v>0</v>
      </c>
      <c r="D265" s="26">
        <v>0</v>
      </c>
      <c r="E265" s="26">
        <v>0</v>
      </c>
      <c r="F265" s="26">
        <v>0</v>
      </c>
      <c r="G265" s="26">
        <v>0</v>
      </c>
      <c r="H265" s="26">
        <v>0</v>
      </c>
      <c r="I265" s="26">
        <v>0</v>
      </c>
      <c r="J265" s="26">
        <v>0</v>
      </c>
      <c r="K265">
        <f>-VLOOKUP(B265,Resumo_HSF!$C$13:$AH$600,28,FALSE)</f>
        <v>0</v>
      </c>
      <c r="L265" s="26">
        <v>0</v>
      </c>
      <c r="M265" s="26">
        <v>0</v>
      </c>
      <c r="N265" s="26">
        <v>0</v>
      </c>
      <c r="O265" s="26">
        <v>0</v>
      </c>
      <c r="P265" s="26">
        <v>0</v>
      </c>
      <c r="Q265" s="26">
        <v>0</v>
      </c>
      <c r="R265" s="26">
        <v>0</v>
      </c>
      <c r="S265" s="26">
        <v>0</v>
      </c>
      <c r="T265" s="26">
        <v>0</v>
      </c>
      <c r="U265" s="26">
        <v>0</v>
      </c>
      <c r="V265" s="26">
        <v>0</v>
      </c>
      <c r="W265" s="26">
        <v>0</v>
      </c>
      <c r="X265" s="26">
        <f>-IF(VLOOKUP($B265,Resumo_HSF!$C$13:$AB$1000,16,FALSE)=VLOOKUP($B264,Resumo_HSF!$C$13:$AB$1000,16,FALSE),0,(VLOOKUP($B265,Resumo_HSF!$C$13:$AB$1000,16,FALSE)-VLOOKUP($B264,Resumo_HSF!$C$13:$AB$1000,16,FALSE))*VLOOKUP($B265,Resumo_HSF!$C$13:$AB$1000,15,FALSE))</f>
        <v>0</v>
      </c>
      <c r="Y265" s="26">
        <v>0</v>
      </c>
      <c r="Z265" s="26">
        <v>0</v>
      </c>
      <c r="AA265" s="26">
        <v>0</v>
      </c>
      <c r="AB265" s="26">
        <v>0</v>
      </c>
      <c r="AC265" s="26">
        <v>0</v>
      </c>
      <c r="AD265" s="15">
        <f t="shared" si="242"/>
        <v>0</v>
      </c>
    </row>
    <row r="266" spans="2:30">
      <c r="B266" s="1">
        <f>WORKDAY(B265,1,Feriados!A68:A908)</f>
        <v>45236</v>
      </c>
      <c r="C266" s="51">
        <f t="shared" ref="C266" si="243">AD266</f>
        <v>0</v>
      </c>
      <c r="D266" s="26">
        <v>0</v>
      </c>
      <c r="E266" s="26">
        <v>0</v>
      </c>
      <c r="F266" s="26">
        <v>0</v>
      </c>
      <c r="G266" s="26">
        <v>0</v>
      </c>
      <c r="H266" s="26">
        <v>0</v>
      </c>
      <c r="I266" s="26">
        <v>0</v>
      </c>
      <c r="J266" s="26">
        <v>0</v>
      </c>
      <c r="K266">
        <f>-VLOOKUP(B266,Resumo_HSF!$C$13:$AH$600,28,FALSE)</f>
        <v>0</v>
      </c>
      <c r="L266" s="26">
        <v>0</v>
      </c>
      <c r="M266" s="26">
        <v>0</v>
      </c>
      <c r="N266" s="26">
        <v>0</v>
      </c>
      <c r="O266" s="26">
        <v>0</v>
      </c>
      <c r="P266" s="26">
        <v>0</v>
      </c>
      <c r="Q266" s="26">
        <v>0</v>
      </c>
      <c r="R266" s="26">
        <v>0</v>
      </c>
      <c r="S266" s="26">
        <v>0</v>
      </c>
      <c r="T266" s="26">
        <v>0</v>
      </c>
      <c r="U266" s="26">
        <v>0</v>
      </c>
      <c r="V266" s="26">
        <v>0</v>
      </c>
      <c r="W266" s="26">
        <v>0</v>
      </c>
      <c r="X266" s="26">
        <f>-IF(VLOOKUP($B266,Resumo_HSF!$C$13:$AB$1000,16,FALSE)=VLOOKUP($B265,Resumo_HSF!$C$13:$AB$1000,16,FALSE),0,(VLOOKUP($B266,Resumo_HSF!$C$13:$AB$1000,16,FALSE)-VLOOKUP($B265,Resumo_HSF!$C$13:$AB$1000,16,FALSE))*VLOOKUP($B266,Resumo_HSF!$C$13:$AB$1000,15,FALSE))</f>
        <v>0</v>
      </c>
      <c r="Y266" s="26">
        <v>0</v>
      </c>
      <c r="Z266" s="26">
        <v>0</v>
      </c>
      <c r="AA266" s="26">
        <v>0</v>
      </c>
      <c r="AB266" s="26">
        <v>0</v>
      </c>
      <c r="AC266" s="26">
        <v>0</v>
      </c>
      <c r="AD266" s="15">
        <f t="shared" ref="AD266" si="244">SUM(D266:AB266)</f>
        <v>0</v>
      </c>
    </row>
    <row r="267" spans="2:30">
      <c r="B267" s="1">
        <f>WORKDAY(B266,1,Feriados!A69:A909)</f>
        <v>45237</v>
      </c>
      <c r="C267" s="51">
        <f t="shared" ref="C267:C268" si="245">AD267</f>
        <v>1.4733814168721437E-10</v>
      </c>
      <c r="D267" s="26">
        <v>0</v>
      </c>
      <c r="E267" s="26">
        <v>0</v>
      </c>
      <c r="F267" s="26">
        <v>0</v>
      </c>
      <c r="G267" s="26">
        <v>0</v>
      </c>
      <c r="H267" s="26">
        <v>0</v>
      </c>
      <c r="I267" s="26">
        <v>0</v>
      </c>
      <c r="J267" s="26">
        <v>0</v>
      </c>
      <c r="K267">
        <f>-VLOOKUP(B267,Resumo_HSF!$C$13:$AH$600,28,FALSE)</f>
        <v>0</v>
      </c>
      <c r="L267" s="26">
        <v>0</v>
      </c>
      <c r="M267" s="26">
        <v>0</v>
      </c>
      <c r="N267" s="26">
        <v>0</v>
      </c>
      <c r="O267" s="26">
        <v>0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6">
        <v>12000</v>
      </c>
      <c r="V267" s="26">
        <v>0</v>
      </c>
      <c r="W267" s="26">
        <v>0</v>
      </c>
      <c r="X267" s="26">
        <f>-IF(VLOOKUP($B267,Resumo_HSF!$C$13:$AB$1000,16,FALSE)=VLOOKUP($B266,Resumo_HSF!$C$13:$AB$1000,16,FALSE),0,(VLOOKUP($B267,Resumo_HSF!$C$13:$AB$1000,16,FALSE)-VLOOKUP($B266,Resumo_HSF!$C$13:$AB$1000,16,FALSE))*VLOOKUP($B267,Resumo_HSF!$C$13:$AB$1000,15,FALSE))</f>
        <v>-11999.999999999853</v>
      </c>
      <c r="Y267" s="26">
        <v>0</v>
      </c>
      <c r="Z267" s="26">
        <v>0</v>
      </c>
      <c r="AA267" s="26">
        <v>0</v>
      </c>
      <c r="AB267" s="26">
        <v>0</v>
      </c>
      <c r="AC267" s="26">
        <v>0</v>
      </c>
      <c r="AD267" s="15">
        <f t="shared" ref="AD267:AD268" si="246">SUM(D267:AB267)</f>
        <v>1.4733814168721437E-10</v>
      </c>
    </row>
    <row r="268" spans="2:30">
      <c r="B268" s="1">
        <f>WORKDAY(B267,1,Feriados!A70:A910)</f>
        <v>45238</v>
      </c>
      <c r="C268" s="51">
        <f t="shared" si="245"/>
        <v>-7.7085132943466306E-8</v>
      </c>
      <c r="D268" s="26">
        <v>-10506.69</v>
      </c>
      <c r="E268" s="26">
        <v>0</v>
      </c>
      <c r="F268" s="26">
        <v>0</v>
      </c>
      <c r="G268" s="26">
        <v>0</v>
      </c>
      <c r="H268" s="26">
        <v>0</v>
      </c>
      <c r="I268" s="26">
        <v>0</v>
      </c>
      <c r="J268" s="26">
        <v>0</v>
      </c>
      <c r="K268">
        <f>-VLOOKUP(B268,Resumo_HSF!$C$13:$AH$600,28,FALSE)</f>
        <v>0</v>
      </c>
      <c r="L268" s="26">
        <v>0</v>
      </c>
      <c r="M268" s="26">
        <v>0</v>
      </c>
      <c r="N268" s="26">
        <v>0</v>
      </c>
      <c r="O268" s="26">
        <v>0</v>
      </c>
      <c r="P268" s="26">
        <v>0</v>
      </c>
      <c r="Q268" s="26">
        <v>0</v>
      </c>
      <c r="R268" s="26">
        <v>0</v>
      </c>
      <c r="S268" s="26">
        <v>0</v>
      </c>
      <c r="T268" s="26">
        <v>0</v>
      </c>
      <c r="U268" s="26">
        <v>0</v>
      </c>
      <c r="V268" s="26">
        <v>0</v>
      </c>
      <c r="W268" s="26">
        <v>0</v>
      </c>
      <c r="X268" s="26">
        <f>-IF(VLOOKUP($B268,Resumo_HSF!$C$13:$AB$1000,16,FALSE)=VLOOKUP($B267,Resumo_HSF!$C$13:$AB$1000,16,FALSE),0,(VLOOKUP($B268,Resumo_HSF!$C$13:$AB$1000,16,FALSE)-VLOOKUP($B267,Resumo_HSF!$C$13:$AB$1000,16,FALSE))*VLOOKUP($B268,Resumo_HSF!$C$13:$AB$1000,15,FALSE))</f>
        <v>10506.689999922915</v>
      </c>
      <c r="Y268" s="26">
        <v>0</v>
      </c>
      <c r="Z268" s="26">
        <v>0</v>
      </c>
      <c r="AA268" s="26">
        <v>0</v>
      </c>
      <c r="AB268" s="26">
        <v>0</v>
      </c>
      <c r="AC268" s="26">
        <v>0</v>
      </c>
      <c r="AD268" s="15">
        <f t="shared" si="246"/>
        <v>-7.7085132943466306E-8</v>
      </c>
    </row>
    <row r="269" spans="2:30">
      <c r="B269" s="1">
        <f>WORKDAY(B268,1,Feriados!A71:A911)</f>
        <v>45239</v>
      </c>
      <c r="C269" s="51">
        <f t="shared" ref="C269" si="247">AD269</f>
        <v>0</v>
      </c>
      <c r="D269" s="26">
        <v>0</v>
      </c>
      <c r="E269" s="26">
        <v>0</v>
      </c>
      <c r="F269" s="26">
        <v>0</v>
      </c>
      <c r="G269" s="26">
        <v>0</v>
      </c>
      <c r="H269" s="26">
        <v>0</v>
      </c>
      <c r="I269" s="26">
        <v>0</v>
      </c>
      <c r="J269" s="26">
        <v>0</v>
      </c>
      <c r="K269">
        <f>-VLOOKUP(B269,Resumo_HSF!$C$13:$AH$600,28,FALSE)</f>
        <v>0</v>
      </c>
      <c r="L269" s="26">
        <v>0</v>
      </c>
      <c r="M269" s="26">
        <v>0</v>
      </c>
      <c r="N269" s="26">
        <v>0</v>
      </c>
      <c r="O269" s="26">
        <v>0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6">
        <v>0</v>
      </c>
      <c r="V269" s="26">
        <v>0</v>
      </c>
      <c r="W269" s="26">
        <v>0</v>
      </c>
      <c r="X269" s="26">
        <f>-IF(VLOOKUP($B269,Resumo_HSF!$C$13:$AB$1000,16,FALSE)=VLOOKUP($B268,Resumo_HSF!$C$13:$AB$1000,16,FALSE),0,(VLOOKUP($B269,Resumo_HSF!$C$13:$AB$1000,16,FALSE)-VLOOKUP($B268,Resumo_HSF!$C$13:$AB$1000,16,FALSE))*VLOOKUP($B269,Resumo_HSF!$C$13:$AB$1000,15,FALSE))</f>
        <v>0</v>
      </c>
      <c r="Y269" s="26">
        <v>0</v>
      </c>
      <c r="Z269" s="26">
        <v>0</v>
      </c>
      <c r="AA269" s="26">
        <v>0</v>
      </c>
      <c r="AB269" s="26">
        <v>0</v>
      </c>
      <c r="AC269" s="26">
        <v>0</v>
      </c>
      <c r="AD269" s="15">
        <f t="shared" ref="AD269:AD270" si="248">SUM(D269:AB269)</f>
        <v>0</v>
      </c>
    </row>
    <row r="270" spans="2:30">
      <c r="B270" s="1">
        <f>WORKDAY(B269,1,Feriados!A72:A912)</f>
        <v>45240</v>
      </c>
      <c r="C270" s="51">
        <f t="shared" ref="C270" si="249">AD270</f>
        <v>0</v>
      </c>
      <c r="D270" s="26">
        <v>0</v>
      </c>
      <c r="E270" s="26">
        <v>0</v>
      </c>
      <c r="F270" s="26">
        <v>0</v>
      </c>
      <c r="G270" s="26">
        <v>0</v>
      </c>
      <c r="H270" s="26">
        <v>0</v>
      </c>
      <c r="I270" s="26">
        <v>0</v>
      </c>
      <c r="J270" s="26">
        <v>0</v>
      </c>
      <c r="K270">
        <f>-VLOOKUP(B270,Resumo_HSF!$C$13:$AH$600,28,FALSE)</f>
        <v>0</v>
      </c>
      <c r="L270" s="26">
        <v>0</v>
      </c>
      <c r="M270" s="26">
        <v>0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6">
        <v>0</v>
      </c>
      <c r="V270" s="26">
        <v>0</v>
      </c>
      <c r="W270" s="26">
        <v>0</v>
      </c>
      <c r="X270" s="26">
        <f>-IF(VLOOKUP($B270,Resumo_HSF!$C$13:$AB$1000,16,FALSE)=VLOOKUP($B269,Resumo_HSF!$C$13:$AB$1000,16,FALSE),0,(VLOOKUP($B270,Resumo_HSF!$C$13:$AB$1000,16,FALSE)-VLOOKUP($B269,Resumo_HSF!$C$13:$AB$1000,16,FALSE))*VLOOKUP($B270,Resumo_HSF!$C$13:$AB$1000,15,FALSE))</f>
        <v>0</v>
      </c>
      <c r="Y270" s="26">
        <v>0</v>
      </c>
      <c r="Z270" s="26">
        <v>0</v>
      </c>
      <c r="AA270" s="26">
        <v>0</v>
      </c>
      <c r="AB270" s="26">
        <v>0</v>
      </c>
      <c r="AC270" s="26">
        <v>0</v>
      </c>
      <c r="AD270" s="15">
        <f t="shared" si="248"/>
        <v>0</v>
      </c>
    </row>
    <row r="271" spans="2:30">
      <c r="B271" s="1">
        <f>WORKDAY(B270,1,Feriados!A73:A913)</f>
        <v>45243</v>
      </c>
      <c r="C271" s="51">
        <f t="shared" ref="C271" si="250">AD271</f>
        <v>0</v>
      </c>
      <c r="D271" s="26">
        <v>0</v>
      </c>
      <c r="E271" s="26">
        <v>0</v>
      </c>
      <c r="F271" s="26">
        <v>0</v>
      </c>
      <c r="G271" s="26">
        <v>0</v>
      </c>
      <c r="H271" s="26">
        <v>0</v>
      </c>
      <c r="I271" s="26">
        <v>0</v>
      </c>
      <c r="J271" s="26">
        <v>0</v>
      </c>
      <c r="K271">
        <f>-VLOOKUP(B271,Resumo_HSF!$C$13:$AH$600,28,FALSE)</f>
        <v>0</v>
      </c>
      <c r="L271" s="26">
        <v>0</v>
      </c>
      <c r="M271" s="26">
        <v>0</v>
      </c>
      <c r="N271" s="26">
        <v>0</v>
      </c>
      <c r="O271" s="26">
        <v>0</v>
      </c>
      <c r="P271" s="26">
        <v>0</v>
      </c>
      <c r="Q271" s="26">
        <v>0</v>
      </c>
      <c r="R271" s="26">
        <v>0</v>
      </c>
      <c r="S271" s="26">
        <v>0</v>
      </c>
      <c r="T271" s="26">
        <v>0</v>
      </c>
      <c r="U271" s="26">
        <v>0</v>
      </c>
      <c r="V271" s="26">
        <v>0</v>
      </c>
      <c r="W271" s="26">
        <v>0</v>
      </c>
      <c r="X271" s="26">
        <f>-IF(VLOOKUP($B271,Resumo_HSF!$C$13:$AB$1000,16,FALSE)=VLOOKUP($B270,Resumo_HSF!$C$13:$AB$1000,16,FALSE),0,(VLOOKUP($B271,Resumo_HSF!$C$13:$AB$1000,16,FALSE)-VLOOKUP($B270,Resumo_HSF!$C$13:$AB$1000,16,FALSE))*VLOOKUP($B271,Resumo_HSF!$C$13:$AB$1000,15,FALSE))</f>
        <v>0</v>
      </c>
      <c r="Y271" s="26">
        <v>0</v>
      </c>
      <c r="Z271" s="26">
        <v>0</v>
      </c>
      <c r="AA271" s="26">
        <v>0</v>
      </c>
      <c r="AB271" s="26">
        <v>0</v>
      </c>
      <c r="AC271" s="26">
        <v>0</v>
      </c>
      <c r="AD271" s="15">
        <f t="shared" ref="AD271" si="251">SUM(D271:AB271)</f>
        <v>0</v>
      </c>
    </row>
    <row r="272" spans="2:30">
      <c r="B272" s="1">
        <f>WORKDAY(B271,1,Feriados!A74:A914)</f>
        <v>45244</v>
      </c>
      <c r="C272" s="51">
        <f t="shared" ref="C272" si="252">AD272</f>
        <v>0</v>
      </c>
      <c r="D272" s="26">
        <v>0</v>
      </c>
      <c r="E272" s="26">
        <v>0</v>
      </c>
      <c r="F272" s="26">
        <v>0</v>
      </c>
      <c r="G272" s="26">
        <v>0</v>
      </c>
      <c r="H272" s="26">
        <v>0</v>
      </c>
      <c r="I272" s="26">
        <v>0</v>
      </c>
      <c r="J272" s="26">
        <v>0</v>
      </c>
      <c r="K272">
        <f>-VLOOKUP(B272,Resumo_HSF!$C$13:$AH$600,28,FALSE)</f>
        <v>0</v>
      </c>
      <c r="L272" s="26">
        <v>0</v>
      </c>
      <c r="M272" s="26">
        <v>0</v>
      </c>
      <c r="N272" s="26">
        <v>0</v>
      </c>
      <c r="O272" s="26">
        <v>0</v>
      </c>
      <c r="P272" s="26">
        <v>0</v>
      </c>
      <c r="Q272" s="26">
        <v>0</v>
      </c>
      <c r="R272" s="26">
        <v>0</v>
      </c>
      <c r="S272" s="26">
        <v>0</v>
      </c>
      <c r="T272" s="26">
        <v>0</v>
      </c>
      <c r="U272" s="26">
        <v>0</v>
      </c>
      <c r="V272" s="26">
        <v>0</v>
      </c>
      <c r="W272" s="26">
        <v>0</v>
      </c>
      <c r="X272" s="26">
        <f>-IF(VLOOKUP($B272,Resumo_HSF!$C$13:$AB$1000,16,FALSE)=VLOOKUP($B271,Resumo_HSF!$C$13:$AB$1000,16,FALSE),0,(VLOOKUP($B272,Resumo_HSF!$C$13:$AB$1000,16,FALSE)-VLOOKUP($B271,Resumo_HSF!$C$13:$AB$1000,16,FALSE))*VLOOKUP($B272,Resumo_HSF!$C$13:$AB$1000,15,FALSE))</f>
        <v>0</v>
      </c>
      <c r="Y272" s="26">
        <v>0</v>
      </c>
      <c r="Z272" s="26">
        <v>0</v>
      </c>
      <c r="AA272" s="26">
        <v>0</v>
      </c>
      <c r="AB272" s="26">
        <v>0</v>
      </c>
      <c r="AC272" s="26">
        <v>0</v>
      </c>
      <c r="AD272" s="15">
        <f t="shared" ref="AD272" si="253">SUM(D272:AB272)</f>
        <v>0</v>
      </c>
    </row>
    <row r="273" spans="2:30">
      <c r="B273" s="1">
        <f>WORKDAY(B272,1,Feriados!A75:A915)</f>
        <v>45246</v>
      </c>
      <c r="C273" s="51">
        <f t="shared" ref="C273" si="254">AD273</f>
        <v>0</v>
      </c>
      <c r="D273" s="26">
        <v>0</v>
      </c>
      <c r="E273" s="26">
        <v>0</v>
      </c>
      <c r="F273" s="26">
        <v>0</v>
      </c>
      <c r="G273" s="26">
        <v>0</v>
      </c>
      <c r="H273" s="26">
        <v>0</v>
      </c>
      <c r="I273" s="26">
        <v>0</v>
      </c>
      <c r="J273" s="26">
        <v>0</v>
      </c>
      <c r="K273">
        <f>-VLOOKUP(B273,Resumo_HSF!$C$13:$AH$600,28,FALSE)</f>
        <v>0</v>
      </c>
      <c r="L273" s="26">
        <v>0</v>
      </c>
      <c r="M273" s="26">
        <v>0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26">
        <v>0</v>
      </c>
      <c r="U273" s="26">
        <v>0</v>
      </c>
      <c r="V273" s="26">
        <v>0</v>
      </c>
      <c r="W273" s="26">
        <v>0</v>
      </c>
      <c r="X273" s="26">
        <f>-IF(VLOOKUP($B273,Resumo_HSF!$C$13:$AB$1000,16,FALSE)=VLOOKUP($B272,Resumo_HSF!$C$13:$AB$1000,16,FALSE),0,(VLOOKUP($B273,Resumo_HSF!$C$13:$AB$1000,16,FALSE)-VLOOKUP($B272,Resumo_HSF!$C$13:$AB$1000,16,FALSE))*VLOOKUP($B273,Resumo_HSF!$C$13:$AB$1000,15,FALSE))</f>
        <v>0</v>
      </c>
      <c r="Y273" s="26">
        <v>0</v>
      </c>
      <c r="Z273" s="26">
        <v>0</v>
      </c>
      <c r="AA273" s="26">
        <v>0</v>
      </c>
      <c r="AB273" s="26">
        <v>0</v>
      </c>
      <c r="AC273" s="26">
        <v>0</v>
      </c>
      <c r="AD273" s="15">
        <f t="shared" ref="AD273" si="255">SUM(D273:AB273)</f>
        <v>0</v>
      </c>
    </row>
    <row r="274" spans="2:30">
      <c r="B274" s="1">
        <f>WORKDAY(B273,1,Feriados!A76:A916)</f>
        <v>45247</v>
      </c>
      <c r="C274" s="51">
        <f t="shared" ref="C274" si="256">AD274</f>
        <v>0</v>
      </c>
      <c r="D274" s="26">
        <v>0</v>
      </c>
      <c r="E274" s="26">
        <v>0</v>
      </c>
      <c r="F274" s="26">
        <v>0</v>
      </c>
      <c r="G274" s="26">
        <v>0</v>
      </c>
      <c r="H274" s="26">
        <v>0</v>
      </c>
      <c r="I274" s="26">
        <v>0</v>
      </c>
      <c r="J274" s="26">
        <v>0</v>
      </c>
      <c r="K274">
        <f>-VLOOKUP(B274,Resumo_HSF!$C$13:$AH$600,28,FALSE)</f>
        <v>0</v>
      </c>
      <c r="L274" s="26">
        <v>0</v>
      </c>
      <c r="M274" s="26">
        <v>0</v>
      </c>
      <c r="N274" s="26">
        <v>0</v>
      </c>
      <c r="O274" s="26">
        <v>0</v>
      </c>
      <c r="P274" s="26">
        <v>0</v>
      </c>
      <c r="Q274" s="26">
        <v>0</v>
      </c>
      <c r="R274" s="26">
        <v>0</v>
      </c>
      <c r="S274" s="26">
        <v>0</v>
      </c>
      <c r="T274" s="26">
        <v>0</v>
      </c>
      <c r="U274" s="26">
        <v>0</v>
      </c>
      <c r="V274" s="26">
        <v>0</v>
      </c>
      <c r="W274" s="26">
        <v>0</v>
      </c>
      <c r="X274" s="26">
        <f>-IF(VLOOKUP($B274,Resumo_HSF!$C$13:$AB$1000,16,FALSE)=VLOOKUP($B273,Resumo_HSF!$C$13:$AB$1000,16,FALSE),0,(VLOOKUP($B274,Resumo_HSF!$C$13:$AB$1000,16,FALSE)-VLOOKUP($B273,Resumo_HSF!$C$13:$AB$1000,16,FALSE))*VLOOKUP($B274,Resumo_HSF!$C$13:$AB$1000,15,FALSE))</f>
        <v>0</v>
      </c>
      <c r="Y274" s="26">
        <v>0</v>
      </c>
      <c r="Z274" s="26">
        <v>0</v>
      </c>
      <c r="AA274" s="26">
        <v>0</v>
      </c>
      <c r="AB274" s="26">
        <v>0</v>
      </c>
      <c r="AC274" s="26">
        <v>0</v>
      </c>
      <c r="AD274" s="15">
        <f t="shared" ref="AD274" si="257">SUM(D274:AB274)</f>
        <v>0</v>
      </c>
    </row>
    <row r="275" spans="2:30">
      <c r="B275" s="1">
        <f>WORKDAY(B274,1,Feriados!A77:A917)</f>
        <v>45250</v>
      </c>
      <c r="C275" s="51">
        <f t="shared" ref="C275" si="258">AD275</f>
        <v>0</v>
      </c>
      <c r="D275" s="26">
        <v>0</v>
      </c>
      <c r="E275" s="26">
        <v>0</v>
      </c>
      <c r="F275" s="26">
        <v>0</v>
      </c>
      <c r="G275" s="26">
        <v>0</v>
      </c>
      <c r="H275" s="26">
        <v>0</v>
      </c>
      <c r="I275" s="26">
        <v>0</v>
      </c>
      <c r="J275" s="26">
        <v>0</v>
      </c>
      <c r="K275">
        <f>-VLOOKUP(B275,Resumo_HSF!$C$13:$AH$600,28,FALSE)</f>
        <v>0</v>
      </c>
      <c r="L275" s="26">
        <v>0</v>
      </c>
      <c r="M275" s="26">
        <v>0</v>
      </c>
      <c r="N275" s="26">
        <v>0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6">
        <v>0</v>
      </c>
      <c r="V275" s="26">
        <v>0</v>
      </c>
      <c r="W275" s="26">
        <v>0</v>
      </c>
      <c r="X275" s="26">
        <f>-IF(VLOOKUP($B275,Resumo_HSF!$C$13:$AB$1000,16,FALSE)=VLOOKUP($B274,Resumo_HSF!$C$13:$AB$1000,16,FALSE),0,(VLOOKUP($B275,Resumo_HSF!$C$13:$AB$1000,16,FALSE)-VLOOKUP($B274,Resumo_HSF!$C$13:$AB$1000,16,FALSE))*VLOOKUP($B275,Resumo_HSF!$C$13:$AB$1000,15,FALSE))</f>
        <v>0</v>
      </c>
      <c r="Y275" s="26">
        <v>0</v>
      </c>
      <c r="Z275" s="26">
        <v>0</v>
      </c>
      <c r="AA275" s="26">
        <v>0</v>
      </c>
      <c r="AB275" s="26">
        <v>0</v>
      </c>
      <c r="AC275" s="26">
        <v>0</v>
      </c>
      <c r="AD275" s="15">
        <f t="shared" ref="AD275" si="259">SUM(D275:AB275)</f>
        <v>0</v>
      </c>
    </row>
    <row r="276" spans="2:30">
      <c r="B276" s="1">
        <f>WORKDAY(B275,1,Feriados!A78:A918)</f>
        <v>45251</v>
      </c>
      <c r="C276" s="51">
        <f t="shared" ref="C276" si="260">AD276</f>
        <v>0</v>
      </c>
      <c r="D276" s="26">
        <v>0</v>
      </c>
      <c r="E276" s="26">
        <v>0</v>
      </c>
      <c r="F276" s="26">
        <v>0</v>
      </c>
      <c r="G276" s="26">
        <v>0</v>
      </c>
      <c r="H276" s="26">
        <v>0</v>
      </c>
      <c r="I276" s="26">
        <v>0</v>
      </c>
      <c r="J276" s="26">
        <v>0</v>
      </c>
      <c r="K276">
        <f>-VLOOKUP(B276,Resumo_HSF!$C$13:$AH$600,28,FALSE)</f>
        <v>0</v>
      </c>
      <c r="L276" s="26">
        <v>0</v>
      </c>
      <c r="M276" s="26">
        <v>0</v>
      </c>
      <c r="N276" s="26">
        <v>0</v>
      </c>
      <c r="O276" s="26">
        <v>0</v>
      </c>
      <c r="P276" s="26">
        <v>0</v>
      </c>
      <c r="Q276" s="26">
        <v>0</v>
      </c>
      <c r="R276" s="26">
        <v>0</v>
      </c>
      <c r="S276" s="26">
        <v>0</v>
      </c>
      <c r="T276" s="26">
        <v>0</v>
      </c>
      <c r="U276" s="26">
        <v>0</v>
      </c>
      <c r="V276" s="26">
        <v>0</v>
      </c>
      <c r="W276" s="26">
        <v>0</v>
      </c>
      <c r="X276" s="26">
        <f>-IF(VLOOKUP($B276,Resumo_HSF!$C$13:$AB$1000,16,FALSE)=VLOOKUP($B275,Resumo_HSF!$C$13:$AB$1000,16,FALSE),0,(VLOOKUP($B276,Resumo_HSF!$C$13:$AB$1000,16,FALSE)-VLOOKUP($B275,Resumo_HSF!$C$13:$AB$1000,16,FALSE))*VLOOKUP($B276,Resumo_HSF!$C$13:$AB$1000,15,FALSE))</f>
        <v>0</v>
      </c>
      <c r="Y276" s="26">
        <v>0</v>
      </c>
      <c r="Z276" s="26">
        <v>0</v>
      </c>
      <c r="AA276" s="26">
        <v>0</v>
      </c>
      <c r="AB276" s="26">
        <v>0</v>
      </c>
      <c r="AC276" s="26">
        <v>0</v>
      </c>
      <c r="AD276" s="15">
        <f t="shared" ref="AD276" si="261">SUM(D276:AB276)</f>
        <v>0</v>
      </c>
    </row>
    <row r="277" spans="2:30">
      <c r="B277" s="1">
        <f>WORKDAY(B276,1,Feriados!A79:A919)</f>
        <v>45252</v>
      </c>
      <c r="C277" s="51">
        <f t="shared" ref="C277:C278" si="262">AD277</f>
        <v>0</v>
      </c>
      <c r="D277" s="26">
        <v>0</v>
      </c>
      <c r="E277" s="26">
        <v>0</v>
      </c>
      <c r="F277" s="26">
        <v>0</v>
      </c>
      <c r="G277" s="26">
        <v>0</v>
      </c>
      <c r="H277" s="26">
        <v>0</v>
      </c>
      <c r="I277" s="26">
        <v>0</v>
      </c>
      <c r="J277" s="26">
        <v>0</v>
      </c>
      <c r="K277">
        <f>-VLOOKUP(B277,Resumo_HSF!$C$13:$AH$600,28,FALSE)</f>
        <v>0</v>
      </c>
      <c r="L277" s="26">
        <v>0</v>
      </c>
      <c r="M277" s="26">
        <v>0</v>
      </c>
      <c r="N277" s="26">
        <v>0</v>
      </c>
      <c r="O277" s="26">
        <v>0</v>
      </c>
      <c r="P277" s="26">
        <v>0</v>
      </c>
      <c r="Q277" s="26">
        <v>0</v>
      </c>
      <c r="R277" s="26">
        <v>0</v>
      </c>
      <c r="S277" s="26">
        <v>0</v>
      </c>
      <c r="T277" s="26">
        <v>0</v>
      </c>
      <c r="U277" s="26">
        <v>0</v>
      </c>
      <c r="V277" s="26">
        <v>0</v>
      </c>
      <c r="W277" s="26">
        <v>0</v>
      </c>
      <c r="X277" s="26">
        <f>-IF(VLOOKUP($B277,Resumo_HSF!$C$13:$AB$1000,16,FALSE)=VLOOKUP($B276,Resumo_HSF!$C$13:$AB$1000,16,FALSE),0,(VLOOKUP($B277,Resumo_HSF!$C$13:$AB$1000,16,FALSE)-VLOOKUP($B276,Resumo_HSF!$C$13:$AB$1000,16,FALSE))*VLOOKUP($B277,Resumo_HSF!$C$13:$AB$1000,15,FALSE))</f>
        <v>0</v>
      </c>
      <c r="Y277" s="26">
        <v>0</v>
      </c>
      <c r="Z277" s="26">
        <v>0</v>
      </c>
      <c r="AA277" s="26">
        <v>0</v>
      </c>
      <c r="AB277" s="26">
        <v>0</v>
      </c>
      <c r="AC277" s="26">
        <v>0</v>
      </c>
      <c r="AD277" s="15">
        <f t="shared" ref="AD277:AD278" si="263">SUM(D277:AB277)</f>
        <v>0</v>
      </c>
    </row>
    <row r="278" spans="2:30">
      <c r="B278" s="1">
        <f>WORKDAY(B277,1,Feriados!A80:A920)</f>
        <v>45253</v>
      </c>
      <c r="C278" s="51">
        <f t="shared" si="262"/>
        <v>0</v>
      </c>
      <c r="D278" s="26">
        <v>0</v>
      </c>
      <c r="E278" s="26">
        <v>0</v>
      </c>
      <c r="F278" s="26">
        <v>0</v>
      </c>
      <c r="G278" s="26">
        <v>0</v>
      </c>
      <c r="H278" s="26">
        <v>0</v>
      </c>
      <c r="I278" s="26">
        <v>0</v>
      </c>
      <c r="J278" s="26">
        <v>0</v>
      </c>
      <c r="K278">
        <f>-VLOOKUP(B278,Resumo_HSF!$C$13:$AH$600,28,FALSE)</f>
        <v>0</v>
      </c>
      <c r="L278" s="26">
        <v>0</v>
      </c>
      <c r="M278" s="26">
        <v>0</v>
      </c>
      <c r="N278" s="26">
        <v>0</v>
      </c>
      <c r="O278" s="26">
        <v>0</v>
      </c>
      <c r="P278" s="26">
        <v>0</v>
      </c>
      <c r="Q278" s="26">
        <v>0</v>
      </c>
      <c r="R278" s="26">
        <v>0</v>
      </c>
      <c r="S278" s="26">
        <v>0</v>
      </c>
      <c r="T278" s="26">
        <v>0</v>
      </c>
      <c r="U278" s="26">
        <v>0</v>
      </c>
      <c r="V278" s="26">
        <v>0</v>
      </c>
      <c r="W278" s="26">
        <v>0</v>
      </c>
      <c r="X278" s="26">
        <f>-IF(VLOOKUP($B278,Resumo_HSF!$C$13:$AB$1000,16,FALSE)=VLOOKUP($B277,Resumo_HSF!$C$13:$AB$1000,16,FALSE),0,(VLOOKUP($B278,Resumo_HSF!$C$13:$AB$1000,16,FALSE)-VLOOKUP($B277,Resumo_HSF!$C$13:$AB$1000,16,FALSE))*VLOOKUP($B278,Resumo_HSF!$C$13:$AB$1000,15,FALSE))</f>
        <v>0</v>
      </c>
      <c r="Y278" s="26">
        <v>0</v>
      </c>
      <c r="Z278" s="26">
        <v>0</v>
      </c>
      <c r="AA278" s="26">
        <v>0</v>
      </c>
      <c r="AB278" s="26">
        <v>0</v>
      </c>
      <c r="AC278" s="26">
        <v>0</v>
      </c>
      <c r="AD278" s="15">
        <f t="shared" si="263"/>
        <v>0</v>
      </c>
    </row>
    <row r="279" spans="2:30">
      <c r="B279" s="1">
        <f>WORKDAY(B278,1,Feriados!A81:A921)</f>
        <v>45254</v>
      </c>
      <c r="C279" s="51">
        <f t="shared" ref="C279" si="264">AD279</f>
        <v>0</v>
      </c>
      <c r="D279" s="26">
        <v>0</v>
      </c>
      <c r="E279" s="26">
        <v>0</v>
      </c>
      <c r="F279" s="26">
        <v>0</v>
      </c>
      <c r="G279" s="26">
        <v>0</v>
      </c>
      <c r="H279" s="26">
        <v>0</v>
      </c>
      <c r="I279" s="26">
        <v>0</v>
      </c>
      <c r="J279" s="26">
        <v>0</v>
      </c>
      <c r="K279">
        <f>-VLOOKUP(B279,Resumo_HSF!$C$13:$AH$600,28,FALSE)</f>
        <v>0</v>
      </c>
      <c r="L279" s="26">
        <v>0</v>
      </c>
      <c r="M279" s="26">
        <v>0</v>
      </c>
      <c r="N279" s="26">
        <v>0</v>
      </c>
      <c r="O279" s="26">
        <v>0</v>
      </c>
      <c r="P279" s="26">
        <v>0</v>
      </c>
      <c r="Q279" s="26">
        <v>0</v>
      </c>
      <c r="R279" s="26">
        <v>0</v>
      </c>
      <c r="S279" s="26">
        <v>0</v>
      </c>
      <c r="T279" s="26">
        <v>0</v>
      </c>
      <c r="U279" s="26">
        <v>0</v>
      </c>
      <c r="V279" s="26">
        <v>0</v>
      </c>
      <c r="W279" s="26">
        <v>0</v>
      </c>
      <c r="X279" s="26">
        <f>-IF(VLOOKUP($B279,Resumo_HSF!$C$13:$AB$1000,16,FALSE)=VLOOKUP($B278,Resumo_HSF!$C$13:$AB$1000,16,FALSE),0,(VLOOKUP($B279,Resumo_HSF!$C$13:$AB$1000,16,FALSE)-VLOOKUP($B278,Resumo_HSF!$C$13:$AB$1000,16,FALSE))*VLOOKUP($B279,Resumo_HSF!$C$13:$AB$1000,15,FALSE))</f>
        <v>0</v>
      </c>
      <c r="Y279" s="26">
        <v>0</v>
      </c>
      <c r="Z279" s="26">
        <v>0</v>
      </c>
      <c r="AA279" s="26">
        <v>0</v>
      </c>
      <c r="AB279" s="26">
        <v>0</v>
      </c>
      <c r="AC279" s="26">
        <v>0</v>
      </c>
      <c r="AD279" s="15">
        <f t="shared" ref="AD279" si="265">SUM(D279:AB279)</f>
        <v>0</v>
      </c>
    </row>
    <row r="280" spans="2:30">
      <c r="B280" s="1">
        <f>WORKDAY(B279,1,Feriados!A82:A922)</f>
        <v>45257</v>
      </c>
      <c r="C280" s="51">
        <f t="shared" ref="C280" si="266">AD280</f>
        <v>0</v>
      </c>
      <c r="D280" s="26">
        <v>0</v>
      </c>
      <c r="E280" s="26">
        <v>0</v>
      </c>
      <c r="F280" s="26">
        <v>0</v>
      </c>
      <c r="G280" s="26">
        <v>0</v>
      </c>
      <c r="H280" s="26">
        <v>0</v>
      </c>
      <c r="I280" s="26">
        <v>0</v>
      </c>
      <c r="J280" s="26">
        <v>0</v>
      </c>
      <c r="K280">
        <f>-VLOOKUP(B280,Resumo_HSF!$C$13:$AH$600,28,FALSE)</f>
        <v>0</v>
      </c>
      <c r="L280" s="26">
        <v>0</v>
      </c>
      <c r="M280" s="26">
        <v>0</v>
      </c>
      <c r="N280" s="26">
        <v>0</v>
      </c>
      <c r="O280" s="26">
        <v>0</v>
      </c>
      <c r="P280" s="26">
        <v>0</v>
      </c>
      <c r="Q280" s="26">
        <v>0</v>
      </c>
      <c r="R280" s="26">
        <v>0</v>
      </c>
      <c r="S280" s="26">
        <v>0</v>
      </c>
      <c r="T280" s="26">
        <v>0</v>
      </c>
      <c r="U280" s="26">
        <v>0</v>
      </c>
      <c r="V280" s="26">
        <v>0</v>
      </c>
      <c r="W280" s="26">
        <v>0</v>
      </c>
      <c r="X280" s="26">
        <f>-IF(VLOOKUP($B280,Resumo_HSF!$C$13:$AB$1000,16,FALSE)=VLOOKUP($B279,Resumo_HSF!$C$13:$AB$1000,16,FALSE),0,(VLOOKUP($B280,Resumo_HSF!$C$13:$AB$1000,16,FALSE)-VLOOKUP($B279,Resumo_HSF!$C$13:$AB$1000,16,FALSE))*VLOOKUP($B280,Resumo_HSF!$C$13:$AB$1000,15,FALSE))</f>
        <v>0</v>
      </c>
      <c r="Y280" s="26">
        <v>0</v>
      </c>
      <c r="Z280" s="26">
        <v>0</v>
      </c>
      <c r="AA280" s="26">
        <v>0</v>
      </c>
      <c r="AB280" s="26">
        <v>0</v>
      </c>
      <c r="AC280" s="26">
        <v>0</v>
      </c>
      <c r="AD280" s="15">
        <f t="shared" ref="AD280" si="267">SUM(D280:AB280)</f>
        <v>0</v>
      </c>
    </row>
    <row r="281" spans="2:30">
      <c r="B281" s="1">
        <f>WORKDAY(B280,1,Feriados!A83:A923)</f>
        <v>45258</v>
      </c>
      <c r="C281" s="51">
        <f t="shared" ref="C281" si="268">AD281</f>
        <v>0</v>
      </c>
      <c r="D281" s="26">
        <v>0</v>
      </c>
      <c r="E281" s="26">
        <v>0</v>
      </c>
      <c r="F281" s="26">
        <v>0</v>
      </c>
      <c r="G281" s="26">
        <v>0</v>
      </c>
      <c r="H281" s="26">
        <v>0</v>
      </c>
      <c r="I281" s="26">
        <v>0</v>
      </c>
      <c r="J281" s="26">
        <v>0</v>
      </c>
      <c r="K281">
        <f>-VLOOKUP(B281,Resumo_HSF!$C$13:$AH$600,28,FALSE)</f>
        <v>0</v>
      </c>
      <c r="L281" s="26">
        <v>0</v>
      </c>
      <c r="M281" s="26">
        <v>0</v>
      </c>
      <c r="N281" s="26">
        <v>0</v>
      </c>
      <c r="O281" s="26">
        <v>0</v>
      </c>
      <c r="P281" s="26">
        <v>0</v>
      </c>
      <c r="Q281" s="26">
        <v>0</v>
      </c>
      <c r="R281" s="26">
        <v>0</v>
      </c>
      <c r="S281" s="26">
        <v>0</v>
      </c>
      <c r="T281" s="26">
        <v>0</v>
      </c>
      <c r="U281" s="26">
        <v>0</v>
      </c>
      <c r="V281" s="26">
        <v>0</v>
      </c>
      <c r="W281" s="26">
        <v>0</v>
      </c>
      <c r="X281" s="26">
        <f>-IF(VLOOKUP($B281,Resumo_HSF!$C$13:$AB$1000,16,FALSE)=VLOOKUP($B280,Resumo_HSF!$C$13:$AB$1000,16,FALSE),0,(VLOOKUP($B281,Resumo_HSF!$C$13:$AB$1000,16,FALSE)-VLOOKUP($B280,Resumo_HSF!$C$13:$AB$1000,16,FALSE))*VLOOKUP($B281,Resumo_HSF!$C$13:$AB$1000,15,FALSE))</f>
        <v>0</v>
      </c>
      <c r="Y281" s="26">
        <v>0</v>
      </c>
      <c r="Z281" s="26">
        <v>0</v>
      </c>
      <c r="AA281" s="26">
        <v>0</v>
      </c>
      <c r="AB281" s="26">
        <v>0</v>
      </c>
      <c r="AC281" s="26">
        <v>0</v>
      </c>
      <c r="AD281" s="15">
        <f t="shared" ref="AD281" si="269">SUM(D281:AB281)</f>
        <v>0</v>
      </c>
    </row>
    <row r="282" spans="2:30">
      <c r="B282" s="1">
        <f>WORKDAY(B281,1,Feriados!A84:A924)</f>
        <v>45259</v>
      </c>
      <c r="C282" s="51">
        <f t="shared" ref="C282" si="270">AD282</f>
        <v>0</v>
      </c>
      <c r="D282" s="26">
        <v>0</v>
      </c>
      <c r="E282" s="26">
        <v>0</v>
      </c>
      <c r="F282" s="26">
        <v>0</v>
      </c>
      <c r="G282" s="26">
        <v>0</v>
      </c>
      <c r="H282" s="26">
        <v>0</v>
      </c>
      <c r="I282" s="26">
        <v>0</v>
      </c>
      <c r="J282" s="26">
        <v>0</v>
      </c>
      <c r="K282">
        <f>-VLOOKUP(B282,Resumo_HSF!$C$13:$AH$600,28,FALSE)</f>
        <v>0</v>
      </c>
      <c r="L282" s="26">
        <v>0</v>
      </c>
      <c r="M282" s="26">
        <v>0</v>
      </c>
      <c r="N282" s="26">
        <v>0</v>
      </c>
      <c r="O282" s="26">
        <v>0</v>
      </c>
      <c r="P282" s="26">
        <v>0</v>
      </c>
      <c r="Q282" s="26">
        <v>0</v>
      </c>
      <c r="R282" s="26">
        <v>0</v>
      </c>
      <c r="S282" s="26">
        <v>0</v>
      </c>
      <c r="T282" s="26">
        <v>0</v>
      </c>
      <c r="U282" s="26">
        <v>0</v>
      </c>
      <c r="V282" s="26">
        <v>0</v>
      </c>
      <c r="W282" s="26">
        <v>0</v>
      </c>
      <c r="X282" s="26">
        <f>-IF(VLOOKUP($B282,Resumo_HSF!$C$13:$AB$1000,16,FALSE)=VLOOKUP($B281,Resumo_HSF!$C$13:$AB$1000,16,FALSE),0,(VLOOKUP($B282,Resumo_HSF!$C$13:$AB$1000,16,FALSE)-VLOOKUP($B281,Resumo_HSF!$C$13:$AB$1000,16,FALSE))*VLOOKUP($B282,Resumo_HSF!$C$13:$AB$1000,15,FALSE))</f>
        <v>0</v>
      </c>
      <c r="Y282" s="26">
        <v>0</v>
      </c>
      <c r="Z282" s="26">
        <v>0</v>
      </c>
      <c r="AA282" s="26">
        <v>0</v>
      </c>
      <c r="AB282" s="26">
        <v>0</v>
      </c>
      <c r="AC282" s="26">
        <v>0</v>
      </c>
      <c r="AD282" s="15">
        <f t="shared" ref="AD282" si="271">SUM(D282:AB282)</f>
        <v>0</v>
      </c>
    </row>
    <row r="283" spans="2:30">
      <c r="B283" s="1">
        <f>WORKDAY(B282,1,Feriados!A85:A925)</f>
        <v>45260</v>
      </c>
      <c r="C283" s="51">
        <f t="shared" ref="C283" si="272">AD283</f>
        <v>0</v>
      </c>
      <c r="D283" s="26">
        <v>0</v>
      </c>
      <c r="E283" s="26">
        <v>0</v>
      </c>
      <c r="F283" s="26">
        <v>0</v>
      </c>
      <c r="G283" s="26">
        <v>0</v>
      </c>
      <c r="H283" s="26">
        <v>0</v>
      </c>
      <c r="I283" s="26">
        <v>0</v>
      </c>
      <c r="J283" s="26">
        <v>0</v>
      </c>
      <c r="K283">
        <f>-VLOOKUP(B283,Resumo_HSF!$C$13:$AH$600,28,FALSE)</f>
        <v>0</v>
      </c>
      <c r="L283" s="26">
        <v>0</v>
      </c>
      <c r="M283" s="26">
        <v>0</v>
      </c>
      <c r="N283" s="26">
        <v>0</v>
      </c>
      <c r="O283" s="26">
        <v>0</v>
      </c>
      <c r="P283" s="26">
        <v>0</v>
      </c>
      <c r="Q283" s="26">
        <v>0</v>
      </c>
      <c r="R283" s="26">
        <v>0</v>
      </c>
      <c r="S283" s="26">
        <v>0</v>
      </c>
      <c r="T283" s="26">
        <v>0</v>
      </c>
      <c r="U283" s="26">
        <v>0</v>
      </c>
      <c r="V283" s="26">
        <v>0</v>
      </c>
      <c r="W283" s="26">
        <v>0</v>
      </c>
      <c r="X283" s="26">
        <f>-IF(VLOOKUP($B283,Resumo_HSF!$C$13:$AB$1000,16,FALSE)=VLOOKUP($B282,Resumo_HSF!$C$13:$AB$1000,16,FALSE),0,(VLOOKUP($B283,Resumo_HSF!$C$13:$AB$1000,16,FALSE)-VLOOKUP($B282,Resumo_HSF!$C$13:$AB$1000,16,FALSE))*VLOOKUP($B283,Resumo_HSF!$C$13:$AB$1000,15,FALSE))</f>
        <v>0</v>
      </c>
      <c r="Y283" s="26">
        <v>0</v>
      </c>
      <c r="Z283" s="26">
        <v>0</v>
      </c>
      <c r="AA283" s="26">
        <v>0</v>
      </c>
      <c r="AB283" s="26">
        <v>0</v>
      </c>
      <c r="AC283" s="26">
        <v>0</v>
      </c>
      <c r="AD283" s="15">
        <f t="shared" ref="AD283" si="273">SUM(D283:AB283)</f>
        <v>0</v>
      </c>
    </row>
    <row r="284" spans="2:30">
      <c r="B284" s="1">
        <f>WORKDAY(B283,1,Feriados!A86:A926)</f>
        <v>45261</v>
      </c>
      <c r="C284" s="51">
        <f t="shared" ref="C284:C285" si="274">AD284</f>
        <v>-1.267835614271462E-7</v>
      </c>
      <c r="D284" s="26">
        <v>0</v>
      </c>
      <c r="E284" s="26">
        <v>0</v>
      </c>
      <c r="F284" s="26">
        <v>0</v>
      </c>
      <c r="G284" s="26">
        <v>0</v>
      </c>
      <c r="H284" s="26">
        <v>0</v>
      </c>
      <c r="I284" s="26">
        <v>0</v>
      </c>
      <c r="J284" s="26">
        <v>0</v>
      </c>
      <c r="K284">
        <f>-VLOOKUP(B284,Resumo_HSF!$C$13:$AH$600,28,FALSE)</f>
        <v>0</v>
      </c>
      <c r="L284" s="26">
        <v>0</v>
      </c>
      <c r="M284" s="26">
        <v>0</v>
      </c>
      <c r="N284" s="26">
        <v>0</v>
      </c>
      <c r="O284" s="26">
        <v>0</v>
      </c>
      <c r="P284" s="26">
        <v>0</v>
      </c>
      <c r="Q284" s="26">
        <v>0</v>
      </c>
      <c r="R284" s="26">
        <v>50000</v>
      </c>
      <c r="S284" s="26">
        <v>0</v>
      </c>
      <c r="T284" s="26">
        <v>0</v>
      </c>
      <c r="U284" s="26">
        <v>0</v>
      </c>
      <c r="V284" s="26">
        <v>0</v>
      </c>
      <c r="W284" s="26">
        <v>0</v>
      </c>
      <c r="X284" s="26">
        <f>-IF(VLOOKUP($B284,Resumo_HSF!$C$13:$AB$1000,16,FALSE)=VLOOKUP($B283,Resumo_HSF!$C$13:$AB$1000,16,FALSE),0,(VLOOKUP($B284,Resumo_HSF!$C$13:$AB$1000,16,FALSE)-VLOOKUP($B283,Resumo_HSF!$C$13:$AB$1000,16,FALSE))*VLOOKUP($B284,Resumo_HSF!$C$13:$AB$1000,15,FALSE))</f>
        <v>-50000.000000126784</v>
      </c>
      <c r="Y284" s="26">
        <v>0</v>
      </c>
      <c r="Z284" s="26">
        <v>0</v>
      </c>
      <c r="AA284" s="26">
        <v>0</v>
      </c>
      <c r="AB284" s="26">
        <v>0</v>
      </c>
      <c r="AC284" s="26">
        <v>0</v>
      </c>
      <c r="AD284" s="15">
        <f t="shared" ref="AD284:AD285" si="275">SUM(D284:AB284)</f>
        <v>-1.267835614271462E-7</v>
      </c>
    </row>
    <row r="285" spans="2:30">
      <c r="B285" s="1">
        <f>WORKDAY(B284,1,Feriados!A87:A927)</f>
        <v>45264</v>
      </c>
      <c r="C285" s="51">
        <f t="shared" si="274"/>
        <v>-9.7150041256099939E-7</v>
      </c>
      <c r="D285" s="26">
        <v>0</v>
      </c>
      <c r="E285" s="26">
        <v>0</v>
      </c>
      <c r="F285" s="26">
        <v>0</v>
      </c>
      <c r="G285" s="26">
        <v>0</v>
      </c>
      <c r="H285" s="26">
        <v>0</v>
      </c>
      <c r="I285" s="26">
        <v>0</v>
      </c>
      <c r="J285" s="26">
        <v>0</v>
      </c>
      <c r="K285">
        <f>-VLOOKUP(B285,Resumo_HSF!$C$13:$AH$600,28,FALSE)</f>
        <v>-50000</v>
      </c>
      <c r="L285" s="26">
        <v>0</v>
      </c>
      <c r="M285" s="26">
        <v>0</v>
      </c>
      <c r="N285" s="26">
        <v>0</v>
      </c>
      <c r="O285" s="26">
        <v>0</v>
      </c>
      <c r="P285" s="26">
        <v>0</v>
      </c>
      <c r="Q285" s="26">
        <v>0</v>
      </c>
      <c r="R285" s="26">
        <v>0</v>
      </c>
      <c r="S285" s="26">
        <v>0</v>
      </c>
      <c r="T285" s="26">
        <v>0</v>
      </c>
      <c r="U285" s="26">
        <v>0</v>
      </c>
      <c r="V285" s="26">
        <v>0</v>
      </c>
      <c r="W285" s="26">
        <v>0</v>
      </c>
      <c r="X285" s="26">
        <f>-IF(VLOOKUP($B285,Resumo_HSF!$C$13:$AB$1000,16,FALSE)=VLOOKUP($B284,Resumo_HSF!$C$13:$AB$1000,16,FALSE),0,(VLOOKUP($B285,Resumo_HSF!$C$13:$AB$1000,16,FALSE)-VLOOKUP($B284,Resumo_HSF!$C$13:$AB$1000,16,FALSE))*VLOOKUP($B285,Resumo_HSF!$C$13:$AB$1000,15,FALSE))</f>
        <v>49999.9999990285</v>
      </c>
      <c r="Y285" s="26">
        <v>0</v>
      </c>
      <c r="Z285" s="26">
        <v>0</v>
      </c>
      <c r="AA285" s="26">
        <v>0</v>
      </c>
      <c r="AB285" s="26">
        <v>0</v>
      </c>
      <c r="AC285" s="26">
        <v>0</v>
      </c>
      <c r="AD285" s="15">
        <f t="shared" si="275"/>
        <v>-9.7150041256099939E-7</v>
      </c>
    </row>
    <row r="286" spans="2:30">
      <c r="B286" s="1">
        <f>WORKDAY(B285,1,Feriados!A88:A928)</f>
        <v>45265</v>
      </c>
      <c r="C286" s="51">
        <f t="shared" ref="C286" si="276">AD286</f>
        <v>0</v>
      </c>
      <c r="D286" s="26">
        <v>0</v>
      </c>
      <c r="E286" s="26">
        <v>0</v>
      </c>
      <c r="F286" s="26">
        <v>0</v>
      </c>
      <c r="G286" s="26">
        <v>0</v>
      </c>
      <c r="H286" s="26">
        <v>0</v>
      </c>
      <c r="I286" s="26">
        <v>0</v>
      </c>
      <c r="J286" s="26">
        <v>0</v>
      </c>
      <c r="K286">
        <f>-VLOOKUP(B286,Resumo_HSF!$C$13:$AH$600,28,FALSE)</f>
        <v>0</v>
      </c>
      <c r="L286" s="26">
        <v>0</v>
      </c>
      <c r="M286" s="26">
        <v>0</v>
      </c>
      <c r="N286" s="26">
        <v>0</v>
      </c>
      <c r="O286" s="26">
        <v>0</v>
      </c>
      <c r="P286" s="26">
        <v>0</v>
      </c>
      <c r="Q286" s="26">
        <v>0</v>
      </c>
      <c r="R286" s="26">
        <v>0</v>
      </c>
      <c r="S286" s="26">
        <v>0</v>
      </c>
      <c r="T286" s="26">
        <v>0</v>
      </c>
      <c r="U286" s="26">
        <v>0</v>
      </c>
      <c r="V286" s="26">
        <v>0</v>
      </c>
      <c r="W286" s="26">
        <v>0</v>
      </c>
      <c r="X286" s="26">
        <f>-IF(VLOOKUP($B286,Resumo_HSF!$C$13:$AB$1000,16,FALSE)=VLOOKUP($B285,Resumo_HSF!$C$13:$AB$1000,16,FALSE),0,(VLOOKUP($B286,Resumo_HSF!$C$13:$AB$1000,16,FALSE)-VLOOKUP($B285,Resumo_HSF!$C$13:$AB$1000,16,FALSE))*VLOOKUP($B286,Resumo_HSF!$C$13:$AB$1000,15,FALSE))</f>
        <v>0</v>
      </c>
      <c r="Y286" s="26">
        <v>0</v>
      </c>
      <c r="Z286" s="26">
        <v>0</v>
      </c>
      <c r="AA286" s="26">
        <v>0</v>
      </c>
      <c r="AB286" s="26">
        <v>0</v>
      </c>
      <c r="AC286" s="26">
        <v>0</v>
      </c>
      <c r="AD286" s="15">
        <f t="shared" ref="AD286" si="277">SUM(D286:AB286)</f>
        <v>0</v>
      </c>
    </row>
    <row r="287" spans="2:30">
      <c r="B287" s="1">
        <f>WORKDAY(B286,1,Feriados!A89:A929)</f>
        <v>45266</v>
      </c>
      <c r="C287" s="51">
        <f t="shared" ref="C287:C289" si="278">AD287</f>
        <v>7.2036164056044072E-7</v>
      </c>
      <c r="D287" s="26">
        <v>0</v>
      </c>
      <c r="E287" s="26">
        <v>0</v>
      </c>
      <c r="F287" s="26">
        <v>0</v>
      </c>
      <c r="G287" s="26">
        <v>0</v>
      </c>
      <c r="H287" s="26">
        <v>0</v>
      </c>
      <c r="I287" s="26">
        <v>0</v>
      </c>
      <c r="J287" s="26">
        <v>0</v>
      </c>
      <c r="K287">
        <f>-VLOOKUP(B287,Resumo_HSF!$C$13:$AH$600,28,FALSE)</f>
        <v>0</v>
      </c>
      <c r="L287" s="26">
        <v>0</v>
      </c>
      <c r="M287" s="26">
        <v>0</v>
      </c>
      <c r="N287" s="26">
        <v>0</v>
      </c>
      <c r="O287" s="26">
        <v>0</v>
      </c>
      <c r="P287" s="26">
        <v>0</v>
      </c>
      <c r="Q287" s="26">
        <v>0</v>
      </c>
      <c r="R287" s="26">
        <v>0</v>
      </c>
      <c r="S287" s="26">
        <v>0</v>
      </c>
      <c r="T287" s="26">
        <v>0</v>
      </c>
      <c r="U287" s="26">
        <v>11500</v>
      </c>
      <c r="V287" s="26">
        <v>0</v>
      </c>
      <c r="W287" s="26">
        <v>0</v>
      </c>
      <c r="X287" s="26">
        <f>-IF(VLOOKUP($B287,Resumo_HSF!$C$13:$AB$1000,16,FALSE)=VLOOKUP($B286,Resumo_HSF!$C$13:$AB$1000,16,FALSE),0,(VLOOKUP($B287,Resumo_HSF!$C$13:$AB$1000,16,FALSE)-VLOOKUP($B286,Resumo_HSF!$C$13:$AB$1000,16,FALSE))*VLOOKUP($B287,Resumo_HSF!$C$13:$AB$1000,15,FALSE))</f>
        <v>-11499.999999279638</v>
      </c>
      <c r="Y287" s="26">
        <v>0</v>
      </c>
      <c r="Z287" s="26">
        <v>0</v>
      </c>
      <c r="AA287" s="26">
        <v>0</v>
      </c>
      <c r="AB287" s="26">
        <v>0</v>
      </c>
      <c r="AC287" s="26">
        <v>0</v>
      </c>
      <c r="AD287" s="15">
        <f t="shared" ref="AD287:AD289" si="279">SUM(D287:AB287)</f>
        <v>7.2036164056044072E-7</v>
      </c>
    </row>
    <row r="288" spans="2:30">
      <c r="B288" s="1">
        <f>WORKDAY(B287,1,Feriados!A90:A930)</f>
        <v>45267</v>
      </c>
      <c r="C288" s="51">
        <f t="shared" si="278"/>
        <v>-1.5797122614458203E-6</v>
      </c>
      <c r="D288" s="26">
        <v>-10656.26</v>
      </c>
      <c r="E288" s="26">
        <v>0</v>
      </c>
      <c r="F288" s="26">
        <v>0</v>
      </c>
      <c r="G288" s="26">
        <v>0</v>
      </c>
      <c r="H288" s="26">
        <v>0</v>
      </c>
      <c r="I288" s="26">
        <v>0</v>
      </c>
      <c r="J288" s="26">
        <v>0</v>
      </c>
      <c r="K288">
        <f>-VLOOKUP(B288,Resumo_HSF!$C$13:$AH$600,28,FALSE)</f>
        <v>0</v>
      </c>
      <c r="L288" s="26">
        <v>0</v>
      </c>
      <c r="M288" s="26">
        <v>0</v>
      </c>
      <c r="N288" s="26">
        <v>0</v>
      </c>
      <c r="O288" s="26">
        <v>0</v>
      </c>
      <c r="P288" s="26">
        <v>0</v>
      </c>
      <c r="Q288" s="26">
        <v>0</v>
      </c>
      <c r="R288" s="26">
        <v>0</v>
      </c>
      <c r="S288" s="26">
        <v>0</v>
      </c>
      <c r="T288" s="26">
        <v>0</v>
      </c>
      <c r="U288" s="26">
        <v>0</v>
      </c>
      <c r="V288" s="26">
        <v>0</v>
      </c>
      <c r="W288" s="26">
        <v>0</v>
      </c>
      <c r="X288" s="26">
        <f>-IF(VLOOKUP($B288,Resumo_HSF!$C$13:$AB$1000,16,FALSE)=VLOOKUP($B287,Resumo_HSF!$C$13:$AB$1000,16,FALSE),0,(VLOOKUP($B288,Resumo_HSF!$C$13:$AB$1000,16,FALSE)-VLOOKUP($B287,Resumo_HSF!$C$13:$AB$1000,16,FALSE))*VLOOKUP($B288,Resumo_HSF!$C$13:$AB$1000,15,FALSE))</f>
        <v>10656.259998420288</v>
      </c>
      <c r="Y288" s="26">
        <v>0</v>
      </c>
      <c r="Z288" s="26">
        <v>0</v>
      </c>
      <c r="AA288" s="26">
        <v>0</v>
      </c>
      <c r="AB288" s="26">
        <v>0</v>
      </c>
      <c r="AC288" s="26">
        <v>0</v>
      </c>
      <c r="AD288" s="15">
        <f t="shared" si="279"/>
        <v>-1.5797122614458203E-6</v>
      </c>
    </row>
    <row r="289" spans="2:30">
      <c r="B289" s="1">
        <f>WORKDAY(B288,1,Feriados!A91:A931)</f>
        <v>45268</v>
      </c>
      <c r="C289" s="51">
        <f t="shared" si="278"/>
        <v>0</v>
      </c>
      <c r="D289" s="26">
        <v>0</v>
      </c>
      <c r="E289" s="26">
        <v>0</v>
      </c>
      <c r="F289" s="26">
        <v>0</v>
      </c>
      <c r="G289" s="26">
        <v>0</v>
      </c>
      <c r="H289" s="26">
        <v>0</v>
      </c>
      <c r="I289" s="26">
        <v>0</v>
      </c>
      <c r="J289" s="26">
        <v>0</v>
      </c>
      <c r="K289">
        <f>-VLOOKUP(B289,Resumo_HSF!$C$13:$AH$600,28,FALSE)</f>
        <v>0</v>
      </c>
      <c r="L289" s="26">
        <v>0</v>
      </c>
      <c r="M289" s="26">
        <v>0</v>
      </c>
      <c r="N289" s="26">
        <v>0</v>
      </c>
      <c r="O289" s="26">
        <v>0</v>
      </c>
      <c r="P289" s="26">
        <v>0</v>
      </c>
      <c r="Q289" s="26">
        <v>0</v>
      </c>
      <c r="R289" s="26">
        <v>0</v>
      </c>
      <c r="S289" s="26">
        <v>0</v>
      </c>
      <c r="T289" s="26">
        <v>0</v>
      </c>
      <c r="U289" s="26">
        <v>0</v>
      </c>
      <c r="V289" s="26">
        <v>0</v>
      </c>
      <c r="W289" s="26">
        <v>0</v>
      </c>
      <c r="X289" s="26">
        <f>-IF(VLOOKUP($B289,Resumo_HSF!$C$13:$AB$1000,16,FALSE)=VLOOKUP($B288,Resumo_HSF!$C$13:$AB$1000,16,FALSE),0,(VLOOKUP($B289,Resumo_HSF!$C$13:$AB$1000,16,FALSE)-VLOOKUP($B288,Resumo_HSF!$C$13:$AB$1000,16,FALSE))*VLOOKUP($B289,Resumo_HSF!$C$13:$AB$1000,15,FALSE))</f>
        <v>0</v>
      </c>
      <c r="Y289" s="26">
        <v>0</v>
      </c>
      <c r="Z289" s="26">
        <v>0</v>
      </c>
      <c r="AA289" s="26">
        <v>0</v>
      </c>
      <c r="AB289" s="26">
        <v>0</v>
      </c>
      <c r="AC289" s="26">
        <v>0</v>
      </c>
      <c r="AD289" s="15">
        <f t="shared" si="279"/>
        <v>0</v>
      </c>
    </row>
    <row r="290" spans="2:30">
      <c r="B290" s="1">
        <f>WORKDAY(B289,1,Feriados!A92:A932)</f>
        <v>45271</v>
      </c>
      <c r="C290" s="51">
        <f t="shared" ref="C290" si="280">AD290</f>
        <v>0</v>
      </c>
      <c r="D290" s="26">
        <v>0</v>
      </c>
      <c r="E290" s="26">
        <v>0</v>
      </c>
      <c r="F290" s="26">
        <v>0</v>
      </c>
      <c r="G290" s="26">
        <v>0</v>
      </c>
      <c r="H290" s="26">
        <v>0</v>
      </c>
      <c r="I290" s="26">
        <v>0</v>
      </c>
      <c r="J290" s="26">
        <v>0</v>
      </c>
      <c r="K290">
        <f>-VLOOKUP(B290,Resumo_HSF!$C$13:$AH$600,28,FALSE)</f>
        <v>0</v>
      </c>
      <c r="L290" s="26">
        <v>0</v>
      </c>
      <c r="M290" s="26">
        <v>0</v>
      </c>
      <c r="N290" s="26">
        <v>0</v>
      </c>
      <c r="O290" s="26">
        <v>0</v>
      </c>
      <c r="P290" s="26">
        <v>0</v>
      </c>
      <c r="Q290" s="26">
        <v>0</v>
      </c>
      <c r="R290" s="26">
        <v>0</v>
      </c>
      <c r="S290" s="26">
        <v>0</v>
      </c>
      <c r="T290" s="26">
        <v>0</v>
      </c>
      <c r="U290" s="26">
        <v>0</v>
      </c>
      <c r="V290" s="26">
        <v>0</v>
      </c>
      <c r="W290" s="26">
        <v>0</v>
      </c>
      <c r="X290" s="26">
        <f>-IF(VLOOKUP($B290,Resumo_HSF!$C$13:$AB$1000,16,FALSE)=VLOOKUP($B289,Resumo_HSF!$C$13:$AB$1000,16,FALSE),0,(VLOOKUP($B290,Resumo_HSF!$C$13:$AB$1000,16,FALSE)-VLOOKUP($B289,Resumo_HSF!$C$13:$AB$1000,16,FALSE))*VLOOKUP($B290,Resumo_HSF!$C$13:$AB$1000,15,FALSE))</f>
        <v>0</v>
      </c>
      <c r="Y290" s="26">
        <v>0</v>
      </c>
      <c r="Z290" s="26">
        <v>0</v>
      </c>
      <c r="AA290" s="26">
        <v>0</v>
      </c>
      <c r="AB290" s="26">
        <v>0</v>
      </c>
      <c r="AC290" s="26">
        <v>0</v>
      </c>
      <c r="AD290" s="15">
        <f t="shared" ref="AD290" si="281">SUM(D290:AB290)</f>
        <v>0</v>
      </c>
    </row>
    <row r="291" spans="2:30">
      <c r="B291" s="1">
        <f>WORKDAY(B290,1,Feriados!A93:A933)</f>
        <v>45272</v>
      </c>
      <c r="C291" s="51">
        <f t="shared" ref="C291" si="282">AD291</f>
        <v>0</v>
      </c>
      <c r="D291" s="26">
        <v>0</v>
      </c>
      <c r="E291" s="26">
        <v>0</v>
      </c>
      <c r="F291" s="26">
        <v>0</v>
      </c>
      <c r="G291" s="26">
        <v>0</v>
      </c>
      <c r="H291" s="26">
        <v>0</v>
      </c>
      <c r="I291" s="26">
        <v>0</v>
      </c>
      <c r="J291" s="26">
        <v>0</v>
      </c>
      <c r="K291">
        <f>-VLOOKUP(B291,Resumo_HSF!$C$13:$AH$600,28,FALSE)</f>
        <v>0</v>
      </c>
      <c r="L291" s="26">
        <v>0</v>
      </c>
      <c r="M291" s="26">
        <v>0</v>
      </c>
      <c r="N291" s="26">
        <v>0</v>
      </c>
      <c r="O291" s="26">
        <v>0</v>
      </c>
      <c r="P291" s="26">
        <v>0</v>
      </c>
      <c r="Q291" s="26">
        <v>0</v>
      </c>
      <c r="R291" s="26">
        <v>0</v>
      </c>
      <c r="S291" s="26">
        <v>0</v>
      </c>
      <c r="T291" s="26">
        <v>0</v>
      </c>
      <c r="U291" s="26">
        <v>0</v>
      </c>
      <c r="V291" s="26">
        <v>0</v>
      </c>
      <c r="W291" s="26">
        <v>0</v>
      </c>
      <c r="X291" s="26">
        <f>-IF(VLOOKUP($B291,Resumo_HSF!$C$13:$AB$1000,16,FALSE)=VLOOKUP($B290,Resumo_HSF!$C$13:$AB$1000,16,FALSE),0,(VLOOKUP($B291,Resumo_HSF!$C$13:$AB$1000,16,FALSE)-VLOOKUP($B290,Resumo_HSF!$C$13:$AB$1000,16,FALSE))*VLOOKUP($B291,Resumo_HSF!$C$13:$AB$1000,15,FALSE))</f>
        <v>0</v>
      </c>
      <c r="Y291" s="26">
        <v>0</v>
      </c>
      <c r="Z291" s="26">
        <v>0</v>
      </c>
      <c r="AA291" s="26">
        <v>0</v>
      </c>
      <c r="AB291" s="26">
        <v>0</v>
      </c>
      <c r="AC291" s="26">
        <v>0</v>
      </c>
      <c r="AD291" s="15">
        <f t="shared" ref="AD291" si="283">SUM(D291:AB291)</f>
        <v>0</v>
      </c>
    </row>
    <row r="292" spans="2:30">
      <c r="B292" s="1">
        <f>WORKDAY(B291,1,Feriados!A94:A934)</f>
        <v>45273</v>
      </c>
      <c r="C292" s="51">
        <f t="shared" ref="C292" si="284">AD292</f>
        <v>0</v>
      </c>
      <c r="D292" s="26">
        <v>0</v>
      </c>
      <c r="E292" s="26">
        <v>0</v>
      </c>
      <c r="F292" s="26">
        <v>0</v>
      </c>
      <c r="G292" s="26">
        <v>0</v>
      </c>
      <c r="H292" s="26">
        <v>0</v>
      </c>
      <c r="I292" s="26">
        <v>0</v>
      </c>
      <c r="J292" s="26">
        <v>0</v>
      </c>
      <c r="K292">
        <f>-VLOOKUP(B292,Resumo_HSF!$C$13:$AH$600,28,FALSE)</f>
        <v>0</v>
      </c>
      <c r="L292" s="26">
        <v>0</v>
      </c>
      <c r="M292" s="26">
        <v>0</v>
      </c>
      <c r="N292" s="26">
        <v>0</v>
      </c>
      <c r="O292" s="26">
        <v>0</v>
      </c>
      <c r="P292" s="26">
        <v>0</v>
      </c>
      <c r="Q292" s="26">
        <v>0</v>
      </c>
      <c r="R292" s="26">
        <v>0</v>
      </c>
      <c r="S292" s="26">
        <v>0</v>
      </c>
      <c r="T292" s="26">
        <v>0</v>
      </c>
      <c r="U292" s="26">
        <v>0</v>
      </c>
      <c r="V292" s="26">
        <v>0</v>
      </c>
      <c r="W292" s="26">
        <v>0</v>
      </c>
      <c r="X292" s="26">
        <f>-IF(VLOOKUP($B292,Resumo_HSF!$C$13:$AB$1000,16,FALSE)=VLOOKUP($B291,Resumo_HSF!$C$13:$AB$1000,16,FALSE),0,(VLOOKUP($B292,Resumo_HSF!$C$13:$AB$1000,16,FALSE)-VLOOKUP($B291,Resumo_HSF!$C$13:$AB$1000,16,FALSE))*VLOOKUP($B292,Resumo_HSF!$C$13:$AB$1000,15,FALSE))</f>
        <v>0</v>
      </c>
      <c r="Y292" s="26">
        <v>0</v>
      </c>
      <c r="Z292" s="26">
        <v>0</v>
      </c>
      <c r="AA292" s="26">
        <v>0</v>
      </c>
      <c r="AB292" s="26">
        <v>0</v>
      </c>
      <c r="AC292" s="26">
        <v>0</v>
      </c>
      <c r="AD292" s="15">
        <f t="shared" ref="AD292" si="285">SUM(D292:AB292)</f>
        <v>0</v>
      </c>
    </row>
    <row r="293" spans="2:30">
      <c r="B293" s="1">
        <f>WORKDAY(B292,1,Feriados!A95:A935)</f>
        <v>45274</v>
      </c>
      <c r="C293" s="51">
        <f t="shared" ref="C293" si="286">AD293</f>
        <v>0</v>
      </c>
      <c r="D293" s="26">
        <v>0</v>
      </c>
      <c r="E293" s="26">
        <v>0</v>
      </c>
      <c r="F293" s="26">
        <v>0</v>
      </c>
      <c r="G293" s="26">
        <v>0</v>
      </c>
      <c r="H293" s="26">
        <v>0</v>
      </c>
      <c r="I293" s="26">
        <v>0</v>
      </c>
      <c r="J293" s="26">
        <v>0</v>
      </c>
      <c r="K293">
        <f>-VLOOKUP(B293,Resumo_HSF!$C$13:$AH$600,28,FALSE)</f>
        <v>0</v>
      </c>
      <c r="L293" s="26">
        <v>0</v>
      </c>
      <c r="M293" s="26">
        <v>0</v>
      </c>
      <c r="N293" s="26">
        <v>0</v>
      </c>
      <c r="O293" s="26">
        <v>0</v>
      </c>
      <c r="P293" s="26">
        <v>0</v>
      </c>
      <c r="Q293" s="26">
        <v>0</v>
      </c>
      <c r="R293" s="26">
        <v>0</v>
      </c>
      <c r="S293" s="26">
        <v>0</v>
      </c>
      <c r="T293" s="26">
        <v>0</v>
      </c>
      <c r="U293" s="26">
        <v>0</v>
      </c>
      <c r="V293" s="26">
        <v>0</v>
      </c>
      <c r="W293" s="26">
        <v>0</v>
      </c>
      <c r="X293" s="26">
        <f>-IF(VLOOKUP($B293,Resumo_HSF!$C$13:$AB$1000,16,FALSE)=VLOOKUP($B292,Resumo_HSF!$C$13:$AB$1000,16,FALSE),0,(VLOOKUP($B293,Resumo_HSF!$C$13:$AB$1000,16,FALSE)-VLOOKUP($B292,Resumo_HSF!$C$13:$AB$1000,16,FALSE))*VLOOKUP($B293,Resumo_HSF!$C$13:$AB$1000,15,FALSE))</f>
        <v>0</v>
      </c>
      <c r="Y293" s="26">
        <v>0</v>
      </c>
      <c r="Z293" s="26">
        <v>0</v>
      </c>
      <c r="AA293" s="26">
        <v>0</v>
      </c>
      <c r="AB293" s="26">
        <v>0</v>
      </c>
      <c r="AC293" s="26">
        <v>0</v>
      </c>
      <c r="AD293" s="15">
        <f t="shared" ref="AD293" si="287">SUM(D293:AB293)</f>
        <v>0</v>
      </c>
    </row>
    <row r="294" spans="2:30">
      <c r="B294" s="1">
        <f>WORKDAY(B293,1,Feriados!A96:A936)</f>
        <v>45275</v>
      </c>
      <c r="C294" s="51">
        <f t="shared" ref="C294" si="288">AD294</f>
        <v>0</v>
      </c>
      <c r="D294" s="26">
        <v>0</v>
      </c>
      <c r="E294" s="26">
        <v>0</v>
      </c>
      <c r="F294" s="26">
        <v>0</v>
      </c>
      <c r="G294" s="26">
        <v>0</v>
      </c>
      <c r="H294" s="26">
        <v>0</v>
      </c>
      <c r="I294" s="26">
        <v>0</v>
      </c>
      <c r="J294" s="26">
        <v>0</v>
      </c>
      <c r="K294">
        <f>-VLOOKUP(B294,Resumo_HSF!$C$13:$AH$600,28,FALSE)</f>
        <v>0</v>
      </c>
      <c r="L294" s="26">
        <v>0</v>
      </c>
      <c r="M294" s="26">
        <v>0</v>
      </c>
      <c r="N294" s="26">
        <v>0</v>
      </c>
      <c r="O294" s="26">
        <v>0</v>
      </c>
      <c r="P294" s="26">
        <v>0</v>
      </c>
      <c r="Q294" s="26">
        <v>0</v>
      </c>
      <c r="R294" s="26">
        <v>0</v>
      </c>
      <c r="S294" s="26">
        <v>0</v>
      </c>
      <c r="T294" s="26">
        <v>0</v>
      </c>
      <c r="U294" s="26">
        <v>0</v>
      </c>
      <c r="V294" s="26">
        <v>0</v>
      </c>
      <c r="W294" s="26">
        <v>0</v>
      </c>
      <c r="X294" s="26">
        <f>-IF(VLOOKUP($B294,Resumo_HSF!$C$13:$AB$1000,16,FALSE)=VLOOKUP($B293,Resumo_HSF!$C$13:$AB$1000,16,FALSE),0,(VLOOKUP($B294,Resumo_HSF!$C$13:$AB$1000,16,FALSE)-VLOOKUP($B293,Resumo_HSF!$C$13:$AB$1000,16,FALSE))*VLOOKUP($B294,Resumo_HSF!$C$13:$AB$1000,15,FALSE))</f>
        <v>0</v>
      </c>
      <c r="Y294" s="26">
        <v>0</v>
      </c>
      <c r="Z294" s="26">
        <v>0</v>
      </c>
      <c r="AA294" s="26">
        <v>0</v>
      </c>
      <c r="AB294" s="26">
        <v>0</v>
      </c>
      <c r="AC294" s="26">
        <v>0</v>
      </c>
      <c r="AD294" s="15">
        <f t="shared" ref="AD294" si="289">SUM(D294:AB294)</f>
        <v>0</v>
      </c>
    </row>
    <row r="295" spans="2:30">
      <c r="B295" s="1">
        <f>WORKDAY(B294,1,Feriados!A97:A937)</f>
        <v>45278</v>
      </c>
      <c r="C295" s="51">
        <f t="shared" ref="C295" si="290">AD295</f>
        <v>0</v>
      </c>
      <c r="D295" s="26">
        <v>0</v>
      </c>
      <c r="E295" s="26">
        <v>0</v>
      </c>
      <c r="F295" s="26">
        <v>0</v>
      </c>
      <c r="G295" s="26">
        <v>0</v>
      </c>
      <c r="H295" s="26">
        <v>0</v>
      </c>
      <c r="I295" s="26">
        <v>0</v>
      </c>
      <c r="J295" s="26">
        <v>0</v>
      </c>
      <c r="K295">
        <f>-VLOOKUP(B295,Resumo_HSF!$C$13:$AH$600,28,FALSE)</f>
        <v>0</v>
      </c>
      <c r="L295" s="26">
        <v>0</v>
      </c>
      <c r="M295" s="26">
        <v>0</v>
      </c>
      <c r="N295" s="26">
        <v>0</v>
      </c>
      <c r="O295" s="26">
        <v>0</v>
      </c>
      <c r="P295" s="26">
        <v>0</v>
      </c>
      <c r="Q295" s="26">
        <v>0</v>
      </c>
      <c r="R295" s="26">
        <v>0</v>
      </c>
      <c r="S295" s="26">
        <v>0</v>
      </c>
      <c r="T295" s="26">
        <v>0</v>
      </c>
      <c r="U295" s="26">
        <v>0</v>
      </c>
      <c r="V295" s="26">
        <v>0</v>
      </c>
      <c r="W295" s="26">
        <v>0</v>
      </c>
      <c r="X295" s="26">
        <f>-IF(VLOOKUP($B295,Resumo_HSF!$C$13:$AB$1000,16,FALSE)=VLOOKUP($B294,Resumo_HSF!$C$13:$AB$1000,16,FALSE),0,(VLOOKUP($B295,Resumo_HSF!$C$13:$AB$1000,16,FALSE)-VLOOKUP($B294,Resumo_HSF!$C$13:$AB$1000,16,FALSE))*VLOOKUP($B295,Resumo_HSF!$C$13:$AB$1000,15,FALSE))</f>
        <v>0</v>
      </c>
      <c r="Y295" s="26">
        <v>0</v>
      </c>
      <c r="Z295" s="26">
        <v>0</v>
      </c>
      <c r="AA295" s="26">
        <v>0</v>
      </c>
      <c r="AB295" s="26">
        <v>0</v>
      </c>
      <c r="AC295" s="26">
        <v>0</v>
      </c>
      <c r="AD295" s="15">
        <f t="shared" ref="AD295" si="291">SUM(D295:AB295)</f>
        <v>0</v>
      </c>
    </row>
    <row r="296" spans="2:30">
      <c r="B296" s="1">
        <f>WORKDAY(B295,1,Feriados!A98:A938)</f>
        <v>45279</v>
      </c>
      <c r="C296" s="51">
        <f t="shared" ref="C296" si="292">AD296</f>
        <v>0</v>
      </c>
      <c r="D296" s="26">
        <v>0</v>
      </c>
      <c r="E296" s="26">
        <v>0</v>
      </c>
      <c r="F296" s="26">
        <v>0</v>
      </c>
      <c r="G296" s="26">
        <v>0</v>
      </c>
      <c r="H296" s="26">
        <v>0</v>
      </c>
      <c r="I296" s="26">
        <v>0</v>
      </c>
      <c r="J296" s="26">
        <v>0</v>
      </c>
      <c r="K296">
        <f>-VLOOKUP(B296,Resumo_HSF!$C$13:$AH$600,28,FALSE)</f>
        <v>0</v>
      </c>
      <c r="L296" s="26">
        <v>0</v>
      </c>
      <c r="M296" s="26">
        <v>0</v>
      </c>
      <c r="N296" s="26">
        <v>0</v>
      </c>
      <c r="O296" s="26">
        <v>0</v>
      </c>
      <c r="P296" s="26">
        <v>0</v>
      </c>
      <c r="Q296" s="26">
        <v>0</v>
      </c>
      <c r="R296" s="26">
        <v>0</v>
      </c>
      <c r="S296" s="26">
        <v>0</v>
      </c>
      <c r="T296" s="26">
        <v>0</v>
      </c>
      <c r="U296" s="26">
        <v>0</v>
      </c>
      <c r="V296" s="26">
        <v>0</v>
      </c>
      <c r="W296" s="26">
        <v>0</v>
      </c>
      <c r="X296" s="26">
        <f>-IF(VLOOKUP($B296,Resumo_HSF!$C$13:$AB$1000,16,FALSE)=VLOOKUP($B295,Resumo_HSF!$C$13:$AB$1000,16,FALSE),0,(VLOOKUP($B296,Resumo_HSF!$C$13:$AB$1000,16,FALSE)-VLOOKUP($B295,Resumo_HSF!$C$13:$AB$1000,16,FALSE))*VLOOKUP($B296,Resumo_HSF!$C$13:$AB$1000,15,FALSE))</f>
        <v>0</v>
      </c>
      <c r="Y296" s="26">
        <v>0</v>
      </c>
      <c r="Z296" s="26">
        <v>0</v>
      </c>
      <c r="AA296" s="26">
        <v>0</v>
      </c>
      <c r="AB296" s="26">
        <v>0</v>
      </c>
      <c r="AC296" s="26">
        <v>0</v>
      </c>
      <c r="AD296" s="15">
        <f t="shared" ref="AD296" si="293">SUM(D296:AB296)</f>
        <v>0</v>
      </c>
    </row>
    <row r="297" spans="2:30">
      <c r="B297" s="1">
        <f>WORKDAY(B296,1,Feriados!A99:A939)</f>
        <v>45280</v>
      </c>
      <c r="C297" s="51">
        <f t="shared" ref="C297" si="294">AD297</f>
        <v>0</v>
      </c>
      <c r="D297" s="26">
        <v>0</v>
      </c>
      <c r="E297" s="26">
        <v>0</v>
      </c>
      <c r="F297" s="26">
        <v>0</v>
      </c>
      <c r="G297" s="26">
        <v>0</v>
      </c>
      <c r="H297" s="26">
        <v>0</v>
      </c>
      <c r="I297" s="26">
        <v>0</v>
      </c>
      <c r="J297" s="26">
        <v>0</v>
      </c>
      <c r="K297">
        <f>-VLOOKUP(B297,Resumo_HSF!$C$13:$AH$600,28,FALSE)</f>
        <v>0</v>
      </c>
      <c r="L297" s="26">
        <v>0</v>
      </c>
      <c r="M297" s="26">
        <v>0</v>
      </c>
      <c r="N297" s="26">
        <v>0</v>
      </c>
      <c r="O297" s="26">
        <v>0</v>
      </c>
      <c r="P297" s="26">
        <v>0</v>
      </c>
      <c r="Q297" s="26">
        <v>0</v>
      </c>
      <c r="R297" s="26">
        <v>0</v>
      </c>
      <c r="S297" s="26">
        <v>0</v>
      </c>
      <c r="T297" s="26">
        <v>0</v>
      </c>
      <c r="U297" s="26">
        <v>0</v>
      </c>
      <c r="V297" s="26">
        <v>0</v>
      </c>
      <c r="W297" s="26">
        <v>0</v>
      </c>
      <c r="X297" s="26">
        <f>-IF(VLOOKUP($B297,Resumo_HSF!$C$13:$AB$1000,16,FALSE)=VLOOKUP($B296,Resumo_HSF!$C$13:$AB$1000,16,FALSE),0,(VLOOKUP($B297,Resumo_HSF!$C$13:$AB$1000,16,FALSE)-VLOOKUP($B296,Resumo_HSF!$C$13:$AB$1000,16,FALSE))*VLOOKUP($B297,Resumo_HSF!$C$13:$AB$1000,15,FALSE))</f>
        <v>0</v>
      </c>
      <c r="Y297" s="26">
        <v>0</v>
      </c>
      <c r="Z297" s="26">
        <v>0</v>
      </c>
      <c r="AA297" s="26">
        <v>0</v>
      </c>
      <c r="AB297" s="26">
        <v>0</v>
      </c>
      <c r="AC297" s="26">
        <v>0</v>
      </c>
      <c r="AD297" s="15">
        <f t="shared" ref="AD297" si="295">SUM(D297:AB297)</f>
        <v>0</v>
      </c>
    </row>
    <row r="298" spans="2:30">
      <c r="B298" s="1">
        <f>WORKDAY(B297,1,Feriados!A100:A940)</f>
        <v>45281</v>
      </c>
      <c r="C298" s="51">
        <f t="shared" ref="C298" si="296">AD298</f>
        <v>0</v>
      </c>
      <c r="D298" s="26">
        <v>0</v>
      </c>
      <c r="E298" s="26">
        <v>0</v>
      </c>
      <c r="F298" s="26">
        <v>0</v>
      </c>
      <c r="G298" s="26">
        <v>0</v>
      </c>
      <c r="H298" s="26">
        <v>0</v>
      </c>
      <c r="I298" s="26">
        <v>0</v>
      </c>
      <c r="J298" s="26">
        <v>0</v>
      </c>
      <c r="K298">
        <f>-VLOOKUP(B298,Resumo_HSF!$C$13:$AH$600,28,FALSE)</f>
        <v>0</v>
      </c>
      <c r="L298" s="26">
        <v>0</v>
      </c>
      <c r="M298" s="26">
        <v>0</v>
      </c>
      <c r="N298" s="26">
        <v>0</v>
      </c>
      <c r="O298" s="26">
        <v>0</v>
      </c>
      <c r="P298" s="26">
        <v>0</v>
      </c>
      <c r="Q298" s="26">
        <v>0</v>
      </c>
      <c r="R298" s="26">
        <v>0</v>
      </c>
      <c r="S298" s="26">
        <v>0</v>
      </c>
      <c r="T298" s="26">
        <v>0</v>
      </c>
      <c r="U298" s="26">
        <v>0</v>
      </c>
      <c r="V298" s="26">
        <v>0</v>
      </c>
      <c r="W298" s="26">
        <v>0</v>
      </c>
      <c r="X298" s="26">
        <f>-IF(VLOOKUP($B298,Resumo_HSF!$C$13:$AB$1000,16,FALSE)=VLOOKUP($B297,Resumo_HSF!$C$13:$AB$1000,16,FALSE),0,(VLOOKUP($B298,Resumo_HSF!$C$13:$AB$1000,16,FALSE)-VLOOKUP($B297,Resumo_HSF!$C$13:$AB$1000,16,FALSE))*VLOOKUP($B298,Resumo_HSF!$C$13:$AB$1000,15,FALSE))</f>
        <v>0</v>
      </c>
      <c r="Y298" s="26">
        <v>0</v>
      </c>
      <c r="Z298" s="26">
        <v>0</v>
      </c>
      <c r="AA298" s="26">
        <v>0</v>
      </c>
      <c r="AB298" s="26">
        <v>0</v>
      </c>
      <c r="AC298" s="26">
        <v>0</v>
      </c>
      <c r="AD298" s="15">
        <f t="shared" ref="AD298" si="297">SUM(D298:AB298)</f>
        <v>0</v>
      </c>
    </row>
    <row r="299" spans="2:30">
      <c r="B299" s="1">
        <f>WORKDAY(B298,1,Feriados!A101:A941)</f>
        <v>45282</v>
      </c>
      <c r="C299" s="51">
        <f t="shared" ref="C299" si="298">AD299</f>
        <v>0</v>
      </c>
      <c r="D299" s="26">
        <v>0</v>
      </c>
      <c r="E299" s="26">
        <v>0</v>
      </c>
      <c r="F299" s="26">
        <v>0</v>
      </c>
      <c r="G299" s="26">
        <v>0</v>
      </c>
      <c r="H299" s="26">
        <v>0</v>
      </c>
      <c r="I299" s="26">
        <v>0</v>
      </c>
      <c r="J299" s="26">
        <v>0</v>
      </c>
      <c r="K299">
        <f>-VLOOKUP(B299,Resumo_HSF!$C$13:$AH$600,28,FALSE)</f>
        <v>0</v>
      </c>
      <c r="L299" s="26">
        <v>0</v>
      </c>
      <c r="M299" s="26">
        <v>0</v>
      </c>
      <c r="N299" s="26">
        <v>0</v>
      </c>
      <c r="O299" s="26">
        <v>0</v>
      </c>
      <c r="P299" s="26">
        <v>0</v>
      </c>
      <c r="Q299" s="26">
        <v>0</v>
      </c>
      <c r="R299" s="26">
        <v>0</v>
      </c>
      <c r="S299" s="26">
        <v>0</v>
      </c>
      <c r="T299" s="26">
        <v>0</v>
      </c>
      <c r="U299" s="26">
        <v>0</v>
      </c>
      <c r="V299" s="26">
        <v>0</v>
      </c>
      <c r="W299" s="26">
        <v>0</v>
      </c>
      <c r="X299" s="26">
        <f>-IF(VLOOKUP($B299,Resumo_HSF!$C$13:$AB$1000,16,FALSE)=VLOOKUP($B298,Resumo_HSF!$C$13:$AB$1000,16,FALSE),0,(VLOOKUP($B299,Resumo_HSF!$C$13:$AB$1000,16,FALSE)-VLOOKUP($B298,Resumo_HSF!$C$13:$AB$1000,16,FALSE))*VLOOKUP($B299,Resumo_HSF!$C$13:$AB$1000,15,FALSE))</f>
        <v>0</v>
      </c>
      <c r="Y299" s="26">
        <v>0</v>
      </c>
      <c r="Z299" s="26">
        <v>0</v>
      </c>
      <c r="AA299" s="26">
        <v>0</v>
      </c>
      <c r="AB299" s="26">
        <v>0</v>
      </c>
      <c r="AC299" s="26">
        <v>0</v>
      </c>
      <c r="AD299" s="15">
        <f t="shared" ref="AD299" si="299">SUM(D299:AB299)</f>
        <v>0</v>
      </c>
    </row>
    <row r="300" spans="2:30">
      <c r="B300" s="1">
        <f>WORKDAY(B299,1,Feriados!A102:A942)</f>
        <v>45286</v>
      </c>
      <c r="C300" s="51">
        <f t="shared" ref="C300:C301" si="300">AD300</f>
        <v>5.8475029618421104E-6</v>
      </c>
      <c r="D300" s="26">
        <v>0</v>
      </c>
      <c r="E300" s="26">
        <v>0</v>
      </c>
      <c r="F300" s="26">
        <v>0</v>
      </c>
      <c r="G300" s="26">
        <v>0</v>
      </c>
      <c r="H300" s="26">
        <v>0</v>
      </c>
      <c r="I300" s="26">
        <v>0</v>
      </c>
      <c r="J300" s="26">
        <v>0</v>
      </c>
      <c r="K300">
        <f>-VLOOKUP(B300,Resumo_HSF!$C$13:$AH$600,28,FALSE)</f>
        <v>0</v>
      </c>
      <c r="L300" s="26">
        <v>0</v>
      </c>
      <c r="M300" s="26">
        <v>0</v>
      </c>
      <c r="N300" s="26">
        <v>0</v>
      </c>
      <c r="O300" s="26">
        <v>0</v>
      </c>
      <c r="P300" s="26">
        <v>-196</v>
      </c>
      <c r="Q300" s="26">
        <v>0</v>
      </c>
      <c r="R300" s="26">
        <v>0</v>
      </c>
      <c r="S300" s="26">
        <v>0</v>
      </c>
      <c r="T300" s="26">
        <v>0</v>
      </c>
      <c r="U300" s="26">
        <v>0</v>
      </c>
      <c r="V300" s="26">
        <v>0</v>
      </c>
      <c r="W300" s="26">
        <v>0</v>
      </c>
      <c r="X300" s="26">
        <f>-IF(VLOOKUP($B300,Resumo_HSF!$C$13:$AB$1000,16,FALSE)=VLOOKUP($B299,Resumo_HSF!$C$13:$AB$1000,16,FALSE),0,(VLOOKUP($B300,Resumo_HSF!$C$13:$AB$1000,16,FALSE)-VLOOKUP($B299,Resumo_HSF!$C$13:$AB$1000,16,FALSE))*VLOOKUP($B300,Resumo_HSF!$C$13:$AB$1000,15,FALSE))</f>
        <v>196.00000584750296</v>
      </c>
      <c r="Y300" s="26">
        <v>0</v>
      </c>
      <c r="Z300" s="26">
        <v>0</v>
      </c>
      <c r="AA300" s="26">
        <v>0</v>
      </c>
      <c r="AB300" s="26">
        <v>0</v>
      </c>
      <c r="AC300" s="26">
        <v>0</v>
      </c>
      <c r="AD300" s="15">
        <f t="shared" ref="AD300:AD301" si="301">SUM(D300:AB300)</f>
        <v>5.8475029618421104E-6</v>
      </c>
    </row>
    <row r="301" spans="2:30">
      <c r="B301" s="1">
        <f>WORKDAY(B300,1,Feriados!A103:A943)</f>
        <v>45287</v>
      </c>
      <c r="C301" s="51">
        <f t="shared" si="300"/>
        <v>0</v>
      </c>
      <c r="D301" s="26">
        <v>0</v>
      </c>
      <c r="E301" s="26">
        <v>0</v>
      </c>
      <c r="F301" s="26">
        <v>0</v>
      </c>
      <c r="G301" s="26">
        <v>0</v>
      </c>
      <c r="H301" s="26">
        <v>0</v>
      </c>
      <c r="I301" s="26">
        <v>0</v>
      </c>
      <c r="J301" s="26">
        <v>0</v>
      </c>
      <c r="K301">
        <f>-VLOOKUP(B301,Resumo_HSF!$C$13:$AH$600,28,FALSE)</f>
        <v>0</v>
      </c>
      <c r="L301" s="26">
        <v>0</v>
      </c>
      <c r="M301" s="26">
        <v>0</v>
      </c>
      <c r="N301" s="26">
        <v>0</v>
      </c>
      <c r="O301" s="26">
        <v>0</v>
      </c>
      <c r="P301" s="26">
        <v>0</v>
      </c>
      <c r="Q301" s="26">
        <v>0</v>
      </c>
      <c r="R301" s="26">
        <v>0</v>
      </c>
      <c r="S301" s="26">
        <v>0</v>
      </c>
      <c r="T301" s="26">
        <v>0</v>
      </c>
      <c r="U301" s="26">
        <v>0</v>
      </c>
      <c r="V301" s="26">
        <v>0</v>
      </c>
      <c r="W301" s="26">
        <v>0</v>
      </c>
      <c r="X301" s="26">
        <f>-IF(VLOOKUP($B301,Resumo_HSF!$C$13:$AB$1000,16,FALSE)=VLOOKUP($B300,Resumo_HSF!$C$13:$AB$1000,16,FALSE),0,(VLOOKUP($B301,Resumo_HSF!$C$13:$AB$1000,16,FALSE)-VLOOKUP($B300,Resumo_HSF!$C$13:$AB$1000,16,FALSE))*VLOOKUP($B301,Resumo_HSF!$C$13:$AB$1000,15,FALSE))</f>
        <v>0</v>
      </c>
      <c r="Y301" s="26">
        <v>0</v>
      </c>
      <c r="Z301" s="26">
        <v>0</v>
      </c>
      <c r="AA301" s="26">
        <v>0</v>
      </c>
      <c r="AB301" s="26">
        <v>0</v>
      </c>
      <c r="AC301" s="26">
        <v>0</v>
      </c>
      <c r="AD301" s="15">
        <f t="shared" si="301"/>
        <v>0</v>
      </c>
    </row>
    <row r="302" spans="2:30">
      <c r="B302" s="1">
        <f>WORKDAY(B301,1,Feriados!A104:A944)</f>
        <v>45288</v>
      </c>
      <c r="C302" s="51">
        <f t="shared" ref="C302" si="302">AD302</f>
        <v>0</v>
      </c>
      <c r="D302" s="26">
        <v>0</v>
      </c>
      <c r="E302" s="26">
        <v>0</v>
      </c>
      <c r="F302" s="26">
        <v>0</v>
      </c>
      <c r="G302" s="26">
        <v>0</v>
      </c>
      <c r="H302" s="26">
        <v>0</v>
      </c>
      <c r="I302" s="26">
        <v>0</v>
      </c>
      <c r="J302" s="26">
        <v>0</v>
      </c>
      <c r="K302">
        <f>-VLOOKUP(B302,Resumo_HSF!$C$13:$AH$600,28,FALSE)</f>
        <v>0</v>
      </c>
      <c r="L302" s="26">
        <v>0</v>
      </c>
      <c r="M302" s="26">
        <v>0</v>
      </c>
      <c r="N302" s="26">
        <v>0</v>
      </c>
      <c r="O302" s="26">
        <v>0</v>
      </c>
      <c r="P302" s="26">
        <v>0</v>
      </c>
      <c r="Q302" s="26">
        <v>0</v>
      </c>
      <c r="R302" s="26">
        <v>0</v>
      </c>
      <c r="S302" s="26">
        <v>0</v>
      </c>
      <c r="T302" s="26">
        <v>0</v>
      </c>
      <c r="U302" s="26">
        <v>0</v>
      </c>
      <c r="V302" s="26">
        <v>0</v>
      </c>
      <c r="W302" s="26">
        <v>0</v>
      </c>
      <c r="X302" s="26">
        <f>-IF(VLOOKUP($B302,Resumo_HSF!$C$13:$AB$1000,16,FALSE)=VLOOKUP($B301,Resumo_HSF!$C$13:$AB$1000,16,FALSE),0,(VLOOKUP($B302,Resumo_HSF!$C$13:$AB$1000,16,FALSE)-VLOOKUP($B301,Resumo_HSF!$C$13:$AB$1000,16,FALSE))*VLOOKUP($B302,Resumo_HSF!$C$13:$AB$1000,15,FALSE))</f>
        <v>0</v>
      </c>
      <c r="Y302" s="26">
        <v>0</v>
      </c>
      <c r="Z302" s="26">
        <v>0</v>
      </c>
      <c r="AA302" s="26">
        <v>0</v>
      </c>
      <c r="AB302" s="26">
        <v>0</v>
      </c>
      <c r="AC302" s="26">
        <v>0</v>
      </c>
      <c r="AD302" s="15">
        <f t="shared" ref="AD302" si="303">SUM(D302:AB302)</f>
        <v>0</v>
      </c>
    </row>
    <row r="303" spans="2:30">
      <c r="B303" s="1">
        <f>WORKDAY(B302,1,Feriados!A105:A945)</f>
        <v>45289</v>
      </c>
      <c r="C303" s="51">
        <f t="shared" ref="C303" si="304">AD303</f>
        <v>0</v>
      </c>
      <c r="D303" s="26">
        <v>0</v>
      </c>
      <c r="E303" s="26">
        <v>0</v>
      </c>
      <c r="F303" s="26">
        <v>0</v>
      </c>
      <c r="G303" s="26">
        <v>0</v>
      </c>
      <c r="H303" s="26">
        <v>0</v>
      </c>
      <c r="I303" s="26">
        <v>0</v>
      </c>
      <c r="J303" s="26">
        <v>0</v>
      </c>
      <c r="K303">
        <f>-VLOOKUP(B303,Resumo_HSF!$C$13:$AH$600,28,FALSE)</f>
        <v>0</v>
      </c>
      <c r="L303" s="26">
        <v>0</v>
      </c>
      <c r="M303" s="26">
        <v>0</v>
      </c>
      <c r="N303" s="26">
        <v>0</v>
      </c>
      <c r="O303" s="26">
        <v>0</v>
      </c>
      <c r="P303" s="26">
        <v>0</v>
      </c>
      <c r="Q303" s="26">
        <v>0</v>
      </c>
      <c r="R303" s="26">
        <v>0</v>
      </c>
      <c r="S303" s="26">
        <v>0</v>
      </c>
      <c r="T303" s="26">
        <v>0</v>
      </c>
      <c r="U303" s="26">
        <v>0</v>
      </c>
      <c r="V303" s="26">
        <v>0</v>
      </c>
      <c r="W303" s="26">
        <v>0</v>
      </c>
      <c r="X303" s="26">
        <f>-IF(VLOOKUP($B303,Resumo_HSF!$C$13:$AB$1000,16,FALSE)=VLOOKUP($B302,Resumo_HSF!$C$13:$AB$1000,16,FALSE),0,(VLOOKUP($B303,Resumo_HSF!$C$13:$AB$1000,16,FALSE)-VLOOKUP($B302,Resumo_HSF!$C$13:$AB$1000,16,FALSE))*VLOOKUP($B303,Resumo_HSF!$C$13:$AB$1000,15,FALSE))</f>
        <v>0</v>
      </c>
      <c r="Y303" s="26">
        <v>0</v>
      </c>
      <c r="Z303" s="26">
        <v>0</v>
      </c>
      <c r="AA303" s="26">
        <v>0</v>
      </c>
      <c r="AB303" s="26">
        <v>0</v>
      </c>
      <c r="AC303" s="26">
        <v>0</v>
      </c>
      <c r="AD303" s="15">
        <f t="shared" ref="AD303" si="305">SUM(D303:AB303)</f>
        <v>0</v>
      </c>
    </row>
    <row r="304" spans="2:30">
      <c r="B304" s="1">
        <f>WORKDAY(B303,1,Feriados!A106:A946)</f>
        <v>45293</v>
      </c>
      <c r="C304" s="51">
        <f t="shared" ref="C304" si="306">AD304</f>
        <v>0</v>
      </c>
      <c r="D304" s="26">
        <v>0</v>
      </c>
      <c r="E304" s="26">
        <v>0</v>
      </c>
      <c r="F304" s="26">
        <v>0</v>
      </c>
      <c r="G304" s="26">
        <v>0</v>
      </c>
      <c r="H304" s="26">
        <v>0</v>
      </c>
      <c r="I304" s="26">
        <v>0</v>
      </c>
      <c r="J304" s="26">
        <v>0</v>
      </c>
      <c r="K304">
        <f>-VLOOKUP(B304,Resumo_HSF!$C$13:$AH$600,28,FALSE)</f>
        <v>0</v>
      </c>
      <c r="L304" s="26">
        <v>0</v>
      </c>
      <c r="M304" s="26">
        <v>0</v>
      </c>
      <c r="N304" s="26">
        <v>0</v>
      </c>
      <c r="O304" s="26">
        <v>0</v>
      </c>
      <c r="P304" s="26">
        <v>0</v>
      </c>
      <c r="Q304" s="26">
        <v>0</v>
      </c>
      <c r="R304" s="26">
        <v>0</v>
      </c>
      <c r="S304" s="26">
        <v>0</v>
      </c>
      <c r="T304" s="26">
        <v>0</v>
      </c>
      <c r="U304" s="26">
        <v>0</v>
      </c>
      <c r="V304" s="26">
        <v>0</v>
      </c>
      <c r="W304" s="26">
        <v>0</v>
      </c>
      <c r="X304" s="26">
        <f>-IF(VLOOKUP($B304,Resumo_HSF!$C$13:$AB$1000,16,FALSE)=VLOOKUP($B303,Resumo_HSF!$C$13:$AB$1000,16,FALSE),0,(VLOOKUP($B304,Resumo_HSF!$C$13:$AB$1000,16,FALSE)-VLOOKUP($B303,Resumo_HSF!$C$13:$AB$1000,16,FALSE))*VLOOKUP($B304,Resumo_HSF!$C$13:$AB$1000,15,FALSE))</f>
        <v>0</v>
      </c>
      <c r="Y304" s="26">
        <v>0</v>
      </c>
      <c r="Z304" s="26">
        <v>0</v>
      </c>
      <c r="AA304" s="26">
        <v>0</v>
      </c>
      <c r="AB304" s="26">
        <v>0</v>
      </c>
      <c r="AC304" s="26">
        <v>0</v>
      </c>
      <c r="AD304" s="15">
        <f t="shared" ref="AD304" si="307">SUM(D304:AB304)</f>
        <v>0</v>
      </c>
    </row>
    <row r="305" spans="2:30">
      <c r="B305" s="1">
        <f>WORKDAY(B304,1,Feriados!A107:A947)</f>
        <v>45294</v>
      </c>
      <c r="C305" s="51">
        <f t="shared" ref="C305" si="308">AD305</f>
        <v>0</v>
      </c>
      <c r="D305" s="26">
        <v>0</v>
      </c>
      <c r="E305" s="26">
        <v>0</v>
      </c>
      <c r="F305" s="26">
        <v>0</v>
      </c>
      <c r="G305" s="26">
        <v>0</v>
      </c>
      <c r="H305" s="26">
        <v>0</v>
      </c>
      <c r="I305" s="26">
        <v>0</v>
      </c>
      <c r="J305" s="26">
        <v>0</v>
      </c>
      <c r="K305">
        <f>-VLOOKUP(B305,Resumo_HSF!$C$13:$AH$600,28,FALSE)</f>
        <v>0</v>
      </c>
      <c r="L305" s="26">
        <v>0</v>
      </c>
      <c r="M305" s="26">
        <v>0</v>
      </c>
      <c r="N305" s="26">
        <v>0</v>
      </c>
      <c r="O305" s="26">
        <v>0</v>
      </c>
      <c r="P305" s="26">
        <v>0</v>
      </c>
      <c r="Q305" s="26">
        <v>0</v>
      </c>
      <c r="R305" s="26">
        <v>0</v>
      </c>
      <c r="S305" s="26">
        <v>0</v>
      </c>
      <c r="T305" s="26">
        <v>0</v>
      </c>
      <c r="U305" s="26">
        <v>0</v>
      </c>
      <c r="V305" s="26">
        <v>0</v>
      </c>
      <c r="W305" s="26">
        <v>0</v>
      </c>
      <c r="X305" s="26">
        <f>-IF(VLOOKUP($B305,Resumo_HSF!$C$13:$AB$1000,16,FALSE)=VLOOKUP($B304,Resumo_HSF!$C$13:$AB$1000,16,FALSE),0,(VLOOKUP($B305,Resumo_HSF!$C$13:$AB$1000,16,FALSE)-VLOOKUP($B304,Resumo_HSF!$C$13:$AB$1000,16,FALSE))*VLOOKUP($B305,Resumo_HSF!$C$13:$AB$1000,15,FALSE))</f>
        <v>0</v>
      </c>
      <c r="Y305" s="26">
        <v>0</v>
      </c>
      <c r="Z305" s="26">
        <v>0</v>
      </c>
      <c r="AA305" s="26">
        <v>0</v>
      </c>
      <c r="AB305" s="26">
        <v>0</v>
      </c>
      <c r="AC305" s="26">
        <v>0</v>
      </c>
      <c r="AD305" s="15">
        <f t="shared" ref="AD305" si="309">SUM(D305:AB305)</f>
        <v>0</v>
      </c>
    </row>
    <row r="306" spans="2:30">
      <c r="B306" s="1">
        <f>WORKDAY(B305,1,Feriados!A108:A948)</f>
        <v>45295</v>
      </c>
      <c r="C306" s="51">
        <f t="shared" ref="C306:C307" si="310">AD306</f>
        <v>1.0376570571679622E-6</v>
      </c>
      <c r="D306" s="26">
        <v>0</v>
      </c>
      <c r="E306" s="26">
        <v>0</v>
      </c>
      <c r="F306" s="26">
        <v>0</v>
      </c>
      <c r="G306" s="26">
        <v>0</v>
      </c>
      <c r="H306" s="26">
        <v>0</v>
      </c>
      <c r="I306" s="26">
        <v>0</v>
      </c>
      <c r="J306" s="26">
        <v>0</v>
      </c>
      <c r="K306">
        <f>-VLOOKUP(B306,Resumo_HSF!$C$13:$AH$600,28,FALSE)</f>
        <v>0</v>
      </c>
      <c r="L306" s="26">
        <v>0</v>
      </c>
      <c r="M306" s="26">
        <v>0</v>
      </c>
      <c r="N306" s="26">
        <v>0</v>
      </c>
      <c r="O306" s="26">
        <v>0</v>
      </c>
      <c r="P306" s="26">
        <v>0</v>
      </c>
      <c r="Q306" s="26">
        <v>0</v>
      </c>
      <c r="R306" s="26">
        <v>0</v>
      </c>
      <c r="S306" s="26">
        <v>0</v>
      </c>
      <c r="T306" s="26">
        <v>0</v>
      </c>
      <c r="U306" s="26">
        <v>12000</v>
      </c>
      <c r="V306" s="26">
        <v>0</v>
      </c>
      <c r="W306" s="26">
        <v>0</v>
      </c>
      <c r="X306" s="26">
        <f>-IF(VLOOKUP($B306,Resumo_HSF!$C$13:$AB$1000,16,FALSE)=VLOOKUP($B305,Resumo_HSF!$C$13:$AB$1000,16,FALSE),0,(VLOOKUP($B306,Resumo_HSF!$C$13:$AB$1000,16,FALSE)-VLOOKUP($B305,Resumo_HSF!$C$13:$AB$1000,16,FALSE))*VLOOKUP($B306,Resumo_HSF!$C$13:$AB$1000,15,FALSE))</f>
        <v>-11999.999998962343</v>
      </c>
      <c r="Y306" s="26">
        <v>0</v>
      </c>
      <c r="Z306" s="26">
        <v>0</v>
      </c>
      <c r="AA306" s="26">
        <v>0</v>
      </c>
      <c r="AB306" s="26">
        <v>0</v>
      </c>
      <c r="AC306" s="26">
        <v>0</v>
      </c>
      <c r="AD306" s="15">
        <f t="shared" ref="AD306:AD307" si="311">SUM(D306:AB306)</f>
        <v>1.0376570571679622E-6</v>
      </c>
    </row>
    <row r="307" spans="2:30">
      <c r="B307" s="1">
        <f>WORKDAY(B306,1,Feriados!A109:A949)</f>
        <v>45296</v>
      </c>
      <c r="C307" s="51">
        <f t="shared" si="310"/>
        <v>0</v>
      </c>
      <c r="D307" s="26">
        <v>0</v>
      </c>
      <c r="E307" s="26">
        <v>0</v>
      </c>
      <c r="F307" s="26">
        <v>0</v>
      </c>
      <c r="G307" s="26">
        <v>0</v>
      </c>
      <c r="H307" s="26">
        <v>0</v>
      </c>
      <c r="I307" s="26">
        <v>0</v>
      </c>
      <c r="J307" s="26">
        <v>0</v>
      </c>
      <c r="K307">
        <f>-VLOOKUP(B307,Resumo_HSF!$C$13:$AH$600,28,FALSE)</f>
        <v>0</v>
      </c>
      <c r="L307" s="26">
        <v>0</v>
      </c>
      <c r="M307" s="26">
        <v>0</v>
      </c>
      <c r="N307" s="26">
        <v>0</v>
      </c>
      <c r="O307" s="26">
        <v>0</v>
      </c>
      <c r="P307" s="26">
        <v>0</v>
      </c>
      <c r="Q307" s="26">
        <v>0</v>
      </c>
      <c r="R307" s="26">
        <v>0</v>
      </c>
      <c r="S307" s="26">
        <v>0</v>
      </c>
      <c r="T307" s="26">
        <v>0</v>
      </c>
      <c r="U307" s="26">
        <v>0</v>
      </c>
      <c r="V307" s="26">
        <v>0</v>
      </c>
      <c r="W307" s="26">
        <v>0</v>
      </c>
      <c r="X307" s="26">
        <f>-IF(VLOOKUP($B307,Resumo_HSF!$C$13:$AB$1000,16,FALSE)=VLOOKUP($B306,Resumo_HSF!$C$13:$AB$1000,16,FALSE),0,(VLOOKUP($B307,Resumo_HSF!$C$13:$AB$1000,16,FALSE)-VLOOKUP($B306,Resumo_HSF!$C$13:$AB$1000,16,FALSE))*VLOOKUP($B307,Resumo_HSF!$C$13:$AB$1000,15,FALSE))</f>
        <v>0</v>
      </c>
      <c r="Y307" s="26">
        <v>0</v>
      </c>
      <c r="Z307" s="26">
        <v>0</v>
      </c>
      <c r="AA307" s="26">
        <v>0</v>
      </c>
      <c r="AB307" s="26">
        <v>0</v>
      </c>
      <c r="AC307" s="26">
        <v>0</v>
      </c>
      <c r="AD307" s="15">
        <f t="shared" si="311"/>
        <v>0</v>
      </c>
    </row>
    <row r="308" spans="2:30">
      <c r="B308" s="1">
        <f>WORKDAY(B307,1,Feriados!A110:A950)</f>
        <v>45299</v>
      </c>
      <c r="C308" s="51">
        <f t="shared" ref="C308:C309" si="312">AD308</f>
        <v>-9.4786105819366639E-3</v>
      </c>
      <c r="D308" s="26">
        <v>-11313.98</v>
      </c>
      <c r="E308" s="26">
        <v>0</v>
      </c>
      <c r="F308" s="26">
        <v>0</v>
      </c>
      <c r="G308" s="26">
        <v>0</v>
      </c>
      <c r="H308" s="26">
        <v>0</v>
      </c>
      <c r="I308" s="26">
        <v>0</v>
      </c>
      <c r="J308" s="26">
        <v>0</v>
      </c>
      <c r="K308">
        <f>-VLOOKUP(B308,Resumo_HSF!$C$13:$AH$600,28,FALSE)</f>
        <v>0</v>
      </c>
      <c r="L308" s="26">
        <v>0</v>
      </c>
      <c r="M308" s="26">
        <v>0</v>
      </c>
      <c r="N308" s="26">
        <v>0</v>
      </c>
      <c r="O308" s="26">
        <v>0</v>
      </c>
      <c r="P308" s="26">
        <v>0</v>
      </c>
      <c r="Q308" s="26">
        <v>0</v>
      </c>
      <c r="R308" s="26">
        <v>0</v>
      </c>
      <c r="S308" s="26">
        <v>0</v>
      </c>
      <c r="T308" s="26">
        <v>0</v>
      </c>
      <c r="U308" s="26">
        <v>0</v>
      </c>
      <c r="V308" s="26">
        <v>0</v>
      </c>
      <c r="W308" s="26">
        <v>0</v>
      </c>
      <c r="X308" s="26">
        <f>-IF(VLOOKUP($B308,Resumo_HSF!$C$13:$AB$1000,16,FALSE)=VLOOKUP($B307,Resumo_HSF!$C$13:$AB$1000,16,FALSE),0,(VLOOKUP($B308,Resumo_HSF!$C$13:$AB$1000,16,FALSE)-VLOOKUP($B307,Resumo_HSF!$C$13:$AB$1000,16,FALSE))*VLOOKUP($B308,Resumo_HSF!$C$13:$AB$1000,15,FALSE))</f>
        <v>11313.970521389418</v>
      </c>
      <c r="Y308" s="26">
        <v>0</v>
      </c>
      <c r="Z308" s="26">
        <v>0</v>
      </c>
      <c r="AA308" s="26">
        <v>0</v>
      </c>
      <c r="AB308" s="26">
        <v>0</v>
      </c>
      <c r="AC308" s="26">
        <v>0</v>
      </c>
      <c r="AD308" s="15">
        <f t="shared" ref="AD308" si="313">SUM(D308:AB308)</f>
        <v>-9.4786105819366639E-3</v>
      </c>
    </row>
    <row r="309" spans="2:30">
      <c r="B309" s="1">
        <f>WORKDAY(B308,1,Feriados!A111:A951)</f>
        <v>45300</v>
      </c>
      <c r="C309" s="51">
        <f t="shared" si="312"/>
        <v>-7.3640858215749186E-7</v>
      </c>
      <c r="D309" s="26">
        <v>0</v>
      </c>
      <c r="E309" s="26">
        <v>0</v>
      </c>
      <c r="F309" s="26">
        <v>0</v>
      </c>
      <c r="G309" s="26">
        <v>0</v>
      </c>
      <c r="H309" s="26">
        <v>0</v>
      </c>
      <c r="I309" s="26">
        <v>0</v>
      </c>
      <c r="J309" s="26">
        <v>0</v>
      </c>
      <c r="K309">
        <f>-VLOOKUP(B309,Resumo_HSF!$C$13:$AH$600,28,FALSE)</f>
        <v>0</v>
      </c>
      <c r="L309" s="26">
        <v>0</v>
      </c>
      <c r="M309" s="26">
        <v>0</v>
      </c>
      <c r="N309" s="26">
        <v>0</v>
      </c>
      <c r="O309" s="26">
        <v>0</v>
      </c>
      <c r="P309" s="26">
        <v>0</v>
      </c>
      <c r="Q309" s="26">
        <v>0</v>
      </c>
      <c r="R309" s="26">
        <v>0</v>
      </c>
      <c r="S309" s="26">
        <v>0</v>
      </c>
      <c r="T309" s="26">
        <v>0</v>
      </c>
      <c r="U309" s="26">
        <v>0</v>
      </c>
      <c r="V309" s="26">
        <v>0</v>
      </c>
      <c r="W309" s="26">
        <v>0</v>
      </c>
      <c r="X309" s="26">
        <f>-IF(VLOOKUP($B309,Resumo_HSF!$C$13:$AB$1000,16,FALSE)=VLOOKUP($B308,Resumo_HSF!$C$13:$AB$1000,16,FALSE),0,(VLOOKUP($B309,Resumo_HSF!$C$13:$AB$1000,16,FALSE)-VLOOKUP($B308,Resumo_HSF!$C$13:$AB$1000,16,FALSE))*VLOOKUP($B309,Resumo_HSF!$C$13:$AB$1000,15,FALSE))</f>
        <v>-7.3640858215749186E-7</v>
      </c>
      <c r="Y309" s="26">
        <v>0</v>
      </c>
      <c r="Z309" s="26">
        <v>0</v>
      </c>
      <c r="AA309" s="26">
        <v>0</v>
      </c>
      <c r="AB309" s="26">
        <v>0</v>
      </c>
      <c r="AC309" s="26">
        <v>0</v>
      </c>
      <c r="AD309" s="15">
        <f t="shared" ref="AD309" si="314">SUM(D309:AB309)</f>
        <v>-7.3640858215749186E-7</v>
      </c>
    </row>
    <row r="310" spans="2:30">
      <c r="B310" s="1">
        <f>WORKDAY(B309,1,Feriados!A112:A952)</f>
        <v>45301</v>
      </c>
      <c r="C310" s="51">
        <f t="shared" ref="C310:C311" si="315">AD310</f>
        <v>-3.9077713154256344E-7</v>
      </c>
      <c r="D310" s="26">
        <v>0</v>
      </c>
      <c r="E310" s="26">
        <v>0</v>
      </c>
      <c r="F310" s="26">
        <v>0</v>
      </c>
      <c r="G310" s="26">
        <v>0</v>
      </c>
      <c r="H310" s="26">
        <v>0</v>
      </c>
      <c r="I310" s="26">
        <v>0</v>
      </c>
      <c r="J310" s="26">
        <v>0</v>
      </c>
      <c r="K310">
        <f>-VLOOKUP(B310,Resumo_HSF!$C$13:$AH$600,28,FALSE)</f>
        <v>0</v>
      </c>
      <c r="L310" s="26">
        <v>0</v>
      </c>
      <c r="M310" s="26">
        <v>0</v>
      </c>
      <c r="N310" s="26">
        <v>0</v>
      </c>
      <c r="O310" s="26">
        <v>0</v>
      </c>
      <c r="P310" s="26">
        <v>0</v>
      </c>
      <c r="Q310" s="26">
        <v>0</v>
      </c>
      <c r="R310" s="26">
        <v>0</v>
      </c>
      <c r="S310" s="26">
        <v>0</v>
      </c>
      <c r="T310" s="26">
        <v>0</v>
      </c>
      <c r="U310" s="26">
        <v>148000</v>
      </c>
      <c r="V310" s="26">
        <v>0</v>
      </c>
      <c r="W310" s="26">
        <v>0</v>
      </c>
      <c r="X310" s="26">
        <f>-IF(VLOOKUP($B310,Resumo_HSF!$C$13:$AB$1000,16,FALSE)=VLOOKUP($B309,Resumo_HSF!$C$13:$AB$1000,16,FALSE),0,(VLOOKUP($B310,Resumo_HSF!$C$13:$AB$1000,16,FALSE)-VLOOKUP($B309,Resumo_HSF!$C$13:$AB$1000,16,FALSE))*VLOOKUP($B310,Resumo_HSF!$C$13:$AB$1000,15,FALSE))</f>
        <v>-236.53000039076329</v>
      </c>
      <c r="Y310" s="26">
        <v>0</v>
      </c>
      <c r="Z310" s="26">
        <v>0</v>
      </c>
      <c r="AA310" s="26">
        <v>0</v>
      </c>
      <c r="AB310" s="26">
        <v>0</v>
      </c>
      <c r="AC310" s="26">
        <v>-147763.47</v>
      </c>
      <c r="AD310" s="15">
        <f>SUM(D310:AC310)</f>
        <v>-3.9077713154256344E-7</v>
      </c>
    </row>
    <row r="311" spans="2:30">
      <c r="B311" s="1">
        <f>WORKDAY(B310,1,Feriados!A113:A953)</f>
        <v>45302</v>
      </c>
      <c r="C311" s="51">
        <f t="shared" si="315"/>
        <v>0</v>
      </c>
      <c r="D311" s="26">
        <v>0</v>
      </c>
      <c r="E311" s="26">
        <v>0</v>
      </c>
      <c r="F311" s="26">
        <v>0</v>
      </c>
      <c r="G311" s="26">
        <v>0</v>
      </c>
      <c r="H311" s="26">
        <v>0</v>
      </c>
      <c r="I311" s="26">
        <v>0</v>
      </c>
      <c r="J311" s="26">
        <v>0</v>
      </c>
      <c r="K311">
        <f>-VLOOKUP(B311,Resumo_HSF!$C$13:$AH$600,28,FALSE)</f>
        <v>0</v>
      </c>
      <c r="L311" s="26">
        <v>0</v>
      </c>
      <c r="M311" s="26">
        <v>0</v>
      </c>
      <c r="N311" s="26">
        <v>0</v>
      </c>
      <c r="O311" s="26">
        <v>0</v>
      </c>
      <c r="P311" s="26">
        <v>0</v>
      </c>
      <c r="Q311" s="26">
        <v>0</v>
      </c>
      <c r="R311" s="26">
        <v>0</v>
      </c>
      <c r="S311" s="26">
        <v>0</v>
      </c>
      <c r="T311" s="26">
        <v>0</v>
      </c>
      <c r="U311" s="26">
        <v>0</v>
      </c>
      <c r="V311" s="26">
        <v>0</v>
      </c>
      <c r="W311" s="26">
        <v>0</v>
      </c>
      <c r="X311" s="26">
        <f>-IF(VLOOKUP($B311,Resumo_HSF!$C$13:$AB$1000,16,FALSE)=VLOOKUP($B310,Resumo_HSF!$C$13:$AB$1000,16,FALSE),0,(VLOOKUP($B311,Resumo_HSF!$C$13:$AB$1000,16,FALSE)-VLOOKUP($B310,Resumo_HSF!$C$13:$AB$1000,16,FALSE))*VLOOKUP($B311,Resumo_HSF!$C$13:$AB$1000,15,FALSE))</f>
        <v>0</v>
      </c>
      <c r="Y311" s="26">
        <v>0</v>
      </c>
      <c r="Z311" s="26">
        <v>0</v>
      </c>
      <c r="AA311" s="26">
        <v>0</v>
      </c>
      <c r="AB311" s="26">
        <v>0</v>
      </c>
      <c r="AC311" s="26">
        <v>0</v>
      </c>
      <c r="AD311" s="15">
        <f t="shared" ref="AD311" si="316">SUM(D311:AB311)</f>
        <v>0</v>
      </c>
    </row>
    <row r="312" spans="2:30">
      <c r="B312" s="1">
        <f>WORKDAY(B311,1,Feriados!A114:A954)</f>
        <v>45303</v>
      </c>
      <c r="C312" s="51">
        <f t="shared" ref="C312" si="317">AD312</f>
        <v>0</v>
      </c>
      <c r="D312" s="26">
        <v>0</v>
      </c>
      <c r="E312" s="26">
        <v>0</v>
      </c>
      <c r="F312" s="26">
        <v>0</v>
      </c>
      <c r="G312" s="26">
        <v>0</v>
      </c>
      <c r="H312" s="26">
        <v>0</v>
      </c>
      <c r="I312" s="26">
        <v>0</v>
      </c>
      <c r="J312" s="26">
        <v>0</v>
      </c>
      <c r="K312">
        <f>-VLOOKUP(B312,Resumo_HSF!$C$13:$AH$600,28,FALSE)</f>
        <v>0</v>
      </c>
      <c r="L312" s="26">
        <v>0</v>
      </c>
      <c r="M312" s="26">
        <v>0</v>
      </c>
      <c r="N312" s="26">
        <v>0</v>
      </c>
      <c r="O312" s="26">
        <v>0</v>
      </c>
      <c r="P312" s="26">
        <v>0</v>
      </c>
      <c r="Q312" s="26">
        <v>0</v>
      </c>
      <c r="R312" s="26">
        <v>0</v>
      </c>
      <c r="S312" s="26">
        <v>0</v>
      </c>
      <c r="T312" s="26">
        <v>0</v>
      </c>
      <c r="U312" s="26">
        <v>0</v>
      </c>
      <c r="V312" s="26">
        <v>0</v>
      </c>
      <c r="W312" s="26">
        <v>0</v>
      </c>
      <c r="X312" s="26">
        <f>-IF(VLOOKUP($B312,Resumo_HSF!$C$13:$AB$1000,16,FALSE)=VLOOKUP($B311,Resumo_HSF!$C$13:$AB$1000,16,FALSE),0,(VLOOKUP($B312,Resumo_HSF!$C$13:$AB$1000,16,FALSE)-VLOOKUP($B311,Resumo_HSF!$C$13:$AB$1000,16,FALSE))*VLOOKUP($B312,Resumo_HSF!$C$13:$AB$1000,15,FALSE))</f>
        <v>0</v>
      </c>
      <c r="Y312" s="26">
        <v>0</v>
      </c>
      <c r="Z312" s="26">
        <v>0</v>
      </c>
      <c r="AA312" s="26">
        <v>0</v>
      </c>
      <c r="AB312" s="26">
        <v>0</v>
      </c>
      <c r="AC312" s="26">
        <v>0</v>
      </c>
      <c r="AD312" s="15">
        <f t="shared" ref="AD312" si="318">SUM(D312:AB312)</f>
        <v>0</v>
      </c>
    </row>
    <row r="313" spans="2:30">
      <c r="B313" s="1">
        <f>WORKDAY(B312,1,Feriados!A115:A955)</f>
        <v>45306</v>
      </c>
      <c r="C313" s="51">
        <f t="shared" ref="C313" si="319">AD313</f>
        <v>0</v>
      </c>
      <c r="D313" s="26">
        <v>0</v>
      </c>
      <c r="E313" s="26">
        <v>0</v>
      </c>
      <c r="F313" s="26">
        <v>0</v>
      </c>
      <c r="G313" s="26">
        <v>0</v>
      </c>
      <c r="H313" s="26">
        <v>0</v>
      </c>
      <c r="I313" s="26">
        <v>0</v>
      </c>
      <c r="J313" s="26">
        <v>0</v>
      </c>
      <c r="K313">
        <f>-VLOOKUP(B313,Resumo_HSF!$C$13:$AH$600,28,FALSE)</f>
        <v>0</v>
      </c>
      <c r="L313" s="26">
        <v>0</v>
      </c>
      <c r="M313" s="26">
        <v>0</v>
      </c>
      <c r="N313" s="26">
        <v>0</v>
      </c>
      <c r="O313" s="26">
        <v>0</v>
      </c>
      <c r="P313" s="26">
        <v>0</v>
      </c>
      <c r="Q313" s="26">
        <v>0</v>
      </c>
      <c r="R313" s="26">
        <v>0</v>
      </c>
      <c r="S313" s="26">
        <v>0</v>
      </c>
      <c r="T313" s="26">
        <v>0</v>
      </c>
      <c r="U313" s="26">
        <v>0</v>
      </c>
      <c r="V313" s="26">
        <v>0</v>
      </c>
      <c r="W313" s="26">
        <v>0</v>
      </c>
      <c r="X313" s="26">
        <f>-IF(VLOOKUP($B313,Resumo_HSF!$C$13:$AB$1000,16,FALSE)=VLOOKUP($B312,Resumo_HSF!$C$13:$AB$1000,16,FALSE),0,(VLOOKUP($B313,Resumo_HSF!$C$13:$AB$1000,16,FALSE)-VLOOKUP($B312,Resumo_HSF!$C$13:$AB$1000,16,FALSE))*VLOOKUP($B313,Resumo_HSF!$C$13:$AB$1000,15,FALSE))</f>
        <v>0</v>
      </c>
      <c r="Y313" s="26">
        <v>0</v>
      </c>
      <c r="Z313" s="26">
        <v>0</v>
      </c>
      <c r="AA313" s="26">
        <v>0</v>
      </c>
      <c r="AB313" s="26">
        <v>0</v>
      </c>
      <c r="AC313" s="26">
        <v>0</v>
      </c>
      <c r="AD313" s="15">
        <f t="shared" ref="AD313" si="320">SUM(D313:AB313)</f>
        <v>0</v>
      </c>
    </row>
    <row r="314" spans="2:30">
      <c r="B314" s="1">
        <f>WORKDAY(B313,1,Feriados!A116:A956)</f>
        <v>45307</v>
      </c>
      <c r="C314" s="51">
        <f t="shared" ref="C314" si="321">AD314</f>
        <v>0</v>
      </c>
      <c r="D314" s="26">
        <v>0</v>
      </c>
      <c r="E314" s="26">
        <v>0</v>
      </c>
      <c r="F314" s="26">
        <v>0</v>
      </c>
      <c r="G314" s="26">
        <v>0</v>
      </c>
      <c r="H314" s="26">
        <v>0</v>
      </c>
      <c r="I314" s="26">
        <v>0</v>
      </c>
      <c r="J314" s="26">
        <v>0</v>
      </c>
      <c r="K314">
        <f>-VLOOKUP(B314,Resumo_HSF!$C$13:$AH$600,28,FALSE)</f>
        <v>0</v>
      </c>
      <c r="L314" s="26">
        <v>0</v>
      </c>
      <c r="M314" s="26">
        <v>0</v>
      </c>
      <c r="N314" s="26">
        <v>0</v>
      </c>
      <c r="O314" s="26">
        <v>0</v>
      </c>
      <c r="P314" s="26">
        <v>0</v>
      </c>
      <c r="Q314" s="26">
        <v>0</v>
      </c>
      <c r="R314" s="26">
        <v>0</v>
      </c>
      <c r="S314" s="26">
        <v>0</v>
      </c>
      <c r="T314" s="26">
        <v>0</v>
      </c>
      <c r="U314" s="26">
        <v>0</v>
      </c>
      <c r="V314" s="26">
        <v>0</v>
      </c>
      <c r="W314" s="26">
        <v>0</v>
      </c>
      <c r="X314" s="26">
        <f>-IF(VLOOKUP($B314,Resumo_HSF!$C$13:$AB$1000,16,FALSE)=VLOOKUP($B313,Resumo_HSF!$C$13:$AB$1000,16,FALSE),0,(VLOOKUP($B314,Resumo_HSF!$C$13:$AB$1000,16,FALSE)-VLOOKUP($B313,Resumo_HSF!$C$13:$AB$1000,16,FALSE))*VLOOKUP($B314,Resumo_HSF!$C$13:$AB$1000,15,FALSE))</f>
        <v>0</v>
      </c>
      <c r="Y314" s="26">
        <v>0</v>
      </c>
      <c r="Z314" s="26">
        <v>0</v>
      </c>
      <c r="AA314" s="26">
        <v>0</v>
      </c>
      <c r="AB314" s="26">
        <v>0</v>
      </c>
      <c r="AC314" s="26">
        <v>0</v>
      </c>
      <c r="AD314" s="15">
        <f t="shared" ref="AD314" si="322">SUM(D314:AB314)</f>
        <v>0</v>
      </c>
    </row>
    <row r="315" spans="2:30">
      <c r="B315" s="1">
        <f>WORKDAY(B314,1,Feriados!A117:A957)</f>
        <v>45308</v>
      </c>
      <c r="C315" s="51">
        <f t="shared" ref="C315" si="323">AD315</f>
        <v>0</v>
      </c>
      <c r="D315" s="26">
        <v>0</v>
      </c>
      <c r="E315" s="26">
        <v>0</v>
      </c>
      <c r="F315" s="26">
        <v>0</v>
      </c>
      <c r="G315" s="26">
        <v>0</v>
      </c>
      <c r="H315" s="26">
        <v>0</v>
      </c>
      <c r="I315" s="26">
        <v>0</v>
      </c>
      <c r="J315" s="26">
        <v>0</v>
      </c>
      <c r="K315">
        <f>-VLOOKUP(B315,Resumo_HSF!$C$13:$AH$600,28,FALSE)</f>
        <v>0</v>
      </c>
      <c r="L315" s="26">
        <v>0</v>
      </c>
      <c r="M315" s="26">
        <v>0</v>
      </c>
      <c r="N315" s="26">
        <v>0</v>
      </c>
      <c r="O315" s="26">
        <v>0</v>
      </c>
      <c r="P315" s="26">
        <v>0</v>
      </c>
      <c r="Q315" s="26">
        <v>0</v>
      </c>
      <c r="R315" s="26">
        <v>0</v>
      </c>
      <c r="S315" s="26">
        <v>0</v>
      </c>
      <c r="T315" s="26">
        <v>0</v>
      </c>
      <c r="U315" s="26">
        <v>0</v>
      </c>
      <c r="V315" s="26">
        <v>0</v>
      </c>
      <c r="W315" s="26">
        <v>0</v>
      </c>
      <c r="X315" s="26">
        <f>-IF(VLOOKUP($B315,Resumo_HSF!$C$13:$AB$1000,16,FALSE)=VLOOKUP($B314,Resumo_HSF!$C$13:$AB$1000,16,FALSE),0,(VLOOKUP($B315,Resumo_HSF!$C$13:$AB$1000,16,FALSE)-VLOOKUP($B314,Resumo_HSF!$C$13:$AB$1000,16,FALSE))*VLOOKUP($B315,Resumo_HSF!$C$13:$AB$1000,15,FALSE))</f>
        <v>0</v>
      </c>
      <c r="Y315" s="26">
        <v>0</v>
      </c>
      <c r="Z315" s="26">
        <v>0</v>
      </c>
      <c r="AA315" s="26">
        <v>0</v>
      </c>
      <c r="AB315" s="26">
        <v>0</v>
      </c>
      <c r="AC315" s="26">
        <v>0</v>
      </c>
      <c r="AD315" s="15">
        <f t="shared" ref="AD315" si="324">SUM(D315:AB315)</f>
        <v>0</v>
      </c>
    </row>
    <row r="316" spans="2:30">
      <c r="B316" s="1">
        <f>WORKDAY(B315,1,Feriados!A118:A958)</f>
        <v>45309</v>
      </c>
      <c r="C316" s="51">
        <f t="shared" ref="C316" si="325">AD316</f>
        <v>0</v>
      </c>
      <c r="D316" s="26">
        <v>0</v>
      </c>
      <c r="E316" s="26">
        <v>0</v>
      </c>
      <c r="F316" s="26">
        <v>0</v>
      </c>
      <c r="G316" s="26">
        <v>0</v>
      </c>
      <c r="H316" s="26">
        <v>0</v>
      </c>
      <c r="I316" s="26">
        <v>0</v>
      </c>
      <c r="J316" s="26">
        <v>0</v>
      </c>
      <c r="K316">
        <f>-VLOOKUP(B316,Resumo_HSF!$C$13:$AH$600,28,FALSE)</f>
        <v>0</v>
      </c>
      <c r="L316" s="26">
        <v>0</v>
      </c>
      <c r="M316" s="26">
        <v>0</v>
      </c>
      <c r="N316" s="26">
        <v>0</v>
      </c>
      <c r="O316" s="26">
        <v>0</v>
      </c>
      <c r="P316" s="26">
        <v>0</v>
      </c>
      <c r="Q316" s="26">
        <v>0</v>
      </c>
      <c r="R316" s="26">
        <v>0</v>
      </c>
      <c r="S316" s="26">
        <v>0</v>
      </c>
      <c r="T316" s="26">
        <v>0</v>
      </c>
      <c r="U316" s="26">
        <v>0</v>
      </c>
      <c r="V316" s="26">
        <v>0</v>
      </c>
      <c r="W316" s="26">
        <v>0</v>
      </c>
      <c r="X316" s="26">
        <f>-IF(VLOOKUP($B316,Resumo_HSF!$C$13:$AB$1000,16,FALSE)=VLOOKUP($B315,Resumo_HSF!$C$13:$AB$1000,16,FALSE),0,(VLOOKUP($B316,Resumo_HSF!$C$13:$AB$1000,16,FALSE)-VLOOKUP($B315,Resumo_HSF!$C$13:$AB$1000,16,FALSE))*VLOOKUP($B316,Resumo_HSF!$C$13:$AB$1000,15,FALSE))</f>
        <v>0</v>
      </c>
      <c r="Y316" s="26">
        <v>0</v>
      </c>
      <c r="Z316" s="26">
        <v>0</v>
      </c>
      <c r="AA316" s="26">
        <v>0</v>
      </c>
      <c r="AB316" s="26">
        <v>0</v>
      </c>
      <c r="AC316" s="26">
        <v>0</v>
      </c>
      <c r="AD316" s="15">
        <f t="shared" ref="AD316" si="326">SUM(D316:AB316)</f>
        <v>0</v>
      </c>
    </row>
    <row r="317" spans="2:30">
      <c r="B317" s="1">
        <f>WORKDAY(B316,1,Feriados!A119:A959)</f>
        <v>45310</v>
      </c>
      <c r="C317" s="51">
        <f t="shared" ref="C317" si="327">AD317</f>
        <v>0</v>
      </c>
      <c r="D317" s="26">
        <v>0</v>
      </c>
      <c r="E317" s="26">
        <v>0</v>
      </c>
      <c r="F317" s="26">
        <v>0</v>
      </c>
      <c r="G317" s="26">
        <v>0</v>
      </c>
      <c r="H317" s="26">
        <v>0</v>
      </c>
      <c r="I317" s="26">
        <v>0</v>
      </c>
      <c r="J317" s="26">
        <v>0</v>
      </c>
      <c r="K317">
        <f>-VLOOKUP(B317,Resumo_HSF!$C$13:$AH$600,28,FALSE)</f>
        <v>0</v>
      </c>
      <c r="L317" s="26">
        <v>0</v>
      </c>
      <c r="M317" s="26">
        <v>0</v>
      </c>
      <c r="N317" s="26">
        <v>0</v>
      </c>
      <c r="O317" s="26">
        <v>0</v>
      </c>
      <c r="P317" s="26">
        <v>0</v>
      </c>
      <c r="Q317" s="26">
        <v>0</v>
      </c>
      <c r="R317" s="26">
        <v>0</v>
      </c>
      <c r="S317" s="26">
        <v>0</v>
      </c>
      <c r="T317" s="26">
        <v>0</v>
      </c>
      <c r="U317" s="26">
        <v>0</v>
      </c>
      <c r="V317" s="26">
        <v>0</v>
      </c>
      <c r="W317" s="26">
        <v>0</v>
      </c>
      <c r="X317" s="26">
        <f>-IF(VLOOKUP($B317,Resumo_HSF!$C$13:$AB$1000,16,FALSE)=VLOOKUP($B316,Resumo_HSF!$C$13:$AB$1000,16,FALSE),0,(VLOOKUP($B317,Resumo_HSF!$C$13:$AB$1000,16,FALSE)-VLOOKUP($B316,Resumo_HSF!$C$13:$AB$1000,16,FALSE))*VLOOKUP($B317,Resumo_HSF!$C$13:$AB$1000,15,FALSE))</f>
        <v>0</v>
      </c>
      <c r="Y317" s="26">
        <v>0</v>
      </c>
      <c r="Z317" s="26">
        <v>0</v>
      </c>
      <c r="AA317" s="26">
        <v>0</v>
      </c>
      <c r="AB317" s="26">
        <v>0</v>
      </c>
      <c r="AC317" s="26">
        <v>0</v>
      </c>
      <c r="AD317" s="15">
        <f t="shared" ref="AD317" si="328">SUM(D317:AB317)</f>
        <v>0</v>
      </c>
    </row>
    <row r="318" spans="2:30">
      <c r="B318" s="1">
        <f>WORKDAY(B317,1,Feriados!A120:A960)</f>
        <v>45313</v>
      </c>
      <c r="C318" s="51">
        <f t="shared" ref="C318" si="329">AD318</f>
        <v>0</v>
      </c>
      <c r="D318" s="26">
        <v>0</v>
      </c>
      <c r="E318" s="26">
        <v>0</v>
      </c>
      <c r="F318" s="26">
        <v>0</v>
      </c>
      <c r="G318" s="26">
        <v>0</v>
      </c>
      <c r="H318" s="26">
        <v>0</v>
      </c>
      <c r="I318" s="26">
        <v>0</v>
      </c>
      <c r="J318" s="26">
        <v>0</v>
      </c>
      <c r="K318">
        <f>-VLOOKUP(B318,Resumo_HSF!$C$13:$AH$600,28,FALSE)</f>
        <v>0</v>
      </c>
      <c r="L318" s="26">
        <v>0</v>
      </c>
      <c r="M318" s="26">
        <v>0</v>
      </c>
      <c r="N318" s="26">
        <v>0</v>
      </c>
      <c r="O318" s="26">
        <v>0</v>
      </c>
      <c r="P318" s="26">
        <v>0</v>
      </c>
      <c r="Q318" s="26">
        <v>0</v>
      </c>
      <c r="R318" s="26">
        <v>0</v>
      </c>
      <c r="S318" s="26">
        <v>0</v>
      </c>
      <c r="T318" s="26">
        <v>0</v>
      </c>
      <c r="U318" s="26">
        <v>0</v>
      </c>
      <c r="V318" s="26">
        <v>0</v>
      </c>
      <c r="W318" s="26">
        <v>0</v>
      </c>
      <c r="X318" s="26">
        <f>-IF(VLOOKUP($B318,Resumo_HSF!$C$13:$AB$1000,16,FALSE)=VLOOKUP($B317,Resumo_HSF!$C$13:$AB$1000,16,FALSE),0,(VLOOKUP($B318,Resumo_HSF!$C$13:$AB$1000,16,FALSE)-VLOOKUP($B317,Resumo_HSF!$C$13:$AB$1000,16,FALSE))*VLOOKUP($B318,Resumo_HSF!$C$13:$AB$1000,15,FALSE))</f>
        <v>0</v>
      </c>
      <c r="Y318" s="26">
        <v>0</v>
      </c>
      <c r="Z318" s="26">
        <v>0</v>
      </c>
      <c r="AA318" s="26">
        <v>0</v>
      </c>
      <c r="AB318" s="26">
        <v>0</v>
      </c>
      <c r="AC318" s="26">
        <v>0</v>
      </c>
      <c r="AD318" s="15">
        <f t="shared" ref="AD318" si="330">SUM(D318:AB318)</f>
        <v>0</v>
      </c>
    </row>
    <row r="319" spans="2:30">
      <c r="B319" s="1">
        <f>WORKDAY(B318,1,Feriados!A121:A961)</f>
        <v>45314</v>
      </c>
      <c r="C319" s="51">
        <f t="shared" ref="C319:C320" si="331">AD319</f>
        <v>-1.4156681800159276E-6</v>
      </c>
      <c r="D319" s="26">
        <v>0</v>
      </c>
      <c r="E319" s="26">
        <v>0</v>
      </c>
      <c r="F319" s="26">
        <v>0</v>
      </c>
      <c r="G319" s="26">
        <v>0</v>
      </c>
      <c r="H319" s="26">
        <v>0</v>
      </c>
      <c r="I319" s="26">
        <v>0</v>
      </c>
      <c r="J319" s="26">
        <v>0</v>
      </c>
      <c r="K319">
        <f>-VLOOKUP(B319,Resumo_HSF!$C$13:$AH$600,28,FALSE)</f>
        <v>0</v>
      </c>
      <c r="L319" s="26">
        <v>0</v>
      </c>
      <c r="M319" s="26">
        <v>0</v>
      </c>
      <c r="N319" s="26">
        <v>0</v>
      </c>
      <c r="O319" s="26">
        <v>0</v>
      </c>
      <c r="P319" s="26">
        <v>-500</v>
      </c>
      <c r="Q319" s="26">
        <v>0</v>
      </c>
      <c r="R319" s="26">
        <v>0</v>
      </c>
      <c r="S319" s="26">
        <v>0</v>
      </c>
      <c r="T319" s="26">
        <v>0</v>
      </c>
      <c r="U319" s="26">
        <v>0</v>
      </c>
      <c r="V319" s="26">
        <v>0</v>
      </c>
      <c r="W319" s="26">
        <v>0</v>
      </c>
      <c r="X319" s="26">
        <f>-IF(VLOOKUP($B319,Resumo_HSF!$C$13:$AB$1000,16,FALSE)=VLOOKUP($B318,Resumo_HSF!$C$13:$AB$1000,16,FALSE),0,(VLOOKUP($B319,Resumo_HSF!$C$13:$AB$1000,16,FALSE)-VLOOKUP($B318,Resumo_HSF!$C$13:$AB$1000,16,FALSE))*VLOOKUP($B319,Resumo_HSF!$C$13:$AB$1000,15,FALSE))</f>
        <v>499.99999858433182</v>
      </c>
      <c r="Y319" s="26">
        <v>0</v>
      </c>
      <c r="Z319" s="26">
        <v>0</v>
      </c>
      <c r="AA319" s="26">
        <v>0</v>
      </c>
      <c r="AB319" s="26">
        <v>0</v>
      </c>
      <c r="AC319" s="26">
        <v>0</v>
      </c>
      <c r="AD319" s="15">
        <f t="shared" ref="AD319:AD320" si="332">SUM(D319:AB319)</f>
        <v>-1.4156681800159276E-6</v>
      </c>
    </row>
    <row r="320" spans="2:30">
      <c r="B320" s="1">
        <f>WORKDAY(B319,1,Feriados!A122:A962)</f>
        <v>45315</v>
      </c>
      <c r="C320" s="51">
        <f t="shared" si="331"/>
        <v>0</v>
      </c>
      <c r="D320" s="26">
        <v>0</v>
      </c>
      <c r="E320" s="26">
        <v>0</v>
      </c>
      <c r="F320" s="26">
        <v>0</v>
      </c>
      <c r="G320" s="26">
        <v>0</v>
      </c>
      <c r="H320" s="26">
        <v>0</v>
      </c>
      <c r="I320" s="26">
        <v>0</v>
      </c>
      <c r="J320" s="26">
        <v>0</v>
      </c>
      <c r="K320">
        <f>-VLOOKUP(B320,Resumo_HSF!$C$13:$AH$600,28,FALSE)</f>
        <v>0</v>
      </c>
      <c r="L320" s="26">
        <v>0</v>
      </c>
      <c r="M320" s="26">
        <v>0</v>
      </c>
      <c r="N320" s="26">
        <v>0</v>
      </c>
      <c r="O320" s="26">
        <v>0</v>
      </c>
      <c r="P320" s="26">
        <v>0</v>
      </c>
      <c r="Q320" s="26">
        <v>0</v>
      </c>
      <c r="R320" s="26">
        <v>0</v>
      </c>
      <c r="S320" s="26">
        <v>0</v>
      </c>
      <c r="T320" s="26">
        <v>0</v>
      </c>
      <c r="U320" s="26">
        <v>0</v>
      </c>
      <c r="V320" s="26">
        <v>0</v>
      </c>
      <c r="W320" s="26">
        <v>0</v>
      </c>
      <c r="X320" s="26">
        <f>-IF(VLOOKUP($B320,Resumo_HSF!$C$13:$AB$1000,16,FALSE)=VLOOKUP($B319,Resumo_HSF!$C$13:$AB$1000,16,FALSE),0,(VLOOKUP($B320,Resumo_HSF!$C$13:$AB$1000,16,FALSE)-VLOOKUP($B319,Resumo_HSF!$C$13:$AB$1000,16,FALSE))*VLOOKUP($B320,Resumo_HSF!$C$13:$AB$1000,15,FALSE))</f>
        <v>0</v>
      </c>
      <c r="Y320" s="26">
        <v>0</v>
      </c>
      <c r="Z320" s="26">
        <v>0</v>
      </c>
      <c r="AA320" s="26">
        <v>0</v>
      </c>
      <c r="AB320" s="26">
        <v>0</v>
      </c>
      <c r="AC320" s="26">
        <v>0</v>
      </c>
      <c r="AD320" s="15">
        <f t="shared" si="332"/>
        <v>0</v>
      </c>
    </row>
    <row r="321" spans="2:30">
      <c r="B321" s="1">
        <f>WORKDAY(B320,1,Feriados!A123:A963)</f>
        <v>45316</v>
      </c>
      <c r="C321" s="51">
        <f t="shared" ref="C321" si="333">AD321</f>
        <v>0</v>
      </c>
      <c r="D321" s="26">
        <v>0</v>
      </c>
      <c r="E321" s="26">
        <v>0</v>
      </c>
      <c r="F321" s="26">
        <v>0</v>
      </c>
      <c r="G321" s="26">
        <v>0</v>
      </c>
      <c r="H321" s="26">
        <v>0</v>
      </c>
      <c r="I321" s="26">
        <v>0</v>
      </c>
      <c r="J321" s="26">
        <v>0</v>
      </c>
      <c r="K321">
        <f>-VLOOKUP(B321,Resumo_HSF!$C$13:$AH$600,28,FALSE)</f>
        <v>0</v>
      </c>
      <c r="L321" s="26">
        <v>0</v>
      </c>
      <c r="M321" s="26">
        <v>0</v>
      </c>
      <c r="N321" s="26">
        <v>0</v>
      </c>
      <c r="O321" s="26">
        <v>0</v>
      </c>
      <c r="P321" s="26">
        <v>0</v>
      </c>
      <c r="Q321" s="26">
        <v>0</v>
      </c>
      <c r="R321" s="26">
        <v>0</v>
      </c>
      <c r="S321" s="26">
        <v>0</v>
      </c>
      <c r="T321" s="26">
        <v>0</v>
      </c>
      <c r="U321" s="26">
        <v>0</v>
      </c>
      <c r="V321" s="26">
        <v>0</v>
      </c>
      <c r="W321" s="26">
        <v>0</v>
      </c>
      <c r="X321" s="26">
        <f>-IF(VLOOKUP($B321,Resumo_HSF!$C$13:$AB$1000,16,FALSE)=VLOOKUP($B320,Resumo_HSF!$C$13:$AB$1000,16,FALSE),0,(VLOOKUP($B321,Resumo_HSF!$C$13:$AB$1000,16,FALSE)-VLOOKUP($B320,Resumo_HSF!$C$13:$AB$1000,16,FALSE))*VLOOKUP($B321,Resumo_HSF!$C$13:$AB$1000,15,FALSE))</f>
        <v>0</v>
      </c>
      <c r="Y321" s="26">
        <v>0</v>
      </c>
      <c r="Z321" s="26">
        <v>0</v>
      </c>
      <c r="AA321" s="26">
        <v>0</v>
      </c>
      <c r="AB321" s="26">
        <v>0</v>
      </c>
      <c r="AC321" s="26">
        <v>0</v>
      </c>
      <c r="AD321" s="15">
        <f t="shared" ref="AD321" si="334">SUM(D321:AB321)</f>
        <v>0</v>
      </c>
    </row>
    <row r="322" spans="2:30">
      <c r="B322" s="1">
        <f>WORKDAY(B321,1,Feriados!A124:A964)</f>
        <v>45317</v>
      </c>
      <c r="C322" s="51">
        <f t="shared" ref="C322" si="335">AD322</f>
        <v>0</v>
      </c>
      <c r="D322" s="26">
        <v>0</v>
      </c>
      <c r="E322" s="26">
        <v>0</v>
      </c>
      <c r="F322" s="26">
        <v>0</v>
      </c>
      <c r="G322" s="26">
        <v>0</v>
      </c>
      <c r="H322" s="26">
        <v>0</v>
      </c>
      <c r="I322" s="26">
        <v>0</v>
      </c>
      <c r="J322" s="26">
        <v>0</v>
      </c>
      <c r="K322">
        <f>-VLOOKUP(B322,Resumo_HSF!$C$13:$AH$600,28,FALSE)</f>
        <v>0</v>
      </c>
      <c r="L322" s="26">
        <v>0</v>
      </c>
      <c r="M322" s="26">
        <v>0</v>
      </c>
      <c r="N322" s="26">
        <v>0</v>
      </c>
      <c r="O322" s="26">
        <v>0</v>
      </c>
      <c r="P322" s="26">
        <v>0</v>
      </c>
      <c r="Q322" s="26">
        <v>0</v>
      </c>
      <c r="R322" s="26">
        <v>0</v>
      </c>
      <c r="S322" s="26">
        <v>0</v>
      </c>
      <c r="T322" s="26">
        <v>0</v>
      </c>
      <c r="U322" s="26">
        <v>0</v>
      </c>
      <c r="V322" s="26">
        <v>0</v>
      </c>
      <c r="W322" s="26">
        <v>0</v>
      </c>
      <c r="X322" s="26">
        <f>-IF(VLOOKUP($B322,Resumo_HSF!$C$13:$AB$1000,16,FALSE)=VLOOKUP($B321,Resumo_HSF!$C$13:$AB$1000,16,FALSE),0,(VLOOKUP($B322,Resumo_HSF!$C$13:$AB$1000,16,FALSE)-VLOOKUP($B321,Resumo_HSF!$C$13:$AB$1000,16,FALSE))*VLOOKUP($B322,Resumo_HSF!$C$13:$AB$1000,15,FALSE))</f>
        <v>0</v>
      </c>
      <c r="Y322" s="26">
        <v>0</v>
      </c>
      <c r="Z322" s="26">
        <v>0</v>
      </c>
      <c r="AA322" s="26">
        <v>0</v>
      </c>
      <c r="AB322" s="26">
        <v>0</v>
      </c>
      <c r="AC322" s="26">
        <v>0</v>
      </c>
      <c r="AD322" s="15">
        <f t="shared" ref="AD322" si="336">SUM(D322:AB322)</f>
        <v>0</v>
      </c>
    </row>
    <row r="323" spans="2:30">
      <c r="B323" s="1">
        <f>WORKDAY(B322,1,Feriados!A125:A965)</f>
        <v>45320</v>
      </c>
      <c r="C323" s="51">
        <f t="shared" ref="C323" si="337">AD323</f>
        <v>0</v>
      </c>
      <c r="D323" s="26">
        <v>0</v>
      </c>
      <c r="E323" s="26">
        <v>0</v>
      </c>
      <c r="F323" s="26">
        <v>0</v>
      </c>
      <c r="G323" s="26">
        <v>0</v>
      </c>
      <c r="H323" s="26">
        <v>0</v>
      </c>
      <c r="I323" s="26">
        <v>0</v>
      </c>
      <c r="J323" s="26">
        <v>0</v>
      </c>
      <c r="K323">
        <f>-VLOOKUP(B323,Resumo_HSF!$C$13:$AH$600,28,FALSE)</f>
        <v>0</v>
      </c>
      <c r="L323" s="26">
        <v>0</v>
      </c>
      <c r="M323" s="26">
        <v>0</v>
      </c>
      <c r="N323" s="26">
        <v>0</v>
      </c>
      <c r="O323" s="26">
        <v>0</v>
      </c>
      <c r="P323" s="26">
        <v>0</v>
      </c>
      <c r="Q323" s="26">
        <v>0</v>
      </c>
      <c r="R323" s="26">
        <v>0</v>
      </c>
      <c r="S323" s="26">
        <v>0</v>
      </c>
      <c r="T323" s="26">
        <v>0</v>
      </c>
      <c r="U323" s="26">
        <v>0</v>
      </c>
      <c r="V323" s="26">
        <v>0</v>
      </c>
      <c r="W323" s="26">
        <v>0</v>
      </c>
      <c r="X323" s="26">
        <f>-IF(VLOOKUP($B323,Resumo_HSF!$C$13:$AB$1000,16,FALSE)=VLOOKUP($B322,Resumo_HSF!$C$13:$AB$1000,16,FALSE),0,(VLOOKUP($B323,Resumo_HSF!$C$13:$AB$1000,16,FALSE)-VLOOKUP($B322,Resumo_HSF!$C$13:$AB$1000,16,FALSE))*VLOOKUP($B323,Resumo_HSF!$C$13:$AB$1000,15,FALSE))</f>
        <v>0</v>
      </c>
      <c r="Y323" s="26">
        <v>0</v>
      </c>
      <c r="Z323" s="26">
        <v>0</v>
      </c>
      <c r="AA323" s="26">
        <v>0</v>
      </c>
      <c r="AB323" s="26">
        <v>0</v>
      </c>
      <c r="AC323" s="26">
        <v>0</v>
      </c>
      <c r="AD323" s="15">
        <f t="shared" ref="AD323" si="338">SUM(D323:AB323)</f>
        <v>0</v>
      </c>
    </row>
    <row r="324" spans="2:30">
      <c r="B324" s="1">
        <f>WORKDAY(B323,1,Feriados!A126:A966)</f>
        <v>45321</v>
      </c>
      <c r="C324" s="51">
        <f t="shared" ref="C324" si="339">AD324</f>
        <v>0</v>
      </c>
      <c r="D324" s="26">
        <v>0</v>
      </c>
      <c r="E324" s="26">
        <v>0</v>
      </c>
      <c r="F324" s="26">
        <v>0</v>
      </c>
      <c r="G324" s="26">
        <v>0</v>
      </c>
      <c r="H324" s="26">
        <v>0</v>
      </c>
      <c r="I324" s="26">
        <v>0</v>
      </c>
      <c r="J324" s="26">
        <v>0</v>
      </c>
      <c r="K324">
        <f>-VLOOKUP(B324,Resumo_HSF!$C$13:$AH$600,28,FALSE)</f>
        <v>0</v>
      </c>
      <c r="L324" s="26">
        <v>0</v>
      </c>
      <c r="M324" s="26">
        <v>0</v>
      </c>
      <c r="N324" s="26">
        <v>0</v>
      </c>
      <c r="O324" s="26">
        <v>0</v>
      </c>
      <c r="P324" s="26">
        <v>0</v>
      </c>
      <c r="Q324" s="26">
        <v>0</v>
      </c>
      <c r="R324" s="26">
        <v>0</v>
      </c>
      <c r="S324" s="26">
        <v>0</v>
      </c>
      <c r="T324" s="26">
        <v>0</v>
      </c>
      <c r="U324" s="26">
        <v>0</v>
      </c>
      <c r="V324" s="26">
        <v>0</v>
      </c>
      <c r="W324" s="26">
        <v>0</v>
      </c>
      <c r="X324" s="26">
        <f>-IF(VLOOKUP($B324,Resumo_HSF!$C$13:$AB$1000,16,FALSE)=VLOOKUP($B323,Resumo_HSF!$C$13:$AB$1000,16,FALSE),0,(VLOOKUP($B324,Resumo_HSF!$C$13:$AB$1000,16,FALSE)-VLOOKUP($B323,Resumo_HSF!$C$13:$AB$1000,16,FALSE))*VLOOKUP($B324,Resumo_HSF!$C$13:$AB$1000,15,FALSE))</f>
        <v>0</v>
      </c>
      <c r="Y324" s="26">
        <v>0</v>
      </c>
      <c r="Z324" s="26">
        <v>0</v>
      </c>
      <c r="AA324" s="26">
        <v>0</v>
      </c>
      <c r="AB324" s="26">
        <v>0</v>
      </c>
      <c r="AC324" s="26">
        <v>0</v>
      </c>
      <c r="AD324" s="15">
        <f t="shared" ref="AD324" si="340">SUM(D324:AB324)</f>
        <v>0</v>
      </c>
    </row>
    <row r="325" spans="2:30">
      <c r="B325" s="1">
        <f>WORKDAY(B324,1,Feriados!A127:A967)</f>
        <v>45322</v>
      </c>
      <c r="C325" s="51">
        <f t="shared" ref="C325" si="341">AD325</f>
        <v>0</v>
      </c>
      <c r="D325" s="26">
        <v>0</v>
      </c>
      <c r="E325" s="26">
        <v>0</v>
      </c>
      <c r="F325" s="26">
        <v>0</v>
      </c>
      <c r="G325" s="26">
        <v>0</v>
      </c>
      <c r="H325" s="26">
        <v>0</v>
      </c>
      <c r="I325" s="26">
        <v>0</v>
      </c>
      <c r="J325" s="26">
        <v>0</v>
      </c>
      <c r="K325">
        <f>-VLOOKUP(B325,Resumo_HSF!$C$13:$AH$600,28,FALSE)</f>
        <v>0</v>
      </c>
      <c r="L325" s="26">
        <v>0</v>
      </c>
      <c r="M325" s="26">
        <v>0</v>
      </c>
      <c r="N325" s="26">
        <v>0</v>
      </c>
      <c r="O325" s="26">
        <v>0</v>
      </c>
      <c r="P325" s="26">
        <v>0</v>
      </c>
      <c r="Q325" s="26">
        <v>0</v>
      </c>
      <c r="R325" s="26">
        <v>0</v>
      </c>
      <c r="S325" s="26">
        <v>0</v>
      </c>
      <c r="T325" s="26">
        <v>0</v>
      </c>
      <c r="U325" s="26">
        <v>0</v>
      </c>
      <c r="V325" s="26">
        <v>0</v>
      </c>
      <c r="W325" s="26">
        <v>0</v>
      </c>
      <c r="X325" s="26">
        <f>-IF(VLOOKUP($B325,Resumo_HSF!$C$13:$AB$1000,16,FALSE)=VLOOKUP($B324,Resumo_HSF!$C$13:$AB$1000,16,FALSE),0,(VLOOKUP($B325,Resumo_HSF!$C$13:$AB$1000,16,FALSE)-VLOOKUP($B324,Resumo_HSF!$C$13:$AB$1000,16,FALSE))*VLOOKUP($B325,Resumo_HSF!$C$13:$AB$1000,15,FALSE))</f>
        <v>0</v>
      </c>
      <c r="Y325" s="26">
        <v>0</v>
      </c>
      <c r="Z325" s="26">
        <v>0</v>
      </c>
      <c r="AA325" s="26">
        <v>0</v>
      </c>
      <c r="AB325" s="26">
        <v>0</v>
      </c>
      <c r="AC325" s="26">
        <v>0</v>
      </c>
      <c r="AD325" s="15">
        <f t="shared" ref="AD325" si="342">SUM(D325:AB325)</f>
        <v>0</v>
      </c>
    </row>
    <row r="326" spans="2:30">
      <c r="B326" s="1">
        <f>WORKDAY(B325,1,Feriados!A128:A968)</f>
        <v>45323</v>
      </c>
      <c r="C326" s="51">
        <f t="shared" ref="C326" si="343">AD326</f>
        <v>0</v>
      </c>
      <c r="D326" s="26">
        <v>0</v>
      </c>
      <c r="E326" s="26">
        <v>0</v>
      </c>
      <c r="F326" s="26">
        <v>0</v>
      </c>
      <c r="G326" s="26">
        <v>0</v>
      </c>
      <c r="H326" s="26">
        <v>0</v>
      </c>
      <c r="I326" s="26">
        <v>0</v>
      </c>
      <c r="J326" s="26">
        <v>0</v>
      </c>
      <c r="K326">
        <f>-VLOOKUP(B326,Resumo_HSF!$C$13:$AH$600,28,FALSE)</f>
        <v>0</v>
      </c>
      <c r="L326" s="26">
        <v>0</v>
      </c>
      <c r="M326" s="26">
        <v>0</v>
      </c>
      <c r="N326" s="26">
        <v>0</v>
      </c>
      <c r="O326" s="26">
        <v>0</v>
      </c>
      <c r="P326" s="26">
        <v>0</v>
      </c>
      <c r="Q326" s="26">
        <v>0</v>
      </c>
      <c r="R326" s="26">
        <v>0</v>
      </c>
      <c r="S326" s="26">
        <v>0</v>
      </c>
      <c r="T326" s="26">
        <v>0</v>
      </c>
      <c r="U326" s="26">
        <v>0</v>
      </c>
      <c r="V326" s="26">
        <v>0</v>
      </c>
      <c r="W326" s="26">
        <v>0</v>
      </c>
      <c r="X326" s="26">
        <f>-IF(VLOOKUP($B326,Resumo_HSF!$C$13:$AB$1000,16,FALSE)=VLOOKUP($B325,Resumo_HSF!$C$13:$AB$1000,16,FALSE),0,(VLOOKUP($B326,Resumo_HSF!$C$13:$AB$1000,16,FALSE)-VLOOKUP($B325,Resumo_HSF!$C$13:$AB$1000,16,FALSE))*VLOOKUP($B326,Resumo_HSF!$C$13:$AB$1000,15,FALSE))</f>
        <v>0</v>
      </c>
      <c r="Y326" s="26">
        <v>0</v>
      </c>
      <c r="Z326" s="26">
        <v>0</v>
      </c>
      <c r="AA326" s="26">
        <v>0</v>
      </c>
      <c r="AB326" s="26">
        <v>0</v>
      </c>
      <c r="AC326" s="26">
        <v>0</v>
      </c>
      <c r="AD326" s="15">
        <f t="shared" ref="AD326" si="344">SUM(D326:AB326)</f>
        <v>0</v>
      </c>
    </row>
    <row r="327" spans="2:30">
      <c r="B327" s="1">
        <f>WORKDAY(B326,1,Feriados!A129:A969)</f>
        <v>45324</v>
      </c>
      <c r="C327" s="51">
        <f t="shared" ref="C327" si="345">AD327</f>
        <v>0</v>
      </c>
      <c r="D327" s="26">
        <v>0</v>
      </c>
      <c r="E327" s="26">
        <v>0</v>
      </c>
      <c r="F327" s="26">
        <v>0</v>
      </c>
      <c r="G327" s="26">
        <v>0</v>
      </c>
      <c r="H327" s="26">
        <v>0</v>
      </c>
      <c r="I327" s="26">
        <v>0</v>
      </c>
      <c r="J327" s="26">
        <v>0</v>
      </c>
      <c r="K327">
        <f>-VLOOKUP(B327,Resumo_HSF!$C$13:$AH$600,28,FALSE)</f>
        <v>0</v>
      </c>
      <c r="L327" s="26">
        <v>0</v>
      </c>
      <c r="M327" s="26">
        <v>0</v>
      </c>
      <c r="N327" s="26">
        <v>0</v>
      </c>
      <c r="O327" s="26">
        <v>0</v>
      </c>
      <c r="P327" s="26">
        <v>0</v>
      </c>
      <c r="Q327" s="26">
        <v>0</v>
      </c>
      <c r="R327" s="26">
        <v>0</v>
      </c>
      <c r="S327" s="26">
        <v>0</v>
      </c>
      <c r="T327" s="26">
        <v>0</v>
      </c>
      <c r="U327" s="26">
        <v>0</v>
      </c>
      <c r="V327" s="26">
        <v>0</v>
      </c>
      <c r="W327" s="26">
        <v>0</v>
      </c>
      <c r="X327" s="26">
        <f>-IF(VLOOKUP($B327,Resumo_HSF!$C$13:$AB$1000,16,FALSE)=VLOOKUP($B326,Resumo_HSF!$C$13:$AB$1000,16,FALSE),0,(VLOOKUP($B327,Resumo_HSF!$C$13:$AB$1000,16,FALSE)-VLOOKUP($B326,Resumo_HSF!$C$13:$AB$1000,16,FALSE))*VLOOKUP($B327,Resumo_HSF!$C$13:$AB$1000,15,FALSE))</f>
        <v>0</v>
      </c>
      <c r="Y327" s="26">
        <v>0</v>
      </c>
      <c r="Z327" s="26">
        <v>0</v>
      </c>
      <c r="AA327" s="26">
        <v>0</v>
      </c>
      <c r="AB327" s="26">
        <v>0</v>
      </c>
      <c r="AC327" s="26">
        <v>0</v>
      </c>
      <c r="AD327" s="15">
        <f t="shared" ref="AD327" si="346">SUM(D327:AB327)</f>
        <v>0</v>
      </c>
    </row>
    <row r="328" spans="2:30">
      <c r="B328" s="1">
        <f>WORKDAY(B327,1,Feriados!A130:A970)</f>
        <v>45327</v>
      </c>
      <c r="C328" s="51">
        <f t="shared" ref="C328" si="347">AD328</f>
        <v>0</v>
      </c>
      <c r="D328" s="26">
        <v>0</v>
      </c>
      <c r="E328" s="26">
        <v>0</v>
      </c>
      <c r="F328" s="26">
        <v>0</v>
      </c>
      <c r="G328" s="26">
        <v>0</v>
      </c>
      <c r="H328" s="26">
        <v>0</v>
      </c>
      <c r="I328" s="26">
        <v>0</v>
      </c>
      <c r="J328" s="26">
        <v>0</v>
      </c>
      <c r="K328">
        <f>-VLOOKUP(B328,Resumo_HSF!$C$13:$AH$600,28,FALSE)</f>
        <v>0</v>
      </c>
      <c r="L328" s="26">
        <v>0</v>
      </c>
      <c r="M328" s="26">
        <v>0</v>
      </c>
      <c r="N328" s="26">
        <v>0</v>
      </c>
      <c r="O328" s="26">
        <v>0</v>
      </c>
      <c r="P328" s="26">
        <v>0</v>
      </c>
      <c r="Q328" s="26">
        <v>0</v>
      </c>
      <c r="R328" s="26">
        <v>0</v>
      </c>
      <c r="S328" s="26">
        <v>0</v>
      </c>
      <c r="T328" s="26">
        <v>0</v>
      </c>
      <c r="U328" s="26">
        <v>0</v>
      </c>
      <c r="V328" s="26">
        <v>0</v>
      </c>
      <c r="W328" s="26">
        <v>0</v>
      </c>
      <c r="X328" s="26">
        <f>-IF(VLOOKUP($B328,Resumo_HSF!$C$13:$AB$1000,16,FALSE)=VLOOKUP($B327,Resumo_HSF!$C$13:$AB$1000,16,FALSE),0,(VLOOKUP($B328,Resumo_HSF!$C$13:$AB$1000,16,FALSE)-VLOOKUP($B327,Resumo_HSF!$C$13:$AB$1000,16,FALSE))*VLOOKUP($B328,Resumo_HSF!$C$13:$AB$1000,15,FALSE))</f>
        <v>0</v>
      </c>
      <c r="Y328" s="26">
        <v>0</v>
      </c>
      <c r="Z328" s="26">
        <v>0</v>
      </c>
      <c r="AA328" s="26">
        <v>0</v>
      </c>
      <c r="AB328" s="26">
        <v>0</v>
      </c>
      <c r="AC328" s="26">
        <v>0</v>
      </c>
      <c r="AD328" s="15">
        <f t="shared" ref="AD328" si="348">SUM(D328:AB328)</f>
        <v>0</v>
      </c>
    </row>
    <row r="329" spans="2:30">
      <c r="B329" s="1">
        <f>WORKDAY(B328,1,Feriados!A131:A971)</f>
        <v>45328</v>
      </c>
      <c r="C329" s="51">
        <f t="shared" ref="C329:C331" si="349">AD329</f>
        <v>5.954534572083503E-7</v>
      </c>
      <c r="D329" s="26">
        <v>0</v>
      </c>
      <c r="E329" s="26">
        <v>0</v>
      </c>
      <c r="F329" s="26">
        <v>0</v>
      </c>
      <c r="G329" s="26">
        <v>0</v>
      </c>
      <c r="H329" s="26">
        <v>0</v>
      </c>
      <c r="I329" s="26">
        <v>0</v>
      </c>
      <c r="J329" s="26">
        <v>0</v>
      </c>
      <c r="K329">
        <f>-VLOOKUP(B329,Resumo_HSF!$C$13:$AH$600,28,FALSE)</f>
        <v>0</v>
      </c>
      <c r="L329" s="26">
        <v>0</v>
      </c>
      <c r="M329" s="26">
        <v>0</v>
      </c>
      <c r="N329" s="26">
        <v>0</v>
      </c>
      <c r="O329" s="26">
        <v>0</v>
      </c>
      <c r="P329" s="26">
        <v>0</v>
      </c>
      <c r="Q329" s="26">
        <v>0</v>
      </c>
      <c r="R329" s="26">
        <v>0</v>
      </c>
      <c r="S329" s="26">
        <v>0</v>
      </c>
      <c r="T329" s="26">
        <v>0</v>
      </c>
      <c r="U329" s="26">
        <v>13000</v>
      </c>
      <c r="V329" s="26">
        <v>0</v>
      </c>
      <c r="W329" s="26">
        <v>0</v>
      </c>
      <c r="X329" s="26">
        <f>-IF(VLOOKUP($B329,Resumo_HSF!$C$13:$AB$1000,16,FALSE)=VLOOKUP($B328,Resumo_HSF!$C$13:$AB$1000,16,FALSE),0,(VLOOKUP($B329,Resumo_HSF!$C$13:$AB$1000,16,FALSE)-VLOOKUP($B328,Resumo_HSF!$C$13:$AB$1000,16,FALSE))*VLOOKUP($B329,Resumo_HSF!$C$13:$AB$1000,15,FALSE))</f>
        <v>-12999.999999404547</v>
      </c>
      <c r="Y329" s="26">
        <v>0</v>
      </c>
      <c r="Z329" s="26">
        <v>0</v>
      </c>
      <c r="AA329" s="26">
        <v>0</v>
      </c>
      <c r="AB329" s="26">
        <v>0</v>
      </c>
      <c r="AC329" s="26">
        <v>0</v>
      </c>
      <c r="AD329" s="15">
        <f t="shared" ref="AD329:AD331" si="350">SUM(D329:AB329)</f>
        <v>5.954534572083503E-7</v>
      </c>
    </row>
    <row r="330" spans="2:30">
      <c r="B330" s="1">
        <f>WORKDAY(B329,1,Feriados!A132:A972)</f>
        <v>45329</v>
      </c>
      <c r="C330" s="51">
        <f t="shared" si="349"/>
        <v>3.363566065672785E-7</v>
      </c>
      <c r="D330" s="26">
        <v>-12484.06</v>
      </c>
      <c r="E330" s="26">
        <v>0</v>
      </c>
      <c r="F330" s="26">
        <v>0</v>
      </c>
      <c r="G330" s="26">
        <v>0</v>
      </c>
      <c r="H330" s="26">
        <v>0</v>
      </c>
      <c r="I330" s="26">
        <v>0</v>
      </c>
      <c r="J330" s="26">
        <v>0</v>
      </c>
      <c r="K330">
        <f>-VLOOKUP(B330,Resumo_HSF!$C$13:$AH$600,28,FALSE)</f>
        <v>0</v>
      </c>
      <c r="L330" s="26">
        <v>0</v>
      </c>
      <c r="M330" s="26">
        <v>0</v>
      </c>
      <c r="N330" s="26">
        <v>0</v>
      </c>
      <c r="O330" s="26">
        <v>0</v>
      </c>
      <c r="P330" s="26">
        <v>0</v>
      </c>
      <c r="Q330" s="26">
        <v>0</v>
      </c>
      <c r="R330" s="26">
        <v>0</v>
      </c>
      <c r="S330" s="26">
        <v>0</v>
      </c>
      <c r="T330" s="26">
        <v>0</v>
      </c>
      <c r="U330" s="26">
        <v>0</v>
      </c>
      <c r="V330" s="26">
        <v>0</v>
      </c>
      <c r="W330" s="26">
        <v>0</v>
      </c>
      <c r="X330" s="26">
        <f>-IF(VLOOKUP($B330,Resumo_HSF!$C$13:$AB$1000,16,FALSE)=VLOOKUP($B329,Resumo_HSF!$C$13:$AB$1000,16,FALSE),0,(VLOOKUP($B330,Resumo_HSF!$C$13:$AB$1000,16,FALSE)-VLOOKUP($B329,Resumo_HSF!$C$13:$AB$1000,16,FALSE))*VLOOKUP($B330,Resumo_HSF!$C$13:$AB$1000,15,FALSE))</f>
        <v>12484.060000336356</v>
      </c>
      <c r="Y330" s="26">
        <v>0</v>
      </c>
      <c r="Z330" s="26">
        <v>0</v>
      </c>
      <c r="AA330" s="26">
        <v>0</v>
      </c>
      <c r="AB330" s="26">
        <v>0</v>
      </c>
      <c r="AC330" s="26">
        <v>0</v>
      </c>
      <c r="AD330" s="15">
        <f t="shared" si="350"/>
        <v>3.363566065672785E-7</v>
      </c>
    </row>
    <row r="331" spans="2:30">
      <c r="B331" s="1">
        <f>WORKDAY(B330,1,Feriados!A133:A973)</f>
        <v>45330</v>
      </c>
      <c r="C331" s="51">
        <f t="shared" si="349"/>
        <v>0</v>
      </c>
      <c r="D331" s="26">
        <v>0</v>
      </c>
      <c r="E331" s="26">
        <v>0</v>
      </c>
      <c r="F331" s="26">
        <v>0</v>
      </c>
      <c r="G331" s="26">
        <v>0</v>
      </c>
      <c r="H331" s="26">
        <v>0</v>
      </c>
      <c r="I331" s="26">
        <v>0</v>
      </c>
      <c r="J331" s="26">
        <v>0</v>
      </c>
      <c r="K331">
        <f>-VLOOKUP(B331,Resumo_HSF!$C$13:$AH$600,28,FALSE)</f>
        <v>0</v>
      </c>
      <c r="L331" s="26">
        <v>0</v>
      </c>
      <c r="M331" s="26">
        <v>0</v>
      </c>
      <c r="N331" s="26">
        <v>0</v>
      </c>
      <c r="O331" s="26">
        <v>0</v>
      </c>
      <c r="P331" s="26">
        <v>0</v>
      </c>
      <c r="Q331" s="26">
        <v>0</v>
      </c>
      <c r="R331" s="26">
        <v>0</v>
      </c>
      <c r="S331" s="26">
        <v>0</v>
      </c>
      <c r="T331" s="26">
        <v>0</v>
      </c>
      <c r="U331" s="26">
        <v>0</v>
      </c>
      <c r="V331" s="26">
        <v>0</v>
      </c>
      <c r="W331" s="26">
        <v>0</v>
      </c>
      <c r="X331" s="26">
        <f>-IF(VLOOKUP($B331,Resumo_HSF!$C$13:$AB$1000,16,FALSE)=VLOOKUP($B330,Resumo_HSF!$C$13:$AB$1000,16,FALSE),0,(VLOOKUP($B331,Resumo_HSF!$C$13:$AB$1000,16,FALSE)-VLOOKUP($B330,Resumo_HSF!$C$13:$AB$1000,16,FALSE))*VLOOKUP($B331,Resumo_HSF!$C$13:$AB$1000,15,FALSE))</f>
        <v>0</v>
      </c>
      <c r="Y331" s="26">
        <v>0</v>
      </c>
      <c r="Z331" s="26">
        <v>0</v>
      </c>
      <c r="AA331" s="26">
        <v>0</v>
      </c>
      <c r="AB331" s="26">
        <v>0</v>
      </c>
      <c r="AC331" s="26">
        <v>0</v>
      </c>
      <c r="AD331" s="15">
        <f t="shared" si="350"/>
        <v>0</v>
      </c>
    </row>
    <row r="332" spans="2:30">
      <c r="B332" s="1">
        <f>WORKDAY(B331,1,Feriados!A134:A974)</f>
        <v>45331</v>
      </c>
      <c r="C332" s="51">
        <f t="shared" ref="C332" si="351">AD332</f>
        <v>0</v>
      </c>
      <c r="D332" s="26">
        <v>0</v>
      </c>
      <c r="E332" s="26">
        <v>0</v>
      </c>
      <c r="F332" s="26">
        <v>0</v>
      </c>
      <c r="G332" s="26">
        <v>0</v>
      </c>
      <c r="H332" s="26">
        <v>0</v>
      </c>
      <c r="I332" s="26">
        <v>0</v>
      </c>
      <c r="J332" s="26">
        <v>0</v>
      </c>
      <c r="K332">
        <f>-VLOOKUP(B332,Resumo_HSF!$C$13:$AH$600,28,FALSE)</f>
        <v>0</v>
      </c>
      <c r="L332" s="26">
        <v>0</v>
      </c>
      <c r="M332" s="26">
        <v>0</v>
      </c>
      <c r="N332" s="26">
        <v>0</v>
      </c>
      <c r="O332" s="26">
        <v>0</v>
      </c>
      <c r="P332" s="26">
        <v>0</v>
      </c>
      <c r="Q332" s="26">
        <v>0</v>
      </c>
      <c r="R332" s="26">
        <v>0</v>
      </c>
      <c r="S332" s="26">
        <v>0</v>
      </c>
      <c r="T332" s="26">
        <v>0</v>
      </c>
      <c r="U332" s="26">
        <v>0</v>
      </c>
      <c r="V332" s="26">
        <v>0</v>
      </c>
      <c r="W332" s="26">
        <v>0</v>
      </c>
      <c r="X332" s="26">
        <f>-IF(VLOOKUP($B332,Resumo_HSF!$C$13:$AB$1000,16,FALSE)=VLOOKUP($B331,Resumo_HSF!$C$13:$AB$1000,16,FALSE),0,(VLOOKUP($B332,Resumo_HSF!$C$13:$AB$1000,16,FALSE)-VLOOKUP($B331,Resumo_HSF!$C$13:$AB$1000,16,FALSE))*VLOOKUP($B332,Resumo_HSF!$C$13:$AB$1000,15,FALSE))</f>
        <v>0</v>
      </c>
      <c r="Y332" s="26">
        <v>0</v>
      </c>
      <c r="Z332" s="26">
        <v>0</v>
      </c>
      <c r="AA332" s="26">
        <v>0</v>
      </c>
      <c r="AB332" s="26">
        <v>0</v>
      </c>
      <c r="AC332" s="26">
        <v>0</v>
      </c>
      <c r="AD332" s="15">
        <f t="shared" ref="AD332" si="352">SUM(D332:AB332)</f>
        <v>0</v>
      </c>
    </row>
    <row r="333" spans="2:30">
      <c r="B333" s="1">
        <f>WORKDAY(B332,1,Feriados!A135:A975)</f>
        <v>45336</v>
      </c>
      <c r="C333" s="51">
        <f t="shared" ref="C333" si="353">AD333</f>
        <v>0</v>
      </c>
      <c r="D333" s="26">
        <v>0</v>
      </c>
      <c r="E333" s="26">
        <v>0</v>
      </c>
      <c r="F333" s="26">
        <v>0</v>
      </c>
      <c r="G333" s="26">
        <v>0</v>
      </c>
      <c r="H333" s="26">
        <v>0</v>
      </c>
      <c r="I333" s="26">
        <v>0</v>
      </c>
      <c r="J333" s="26">
        <v>0</v>
      </c>
      <c r="K333">
        <f>-VLOOKUP(B333,Resumo_HSF!$C$13:$AH$600,28,FALSE)</f>
        <v>0</v>
      </c>
      <c r="L333" s="26">
        <v>0</v>
      </c>
      <c r="M333" s="26">
        <v>0</v>
      </c>
      <c r="N333" s="26">
        <v>0</v>
      </c>
      <c r="O333" s="26">
        <v>0</v>
      </c>
      <c r="P333" s="26">
        <v>0</v>
      </c>
      <c r="Q333" s="26">
        <v>0</v>
      </c>
      <c r="R333" s="26">
        <v>0</v>
      </c>
      <c r="S333" s="26">
        <v>0</v>
      </c>
      <c r="T333" s="26">
        <v>0</v>
      </c>
      <c r="U333" s="26">
        <v>0</v>
      </c>
      <c r="V333" s="26">
        <v>0</v>
      </c>
      <c r="W333" s="26">
        <v>0</v>
      </c>
      <c r="X333" s="26">
        <f>-IF(VLOOKUP($B333,Resumo_HSF!$C$13:$AB$1000,16,FALSE)=VLOOKUP($B332,Resumo_HSF!$C$13:$AB$1000,16,FALSE),0,(VLOOKUP($B333,Resumo_HSF!$C$13:$AB$1000,16,FALSE)-VLOOKUP($B332,Resumo_HSF!$C$13:$AB$1000,16,FALSE))*VLOOKUP($B333,Resumo_HSF!$C$13:$AB$1000,15,FALSE))</f>
        <v>0</v>
      </c>
      <c r="Y333" s="26">
        <v>0</v>
      </c>
      <c r="Z333" s="26">
        <v>0</v>
      </c>
      <c r="AA333" s="26">
        <v>0</v>
      </c>
      <c r="AB333" s="26">
        <v>0</v>
      </c>
      <c r="AC333" s="26">
        <v>0</v>
      </c>
      <c r="AD333" s="15">
        <f t="shared" ref="AD333" si="354">SUM(D333:AB333)</f>
        <v>0</v>
      </c>
    </row>
    <row r="334" spans="2:30">
      <c r="B334" s="1">
        <f>WORKDAY(B333,1,Feriados!A136:A976)</f>
        <v>45337</v>
      </c>
      <c r="C334" s="51">
        <f t="shared" ref="C334" si="355">AD334</f>
        <v>0</v>
      </c>
      <c r="D334" s="26">
        <v>0</v>
      </c>
      <c r="E334" s="26">
        <v>0</v>
      </c>
      <c r="F334" s="26">
        <v>0</v>
      </c>
      <c r="G334" s="26">
        <v>0</v>
      </c>
      <c r="H334" s="26">
        <v>0</v>
      </c>
      <c r="I334" s="26">
        <v>0</v>
      </c>
      <c r="J334" s="26">
        <v>0</v>
      </c>
      <c r="K334">
        <f>-VLOOKUP(B334,Resumo_HSF!$C$13:$AH$600,28,FALSE)</f>
        <v>0</v>
      </c>
      <c r="L334" s="26">
        <v>0</v>
      </c>
      <c r="M334" s="26">
        <v>0</v>
      </c>
      <c r="N334" s="26">
        <v>0</v>
      </c>
      <c r="O334" s="26">
        <v>0</v>
      </c>
      <c r="P334" s="26">
        <v>0</v>
      </c>
      <c r="Q334" s="26">
        <v>0</v>
      </c>
      <c r="R334" s="26">
        <v>0</v>
      </c>
      <c r="S334" s="26">
        <v>0</v>
      </c>
      <c r="T334" s="26">
        <v>0</v>
      </c>
      <c r="U334" s="26">
        <v>0</v>
      </c>
      <c r="V334" s="26">
        <v>0</v>
      </c>
      <c r="W334" s="26">
        <v>0</v>
      </c>
      <c r="X334" s="26">
        <f>-IF(VLOOKUP($B334,Resumo_HSF!$C$13:$AB$1000,16,FALSE)=VLOOKUP($B333,Resumo_HSF!$C$13:$AB$1000,16,FALSE),0,(VLOOKUP($B334,Resumo_HSF!$C$13:$AB$1000,16,FALSE)-VLOOKUP($B333,Resumo_HSF!$C$13:$AB$1000,16,FALSE))*VLOOKUP($B334,Resumo_HSF!$C$13:$AB$1000,15,FALSE))</f>
        <v>0</v>
      </c>
      <c r="Y334" s="26">
        <v>0</v>
      </c>
      <c r="Z334" s="26">
        <v>0</v>
      </c>
      <c r="AA334" s="26">
        <v>0</v>
      </c>
      <c r="AB334" s="26">
        <v>0</v>
      </c>
      <c r="AC334" s="26">
        <v>0</v>
      </c>
      <c r="AD334" s="15">
        <f t="shared" ref="AD334" si="356">SUM(D334:AB334)</f>
        <v>0</v>
      </c>
    </row>
    <row r="335" spans="2:30">
      <c r="B335" s="1">
        <f>WORKDAY(B334,1,Feriados!A137:A977)</f>
        <v>45338</v>
      </c>
      <c r="C335" s="51">
        <f t="shared" ref="C335" si="357">AD335</f>
        <v>0</v>
      </c>
      <c r="D335" s="26">
        <v>0</v>
      </c>
      <c r="E335" s="26">
        <v>0</v>
      </c>
      <c r="F335" s="26">
        <v>0</v>
      </c>
      <c r="G335" s="26">
        <v>0</v>
      </c>
      <c r="H335" s="26">
        <v>0</v>
      </c>
      <c r="I335" s="26">
        <v>0</v>
      </c>
      <c r="J335" s="26">
        <v>0</v>
      </c>
      <c r="K335">
        <f>-VLOOKUP(B335,Resumo_HSF!$C$13:$AH$600,28,FALSE)</f>
        <v>0</v>
      </c>
      <c r="L335" s="26">
        <v>0</v>
      </c>
      <c r="M335" s="26">
        <v>0</v>
      </c>
      <c r="N335" s="26">
        <v>0</v>
      </c>
      <c r="O335" s="26">
        <v>0</v>
      </c>
      <c r="P335" s="26">
        <v>0</v>
      </c>
      <c r="Q335" s="26">
        <v>0</v>
      </c>
      <c r="R335" s="26">
        <v>0</v>
      </c>
      <c r="S335" s="26">
        <v>0</v>
      </c>
      <c r="T335" s="26">
        <v>0</v>
      </c>
      <c r="U335" s="26">
        <v>0</v>
      </c>
      <c r="V335" s="26">
        <v>0</v>
      </c>
      <c r="W335" s="26">
        <v>0</v>
      </c>
      <c r="X335" s="26">
        <f>-IF(VLOOKUP($B335,Resumo_HSF!$C$13:$AB$1000,16,FALSE)=VLOOKUP($B334,Resumo_HSF!$C$13:$AB$1000,16,FALSE),0,(VLOOKUP($B335,Resumo_HSF!$C$13:$AB$1000,16,FALSE)-VLOOKUP($B334,Resumo_HSF!$C$13:$AB$1000,16,FALSE))*VLOOKUP($B335,Resumo_HSF!$C$13:$AB$1000,15,FALSE))</f>
        <v>0</v>
      </c>
      <c r="Y335" s="26">
        <v>0</v>
      </c>
      <c r="Z335" s="26">
        <v>0</v>
      </c>
      <c r="AA335" s="26">
        <v>0</v>
      </c>
      <c r="AB335" s="26">
        <v>0</v>
      </c>
      <c r="AC335" s="26">
        <v>0</v>
      </c>
      <c r="AD335" s="15">
        <f t="shared" ref="AD335" si="358">SUM(D335:AB335)</f>
        <v>0</v>
      </c>
    </row>
    <row r="336" spans="2:30">
      <c r="B336" s="1">
        <f>WORKDAY(B335,1,Feriados!A138:A978)</f>
        <v>45341</v>
      </c>
      <c r="C336" s="51">
        <f t="shared" ref="C336" si="359">AD336</f>
        <v>3.5616949389805086E-8</v>
      </c>
      <c r="D336" s="26">
        <v>0</v>
      </c>
      <c r="E336" s="26">
        <v>0</v>
      </c>
      <c r="F336" s="26">
        <v>0</v>
      </c>
      <c r="G336" s="26">
        <v>0</v>
      </c>
      <c r="H336" s="26">
        <v>0</v>
      </c>
      <c r="I336" s="26">
        <v>0</v>
      </c>
      <c r="J336" s="26">
        <v>0</v>
      </c>
      <c r="K336">
        <f>-VLOOKUP(B336,Resumo_HSF!$C$13:$AH$600,28,FALSE)</f>
        <v>0</v>
      </c>
      <c r="L336" s="26">
        <v>0</v>
      </c>
      <c r="M336" s="26">
        <v>0</v>
      </c>
      <c r="N336" s="26">
        <v>0</v>
      </c>
      <c r="O336" s="26">
        <v>0</v>
      </c>
      <c r="P336" s="26">
        <v>-196</v>
      </c>
      <c r="Q336" s="26">
        <v>0</v>
      </c>
      <c r="R336" s="26">
        <v>0</v>
      </c>
      <c r="S336" s="26">
        <v>0</v>
      </c>
      <c r="T336" s="26">
        <v>0</v>
      </c>
      <c r="U336" s="26">
        <v>0</v>
      </c>
      <c r="V336" s="26">
        <v>0</v>
      </c>
      <c r="W336" s="26">
        <v>0</v>
      </c>
      <c r="X336" s="26">
        <f>-IF(VLOOKUP($B336,Resumo_HSF!$C$13:$AB$1000,16,FALSE)=VLOOKUP($B335,Resumo_HSF!$C$13:$AB$1000,16,FALSE),0,(VLOOKUP($B336,Resumo_HSF!$C$13:$AB$1000,16,FALSE)-VLOOKUP($B335,Resumo_HSF!$C$13:$AB$1000,16,FALSE))*VLOOKUP($B336,Resumo_HSF!$C$13:$AB$1000,15,FALSE))</f>
        <v>196.00000003561695</v>
      </c>
      <c r="Y336" s="26">
        <v>0</v>
      </c>
      <c r="Z336" s="26">
        <v>0</v>
      </c>
      <c r="AA336" s="26">
        <v>0</v>
      </c>
      <c r="AB336" s="26">
        <v>0</v>
      </c>
      <c r="AC336" s="26">
        <v>0</v>
      </c>
      <c r="AD336" s="15">
        <f t="shared" ref="AD336" si="360">SUM(D336:AB336)</f>
        <v>3.5616949389805086E-8</v>
      </c>
    </row>
    <row r="337" spans="2:30">
      <c r="B337" s="1">
        <f>WORKDAY(B336,1,Feriados!A139:A979)</f>
        <v>45342</v>
      </c>
      <c r="C337" s="51">
        <f t="shared" ref="C337:C338" si="361">AD337</f>
        <v>0</v>
      </c>
      <c r="D337" s="26">
        <v>0</v>
      </c>
      <c r="E337" s="26">
        <v>0</v>
      </c>
      <c r="F337" s="26">
        <v>0</v>
      </c>
      <c r="G337" s="26">
        <v>0</v>
      </c>
      <c r="H337" s="26">
        <v>0</v>
      </c>
      <c r="I337" s="26">
        <v>0</v>
      </c>
      <c r="J337" s="26">
        <v>0</v>
      </c>
      <c r="K337">
        <f>-VLOOKUP(B337,Resumo_HSF!$C$13:$AH$600,28,FALSE)</f>
        <v>0</v>
      </c>
      <c r="L337" s="26">
        <v>0</v>
      </c>
      <c r="M337" s="26">
        <v>0</v>
      </c>
      <c r="N337" s="26">
        <v>0</v>
      </c>
      <c r="O337" s="26">
        <v>0</v>
      </c>
      <c r="P337" s="26">
        <v>0</v>
      </c>
      <c r="Q337" s="26">
        <v>0</v>
      </c>
      <c r="R337" s="26">
        <v>0</v>
      </c>
      <c r="S337" s="26">
        <v>0</v>
      </c>
      <c r="T337" s="26">
        <v>0</v>
      </c>
      <c r="U337" s="26">
        <v>0</v>
      </c>
      <c r="V337" s="26">
        <v>0</v>
      </c>
      <c r="W337" s="26">
        <v>0</v>
      </c>
      <c r="X337" s="26">
        <f>-IF(VLOOKUP($B337,Resumo_HSF!$C$13:$AB$1000,16,FALSE)=VLOOKUP($B336,Resumo_HSF!$C$13:$AB$1000,16,FALSE),0,(VLOOKUP($B337,Resumo_HSF!$C$13:$AB$1000,16,FALSE)-VLOOKUP($B336,Resumo_HSF!$C$13:$AB$1000,16,FALSE))*VLOOKUP($B337,Resumo_HSF!$C$13:$AB$1000,15,FALSE))</f>
        <v>0</v>
      </c>
      <c r="Y337" s="26">
        <v>0</v>
      </c>
      <c r="Z337" s="26">
        <v>0</v>
      </c>
      <c r="AA337" s="26">
        <v>0</v>
      </c>
      <c r="AB337" s="26">
        <v>0</v>
      </c>
      <c r="AC337" s="26">
        <v>0</v>
      </c>
      <c r="AD337" s="15">
        <f t="shared" ref="AD337:AD338" si="362">SUM(D337:AB337)</f>
        <v>0</v>
      </c>
    </row>
    <row r="338" spans="2:30">
      <c r="B338" s="1">
        <f>WORKDAY(B337,1,Feriados!A140:A980)</f>
        <v>45343</v>
      </c>
      <c r="C338" s="51">
        <f t="shared" si="361"/>
        <v>0</v>
      </c>
      <c r="D338" s="26">
        <v>0</v>
      </c>
      <c r="E338" s="26">
        <v>0</v>
      </c>
      <c r="F338" s="26">
        <v>0</v>
      </c>
      <c r="G338" s="26">
        <v>0</v>
      </c>
      <c r="H338" s="26">
        <v>0</v>
      </c>
      <c r="I338" s="26">
        <v>0</v>
      </c>
      <c r="J338" s="26">
        <v>0</v>
      </c>
      <c r="K338">
        <f>-VLOOKUP(B338,Resumo_HSF!$C$13:$AH$600,28,FALSE)</f>
        <v>0</v>
      </c>
      <c r="L338" s="26">
        <v>0</v>
      </c>
      <c r="M338" s="26">
        <v>0</v>
      </c>
      <c r="N338" s="26">
        <v>0</v>
      </c>
      <c r="O338" s="26">
        <v>0</v>
      </c>
      <c r="P338" s="26">
        <v>0</v>
      </c>
      <c r="Q338" s="26">
        <v>0</v>
      </c>
      <c r="R338" s="26">
        <v>0</v>
      </c>
      <c r="S338" s="26">
        <v>0</v>
      </c>
      <c r="T338" s="26">
        <v>0</v>
      </c>
      <c r="U338" s="26">
        <v>0</v>
      </c>
      <c r="V338" s="26">
        <v>0</v>
      </c>
      <c r="W338" s="26">
        <v>0</v>
      </c>
      <c r="X338" s="26">
        <f>-IF(VLOOKUP($B338,Resumo_HSF!$C$13:$AB$1000,16,FALSE)=VLOOKUP($B337,Resumo_HSF!$C$13:$AB$1000,16,FALSE),0,(VLOOKUP($B338,Resumo_HSF!$C$13:$AB$1000,16,FALSE)-VLOOKUP($B337,Resumo_HSF!$C$13:$AB$1000,16,FALSE))*VLOOKUP($B338,Resumo_HSF!$C$13:$AB$1000,15,FALSE))</f>
        <v>0</v>
      </c>
      <c r="Y338" s="26">
        <v>0</v>
      </c>
      <c r="Z338" s="26">
        <v>0</v>
      </c>
      <c r="AA338" s="26">
        <v>0</v>
      </c>
      <c r="AB338" s="26">
        <v>0</v>
      </c>
      <c r="AC338" s="26">
        <v>0</v>
      </c>
      <c r="AD338" s="15">
        <f t="shared" si="362"/>
        <v>0</v>
      </c>
    </row>
    <row r="339" spans="2:30">
      <c r="B339" s="1">
        <f>WORKDAY(B338,1,Feriados!A141:A981)</f>
        <v>45344</v>
      </c>
      <c r="C339" s="51">
        <f t="shared" ref="C339" si="363">AD339</f>
        <v>0</v>
      </c>
      <c r="D339" s="26">
        <v>0</v>
      </c>
      <c r="E339" s="26">
        <v>0</v>
      </c>
      <c r="F339" s="26">
        <v>0</v>
      </c>
      <c r="G339" s="26">
        <v>0</v>
      </c>
      <c r="H339" s="26">
        <v>0</v>
      </c>
      <c r="I339" s="26">
        <v>0</v>
      </c>
      <c r="J339" s="26">
        <v>0</v>
      </c>
      <c r="K339">
        <f>-VLOOKUP(B339,Resumo_HSF!$C$13:$AH$600,28,FALSE)</f>
        <v>-50000</v>
      </c>
      <c r="L339" s="26">
        <v>0</v>
      </c>
      <c r="M339" s="26">
        <v>0</v>
      </c>
      <c r="N339" s="26">
        <v>0</v>
      </c>
      <c r="O339" s="26">
        <v>0</v>
      </c>
      <c r="P339" s="26">
        <v>0</v>
      </c>
      <c r="Q339" s="26">
        <v>0</v>
      </c>
      <c r="R339" s="26">
        <v>50000</v>
      </c>
      <c r="S339" s="26">
        <v>0</v>
      </c>
      <c r="T339" s="26">
        <v>0</v>
      </c>
      <c r="U339" s="26">
        <v>0</v>
      </c>
      <c r="V339" s="26">
        <v>0</v>
      </c>
      <c r="W339" s="26">
        <v>0</v>
      </c>
      <c r="X339" s="26">
        <f>-IF(VLOOKUP($B339,Resumo_HSF!$C$13:$AB$1000,16,FALSE)=VLOOKUP($B338,Resumo_HSF!$C$13:$AB$1000,16,FALSE),0,(VLOOKUP($B339,Resumo_HSF!$C$13:$AB$1000,16,FALSE)-VLOOKUP($B338,Resumo_HSF!$C$13:$AB$1000,16,FALSE))*VLOOKUP($B339,Resumo_HSF!$C$13:$AB$1000,15,FALSE))</f>
        <v>0</v>
      </c>
      <c r="Y339" s="26">
        <v>0</v>
      </c>
      <c r="Z339" s="26">
        <v>0</v>
      </c>
      <c r="AA339" s="26">
        <v>0</v>
      </c>
      <c r="AB339" s="26">
        <v>0</v>
      </c>
      <c r="AC339" s="26">
        <v>0</v>
      </c>
      <c r="AD339" s="15">
        <f t="shared" ref="AD339" si="364">SUM(D339:AB339)</f>
        <v>0</v>
      </c>
    </row>
    <row r="340" spans="2:30">
      <c r="B340" s="1">
        <f>WORKDAY(B339,1,Feriados!A142:A982)</f>
        <v>45345</v>
      </c>
      <c r="C340" s="51">
        <f t="shared" ref="C340" si="365">AD340</f>
        <v>0</v>
      </c>
      <c r="D340" s="26">
        <v>0</v>
      </c>
      <c r="E340" s="26">
        <v>0</v>
      </c>
      <c r="F340" s="26">
        <v>0</v>
      </c>
      <c r="G340" s="26">
        <v>0</v>
      </c>
      <c r="H340" s="26">
        <v>0</v>
      </c>
      <c r="I340" s="26">
        <v>0</v>
      </c>
      <c r="J340" s="26">
        <v>0</v>
      </c>
      <c r="K340">
        <f>-VLOOKUP(B340,Resumo_HSF!$C$13:$AH$600,28,FALSE)</f>
        <v>0</v>
      </c>
      <c r="L340" s="26">
        <v>0</v>
      </c>
      <c r="M340" s="26">
        <v>0</v>
      </c>
      <c r="N340" s="26">
        <v>0</v>
      </c>
      <c r="O340" s="26">
        <v>0</v>
      </c>
      <c r="P340" s="26">
        <v>0</v>
      </c>
      <c r="Q340" s="26">
        <v>0</v>
      </c>
      <c r="R340" s="26">
        <v>0</v>
      </c>
      <c r="S340" s="26">
        <v>0</v>
      </c>
      <c r="T340" s="26">
        <v>0</v>
      </c>
      <c r="U340" s="26">
        <v>0</v>
      </c>
      <c r="V340" s="26">
        <v>0</v>
      </c>
      <c r="W340" s="26">
        <v>0</v>
      </c>
      <c r="X340" s="26">
        <f>-IF(VLOOKUP($B340,Resumo_HSF!$C$13:$AB$1000,16,FALSE)=VLOOKUP($B339,Resumo_HSF!$C$13:$AB$1000,16,FALSE),0,(VLOOKUP($B340,Resumo_HSF!$C$13:$AB$1000,16,FALSE)-VLOOKUP($B339,Resumo_HSF!$C$13:$AB$1000,16,FALSE))*VLOOKUP($B340,Resumo_HSF!$C$13:$AB$1000,15,FALSE))</f>
        <v>0</v>
      </c>
      <c r="Y340" s="26">
        <v>0</v>
      </c>
      <c r="Z340" s="26">
        <v>0</v>
      </c>
      <c r="AA340" s="26">
        <v>0</v>
      </c>
      <c r="AB340" s="26">
        <v>0</v>
      </c>
      <c r="AC340" s="26">
        <v>0</v>
      </c>
      <c r="AD340" s="15">
        <f t="shared" ref="AD340" si="366">SUM(D340:AB340)</f>
        <v>0</v>
      </c>
    </row>
    <row r="341" spans="2:30">
      <c r="B341" s="1">
        <f>WORKDAY(B340,1,Feriados!A143:A983)</f>
        <v>45348</v>
      </c>
      <c r="C341" s="51">
        <f t="shared" ref="C341:C342" si="367">AD341</f>
        <v>0</v>
      </c>
      <c r="D341" s="26">
        <v>0</v>
      </c>
      <c r="E341" s="26">
        <v>0</v>
      </c>
      <c r="F341" s="26">
        <v>0</v>
      </c>
      <c r="G341" s="26">
        <v>0</v>
      </c>
      <c r="H341" s="26">
        <v>0</v>
      </c>
      <c r="I341" s="26">
        <v>0</v>
      </c>
      <c r="J341" s="26">
        <v>0</v>
      </c>
      <c r="K341">
        <f>-VLOOKUP(B341,Resumo_HSF!$C$13:$AH$600,28,FALSE)</f>
        <v>0</v>
      </c>
      <c r="L341" s="26">
        <v>0</v>
      </c>
      <c r="M341" s="26">
        <v>0</v>
      </c>
      <c r="N341" s="26">
        <v>0</v>
      </c>
      <c r="O341" s="26">
        <v>0</v>
      </c>
      <c r="P341" s="26">
        <v>0</v>
      </c>
      <c r="Q341" s="26">
        <v>0</v>
      </c>
      <c r="R341" s="26">
        <v>0</v>
      </c>
      <c r="S341" s="26">
        <v>0</v>
      </c>
      <c r="T341" s="26">
        <v>0</v>
      </c>
      <c r="U341" s="26">
        <v>0</v>
      </c>
      <c r="V341" s="26">
        <v>0</v>
      </c>
      <c r="W341" s="26">
        <v>0</v>
      </c>
      <c r="X341" s="26">
        <f>-IF(VLOOKUP($B341,Resumo_HSF!$C$13:$AB$1000,16,FALSE)=VLOOKUP($B340,Resumo_HSF!$C$13:$AB$1000,16,FALSE),0,(VLOOKUP($B341,Resumo_HSF!$C$13:$AB$1000,16,FALSE)-VLOOKUP($B340,Resumo_HSF!$C$13:$AB$1000,16,FALSE))*VLOOKUP($B341,Resumo_HSF!$C$13:$AB$1000,15,FALSE))</f>
        <v>0</v>
      </c>
      <c r="Y341" s="26">
        <v>0</v>
      </c>
      <c r="Z341" s="26">
        <v>0</v>
      </c>
      <c r="AA341" s="26">
        <v>0</v>
      </c>
      <c r="AB341" s="26">
        <v>0</v>
      </c>
      <c r="AC341" s="26">
        <v>0</v>
      </c>
      <c r="AD341" s="15">
        <f t="shared" ref="AD341:AD342" si="368">SUM(D341:AB341)</f>
        <v>0</v>
      </c>
    </row>
    <row r="342" spans="2:30">
      <c r="B342" s="1">
        <f>WORKDAY(B341,1,Feriados!A144:A984)</f>
        <v>45349</v>
      </c>
      <c r="C342" s="51">
        <f t="shared" si="367"/>
        <v>0</v>
      </c>
      <c r="D342" s="26">
        <v>0</v>
      </c>
      <c r="E342" s="26">
        <v>0</v>
      </c>
      <c r="F342" s="26">
        <v>0</v>
      </c>
      <c r="G342" s="26">
        <v>0</v>
      </c>
      <c r="H342" s="26">
        <v>0</v>
      </c>
      <c r="I342" s="26">
        <v>0</v>
      </c>
      <c r="J342" s="26">
        <v>0</v>
      </c>
      <c r="K342">
        <f>-VLOOKUP(B342,Resumo_HSF!$C$13:$AH$600,28,FALSE)</f>
        <v>0</v>
      </c>
      <c r="L342" s="26">
        <v>0</v>
      </c>
      <c r="M342" s="26">
        <v>0</v>
      </c>
      <c r="N342" s="26">
        <v>0</v>
      </c>
      <c r="O342" s="26">
        <v>0</v>
      </c>
      <c r="P342" s="26">
        <v>0</v>
      </c>
      <c r="Q342" s="26">
        <v>0</v>
      </c>
      <c r="R342" s="26">
        <v>0</v>
      </c>
      <c r="S342" s="26">
        <v>0</v>
      </c>
      <c r="T342" s="26">
        <v>0</v>
      </c>
      <c r="U342" s="26">
        <v>0</v>
      </c>
      <c r="V342" s="26">
        <v>0</v>
      </c>
      <c r="W342" s="26">
        <v>0</v>
      </c>
      <c r="X342" s="26">
        <f>-IF(VLOOKUP($B342,Resumo_HSF!$C$13:$AB$1000,16,FALSE)=VLOOKUP($B341,Resumo_HSF!$C$13:$AB$1000,16,FALSE),0,(VLOOKUP($B342,Resumo_HSF!$C$13:$AB$1000,16,FALSE)-VLOOKUP($B341,Resumo_HSF!$C$13:$AB$1000,16,FALSE))*VLOOKUP($B342,Resumo_HSF!$C$13:$AB$1000,15,FALSE))</f>
        <v>0</v>
      </c>
      <c r="Y342" s="26">
        <v>0</v>
      </c>
      <c r="Z342" s="26">
        <v>0</v>
      </c>
      <c r="AA342" s="26">
        <v>0</v>
      </c>
      <c r="AB342" s="26">
        <v>0</v>
      </c>
      <c r="AC342" s="26">
        <v>0</v>
      </c>
      <c r="AD342" s="15">
        <f t="shared" si="368"/>
        <v>0</v>
      </c>
    </row>
    <row r="343" spans="2:30">
      <c r="B343" s="1">
        <f>WORKDAY(B342,1,Feriados!A145:A985)</f>
        <v>45350</v>
      </c>
      <c r="C343" s="51">
        <f t="shared" ref="C343:C344" si="369">AD343</f>
        <v>-1.4266952348407358E-6</v>
      </c>
      <c r="D343" s="26">
        <v>0</v>
      </c>
      <c r="E343" s="26">
        <v>0</v>
      </c>
      <c r="F343" s="26">
        <v>0</v>
      </c>
      <c r="G343" s="26">
        <v>0</v>
      </c>
      <c r="H343" s="26">
        <v>0</v>
      </c>
      <c r="I343" s="26">
        <v>0</v>
      </c>
      <c r="J343" s="26">
        <v>0</v>
      </c>
      <c r="K343">
        <f>-VLOOKUP(B343,Resumo_HSF!$C$13:$AH$600,28,FALSE)</f>
        <v>0</v>
      </c>
      <c r="L343" s="26">
        <v>0</v>
      </c>
      <c r="M343" s="26">
        <v>0</v>
      </c>
      <c r="N343" s="26">
        <v>0</v>
      </c>
      <c r="O343" s="26">
        <v>0</v>
      </c>
      <c r="P343" s="26">
        <v>-2166.2399999999998</v>
      </c>
      <c r="Q343" s="26">
        <v>0</v>
      </c>
      <c r="R343" s="26">
        <v>0</v>
      </c>
      <c r="S343" s="26">
        <v>0</v>
      </c>
      <c r="T343" s="26">
        <v>0</v>
      </c>
      <c r="U343" s="26">
        <v>0</v>
      </c>
      <c r="V343" s="26">
        <v>0</v>
      </c>
      <c r="W343" s="26">
        <v>0</v>
      </c>
      <c r="X343" s="26">
        <f>-IF(VLOOKUP($B343,Resumo_HSF!$C$13:$AB$1000,16,FALSE)=VLOOKUP($B342,Resumo_HSF!$C$13:$AB$1000,16,FALSE),0,(VLOOKUP($B343,Resumo_HSF!$C$13:$AB$1000,16,FALSE)-VLOOKUP($B342,Resumo_HSF!$C$13:$AB$1000,16,FALSE))*VLOOKUP($B343,Resumo_HSF!$C$13:$AB$1000,15,FALSE))</f>
        <v>2166.2399985733045</v>
      </c>
      <c r="Y343" s="26">
        <v>0</v>
      </c>
      <c r="Z343" s="26">
        <v>0</v>
      </c>
      <c r="AA343" s="26">
        <v>0</v>
      </c>
      <c r="AB343" s="26">
        <v>0</v>
      </c>
      <c r="AC343" s="26">
        <v>0</v>
      </c>
      <c r="AD343" s="15">
        <f t="shared" ref="AD343:AD344" si="370">SUM(D343:AB343)</f>
        <v>-1.4266952348407358E-6</v>
      </c>
    </row>
    <row r="344" spans="2:30">
      <c r="B344" s="1">
        <f>WORKDAY(B343,1,Feriados!A146:A986)</f>
        <v>45351</v>
      </c>
      <c r="C344" s="51">
        <f t="shared" si="369"/>
        <v>0</v>
      </c>
      <c r="D344" s="26">
        <v>0</v>
      </c>
      <c r="E344" s="26">
        <v>0</v>
      </c>
      <c r="F344" s="26">
        <v>0</v>
      </c>
      <c r="G344" s="26">
        <v>0</v>
      </c>
      <c r="H344" s="26">
        <v>0</v>
      </c>
      <c r="I344" s="26">
        <v>0</v>
      </c>
      <c r="J344" s="26">
        <v>0</v>
      </c>
      <c r="K344">
        <f>-VLOOKUP(B344,Resumo_HSF!$C$13:$AH$600,28,FALSE)</f>
        <v>0</v>
      </c>
      <c r="L344" s="26">
        <v>0</v>
      </c>
      <c r="M344" s="26">
        <v>0</v>
      </c>
      <c r="N344" s="26">
        <v>0</v>
      </c>
      <c r="O344" s="26">
        <v>0</v>
      </c>
      <c r="P344" s="26">
        <v>0</v>
      </c>
      <c r="Q344" s="26">
        <v>0</v>
      </c>
      <c r="R344" s="26">
        <v>0</v>
      </c>
      <c r="S344" s="26">
        <v>0</v>
      </c>
      <c r="T344" s="26">
        <v>0</v>
      </c>
      <c r="U344" s="26">
        <v>0</v>
      </c>
      <c r="V344" s="26">
        <v>0</v>
      </c>
      <c r="W344" s="26">
        <v>0</v>
      </c>
      <c r="X344" s="26">
        <f>-IF(VLOOKUP($B344,Resumo_HSF!$C$13:$AB$1000,16,FALSE)=VLOOKUP($B343,Resumo_HSF!$C$13:$AB$1000,16,FALSE),0,(VLOOKUP($B344,Resumo_HSF!$C$13:$AB$1000,16,FALSE)-VLOOKUP($B343,Resumo_HSF!$C$13:$AB$1000,16,FALSE))*VLOOKUP($B344,Resumo_HSF!$C$13:$AB$1000,15,FALSE))</f>
        <v>0</v>
      </c>
      <c r="Y344" s="26">
        <v>0</v>
      </c>
      <c r="Z344" s="26">
        <v>0</v>
      </c>
      <c r="AA344" s="26">
        <v>0</v>
      </c>
      <c r="AB344" s="26">
        <v>0</v>
      </c>
      <c r="AC344" s="26">
        <v>0</v>
      </c>
      <c r="AD344" s="15">
        <f t="shared" si="370"/>
        <v>0</v>
      </c>
    </row>
    <row r="345" spans="2:30">
      <c r="B345" s="1">
        <f>WORKDAY(B344,1,Feriados!A147:A987)</f>
        <v>45352</v>
      </c>
      <c r="C345" s="51">
        <f t="shared" ref="C345" si="371">AD345</f>
        <v>0</v>
      </c>
      <c r="D345" s="26">
        <v>0</v>
      </c>
      <c r="E345" s="26">
        <v>0</v>
      </c>
      <c r="F345" s="26">
        <v>0</v>
      </c>
      <c r="G345" s="26">
        <v>0</v>
      </c>
      <c r="H345" s="26">
        <v>0</v>
      </c>
      <c r="I345" s="26">
        <v>0</v>
      </c>
      <c r="J345" s="26">
        <v>0</v>
      </c>
      <c r="K345">
        <f>-VLOOKUP(B345,Resumo_HSF!$C$13:$AH$600,28,FALSE)</f>
        <v>0</v>
      </c>
      <c r="L345" s="26">
        <v>0</v>
      </c>
      <c r="M345" s="26">
        <v>0</v>
      </c>
      <c r="N345" s="26">
        <v>0</v>
      </c>
      <c r="O345" s="26">
        <v>0</v>
      </c>
      <c r="P345" s="26">
        <v>0</v>
      </c>
      <c r="Q345" s="26">
        <v>0</v>
      </c>
      <c r="R345" s="26">
        <v>0</v>
      </c>
      <c r="S345" s="26">
        <v>0</v>
      </c>
      <c r="T345" s="26">
        <v>0</v>
      </c>
      <c r="U345" s="26">
        <v>0</v>
      </c>
      <c r="V345" s="26">
        <v>0</v>
      </c>
      <c r="W345" s="26">
        <v>0</v>
      </c>
      <c r="X345" s="26">
        <f>-IF(VLOOKUP($B345,Resumo_HSF!$C$13:$AB$1000,16,FALSE)=VLOOKUP($B344,Resumo_HSF!$C$13:$AB$1000,16,FALSE),0,(VLOOKUP($B345,Resumo_HSF!$C$13:$AB$1000,16,FALSE)-VLOOKUP($B344,Resumo_HSF!$C$13:$AB$1000,16,FALSE))*VLOOKUP($B345,Resumo_HSF!$C$13:$AB$1000,15,FALSE))</f>
        <v>0</v>
      </c>
      <c r="Y345" s="26">
        <v>0</v>
      </c>
      <c r="Z345" s="26">
        <v>0</v>
      </c>
      <c r="AA345" s="26">
        <v>0</v>
      </c>
      <c r="AB345" s="26">
        <v>0</v>
      </c>
      <c r="AC345" s="26">
        <v>0</v>
      </c>
      <c r="AD345" s="15">
        <f t="shared" ref="AD345" si="372">SUM(D345:AB345)</f>
        <v>0</v>
      </c>
    </row>
    <row r="346" spans="2:30">
      <c r="B346" s="1">
        <f>WORKDAY(B345,1,Feriados!A148:A988)</f>
        <v>45355</v>
      </c>
      <c r="C346" s="51">
        <f t="shared" ref="C346" si="373">AD346</f>
        <v>0</v>
      </c>
      <c r="D346" s="26">
        <v>0</v>
      </c>
      <c r="E346" s="26">
        <v>0</v>
      </c>
      <c r="F346" s="26">
        <v>0</v>
      </c>
      <c r="G346" s="26">
        <v>0</v>
      </c>
      <c r="H346" s="26">
        <v>0</v>
      </c>
      <c r="I346" s="26">
        <v>0</v>
      </c>
      <c r="J346" s="26">
        <v>0</v>
      </c>
      <c r="K346">
        <f>-VLOOKUP(B346,Resumo_HSF!$C$13:$AH$600,28,FALSE)</f>
        <v>0</v>
      </c>
      <c r="L346" s="26">
        <v>0</v>
      </c>
      <c r="M346" s="26">
        <v>0</v>
      </c>
      <c r="N346" s="26">
        <v>0</v>
      </c>
      <c r="O346" s="26">
        <v>0</v>
      </c>
      <c r="P346" s="26">
        <v>0</v>
      </c>
      <c r="Q346" s="26">
        <v>0</v>
      </c>
      <c r="R346" s="26">
        <v>0</v>
      </c>
      <c r="S346" s="26">
        <v>0</v>
      </c>
      <c r="T346" s="26">
        <v>0</v>
      </c>
      <c r="U346" s="26">
        <v>0</v>
      </c>
      <c r="V346" s="26">
        <v>0</v>
      </c>
      <c r="W346" s="26">
        <v>0</v>
      </c>
      <c r="X346" s="26">
        <f>-IF(VLOOKUP($B346,Resumo_HSF!$C$13:$AB$1000,16,FALSE)=VLOOKUP($B345,Resumo_HSF!$C$13:$AB$1000,16,FALSE),0,(VLOOKUP($B346,Resumo_HSF!$C$13:$AB$1000,16,FALSE)-VLOOKUP($B345,Resumo_HSF!$C$13:$AB$1000,16,FALSE))*VLOOKUP($B346,Resumo_HSF!$C$13:$AB$1000,15,FALSE))</f>
        <v>0</v>
      </c>
      <c r="Y346" s="26">
        <v>0</v>
      </c>
      <c r="Z346" s="26">
        <v>0</v>
      </c>
      <c r="AA346" s="26">
        <v>0</v>
      </c>
      <c r="AB346" s="26">
        <v>0</v>
      </c>
      <c r="AC346" s="26">
        <v>0</v>
      </c>
      <c r="AD346" s="15">
        <f t="shared" ref="AD346" si="374">SUM(D346:AB346)</f>
        <v>0</v>
      </c>
    </row>
    <row r="347" spans="2:30">
      <c r="B347" s="1">
        <f>WORKDAY(B346,1,Feriados!A149:A989)</f>
        <v>45356</v>
      </c>
      <c r="C347" s="51">
        <f t="shared" ref="C347" si="375">AD347</f>
        <v>0</v>
      </c>
      <c r="D347" s="26">
        <v>0</v>
      </c>
      <c r="E347" s="26">
        <v>0</v>
      </c>
      <c r="F347" s="26">
        <v>0</v>
      </c>
      <c r="G347" s="26">
        <v>0</v>
      </c>
      <c r="H347" s="26">
        <v>0</v>
      </c>
      <c r="I347" s="26">
        <v>0</v>
      </c>
      <c r="J347" s="26">
        <v>0</v>
      </c>
      <c r="K347">
        <f>-VLOOKUP(B347,Resumo_HSF!$C$13:$AH$600,28,FALSE)</f>
        <v>0</v>
      </c>
      <c r="L347" s="26">
        <v>0</v>
      </c>
      <c r="M347" s="26">
        <v>0</v>
      </c>
      <c r="N347" s="26">
        <v>0</v>
      </c>
      <c r="O347" s="26">
        <v>0</v>
      </c>
      <c r="P347" s="26">
        <v>0</v>
      </c>
      <c r="Q347" s="26">
        <v>0</v>
      </c>
      <c r="R347" s="26">
        <v>0</v>
      </c>
      <c r="S347" s="26">
        <v>0</v>
      </c>
      <c r="T347" s="26">
        <v>0</v>
      </c>
      <c r="U347" s="26">
        <v>0</v>
      </c>
      <c r="V347" s="26">
        <v>0</v>
      </c>
      <c r="W347" s="26">
        <v>0</v>
      </c>
      <c r="X347" s="26">
        <f>-IF(VLOOKUP($B347,Resumo_HSF!$C$13:$AB$1000,16,FALSE)=VLOOKUP($B346,Resumo_HSF!$C$13:$AB$1000,16,FALSE),0,(VLOOKUP($B347,Resumo_HSF!$C$13:$AB$1000,16,FALSE)-VLOOKUP($B346,Resumo_HSF!$C$13:$AB$1000,16,FALSE))*VLOOKUP($B347,Resumo_HSF!$C$13:$AB$1000,15,FALSE))</f>
        <v>0</v>
      </c>
      <c r="Y347" s="26">
        <v>0</v>
      </c>
      <c r="Z347" s="26">
        <v>0</v>
      </c>
      <c r="AA347" s="26">
        <v>0</v>
      </c>
      <c r="AB347" s="26">
        <v>0</v>
      </c>
      <c r="AC347" s="26">
        <v>0</v>
      </c>
      <c r="AD347" s="15">
        <f t="shared" ref="AD347" si="376">SUM(D347:AB347)</f>
        <v>0</v>
      </c>
    </row>
    <row r="348" spans="2:30">
      <c r="B348" s="1">
        <f>WORKDAY(B347,1,Feriados!A150:A990)</f>
        <v>45357</v>
      </c>
      <c r="C348" s="51">
        <f t="shared" ref="C348" si="377">AD348</f>
        <v>0</v>
      </c>
      <c r="D348" s="26">
        <v>0</v>
      </c>
      <c r="E348" s="26">
        <v>0</v>
      </c>
      <c r="F348" s="26">
        <v>0</v>
      </c>
      <c r="G348" s="26">
        <v>0</v>
      </c>
      <c r="H348" s="26">
        <v>0</v>
      </c>
      <c r="I348" s="26">
        <v>0</v>
      </c>
      <c r="J348" s="26">
        <v>0</v>
      </c>
      <c r="K348">
        <f>-VLOOKUP(B348,Resumo_HSF!$C$13:$AH$600,28,FALSE)</f>
        <v>0</v>
      </c>
      <c r="L348" s="26">
        <v>0</v>
      </c>
      <c r="M348" s="26">
        <v>0</v>
      </c>
      <c r="N348" s="26">
        <v>0</v>
      </c>
      <c r="O348" s="26">
        <v>0</v>
      </c>
      <c r="P348" s="26">
        <v>0</v>
      </c>
      <c r="Q348" s="26">
        <v>0</v>
      </c>
      <c r="R348" s="26">
        <v>0</v>
      </c>
      <c r="S348" s="26">
        <v>0</v>
      </c>
      <c r="T348" s="26">
        <v>0</v>
      </c>
      <c r="U348" s="26">
        <v>0</v>
      </c>
      <c r="V348" s="26">
        <v>0</v>
      </c>
      <c r="W348" s="26">
        <v>0</v>
      </c>
      <c r="X348" s="26">
        <f>-IF(VLOOKUP($B348,Resumo_HSF!$C$13:$AB$1000,16,FALSE)=VLOOKUP($B347,Resumo_HSF!$C$13:$AB$1000,16,FALSE),0,(VLOOKUP($B348,Resumo_HSF!$C$13:$AB$1000,16,FALSE)-VLOOKUP($B347,Resumo_HSF!$C$13:$AB$1000,16,FALSE))*VLOOKUP($B348,Resumo_HSF!$C$13:$AB$1000,15,FALSE))</f>
        <v>0</v>
      </c>
      <c r="Y348" s="26">
        <v>0</v>
      </c>
      <c r="Z348" s="26">
        <v>0</v>
      </c>
      <c r="AA348" s="26">
        <v>0</v>
      </c>
      <c r="AB348" s="26">
        <v>0</v>
      </c>
      <c r="AC348" s="26">
        <v>0</v>
      </c>
      <c r="AD348" s="15">
        <f t="shared" ref="AD348" si="378">SUM(D348:AB348)</f>
        <v>0</v>
      </c>
    </row>
    <row r="349" spans="2:30">
      <c r="B349" s="1">
        <f>WORKDAY(B348,1,Feriados!A151:A991)</f>
        <v>45358</v>
      </c>
      <c r="C349" s="51">
        <f t="shared" ref="C349:C350" si="379">AD349</f>
        <v>1.7464069514971925E-6</v>
      </c>
      <c r="D349" s="26">
        <v>-10581.8</v>
      </c>
      <c r="E349" s="26">
        <v>0</v>
      </c>
      <c r="F349" s="26">
        <v>0</v>
      </c>
      <c r="G349" s="26">
        <v>0</v>
      </c>
      <c r="H349" s="26">
        <v>0</v>
      </c>
      <c r="I349" s="26">
        <v>0</v>
      </c>
      <c r="J349" s="26">
        <v>0</v>
      </c>
      <c r="K349">
        <f>-VLOOKUP(B349,Resumo_HSF!$C$13:$AH$600,28,FALSE)</f>
        <v>0</v>
      </c>
      <c r="L349" s="26">
        <v>0</v>
      </c>
      <c r="M349" s="26">
        <v>0</v>
      </c>
      <c r="N349" s="26">
        <v>0</v>
      </c>
      <c r="O349" s="26">
        <v>0</v>
      </c>
      <c r="P349" s="26">
        <v>0</v>
      </c>
      <c r="Q349" s="26">
        <v>0</v>
      </c>
      <c r="R349" s="26">
        <v>0</v>
      </c>
      <c r="S349" s="26">
        <v>11000</v>
      </c>
      <c r="T349" s="26">
        <v>0</v>
      </c>
      <c r="U349" s="26">
        <v>0</v>
      </c>
      <c r="V349" s="26">
        <v>0</v>
      </c>
      <c r="W349" s="26">
        <v>0</v>
      </c>
      <c r="X349" s="26">
        <f>-IF(VLOOKUP($B349,Resumo_HSF!$C$13:$AB$1000,16,FALSE)=VLOOKUP($B348,Resumo_HSF!$C$13:$AB$1000,16,FALSE),0,(VLOOKUP($B349,Resumo_HSF!$C$13:$AB$1000,16,FALSE)-VLOOKUP($B348,Resumo_HSF!$C$13:$AB$1000,16,FALSE))*VLOOKUP($B349,Resumo_HSF!$C$13:$AB$1000,15,FALSE))</f>
        <v>-418.19999825359378</v>
      </c>
      <c r="Y349" s="26">
        <v>0</v>
      </c>
      <c r="Z349" s="26">
        <v>0</v>
      </c>
      <c r="AA349" s="26">
        <v>0</v>
      </c>
      <c r="AB349" s="26">
        <v>0</v>
      </c>
      <c r="AC349" s="26">
        <v>0</v>
      </c>
      <c r="AD349" s="15">
        <f t="shared" ref="AD349:AD350" si="380">SUM(D349:AB349)</f>
        <v>1.7464069514971925E-6</v>
      </c>
    </row>
    <row r="350" spans="2:30">
      <c r="B350" s="1">
        <f>WORKDAY(B349,1,Feriados!A152:A992)</f>
        <v>45359</v>
      </c>
      <c r="C350" s="51">
        <f t="shared" si="379"/>
        <v>0</v>
      </c>
      <c r="D350" s="26">
        <v>0</v>
      </c>
      <c r="E350" s="26">
        <v>0</v>
      </c>
      <c r="F350" s="26">
        <v>0</v>
      </c>
      <c r="G350" s="26">
        <v>0</v>
      </c>
      <c r="H350" s="26">
        <v>0</v>
      </c>
      <c r="I350" s="26">
        <v>0</v>
      </c>
      <c r="J350" s="26">
        <v>0</v>
      </c>
      <c r="K350">
        <f>-VLOOKUP(B350,Resumo_HSF!$C$13:$AH$600,28,FALSE)</f>
        <v>0</v>
      </c>
      <c r="L350" s="26">
        <v>0</v>
      </c>
      <c r="M350" s="26">
        <v>0</v>
      </c>
      <c r="N350" s="26">
        <v>0</v>
      </c>
      <c r="O350" s="26">
        <v>0</v>
      </c>
      <c r="P350" s="26">
        <v>0</v>
      </c>
      <c r="Q350" s="26">
        <v>0</v>
      </c>
      <c r="R350" s="26">
        <v>0</v>
      </c>
      <c r="S350" s="26">
        <v>0</v>
      </c>
      <c r="T350" s="26">
        <v>0</v>
      </c>
      <c r="U350" s="26">
        <v>0</v>
      </c>
      <c r="V350" s="26">
        <v>0</v>
      </c>
      <c r="W350" s="26">
        <v>0</v>
      </c>
      <c r="X350" s="26">
        <f>-IF(VLOOKUP($B350,Resumo_HSF!$C$13:$AB$1000,16,FALSE)=VLOOKUP($B349,Resumo_HSF!$C$13:$AB$1000,16,FALSE),0,(VLOOKUP($B350,Resumo_HSF!$C$13:$AB$1000,16,FALSE)-VLOOKUP($B349,Resumo_HSF!$C$13:$AB$1000,16,FALSE))*VLOOKUP($B350,Resumo_HSF!$C$13:$AB$1000,15,FALSE))</f>
        <v>0</v>
      </c>
      <c r="Y350" s="26">
        <v>0</v>
      </c>
      <c r="Z350" s="26">
        <v>0</v>
      </c>
      <c r="AA350" s="26">
        <v>0</v>
      </c>
      <c r="AB350" s="26">
        <v>0</v>
      </c>
      <c r="AC350" s="26">
        <v>0</v>
      </c>
      <c r="AD350" s="15">
        <f t="shared" si="380"/>
        <v>0</v>
      </c>
    </row>
    <row r="351" spans="2:30">
      <c r="B351" s="1">
        <f>WORKDAY(B350,1,Feriados!A153:A993)</f>
        <v>45362</v>
      </c>
      <c r="C351" s="51">
        <f t="shared" ref="C351" si="381">AD351</f>
        <v>0</v>
      </c>
      <c r="D351" s="26">
        <v>0</v>
      </c>
      <c r="E351" s="26">
        <v>0</v>
      </c>
      <c r="F351" s="26">
        <v>0</v>
      </c>
      <c r="G351" s="26">
        <v>0</v>
      </c>
      <c r="H351" s="26">
        <v>0</v>
      </c>
      <c r="I351" s="26">
        <v>0</v>
      </c>
      <c r="J351" s="26">
        <v>0</v>
      </c>
      <c r="K351">
        <f>-VLOOKUP(B351,Resumo_HSF!$C$13:$AH$600,28,FALSE)</f>
        <v>0</v>
      </c>
      <c r="L351" s="26">
        <v>0</v>
      </c>
      <c r="M351" s="26">
        <v>0</v>
      </c>
      <c r="N351" s="26">
        <v>0</v>
      </c>
      <c r="O351" s="26">
        <v>0</v>
      </c>
      <c r="P351" s="26">
        <v>0</v>
      </c>
      <c r="Q351" s="26">
        <v>0</v>
      </c>
      <c r="R351" s="26">
        <v>0</v>
      </c>
      <c r="S351" s="26">
        <v>0</v>
      </c>
      <c r="T351" s="26">
        <v>0</v>
      </c>
      <c r="U351" s="26">
        <v>0</v>
      </c>
      <c r="V351" s="26">
        <v>0</v>
      </c>
      <c r="W351" s="26">
        <v>0</v>
      </c>
      <c r="X351" s="26">
        <f>-IF(VLOOKUP($B351,Resumo_HSF!$C$13:$AB$1000,16,FALSE)=VLOOKUP($B350,Resumo_HSF!$C$13:$AB$1000,16,FALSE),0,(VLOOKUP($B351,Resumo_HSF!$C$13:$AB$1000,16,FALSE)-VLOOKUP($B350,Resumo_HSF!$C$13:$AB$1000,16,FALSE))*VLOOKUP($B351,Resumo_HSF!$C$13:$AB$1000,15,FALSE))</f>
        <v>0</v>
      </c>
      <c r="Y351" s="26">
        <v>0</v>
      </c>
      <c r="Z351" s="26">
        <v>0</v>
      </c>
      <c r="AA351" s="26">
        <v>0</v>
      </c>
      <c r="AB351" s="26">
        <v>0</v>
      </c>
      <c r="AC351" s="26">
        <v>0</v>
      </c>
      <c r="AD351" s="15">
        <f t="shared" ref="AD351" si="382">SUM(D351:AB351)</f>
        <v>0</v>
      </c>
    </row>
    <row r="352" spans="2:30">
      <c r="B352" s="1">
        <f>WORKDAY(B351,1,Feriados!A154:A994)</f>
        <v>45363</v>
      </c>
      <c r="C352" s="51">
        <f t="shared" ref="C352" si="383">AD352</f>
        <v>0</v>
      </c>
      <c r="D352" s="26">
        <v>0</v>
      </c>
      <c r="E352" s="26">
        <v>0</v>
      </c>
      <c r="F352" s="26">
        <v>0</v>
      </c>
      <c r="G352" s="26">
        <v>0</v>
      </c>
      <c r="H352" s="26">
        <v>0</v>
      </c>
      <c r="I352" s="26">
        <v>0</v>
      </c>
      <c r="J352" s="26">
        <v>0</v>
      </c>
      <c r="K352">
        <f>-VLOOKUP(B352,Resumo_HSF!$C$13:$AH$600,28,FALSE)</f>
        <v>0</v>
      </c>
      <c r="L352" s="26">
        <v>0</v>
      </c>
      <c r="M352" s="26">
        <v>0</v>
      </c>
      <c r="N352" s="26">
        <v>0</v>
      </c>
      <c r="O352" s="26">
        <v>0</v>
      </c>
      <c r="P352" s="26">
        <v>0</v>
      </c>
      <c r="Q352" s="26">
        <v>0</v>
      </c>
      <c r="R352" s="26">
        <v>0</v>
      </c>
      <c r="S352" s="26">
        <v>0</v>
      </c>
      <c r="T352" s="26">
        <v>0</v>
      </c>
      <c r="U352" s="26">
        <v>0</v>
      </c>
      <c r="V352" s="26">
        <v>0</v>
      </c>
      <c r="W352" s="26">
        <v>0</v>
      </c>
      <c r="X352" s="26">
        <f>-IF(VLOOKUP($B352,Resumo_HSF!$C$13:$AB$1000,16,FALSE)=VLOOKUP($B351,Resumo_HSF!$C$13:$AB$1000,16,FALSE),0,(VLOOKUP($B352,Resumo_HSF!$C$13:$AB$1000,16,FALSE)-VLOOKUP($B351,Resumo_HSF!$C$13:$AB$1000,16,FALSE))*VLOOKUP($B352,Resumo_HSF!$C$13:$AB$1000,15,FALSE))</f>
        <v>0</v>
      </c>
      <c r="Y352" s="26">
        <v>0</v>
      </c>
      <c r="Z352" s="26">
        <v>0</v>
      </c>
      <c r="AA352" s="26">
        <v>0</v>
      </c>
      <c r="AB352" s="26">
        <v>0</v>
      </c>
      <c r="AC352" s="26">
        <v>0</v>
      </c>
      <c r="AD352" s="15">
        <f t="shared" ref="AD352" si="384">SUM(D352:AB352)</f>
        <v>0</v>
      </c>
    </row>
    <row r="353" spans="2:30">
      <c r="B353" s="1">
        <f>WORKDAY(B352,1,Feriados!A155:A995)</f>
        <v>45364</v>
      </c>
      <c r="C353" s="51">
        <f t="shared" ref="C353" si="385">AD353</f>
        <v>0</v>
      </c>
      <c r="D353" s="26">
        <v>0</v>
      </c>
      <c r="E353" s="26">
        <v>0</v>
      </c>
      <c r="F353" s="26">
        <v>0</v>
      </c>
      <c r="G353" s="26">
        <v>0</v>
      </c>
      <c r="H353" s="26">
        <v>0</v>
      </c>
      <c r="I353" s="26">
        <v>0</v>
      </c>
      <c r="J353" s="26">
        <v>0</v>
      </c>
      <c r="K353">
        <f>-VLOOKUP(B353,Resumo_HSF!$C$13:$AH$600,28,FALSE)</f>
        <v>0</v>
      </c>
      <c r="L353" s="26">
        <v>0</v>
      </c>
      <c r="M353" s="26">
        <v>0</v>
      </c>
      <c r="N353" s="26">
        <v>0</v>
      </c>
      <c r="O353" s="26">
        <v>0</v>
      </c>
      <c r="P353" s="26">
        <v>0</v>
      </c>
      <c r="Q353" s="26">
        <v>0</v>
      </c>
      <c r="R353" s="26">
        <v>0</v>
      </c>
      <c r="S353" s="26">
        <v>0</v>
      </c>
      <c r="T353" s="26">
        <v>0</v>
      </c>
      <c r="U353" s="26">
        <v>0</v>
      </c>
      <c r="V353" s="26">
        <v>0</v>
      </c>
      <c r="W353" s="26">
        <v>0</v>
      </c>
      <c r="X353" s="26">
        <f>-IF(VLOOKUP($B353,Resumo_HSF!$C$13:$AB$1000,16,FALSE)=VLOOKUP($B352,Resumo_HSF!$C$13:$AB$1000,16,FALSE),0,(VLOOKUP($B353,Resumo_HSF!$C$13:$AB$1000,16,FALSE)-VLOOKUP($B352,Resumo_HSF!$C$13:$AB$1000,16,FALSE))*VLOOKUP($B353,Resumo_HSF!$C$13:$AB$1000,15,FALSE))</f>
        <v>0</v>
      </c>
      <c r="Y353" s="26">
        <v>0</v>
      </c>
      <c r="Z353" s="26">
        <v>0</v>
      </c>
      <c r="AA353" s="26">
        <v>0</v>
      </c>
      <c r="AB353" s="26">
        <v>0</v>
      </c>
      <c r="AC353" s="26">
        <v>0</v>
      </c>
      <c r="AD353" s="15">
        <f t="shared" ref="AD353" si="386">SUM(D353:AB353)</f>
        <v>0</v>
      </c>
    </row>
    <row r="354" spans="2:30">
      <c r="B354" s="1">
        <f>WORKDAY(B353,1,Feriados!A156:A996)</f>
        <v>45365</v>
      </c>
      <c r="C354" s="51">
        <f t="shared" ref="C354:C355" si="387">AD354</f>
        <v>0</v>
      </c>
      <c r="D354" s="26">
        <v>0</v>
      </c>
      <c r="E354" s="26">
        <v>0</v>
      </c>
      <c r="F354" s="26">
        <v>0</v>
      </c>
      <c r="G354" s="26">
        <v>0</v>
      </c>
      <c r="H354" s="26">
        <v>0</v>
      </c>
      <c r="I354" s="26">
        <v>0</v>
      </c>
      <c r="J354" s="26">
        <v>0</v>
      </c>
      <c r="K354">
        <f>-VLOOKUP(B354,Resumo_HSF!$C$13:$AH$600,28,FALSE)</f>
        <v>0</v>
      </c>
      <c r="L354" s="26">
        <v>0</v>
      </c>
      <c r="M354" s="26">
        <v>0</v>
      </c>
      <c r="N354" s="26">
        <v>0</v>
      </c>
      <c r="O354" s="26">
        <v>0</v>
      </c>
      <c r="P354" s="26">
        <v>0</v>
      </c>
      <c r="Q354" s="26">
        <v>0</v>
      </c>
      <c r="R354" s="26">
        <v>0</v>
      </c>
      <c r="S354" s="26">
        <v>0</v>
      </c>
      <c r="T354" s="26">
        <v>0</v>
      </c>
      <c r="U354" s="26">
        <v>0</v>
      </c>
      <c r="V354" s="26">
        <v>0</v>
      </c>
      <c r="W354" s="26">
        <v>0</v>
      </c>
      <c r="X354" s="26">
        <f>-IF(VLOOKUP($B354,Resumo_HSF!$C$13:$AB$1000,16,FALSE)=VLOOKUP($B353,Resumo_HSF!$C$13:$AB$1000,16,FALSE),0,(VLOOKUP($B354,Resumo_HSF!$C$13:$AB$1000,16,FALSE)-VLOOKUP($B353,Resumo_HSF!$C$13:$AB$1000,16,FALSE))*VLOOKUP($B354,Resumo_HSF!$C$13:$AB$1000,15,FALSE))</f>
        <v>0</v>
      </c>
      <c r="Y354" s="26">
        <v>0</v>
      </c>
      <c r="Z354" s="26">
        <v>0</v>
      </c>
      <c r="AA354" s="26">
        <v>0</v>
      </c>
      <c r="AB354" s="26">
        <v>0</v>
      </c>
      <c r="AC354" s="26">
        <v>0</v>
      </c>
      <c r="AD354" s="15">
        <f t="shared" ref="AD354:AD355" si="388">SUM(D354:AB354)</f>
        <v>0</v>
      </c>
    </row>
    <row r="355" spans="2:30">
      <c r="B355" s="1">
        <f>WORKDAY(B354,1,Feriados!A157:A997)</f>
        <v>45366</v>
      </c>
      <c r="C355" s="51">
        <f t="shared" si="387"/>
        <v>0</v>
      </c>
      <c r="D355" s="26">
        <v>0</v>
      </c>
      <c r="E355" s="26">
        <v>0</v>
      </c>
      <c r="F355" s="26">
        <v>0</v>
      </c>
      <c r="G355" s="26">
        <v>0</v>
      </c>
      <c r="H355" s="26">
        <v>0</v>
      </c>
      <c r="I355" s="26">
        <v>0</v>
      </c>
      <c r="J355" s="26">
        <v>0</v>
      </c>
      <c r="K355">
        <f>-VLOOKUP(B355,Resumo_HSF!$C$13:$AH$600,28,FALSE)</f>
        <v>0</v>
      </c>
      <c r="L355" s="26">
        <v>0</v>
      </c>
      <c r="M355" s="26">
        <v>0</v>
      </c>
      <c r="N355" s="26">
        <v>0</v>
      </c>
      <c r="O355" s="26">
        <v>0</v>
      </c>
      <c r="P355" s="26">
        <v>0</v>
      </c>
      <c r="Q355" s="26">
        <v>0</v>
      </c>
      <c r="R355" s="26">
        <v>0</v>
      </c>
      <c r="S355" s="26">
        <v>0</v>
      </c>
      <c r="T355" s="26">
        <v>0</v>
      </c>
      <c r="U355" s="26">
        <v>0</v>
      </c>
      <c r="V355" s="26">
        <v>0</v>
      </c>
      <c r="W355" s="26">
        <v>0</v>
      </c>
      <c r="X355" s="26">
        <f>-IF(VLOOKUP($B355,Resumo_HSF!$C$13:$AB$1000,16,FALSE)=VLOOKUP($B354,Resumo_HSF!$C$13:$AB$1000,16,FALSE),0,(VLOOKUP($B355,Resumo_HSF!$C$13:$AB$1000,16,FALSE)-VLOOKUP($B354,Resumo_HSF!$C$13:$AB$1000,16,FALSE))*VLOOKUP($B355,Resumo_HSF!$C$13:$AB$1000,15,FALSE))</f>
        <v>0</v>
      </c>
      <c r="Y355" s="26">
        <v>0</v>
      </c>
      <c r="Z355" s="26">
        <v>0</v>
      </c>
      <c r="AA355" s="26">
        <v>0</v>
      </c>
      <c r="AB355" s="26">
        <v>0</v>
      </c>
      <c r="AC355" s="26">
        <v>0</v>
      </c>
      <c r="AD355" s="15">
        <f t="shared" si="388"/>
        <v>0</v>
      </c>
    </row>
    <row r="356" spans="2:30">
      <c r="B356" s="1">
        <f>WORKDAY(B355,1,Feriados!A158:A998)</f>
        <v>45369</v>
      </c>
      <c r="C356" s="51">
        <f t="shared" ref="C356" si="389">AD356</f>
        <v>0</v>
      </c>
      <c r="D356" s="26">
        <v>0</v>
      </c>
      <c r="E356" s="26">
        <v>0</v>
      </c>
      <c r="F356" s="26">
        <v>0</v>
      </c>
      <c r="G356" s="26">
        <v>0</v>
      </c>
      <c r="H356" s="26">
        <v>0</v>
      </c>
      <c r="I356" s="26">
        <v>0</v>
      </c>
      <c r="J356" s="26">
        <v>0</v>
      </c>
      <c r="K356">
        <f>-VLOOKUP(B356,Resumo_HSF!$C$13:$AH$600,28,FALSE)</f>
        <v>0</v>
      </c>
      <c r="L356" s="26">
        <v>0</v>
      </c>
      <c r="M356" s="26">
        <v>0</v>
      </c>
      <c r="N356" s="26">
        <v>0</v>
      </c>
      <c r="O356" s="26">
        <v>0</v>
      </c>
      <c r="P356" s="26">
        <v>0</v>
      </c>
      <c r="Q356" s="26">
        <v>0</v>
      </c>
      <c r="R356" s="26">
        <v>0</v>
      </c>
      <c r="S356" s="26">
        <v>0</v>
      </c>
      <c r="T356" s="26">
        <v>0</v>
      </c>
      <c r="U356" s="26">
        <v>0</v>
      </c>
      <c r="V356" s="26">
        <v>0</v>
      </c>
      <c r="W356" s="26">
        <v>0</v>
      </c>
      <c r="X356" s="26">
        <f>-IF(VLOOKUP($B356,Resumo_HSF!$C$13:$AB$1000,16,FALSE)=VLOOKUP($B355,Resumo_HSF!$C$13:$AB$1000,16,FALSE),0,(VLOOKUP($B356,Resumo_HSF!$C$13:$AB$1000,16,FALSE)-VLOOKUP($B355,Resumo_HSF!$C$13:$AB$1000,16,FALSE))*VLOOKUP($B356,Resumo_HSF!$C$13:$AB$1000,15,FALSE))</f>
        <v>0</v>
      </c>
      <c r="Y356" s="26">
        <v>0</v>
      </c>
      <c r="Z356" s="26">
        <v>0</v>
      </c>
      <c r="AA356" s="26">
        <v>0</v>
      </c>
      <c r="AB356" s="26">
        <v>0</v>
      </c>
      <c r="AC356" s="26">
        <v>0</v>
      </c>
      <c r="AD356" s="15">
        <f t="shared" ref="AD356" si="390">SUM(D356:AB356)</f>
        <v>0</v>
      </c>
    </row>
    <row r="357" spans="2:30">
      <c r="B357" s="1">
        <f>WORKDAY(B356,1,Feriados!A159:A999)</f>
        <v>45370</v>
      </c>
      <c r="C357" s="51">
        <f t="shared" ref="C357" si="391">AD357</f>
        <v>0</v>
      </c>
      <c r="D357" s="26">
        <v>0</v>
      </c>
      <c r="E357" s="26">
        <v>0</v>
      </c>
      <c r="F357" s="26">
        <v>0</v>
      </c>
      <c r="G357" s="26">
        <v>0</v>
      </c>
      <c r="H357" s="26">
        <v>0</v>
      </c>
      <c r="I357" s="26">
        <v>0</v>
      </c>
      <c r="J357" s="26">
        <v>0</v>
      </c>
      <c r="K357">
        <f>-VLOOKUP(B357,Resumo_HSF!$C$13:$AH$600,28,FALSE)</f>
        <v>0</v>
      </c>
      <c r="L357" s="26">
        <v>0</v>
      </c>
      <c r="M357" s="26">
        <v>0</v>
      </c>
      <c r="N357" s="26">
        <v>0</v>
      </c>
      <c r="O357" s="26">
        <v>0</v>
      </c>
      <c r="P357" s="26">
        <v>0</v>
      </c>
      <c r="Q357" s="26">
        <v>0</v>
      </c>
      <c r="R357" s="26">
        <v>0</v>
      </c>
      <c r="S357" s="26">
        <v>0</v>
      </c>
      <c r="T357" s="26">
        <v>0</v>
      </c>
      <c r="U357" s="26">
        <v>0</v>
      </c>
      <c r="V357" s="26">
        <v>0</v>
      </c>
      <c r="W357" s="26">
        <v>0</v>
      </c>
      <c r="X357" s="26">
        <f>-IF(VLOOKUP($B357,Resumo_HSF!$C$13:$AB$1000,16,FALSE)=VLOOKUP($B356,Resumo_HSF!$C$13:$AB$1000,16,FALSE),0,(VLOOKUP($B357,Resumo_HSF!$C$13:$AB$1000,16,FALSE)-VLOOKUP($B356,Resumo_HSF!$C$13:$AB$1000,16,FALSE))*VLOOKUP($B357,Resumo_HSF!$C$13:$AB$1000,15,FALSE))</f>
        <v>0</v>
      </c>
      <c r="Y357" s="26">
        <v>0</v>
      </c>
      <c r="Z357" s="26">
        <v>0</v>
      </c>
      <c r="AA357" s="26">
        <v>0</v>
      </c>
      <c r="AB357" s="26">
        <v>0</v>
      </c>
      <c r="AC357" s="26">
        <v>0</v>
      </c>
      <c r="AD357" s="15">
        <f t="shared" ref="AD357" si="392">SUM(D357:AB357)</f>
        <v>0</v>
      </c>
    </row>
    <row r="358" spans="2:30">
      <c r="B358" s="1">
        <f>WORKDAY(B357,1,Feriados!A160:A1000)</f>
        <v>45371</v>
      </c>
      <c r="C358" s="51">
        <f t="shared" ref="C358" si="393">AD358</f>
        <v>0</v>
      </c>
      <c r="D358" s="26">
        <v>0</v>
      </c>
      <c r="E358" s="26">
        <v>0</v>
      </c>
      <c r="F358" s="26">
        <v>0</v>
      </c>
      <c r="G358" s="26">
        <v>0</v>
      </c>
      <c r="H358" s="26">
        <v>0</v>
      </c>
      <c r="I358" s="26">
        <v>0</v>
      </c>
      <c r="J358" s="26">
        <v>0</v>
      </c>
      <c r="K358">
        <f>-VLOOKUP(B358,Resumo_HSF!$C$13:$AH$600,28,FALSE)</f>
        <v>0</v>
      </c>
      <c r="L358" s="26">
        <v>0</v>
      </c>
      <c r="M358" s="26">
        <v>0</v>
      </c>
      <c r="N358" s="26">
        <v>0</v>
      </c>
      <c r="O358" s="26">
        <v>0</v>
      </c>
      <c r="P358" s="26">
        <v>0</v>
      </c>
      <c r="Q358" s="26">
        <v>0</v>
      </c>
      <c r="R358" s="26">
        <v>0</v>
      </c>
      <c r="S358" s="26">
        <v>0</v>
      </c>
      <c r="T358" s="26">
        <v>0</v>
      </c>
      <c r="U358" s="26">
        <v>0</v>
      </c>
      <c r="V358" s="26">
        <v>0</v>
      </c>
      <c r="W358" s="26">
        <v>0</v>
      </c>
      <c r="X358" s="26">
        <f>-IF(VLOOKUP($B358,Resumo_HSF!$C$13:$AB$1000,16,FALSE)=VLOOKUP($B357,Resumo_HSF!$C$13:$AB$1000,16,FALSE),0,(VLOOKUP($B358,Resumo_HSF!$C$13:$AB$1000,16,FALSE)-VLOOKUP($B357,Resumo_HSF!$C$13:$AB$1000,16,FALSE))*VLOOKUP($B358,Resumo_HSF!$C$13:$AB$1000,15,FALSE))</f>
        <v>0</v>
      </c>
      <c r="Y358" s="26">
        <v>0</v>
      </c>
      <c r="Z358" s="26">
        <v>0</v>
      </c>
      <c r="AA358" s="26">
        <v>0</v>
      </c>
      <c r="AB358" s="26">
        <v>0</v>
      </c>
      <c r="AC358" s="26">
        <v>0</v>
      </c>
      <c r="AD358" s="15">
        <f t="shared" ref="AD358" si="394">SUM(D358:AB358)</f>
        <v>0</v>
      </c>
    </row>
    <row r="359" spans="2:30">
      <c r="B359" s="1">
        <f>WORKDAY(B358,1,Feriados!A161:A1001)</f>
        <v>45372</v>
      </c>
      <c r="C359" s="51">
        <f t="shared" ref="C359" si="395">AD359</f>
        <v>0</v>
      </c>
      <c r="D359" s="26">
        <v>0</v>
      </c>
      <c r="E359" s="26">
        <v>0</v>
      </c>
      <c r="F359" s="26">
        <v>0</v>
      </c>
      <c r="G359" s="26">
        <v>0</v>
      </c>
      <c r="H359" s="26">
        <v>0</v>
      </c>
      <c r="I359" s="26">
        <v>0</v>
      </c>
      <c r="J359" s="26">
        <v>0</v>
      </c>
      <c r="K359">
        <f>-VLOOKUP(B359,Resumo_HSF!$C$13:$AH$600,28,FALSE)</f>
        <v>0</v>
      </c>
      <c r="L359" s="26">
        <v>0</v>
      </c>
      <c r="M359" s="26">
        <v>0</v>
      </c>
      <c r="N359" s="26">
        <v>0</v>
      </c>
      <c r="O359" s="26">
        <v>0</v>
      </c>
      <c r="P359" s="26">
        <v>0</v>
      </c>
      <c r="Q359" s="26">
        <v>0</v>
      </c>
      <c r="R359" s="26">
        <v>0</v>
      </c>
      <c r="S359" s="26">
        <v>0</v>
      </c>
      <c r="T359" s="26">
        <v>0</v>
      </c>
      <c r="U359" s="26">
        <v>0</v>
      </c>
      <c r="V359" s="26">
        <v>0</v>
      </c>
      <c r="W359" s="26">
        <v>0</v>
      </c>
      <c r="X359" s="26">
        <f>-IF(VLOOKUP($B359,Resumo_HSF!$C$13:$AB$1000,16,FALSE)=VLOOKUP($B358,Resumo_HSF!$C$13:$AB$1000,16,FALSE),0,(VLOOKUP($B359,Resumo_HSF!$C$13:$AB$1000,16,FALSE)-VLOOKUP($B358,Resumo_HSF!$C$13:$AB$1000,16,FALSE))*VLOOKUP($B359,Resumo_HSF!$C$13:$AB$1000,15,FALSE))</f>
        <v>0</v>
      </c>
      <c r="Y359" s="26">
        <v>0</v>
      </c>
      <c r="Z359" s="26">
        <v>0</v>
      </c>
      <c r="AA359" s="26">
        <v>0</v>
      </c>
      <c r="AB359" s="26">
        <v>0</v>
      </c>
      <c r="AC359" s="26">
        <v>0</v>
      </c>
      <c r="AD359" s="15">
        <f t="shared" ref="AD359" si="396">SUM(D359:AB359)</f>
        <v>0</v>
      </c>
    </row>
    <row r="360" spans="2:30">
      <c r="B360" s="1">
        <f>WORKDAY(B359,1,Feriados!A162:A1002)</f>
        <v>45373</v>
      </c>
      <c r="C360" s="51">
        <f t="shared" ref="C360" si="397">AD360</f>
        <v>0</v>
      </c>
      <c r="D360" s="26">
        <v>0</v>
      </c>
      <c r="E360" s="26">
        <v>0</v>
      </c>
      <c r="F360" s="26">
        <v>0</v>
      </c>
      <c r="G360" s="26">
        <v>0</v>
      </c>
      <c r="H360" s="26">
        <v>0</v>
      </c>
      <c r="I360" s="26">
        <v>0</v>
      </c>
      <c r="J360" s="26">
        <v>0</v>
      </c>
      <c r="K360">
        <f>-VLOOKUP(B360,Resumo_HSF!$C$13:$AH$600,28,FALSE)</f>
        <v>0</v>
      </c>
      <c r="L360" s="26">
        <v>0</v>
      </c>
      <c r="M360" s="26">
        <v>0</v>
      </c>
      <c r="N360" s="26">
        <v>0</v>
      </c>
      <c r="O360" s="26">
        <v>0</v>
      </c>
      <c r="P360" s="26">
        <v>0</v>
      </c>
      <c r="Q360" s="26">
        <v>0</v>
      </c>
      <c r="R360" s="26">
        <v>0</v>
      </c>
      <c r="S360" s="26">
        <v>0</v>
      </c>
      <c r="T360" s="26">
        <v>0</v>
      </c>
      <c r="U360" s="26">
        <v>0</v>
      </c>
      <c r="V360" s="26">
        <v>0</v>
      </c>
      <c r="W360" s="26">
        <v>0</v>
      </c>
      <c r="X360" s="26">
        <f>-IF(VLOOKUP($B360,Resumo_HSF!$C$13:$AB$1000,16,FALSE)=VLOOKUP($B359,Resumo_HSF!$C$13:$AB$1000,16,FALSE),0,(VLOOKUP($B360,Resumo_HSF!$C$13:$AB$1000,16,FALSE)-VLOOKUP($B359,Resumo_HSF!$C$13:$AB$1000,16,FALSE))*VLOOKUP($B360,Resumo_HSF!$C$13:$AB$1000,15,FALSE))</f>
        <v>0</v>
      </c>
      <c r="Y360" s="26">
        <v>0</v>
      </c>
      <c r="Z360" s="26">
        <v>0</v>
      </c>
      <c r="AA360" s="26">
        <v>0</v>
      </c>
      <c r="AB360" s="26">
        <v>0</v>
      </c>
      <c r="AC360" s="26">
        <v>0</v>
      </c>
      <c r="AD360" s="15">
        <f t="shared" ref="AD360" si="398">SUM(D360:AB360)</f>
        <v>0</v>
      </c>
    </row>
    <row r="361" spans="2:30">
      <c r="B361" s="1">
        <f>WORKDAY(B360,1,Feriados!A163:A1003)</f>
        <v>45376</v>
      </c>
      <c r="C361" s="51">
        <f t="shared" ref="C361" si="399">AD361</f>
        <v>0</v>
      </c>
      <c r="D361" s="26">
        <v>0</v>
      </c>
      <c r="E361" s="26">
        <v>0</v>
      </c>
      <c r="F361" s="26">
        <v>0</v>
      </c>
      <c r="G361" s="26">
        <v>0</v>
      </c>
      <c r="H361" s="26">
        <v>0</v>
      </c>
      <c r="I361" s="26">
        <v>0</v>
      </c>
      <c r="J361" s="26">
        <v>0</v>
      </c>
      <c r="K361">
        <f>-VLOOKUP(B361,Resumo_HSF!$C$13:$AH$600,28,FALSE)</f>
        <v>0</v>
      </c>
      <c r="L361" s="26">
        <v>0</v>
      </c>
      <c r="M361" s="26">
        <v>0</v>
      </c>
      <c r="N361" s="26">
        <v>0</v>
      </c>
      <c r="O361" s="26">
        <v>0</v>
      </c>
      <c r="P361" s="26">
        <v>0</v>
      </c>
      <c r="Q361" s="26">
        <v>0</v>
      </c>
      <c r="R361" s="26">
        <v>0</v>
      </c>
      <c r="S361" s="26">
        <v>0</v>
      </c>
      <c r="T361" s="26">
        <v>0</v>
      </c>
      <c r="U361" s="26">
        <v>0</v>
      </c>
      <c r="V361" s="26">
        <v>0</v>
      </c>
      <c r="W361" s="26">
        <v>0</v>
      </c>
      <c r="X361" s="26">
        <f>-IF(VLOOKUP($B361,Resumo_HSF!$C$13:$AB$1000,16,FALSE)=VLOOKUP($B360,Resumo_HSF!$C$13:$AB$1000,16,FALSE),0,(VLOOKUP($B361,Resumo_HSF!$C$13:$AB$1000,16,FALSE)-VLOOKUP($B360,Resumo_HSF!$C$13:$AB$1000,16,FALSE))*VLOOKUP($B361,Resumo_HSF!$C$13:$AB$1000,15,FALSE))</f>
        <v>0</v>
      </c>
      <c r="Y361" s="26">
        <v>0</v>
      </c>
      <c r="Z361" s="26">
        <v>0</v>
      </c>
      <c r="AA361" s="26">
        <v>0</v>
      </c>
      <c r="AB361" s="26">
        <v>0</v>
      </c>
      <c r="AC361" s="26">
        <v>0</v>
      </c>
      <c r="AD361" s="15">
        <f t="shared" ref="AD361" si="400">SUM(D361:AB361)</f>
        <v>0</v>
      </c>
    </row>
    <row r="362" spans="2:30">
      <c r="B362" s="1">
        <f>WORKDAY(B361,1,Feriados!A164:A1004)</f>
        <v>45377</v>
      </c>
      <c r="C362" s="51">
        <f t="shared" ref="C362" si="401">AD362</f>
        <v>0</v>
      </c>
      <c r="D362" s="26">
        <v>0</v>
      </c>
      <c r="E362" s="26">
        <v>0</v>
      </c>
      <c r="F362" s="26">
        <v>0</v>
      </c>
      <c r="G362" s="26">
        <v>0</v>
      </c>
      <c r="H362" s="26">
        <v>0</v>
      </c>
      <c r="I362" s="26">
        <v>0</v>
      </c>
      <c r="J362" s="26">
        <v>0</v>
      </c>
      <c r="K362">
        <f>-VLOOKUP(B362,Resumo_HSF!$C$13:$AH$600,28,FALSE)</f>
        <v>0</v>
      </c>
      <c r="L362" s="26">
        <v>0</v>
      </c>
      <c r="M362" s="26">
        <v>0</v>
      </c>
      <c r="N362" s="26">
        <v>0</v>
      </c>
      <c r="O362" s="26">
        <v>0</v>
      </c>
      <c r="P362" s="26">
        <v>0</v>
      </c>
      <c r="Q362" s="26">
        <v>0</v>
      </c>
      <c r="R362" s="26">
        <v>0</v>
      </c>
      <c r="S362" s="26">
        <v>0</v>
      </c>
      <c r="T362" s="26">
        <v>0</v>
      </c>
      <c r="U362" s="26">
        <v>0</v>
      </c>
      <c r="V362" s="26">
        <v>0</v>
      </c>
      <c r="W362" s="26">
        <v>0</v>
      </c>
      <c r="X362" s="26">
        <f>-IF(VLOOKUP($B362,Resumo_HSF!$C$13:$AB$1000,16,FALSE)=VLOOKUP($B361,Resumo_HSF!$C$13:$AB$1000,16,FALSE),0,(VLOOKUP($B362,Resumo_HSF!$C$13:$AB$1000,16,FALSE)-VLOOKUP($B361,Resumo_HSF!$C$13:$AB$1000,16,FALSE))*VLOOKUP($B362,Resumo_HSF!$C$13:$AB$1000,15,FALSE))</f>
        <v>0</v>
      </c>
      <c r="Y362" s="26">
        <v>0</v>
      </c>
      <c r="Z362" s="26">
        <v>0</v>
      </c>
      <c r="AA362" s="26">
        <v>0</v>
      </c>
      <c r="AB362" s="26">
        <v>0</v>
      </c>
      <c r="AC362" s="26">
        <v>0</v>
      </c>
      <c r="AD362" s="15">
        <f t="shared" ref="AD362" si="402">SUM(D362:AB362)</f>
        <v>0</v>
      </c>
    </row>
    <row r="363" spans="2:30">
      <c r="B363" s="1">
        <f>WORKDAY(B362,1,Feriados!A165:A1005)</f>
        <v>45378</v>
      </c>
      <c r="C363" s="51">
        <f t="shared" ref="C363" si="403">AD363</f>
        <v>0</v>
      </c>
      <c r="D363" s="26">
        <v>0</v>
      </c>
      <c r="E363" s="26">
        <v>0</v>
      </c>
      <c r="F363" s="26">
        <v>0</v>
      </c>
      <c r="G363" s="26">
        <v>0</v>
      </c>
      <c r="H363" s="26">
        <v>0</v>
      </c>
      <c r="I363" s="26">
        <v>0</v>
      </c>
      <c r="J363" s="26">
        <v>0</v>
      </c>
      <c r="K363">
        <f>-VLOOKUP(B363,Resumo_HSF!$C$13:$AH$600,28,FALSE)</f>
        <v>0</v>
      </c>
      <c r="L363" s="26">
        <v>0</v>
      </c>
      <c r="M363" s="26">
        <v>0</v>
      </c>
      <c r="N363" s="26">
        <v>0</v>
      </c>
      <c r="O363" s="26">
        <v>0</v>
      </c>
      <c r="P363" s="26">
        <v>0</v>
      </c>
      <c r="Q363" s="26">
        <v>0</v>
      </c>
      <c r="R363" s="26">
        <v>0</v>
      </c>
      <c r="S363" s="26">
        <v>0</v>
      </c>
      <c r="T363" s="26">
        <v>0</v>
      </c>
      <c r="U363" s="26">
        <v>0</v>
      </c>
      <c r="V363" s="26">
        <v>0</v>
      </c>
      <c r="W363" s="26">
        <v>0</v>
      </c>
      <c r="X363" s="26">
        <f>-IF(VLOOKUP($B363,Resumo_HSF!$C$13:$AB$1000,16,FALSE)=VLOOKUP($B362,Resumo_HSF!$C$13:$AB$1000,16,FALSE),0,(VLOOKUP($B363,Resumo_HSF!$C$13:$AB$1000,16,FALSE)-VLOOKUP($B362,Resumo_HSF!$C$13:$AB$1000,16,FALSE))*VLOOKUP($B363,Resumo_HSF!$C$13:$AB$1000,15,FALSE))</f>
        <v>0</v>
      </c>
      <c r="Y363" s="26">
        <v>0</v>
      </c>
      <c r="Z363" s="26">
        <v>0</v>
      </c>
      <c r="AA363" s="26">
        <v>0</v>
      </c>
      <c r="AB363" s="26">
        <v>0</v>
      </c>
      <c r="AC363" s="26">
        <v>0</v>
      </c>
      <c r="AD363" s="15">
        <f t="shared" ref="AD363" si="404">SUM(D363:AB363)</f>
        <v>0</v>
      </c>
    </row>
    <row r="364" spans="2:30">
      <c r="B364" s="1">
        <f>WORKDAY(B363,1,Feriados!A166:A1006)</f>
        <v>45379</v>
      </c>
      <c r="C364" s="51">
        <f t="shared" ref="C364" si="405">AD364</f>
        <v>0</v>
      </c>
      <c r="D364" s="26">
        <v>0</v>
      </c>
      <c r="E364" s="26">
        <v>0</v>
      </c>
      <c r="F364" s="26">
        <v>0</v>
      </c>
      <c r="G364" s="26">
        <v>0</v>
      </c>
      <c r="H364" s="26">
        <v>0</v>
      </c>
      <c r="I364" s="26">
        <v>0</v>
      </c>
      <c r="J364" s="26">
        <v>0</v>
      </c>
      <c r="K364">
        <f>-VLOOKUP(B364,Resumo_HSF!$C$13:$AH$600,28,FALSE)</f>
        <v>0</v>
      </c>
      <c r="L364" s="26">
        <v>0</v>
      </c>
      <c r="M364" s="26">
        <v>0</v>
      </c>
      <c r="N364" s="26">
        <v>0</v>
      </c>
      <c r="O364" s="26">
        <v>0</v>
      </c>
      <c r="P364" s="26">
        <v>0</v>
      </c>
      <c r="Q364" s="26">
        <v>0</v>
      </c>
      <c r="R364" s="26">
        <v>0</v>
      </c>
      <c r="S364" s="26">
        <v>0</v>
      </c>
      <c r="T364" s="26">
        <v>0</v>
      </c>
      <c r="U364" s="26">
        <v>0</v>
      </c>
      <c r="V364" s="26">
        <v>0</v>
      </c>
      <c r="W364" s="26">
        <v>0</v>
      </c>
      <c r="X364" s="26">
        <f>-IF(VLOOKUP($B364,Resumo_HSF!$C$13:$AB$1000,16,FALSE)=VLOOKUP($B363,Resumo_HSF!$C$13:$AB$1000,16,FALSE),0,(VLOOKUP($B364,Resumo_HSF!$C$13:$AB$1000,16,FALSE)-VLOOKUP($B363,Resumo_HSF!$C$13:$AB$1000,16,FALSE))*VLOOKUP($B364,Resumo_HSF!$C$13:$AB$1000,15,FALSE))</f>
        <v>0</v>
      </c>
      <c r="Y364" s="26">
        <v>0</v>
      </c>
      <c r="Z364" s="26">
        <v>0</v>
      </c>
      <c r="AA364" s="26">
        <v>0</v>
      </c>
      <c r="AB364" s="26">
        <v>0</v>
      </c>
      <c r="AC364" s="26">
        <v>0</v>
      </c>
      <c r="AD364" s="15">
        <f t="shared" ref="AD364" si="406">SUM(D364:AB364)</f>
        <v>0</v>
      </c>
    </row>
    <row r="365" spans="2:30">
      <c r="B365" s="1">
        <f>WORKDAY(B364,1,Feriados!A167:A1007)</f>
        <v>45383</v>
      </c>
      <c r="C365" s="51">
        <f t="shared" ref="C365" si="407">AD365</f>
        <v>0</v>
      </c>
      <c r="D365" s="26">
        <v>0</v>
      </c>
      <c r="E365" s="26">
        <v>0</v>
      </c>
      <c r="F365" s="26">
        <v>0</v>
      </c>
      <c r="G365" s="26">
        <v>0</v>
      </c>
      <c r="H365" s="26">
        <v>0</v>
      </c>
      <c r="I365" s="26">
        <v>0</v>
      </c>
      <c r="J365" s="26">
        <v>0</v>
      </c>
      <c r="K365">
        <f>-VLOOKUP(B365,Resumo_HSF!$C$13:$AH$600,28,FALSE)</f>
        <v>0</v>
      </c>
      <c r="L365" s="26">
        <v>0</v>
      </c>
      <c r="M365" s="26">
        <v>0</v>
      </c>
      <c r="N365" s="26">
        <v>0</v>
      </c>
      <c r="O365" s="26">
        <v>0</v>
      </c>
      <c r="P365" s="26">
        <v>0</v>
      </c>
      <c r="Q365" s="26">
        <v>0</v>
      </c>
      <c r="R365" s="26">
        <v>0</v>
      </c>
      <c r="S365" s="26">
        <v>0</v>
      </c>
      <c r="T365" s="26">
        <v>0</v>
      </c>
      <c r="U365" s="26">
        <v>0</v>
      </c>
      <c r="V365" s="26">
        <v>0</v>
      </c>
      <c r="W365" s="26">
        <v>0</v>
      </c>
      <c r="X365" s="26">
        <f>-IF(VLOOKUP($B365,Resumo_HSF!$C$13:$AB$1000,16,FALSE)=VLOOKUP($B364,Resumo_HSF!$C$13:$AB$1000,16,FALSE),0,(VLOOKUP($B365,Resumo_HSF!$C$13:$AB$1000,16,FALSE)-VLOOKUP($B364,Resumo_HSF!$C$13:$AB$1000,16,FALSE))*VLOOKUP($B365,Resumo_HSF!$C$13:$AB$1000,15,FALSE))</f>
        <v>0</v>
      </c>
      <c r="Y365" s="26">
        <v>0</v>
      </c>
      <c r="Z365" s="26">
        <v>0</v>
      </c>
      <c r="AA365" s="26">
        <v>0</v>
      </c>
      <c r="AB365" s="26">
        <v>0</v>
      </c>
      <c r="AC365" s="26">
        <v>0</v>
      </c>
      <c r="AD365" s="15">
        <f t="shared" ref="AD365" si="408">SUM(D365:AB365)</f>
        <v>0</v>
      </c>
    </row>
    <row r="366" spans="2:30">
      <c r="B366" s="1">
        <f>WORKDAY(B365,1,Feriados!A168:A1008)</f>
        <v>45384</v>
      </c>
      <c r="C366" s="51">
        <f t="shared" ref="C366" si="409">AD366</f>
        <v>0</v>
      </c>
      <c r="D366" s="26">
        <v>0</v>
      </c>
      <c r="E366" s="26">
        <v>0</v>
      </c>
      <c r="F366" s="26">
        <v>0</v>
      </c>
      <c r="G366" s="26">
        <v>0</v>
      </c>
      <c r="H366" s="26">
        <v>0</v>
      </c>
      <c r="I366" s="26">
        <v>0</v>
      </c>
      <c r="J366" s="26">
        <v>0</v>
      </c>
      <c r="K366">
        <f>-VLOOKUP(B366,Resumo_HSF!$C$13:$AH$600,28,FALSE)</f>
        <v>0</v>
      </c>
      <c r="L366" s="26">
        <v>0</v>
      </c>
      <c r="M366" s="26">
        <v>0</v>
      </c>
      <c r="N366" s="26">
        <v>0</v>
      </c>
      <c r="O366" s="26">
        <v>0</v>
      </c>
      <c r="P366" s="26">
        <v>0</v>
      </c>
      <c r="Q366" s="26">
        <v>0</v>
      </c>
      <c r="R366" s="26">
        <v>0</v>
      </c>
      <c r="S366" s="26">
        <v>0</v>
      </c>
      <c r="T366" s="26">
        <v>0</v>
      </c>
      <c r="U366" s="26">
        <v>0</v>
      </c>
      <c r="V366" s="26">
        <v>0</v>
      </c>
      <c r="W366" s="26">
        <v>0</v>
      </c>
      <c r="X366" s="26">
        <f>-IF(VLOOKUP($B366,Resumo_HSF!$C$13:$AB$1000,16,FALSE)=VLOOKUP($B365,Resumo_HSF!$C$13:$AB$1000,16,FALSE),0,(VLOOKUP($B366,Resumo_HSF!$C$13:$AB$1000,16,FALSE)-VLOOKUP($B365,Resumo_HSF!$C$13:$AB$1000,16,FALSE))*VLOOKUP($B366,Resumo_HSF!$C$13:$AB$1000,15,FALSE))</f>
        <v>0</v>
      </c>
      <c r="Y366" s="26">
        <v>0</v>
      </c>
      <c r="Z366" s="26">
        <v>0</v>
      </c>
      <c r="AA366" s="26">
        <v>0</v>
      </c>
      <c r="AB366" s="26">
        <v>0</v>
      </c>
      <c r="AC366" s="26">
        <v>0</v>
      </c>
      <c r="AD366" s="15">
        <f t="shared" ref="AD366" si="410">SUM(D366:AB366)</f>
        <v>0</v>
      </c>
    </row>
    <row r="367" spans="2:30">
      <c r="B367" s="1">
        <f>WORKDAY(B366,1,Feriados!A169:A1009)</f>
        <v>45385</v>
      </c>
      <c r="C367" s="51">
        <f t="shared" ref="C367" si="411">AD367</f>
        <v>0</v>
      </c>
      <c r="D367" s="26">
        <v>0</v>
      </c>
      <c r="E367" s="26">
        <v>0</v>
      </c>
      <c r="F367" s="26">
        <v>0</v>
      </c>
      <c r="G367" s="26">
        <v>0</v>
      </c>
      <c r="H367" s="26">
        <v>0</v>
      </c>
      <c r="I367" s="26">
        <v>0</v>
      </c>
      <c r="J367" s="26">
        <v>0</v>
      </c>
      <c r="K367">
        <f>-VLOOKUP(B367,Resumo_HSF!$C$13:$AH$600,28,FALSE)</f>
        <v>0</v>
      </c>
      <c r="L367" s="26">
        <v>0</v>
      </c>
      <c r="M367" s="26">
        <v>0</v>
      </c>
      <c r="N367" s="26">
        <v>0</v>
      </c>
      <c r="O367" s="26">
        <v>0</v>
      </c>
      <c r="P367" s="26">
        <v>0</v>
      </c>
      <c r="Q367" s="26">
        <v>0</v>
      </c>
      <c r="R367" s="26">
        <v>0</v>
      </c>
      <c r="S367" s="26">
        <v>0</v>
      </c>
      <c r="T367" s="26">
        <v>0</v>
      </c>
      <c r="U367" s="26">
        <v>0</v>
      </c>
      <c r="V367" s="26">
        <v>0</v>
      </c>
      <c r="W367" s="26">
        <v>0</v>
      </c>
      <c r="X367" s="26">
        <f>-IF(VLOOKUP($B367,Resumo_HSF!$C$13:$AB$1000,16,FALSE)=VLOOKUP($B366,Resumo_HSF!$C$13:$AB$1000,16,FALSE),0,(VLOOKUP($B367,Resumo_HSF!$C$13:$AB$1000,16,FALSE)-VLOOKUP($B366,Resumo_HSF!$C$13:$AB$1000,16,FALSE))*VLOOKUP($B367,Resumo_HSF!$C$13:$AB$1000,15,FALSE))</f>
        <v>0</v>
      </c>
      <c r="Y367" s="26">
        <v>0</v>
      </c>
      <c r="Z367" s="26">
        <v>0</v>
      </c>
      <c r="AA367" s="26">
        <v>0</v>
      </c>
      <c r="AB367" s="26">
        <v>0</v>
      </c>
      <c r="AC367" s="26">
        <v>0</v>
      </c>
      <c r="AD367" s="15">
        <f t="shared" ref="AD367" si="412">SUM(D367:AB367)</f>
        <v>0</v>
      </c>
    </row>
    <row r="368" spans="2:30">
      <c r="B368" s="1">
        <f>WORKDAY(B367,1,Feriados!A170:A1010)</f>
        <v>45386</v>
      </c>
      <c r="C368" s="51">
        <f t="shared" ref="C368" si="413">AD368</f>
        <v>0</v>
      </c>
      <c r="D368" s="26">
        <v>0</v>
      </c>
      <c r="E368" s="26">
        <v>0</v>
      </c>
      <c r="F368" s="26">
        <v>0</v>
      </c>
      <c r="G368" s="26">
        <v>0</v>
      </c>
      <c r="H368" s="26">
        <v>0</v>
      </c>
      <c r="I368" s="26">
        <v>0</v>
      </c>
      <c r="J368" s="26">
        <v>0</v>
      </c>
      <c r="K368">
        <f>-VLOOKUP(B368,Resumo_HSF!$C$13:$AH$600,28,FALSE)</f>
        <v>0</v>
      </c>
      <c r="L368" s="26">
        <v>0</v>
      </c>
      <c r="M368" s="26">
        <v>0</v>
      </c>
      <c r="N368" s="26">
        <v>0</v>
      </c>
      <c r="O368" s="26">
        <v>0</v>
      </c>
      <c r="P368" s="26">
        <v>0</v>
      </c>
      <c r="Q368" s="26">
        <v>0</v>
      </c>
      <c r="R368" s="26">
        <v>0</v>
      </c>
      <c r="S368" s="26">
        <v>0</v>
      </c>
      <c r="T368" s="26">
        <v>0</v>
      </c>
      <c r="U368" s="26">
        <v>0</v>
      </c>
      <c r="V368" s="26">
        <v>0</v>
      </c>
      <c r="W368" s="26">
        <v>0</v>
      </c>
      <c r="X368" s="26">
        <f>-IF(VLOOKUP($B368,Resumo_HSF!$C$13:$AB$1000,16,FALSE)=VLOOKUP($B367,Resumo_HSF!$C$13:$AB$1000,16,FALSE),0,(VLOOKUP($B368,Resumo_HSF!$C$13:$AB$1000,16,FALSE)-VLOOKUP($B367,Resumo_HSF!$C$13:$AB$1000,16,FALSE))*VLOOKUP($B368,Resumo_HSF!$C$13:$AB$1000,15,FALSE))</f>
        <v>0</v>
      </c>
      <c r="Y368" s="26">
        <v>0</v>
      </c>
      <c r="Z368" s="26">
        <v>0</v>
      </c>
      <c r="AA368" s="26">
        <v>0</v>
      </c>
      <c r="AB368" s="26">
        <v>0</v>
      </c>
      <c r="AC368" s="26">
        <v>0</v>
      </c>
      <c r="AD368" s="15">
        <f t="shared" ref="AD368" si="414">SUM(D368:AB368)</f>
        <v>0</v>
      </c>
    </row>
    <row r="369" spans="2:30">
      <c r="B369" s="1">
        <f>WORKDAY(B368,1,Feriados!A171:A1011)</f>
        <v>45387</v>
      </c>
      <c r="C369" s="51">
        <f t="shared" ref="C369:C370" si="415">AD369</f>
        <v>-7.73070496506989E-12</v>
      </c>
      <c r="D369" s="26">
        <v>-11256.61</v>
      </c>
      <c r="E369" s="26">
        <v>0</v>
      </c>
      <c r="F369" s="26">
        <v>0</v>
      </c>
      <c r="G369" s="26">
        <v>0</v>
      </c>
      <c r="H369" s="26">
        <v>0</v>
      </c>
      <c r="I369" s="26">
        <v>0</v>
      </c>
      <c r="J369" s="26">
        <v>0</v>
      </c>
      <c r="K369">
        <f>-VLOOKUP(B369,Resumo_HSF!$C$13:$AH$600,28,FALSE)</f>
        <v>0</v>
      </c>
      <c r="L369" s="26">
        <v>0</v>
      </c>
      <c r="M369" s="26">
        <v>0</v>
      </c>
      <c r="N369" s="26">
        <v>0</v>
      </c>
      <c r="O369" s="26">
        <v>0</v>
      </c>
      <c r="P369" s="26">
        <v>0</v>
      </c>
      <c r="Q369" s="26">
        <v>0</v>
      </c>
      <c r="R369" s="26">
        <v>0</v>
      </c>
      <c r="S369" s="26">
        <v>0</v>
      </c>
      <c r="T369" s="26">
        <v>0</v>
      </c>
      <c r="U369" s="26">
        <v>12000</v>
      </c>
      <c r="V369" s="26">
        <v>0</v>
      </c>
      <c r="W369" s="26">
        <v>0</v>
      </c>
      <c r="X369" s="26">
        <f>-IF(VLOOKUP($B369,Resumo_HSF!$C$13:$AB$1000,16,FALSE)=VLOOKUP($B368,Resumo_HSF!$C$13:$AB$1000,16,FALSE),0,(VLOOKUP($B369,Resumo_HSF!$C$13:$AB$1000,16,FALSE)-VLOOKUP($B368,Resumo_HSF!$C$13:$AB$1000,16,FALSE))*VLOOKUP($B369,Resumo_HSF!$C$13:$AB$1000,15,FALSE))</f>
        <v>-743.39000000000715</v>
      </c>
      <c r="Y369" s="26">
        <v>0</v>
      </c>
      <c r="Z369" s="26">
        <v>0</v>
      </c>
      <c r="AA369" s="26">
        <v>0</v>
      </c>
      <c r="AB369" s="26">
        <v>0</v>
      </c>
      <c r="AC369" s="26">
        <v>0</v>
      </c>
      <c r="AD369" s="15">
        <f t="shared" ref="AD369:AD370" si="416">SUM(D369:AB369)</f>
        <v>-7.73070496506989E-12</v>
      </c>
    </row>
    <row r="370" spans="2:30">
      <c r="B370" s="1">
        <f>WORKDAY(B369,1,Feriados!A172:A1012)</f>
        <v>45390</v>
      </c>
      <c r="C370" s="51">
        <f t="shared" si="415"/>
        <v>0</v>
      </c>
      <c r="D370" s="26">
        <v>0</v>
      </c>
      <c r="E370" s="26">
        <v>0</v>
      </c>
      <c r="F370" s="26">
        <v>0</v>
      </c>
      <c r="G370" s="26">
        <v>0</v>
      </c>
      <c r="H370" s="26">
        <v>0</v>
      </c>
      <c r="I370" s="26">
        <v>0</v>
      </c>
      <c r="J370" s="26">
        <v>0</v>
      </c>
      <c r="K370">
        <f>-VLOOKUP(B370,Resumo_HSF!$C$13:$AH$600,28,FALSE)</f>
        <v>0</v>
      </c>
      <c r="L370" s="26">
        <v>0</v>
      </c>
      <c r="M370" s="26">
        <v>0</v>
      </c>
      <c r="N370" s="26">
        <v>0</v>
      </c>
      <c r="O370" s="26">
        <v>0</v>
      </c>
      <c r="P370" s="26">
        <v>0</v>
      </c>
      <c r="Q370" s="26">
        <v>0</v>
      </c>
      <c r="R370" s="26">
        <v>0</v>
      </c>
      <c r="S370" s="26">
        <v>0</v>
      </c>
      <c r="T370" s="26">
        <v>0</v>
      </c>
      <c r="U370" s="26">
        <v>0</v>
      </c>
      <c r="V370" s="26">
        <v>0</v>
      </c>
      <c r="W370" s="26">
        <v>0</v>
      </c>
      <c r="X370" s="26">
        <f>-IF(VLOOKUP($B370,Resumo_HSF!$C$13:$AB$1000,16,FALSE)=VLOOKUP($B369,Resumo_HSF!$C$13:$AB$1000,16,FALSE),0,(VLOOKUP($B370,Resumo_HSF!$C$13:$AB$1000,16,FALSE)-VLOOKUP($B369,Resumo_HSF!$C$13:$AB$1000,16,FALSE))*VLOOKUP($B370,Resumo_HSF!$C$13:$AB$1000,15,FALSE))</f>
        <v>0</v>
      </c>
      <c r="Y370" s="26">
        <v>0</v>
      </c>
      <c r="Z370" s="26">
        <v>0</v>
      </c>
      <c r="AA370" s="26">
        <v>0</v>
      </c>
      <c r="AB370" s="26">
        <v>0</v>
      </c>
      <c r="AC370" s="26">
        <v>0</v>
      </c>
      <c r="AD370" s="15">
        <f t="shared" si="416"/>
        <v>0</v>
      </c>
    </row>
    <row r="371" spans="2:30">
      <c r="B371" s="1">
        <f>WORKDAY(B370,1,Feriados!A173:A1013)</f>
        <v>45391</v>
      </c>
      <c r="C371" s="51">
        <f t="shared" ref="C371" si="417">AD371</f>
        <v>0</v>
      </c>
      <c r="D371" s="26">
        <v>0</v>
      </c>
      <c r="E371" s="26">
        <v>0</v>
      </c>
      <c r="F371" s="26">
        <v>0</v>
      </c>
      <c r="G371" s="26">
        <v>0</v>
      </c>
      <c r="H371" s="26">
        <v>0</v>
      </c>
      <c r="I371" s="26">
        <v>0</v>
      </c>
      <c r="J371" s="26">
        <v>0</v>
      </c>
      <c r="K371">
        <f>-VLOOKUP(B371,Resumo_HSF!$C$13:$AH$600,28,FALSE)</f>
        <v>0</v>
      </c>
      <c r="L371" s="26">
        <v>0</v>
      </c>
      <c r="M371" s="26">
        <v>0</v>
      </c>
      <c r="N371" s="26">
        <v>0</v>
      </c>
      <c r="O371" s="26">
        <v>0</v>
      </c>
      <c r="P371" s="26">
        <v>0</v>
      </c>
      <c r="Q371" s="26">
        <v>0</v>
      </c>
      <c r="R371" s="26">
        <v>0</v>
      </c>
      <c r="S371" s="26">
        <v>0</v>
      </c>
      <c r="T371" s="26">
        <v>0</v>
      </c>
      <c r="U371" s="26">
        <v>0</v>
      </c>
      <c r="V371" s="26">
        <v>0</v>
      </c>
      <c r="W371" s="26">
        <v>0</v>
      </c>
      <c r="X371" s="26">
        <f>-IF(VLOOKUP($B371,Resumo_HSF!$C$13:$AB$1000,16,FALSE)=VLOOKUP($B370,Resumo_HSF!$C$13:$AB$1000,16,FALSE),0,(VLOOKUP($B371,Resumo_HSF!$C$13:$AB$1000,16,FALSE)-VLOOKUP($B370,Resumo_HSF!$C$13:$AB$1000,16,FALSE))*VLOOKUP($B371,Resumo_HSF!$C$13:$AB$1000,15,FALSE))</f>
        <v>0</v>
      </c>
      <c r="Y371" s="26">
        <v>0</v>
      </c>
      <c r="Z371" s="26">
        <v>0</v>
      </c>
      <c r="AA371" s="26">
        <v>0</v>
      </c>
      <c r="AB371" s="26">
        <v>0</v>
      </c>
      <c r="AC371" s="26">
        <v>0</v>
      </c>
      <c r="AD371" s="15">
        <f t="shared" ref="AD371" si="418">SUM(D371:AB371)</f>
        <v>0</v>
      </c>
    </row>
    <row r="372" spans="2:30">
      <c r="B372" s="1">
        <f>WORKDAY(B371,1,Feriados!A174:A1014)</f>
        <v>45392</v>
      </c>
      <c r="C372" s="51">
        <f t="shared" ref="C372:C373" si="419">AD372</f>
        <v>0</v>
      </c>
      <c r="D372" s="26">
        <v>0</v>
      </c>
      <c r="E372" s="26">
        <v>0</v>
      </c>
      <c r="F372" s="26">
        <v>0</v>
      </c>
      <c r="G372" s="26">
        <v>0</v>
      </c>
      <c r="H372" s="26">
        <v>0</v>
      </c>
      <c r="I372" s="26">
        <v>0</v>
      </c>
      <c r="J372" s="26">
        <v>0</v>
      </c>
      <c r="K372">
        <f>-VLOOKUP(B372,Resumo_HSF!$C$13:$AH$600,28,FALSE)</f>
        <v>0</v>
      </c>
      <c r="L372" s="26">
        <v>0</v>
      </c>
      <c r="M372" s="26">
        <v>0</v>
      </c>
      <c r="N372" s="26">
        <v>0</v>
      </c>
      <c r="O372" s="26">
        <v>0</v>
      </c>
      <c r="P372" s="26">
        <v>0</v>
      </c>
      <c r="Q372" s="26">
        <v>0</v>
      </c>
      <c r="R372" s="26">
        <v>0</v>
      </c>
      <c r="S372" s="26">
        <v>0</v>
      </c>
      <c r="T372" s="26">
        <v>0</v>
      </c>
      <c r="U372" s="26">
        <v>0</v>
      </c>
      <c r="V372" s="26">
        <v>0</v>
      </c>
      <c r="W372" s="26">
        <v>0</v>
      </c>
      <c r="X372" s="26">
        <f>-IF(VLOOKUP($B372,Resumo_HSF!$C$13:$AB$1000,16,FALSE)=VLOOKUP($B371,Resumo_HSF!$C$13:$AB$1000,16,FALSE),0,(VLOOKUP($B372,Resumo_HSF!$C$13:$AB$1000,16,FALSE)-VLOOKUP($B371,Resumo_HSF!$C$13:$AB$1000,16,FALSE))*VLOOKUP($B372,Resumo_HSF!$C$13:$AB$1000,15,FALSE))</f>
        <v>0</v>
      </c>
      <c r="Y372" s="26">
        <v>0</v>
      </c>
      <c r="Z372" s="26">
        <v>0</v>
      </c>
      <c r="AA372" s="26">
        <v>0</v>
      </c>
      <c r="AB372" s="26">
        <v>0</v>
      </c>
      <c r="AC372" s="26">
        <v>0</v>
      </c>
      <c r="AD372" s="15">
        <f t="shared" ref="AD372:AD373" si="420">SUM(D372:AB372)</f>
        <v>0</v>
      </c>
    </row>
    <row r="373" spans="2:30">
      <c r="B373" s="1">
        <f>WORKDAY(B372,1,Feriados!A175:A1015)</f>
        <v>45393</v>
      </c>
      <c r="C373" s="51">
        <f t="shared" si="419"/>
        <v>0</v>
      </c>
      <c r="D373" s="26">
        <v>0</v>
      </c>
      <c r="E373" s="26">
        <v>0</v>
      </c>
      <c r="F373" s="26">
        <v>0</v>
      </c>
      <c r="G373" s="26">
        <v>0</v>
      </c>
      <c r="H373" s="26">
        <v>0</v>
      </c>
      <c r="I373" s="26">
        <v>0</v>
      </c>
      <c r="J373" s="26">
        <v>0</v>
      </c>
      <c r="K373">
        <f>-VLOOKUP(B373,Resumo_HSF!$C$13:$AH$600,28,FALSE)</f>
        <v>0</v>
      </c>
      <c r="L373" s="26">
        <v>0</v>
      </c>
      <c r="M373" s="26">
        <v>0</v>
      </c>
      <c r="N373" s="26">
        <v>0</v>
      </c>
      <c r="O373" s="26">
        <v>0</v>
      </c>
      <c r="P373" s="26">
        <v>0</v>
      </c>
      <c r="Q373" s="26">
        <v>0</v>
      </c>
      <c r="R373" s="26">
        <v>0</v>
      </c>
      <c r="S373" s="26">
        <v>0</v>
      </c>
      <c r="T373" s="26">
        <v>0</v>
      </c>
      <c r="U373" s="26">
        <v>0</v>
      </c>
      <c r="V373" s="26">
        <v>0</v>
      </c>
      <c r="W373" s="26">
        <v>0</v>
      </c>
      <c r="X373" s="26">
        <f>-IF(VLOOKUP($B373,Resumo_HSF!$C$13:$AB$1000,16,FALSE)=VLOOKUP($B372,Resumo_HSF!$C$13:$AB$1000,16,FALSE),0,(VLOOKUP($B373,Resumo_HSF!$C$13:$AB$1000,16,FALSE)-VLOOKUP($B372,Resumo_HSF!$C$13:$AB$1000,16,FALSE))*VLOOKUP($B373,Resumo_HSF!$C$13:$AB$1000,15,FALSE))</f>
        <v>0</v>
      </c>
      <c r="Y373" s="26">
        <v>0</v>
      </c>
      <c r="Z373" s="26">
        <v>0</v>
      </c>
      <c r="AA373" s="26">
        <v>0</v>
      </c>
      <c r="AB373" s="26">
        <v>0</v>
      </c>
      <c r="AC373" s="26">
        <v>0</v>
      </c>
      <c r="AD373" s="15">
        <f t="shared" si="420"/>
        <v>0</v>
      </c>
    </row>
    <row r="374" spans="2:30">
      <c r="B374" s="1">
        <f>WORKDAY(B373,1,Feriados!A176:A1016)</f>
        <v>45394</v>
      </c>
      <c r="C374" s="51">
        <f t="shared" ref="C374:C375" si="421">AD374</f>
        <v>0</v>
      </c>
      <c r="D374" s="26">
        <v>0</v>
      </c>
      <c r="E374" s="26">
        <v>0</v>
      </c>
      <c r="F374" s="26">
        <v>0</v>
      </c>
      <c r="G374" s="26">
        <v>0</v>
      </c>
      <c r="H374" s="26">
        <v>0</v>
      </c>
      <c r="I374" s="26">
        <v>0</v>
      </c>
      <c r="J374" s="26">
        <v>0</v>
      </c>
      <c r="K374">
        <f>-VLOOKUP(B374,Resumo_HSF!$C$13:$AH$600,28,FALSE)</f>
        <v>0</v>
      </c>
      <c r="L374" s="26">
        <v>0</v>
      </c>
      <c r="M374" s="26">
        <v>0</v>
      </c>
      <c r="N374" s="26">
        <v>0</v>
      </c>
      <c r="O374" s="26">
        <v>0</v>
      </c>
      <c r="P374" s="26">
        <v>0</v>
      </c>
      <c r="Q374" s="26">
        <v>0</v>
      </c>
      <c r="R374" s="26">
        <v>0</v>
      </c>
      <c r="S374" s="26">
        <v>0</v>
      </c>
      <c r="T374" s="26">
        <v>0</v>
      </c>
      <c r="U374" s="26">
        <v>0</v>
      </c>
      <c r="V374" s="26">
        <v>0</v>
      </c>
      <c r="W374" s="26">
        <v>0</v>
      </c>
      <c r="X374" s="26">
        <f>-IF(VLOOKUP($B374,Resumo_HSF!$C$13:$AB$1000,16,FALSE)=VLOOKUP($B373,Resumo_HSF!$C$13:$AB$1000,16,FALSE),0,(VLOOKUP($B374,Resumo_HSF!$C$13:$AB$1000,16,FALSE)-VLOOKUP($B373,Resumo_HSF!$C$13:$AB$1000,16,FALSE))*VLOOKUP($B374,Resumo_HSF!$C$13:$AB$1000,15,FALSE))</f>
        <v>0</v>
      </c>
      <c r="Y374" s="26">
        <v>0</v>
      </c>
      <c r="Z374" s="26">
        <v>0</v>
      </c>
      <c r="AA374" s="26">
        <v>0</v>
      </c>
      <c r="AB374" s="26">
        <v>0</v>
      </c>
      <c r="AC374" s="26">
        <v>0</v>
      </c>
      <c r="AD374" s="15">
        <f t="shared" ref="AD374:AD375" si="422">SUM(D374:AB374)</f>
        <v>0</v>
      </c>
    </row>
    <row r="375" spans="2:30">
      <c r="B375" s="1">
        <f>WORKDAY(B374,1,Feriados!A177:A1017)</f>
        <v>45397</v>
      </c>
      <c r="C375" s="51">
        <f t="shared" si="421"/>
        <v>0</v>
      </c>
      <c r="D375" s="26">
        <v>0</v>
      </c>
      <c r="E375" s="26">
        <v>0</v>
      </c>
      <c r="F375" s="26">
        <v>0</v>
      </c>
      <c r="G375" s="26">
        <v>0</v>
      </c>
      <c r="H375" s="26">
        <v>0</v>
      </c>
      <c r="I375" s="26">
        <v>0</v>
      </c>
      <c r="J375" s="26">
        <v>0</v>
      </c>
      <c r="K375">
        <f>-VLOOKUP(B375,Resumo_HSF!$C$13:$AH$600,28,FALSE)</f>
        <v>0</v>
      </c>
      <c r="L375" s="26">
        <v>0</v>
      </c>
      <c r="M375" s="26">
        <v>0</v>
      </c>
      <c r="N375" s="26">
        <v>0</v>
      </c>
      <c r="O375" s="26">
        <v>0</v>
      </c>
      <c r="P375" s="26">
        <v>0</v>
      </c>
      <c r="Q375" s="26">
        <v>0</v>
      </c>
      <c r="R375" s="26">
        <v>0</v>
      </c>
      <c r="S375" s="26">
        <v>0</v>
      </c>
      <c r="T375" s="26">
        <v>0</v>
      </c>
      <c r="U375" s="26">
        <v>0</v>
      </c>
      <c r="V375" s="26">
        <v>0</v>
      </c>
      <c r="W375" s="26">
        <v>0</v>
      </c>
      <c r="X375" s="26">
        <f>-IF(VLOOKUP($B375,Resumo_HSF!$C$13:$AB$1000,16,FALSE)=VLOOKUP($B374,Resumo_HSF!$C$13:$AB$1000,16,FALSE),0,(VLOOKUP($B375,Resumo_HSF!$C$13:$AB$1000,16,FALSE)-VLOOKUP($B374,Resumo_HSF!$C$13:$AB$1000,16,FALSE))*VLOOKUP($B375,Resumo_HSF!$C$13:$AB$1000,15,FALSE))</f>
        <v>0</v>
      </c>
      <c r="Y375" s="26">
        <v>0</v>
      </c>
      <c r="Z375" s="26">
        <v>0</v>
      </c>
      <c r="AA375" s="26">
        <v>0</v>
      </c>
      <c r="AB375" s="26">
        <v>0</v>
      </c>
      <c r="AC375" s="26">
        <v>0</v>
      </c>
      <c r="AD375" s="15">
        <f t="shared" si="422"/>
        <v>0</v>
      </c>
    </row>
    <row r="376" spans="2:30">
      <c r="B376" s="1">
        <f>WORKDAY(B375,1,Feriados!A178:A1018)</f>
        <v>45398</v>
      </c>
      <c r="C376" s="51">
        <f t="shared" ref="C376:C377" si="423">AD376</f>
        <v>0</v>
      </c>
      <c r="D376" s="26">
        <v>0</v>
      </c>
      <c r="E376" s="26">
        <v>0</v>
      </c>
      <c r="F376" s="26">
        <v>0</v>
      </c>
      <c r="G376" s="26">
        <v>0</v>
      </c>
      <c r="H376" s="26">
        <v>0</v>
      </c>
      <c r="I376" s="26">
        <v>0</v>
      </c>
      <c r="J376" s="26">
        <v>0</v>
      </c>
      <c r="K376">
        <f>-VLOOKUP(B376,Resumo_HSF!$C$13:$AH$600,28,FALSE)</f>
        <v>0</v>
      </c>
      <c r="L376" s="26">
        <v>0</v>
      </c>
      <c r="M376" s="26">
        <v>0</v>
      </c>
      <c r="N376" s="26">
        <v>0</v>
      </c>
      <c r="O376" s="26">
        <v>0</v>
      </c>
      <c r="P376" s="26">
        <v>0</v>
      </c>
      <c r="Q376" s="26">
        <v>0</v>
      </c>
      <c r="R376" s="26">
        <v>0</v>
      </c>
      <c r="S376" s="26">
        <v>0</v>
      </c>
      <c r="T376" s="26">
        <v>0</v>
      </c>
      <c r="U376" s="26">
        <v>0</v>
      </c>
      <c r="V376" s="26">
        <v>0</v>
      </c>
      <c r="W376" s="26">
        <v>0</v>
      </c>
      <c r="X376" s="26">
        <f>-IF(VLOOKUP($B376,Resumo_HSF!$C$13:$AB$1000,16,FALSE)=VLOOKUP($B375,Resumo_HSF!$C$13:$AB$1000,16,FALSE),0,(VLOOKUP($B376,Resumo_HSF!$C$13:$AB$1000,16,FALSE)-VLOOKUP($B375,Resumo_HSF!$C$13:$AB$1000,16,FALSE))*VLOOKUP($B376,Resumo_HSF!$C$13:$AB$1000,15,FALSE))</f>
        <v>0</v>
      </c>
      <c r="Y376" s="26">
        <v>0</v>
      </c>
      <c r="Z376" s="26">
        <v>0</v>
      </c>
      <c r="AA376" s="26">
        <v>0</v>
      </c>
      <c r="AB376" s="26">
        <v>0</v>
      </c>
      <c r="AC376" s="26">
        <v>0</v>
      </c>
      <c r="AD376" s="15">
        <f t="shared" ref="AD376:AD377" si="424">SUM(D376:AB376)</f>
        <v>0</v>
      </c>
    </row>
    <row r="377" spans="2:30">
      <c r="B377" s="1">
        <f>WORKDAY(B376,1,Feriados!A179:A1019)</f>
        <v>45399</v>
      </c>
      <c r="C377" s="51">
        <f t="shared" si="423"/>
        <v>0</v>
      </c>
      <c r="D377" s="26">
        <v>0</v>
      </c>
      <c r="E377" s="26">
        <v>0</v>
      </c>
      <c r="F377" s="26">
        <v>0</v>
      </c>
      <c r="G377" s="26">
        <v>0</v>
      </c>
      <c r="H377" s="26">
        <v>0</v>
      </c>
      <c r="I377" s="26">
        <v>0</v>
      </c>
      <c r="J377" s="26">
        <v>0</v>
      </c>
      <c r="K377">
        <f>-VLOOKUP(B377,Resumo_HSF!$C$13:$AH$600,28,FALSE)</f>
        <v>0</v>
      </c>
      <c r="L377" s="26">
        <v>0</v>
      </c>
      <c r="M377" s="26">
        <v>0</v>
      </c>
      <c r="N377" s="26">
        <v>0</v>
      </c>
      <c r="O377" s="26">
        <v>0</v>
      </c>
      <c r="P377" s="26">
        <v>0</v>
      </c>
      <c r="Q377" s="26">
        <v>0</v>
      </c>
      <c r="R377" s="26">
        <v>0</v>
      </c>
      <c r="S377" s="26">
        <v>0</v>
      </c>
      <c r="T377" s="26">
        <v>0</v>
      </c>
      <c r="U377" s="26">
        <v>0</v>
      </c>
      <c r="V377" s="26">
        <v>0</v>
      </c>
      <c r="W377" s="26">
        <v>0</v>
      </c>
      <c r="X377" s="26">
        <f>-IF(VLOOKUP($B377,Resumo_HSF!$C$13:$AB$1000,16,FALSE)=VLOOKUP($B376,Resumo_HSF!$C$13:$AB$1000,16,FALSE),0,(VLOOKUP($B377,Resumo_HSF!$C$13:$AB$1000,16,FALSE)-VLOOKUP($B376,Resumo_HSF!$C$13:$AB$1000,16,FALSE))*VLOOKUP($B377,Resumo_HSF!$C$13:$AB$1000,15,FALSE))</f>
        <v>0</v>
      </c>
      <c r="Y377" s="26">
        <v>0</v>
      </c>
      <c r="Z377" s="26">
        <v>0</v>
      </c>
      <c r="AA377" s="26">
        <v>0</v>
      </c>
      <c r="AB377" s="26">
        <v>0</v>
      </c>
      <c r="AC377" s="26">
        <v>0</v>
      </c>
      <c r="AD377" s="15">
        <f t="shared" si="424"/>
        <v>0</v>
      </c>
    </row>
    <row r="378" spans="2:30">
      <c r="B378" s="1">
        <f>WORKDAY(B377,1,Feriados!A180:A1020)</f>
        <v>45400</v>
      </c>
      <c r="C378" s="51">
        <f t="shared" ref="C378" si="425">AD378</f>
        <v>0</v>
      </c>
      <c r="D378" s="26">
        <v>0</v>
      </c>
      <c r="E378" s="26">
        <v>0</v>
      </c>
      <c r="F378" s="26">
        <v>0</v>
      </c>
      <c r="G378" s="26">
        <v>0</v>
      </c>
      <c r="H378" s="26">
        <v>0</v>
      </c>
      <c r="I378" s="26">
        <v>0</v>
      </c>
      <c r="J378" s="26">
        <v>0</v>
      </c>
      <c r="K378">
        <f>-VLOOKUP(B378,Resumo_HSF!$C$13:$AH$600,28,FALSE)</f>
        <v>0</v>
      </c>
      <c r="L378" s="26">
        <v>0</v>
      </c>
      <c r="M378" s="26">
        <v>0</v>
      </c>
      <c r="N378" s="26">
        <v>0</v>
      </c>
      <c r="O378" s="26">
        <v>0</v>
      </c>
      <c r="P378" s="26">
        <v>0</v>
      </c>
      <c r="Q378" s="26">
        <v>0</v>
      </c>
      <c r="R378" s="26">
        <v>0</v>
      </c>
      <c r="S378" s="26">
        <v>0</v>
      </c>
      <c r="T378" s="26">
        <v>0</v>
      </c>
      <c r="U378" s="26">
        <v>0</v>
      </c>
      <c r="V378" s="26">
        <v>0</v>
      </c>
      <c r="W378" s="26">
        <v>0</v>
      </c>
      <c r="X378" s="26">
        <f>-IF(VLOOKUP($B378,Resumo_HSF!$C$13:$AB$1000,16,FALSE)=VLOOKUP($B377,Resumo_HSF!$C$13:$AB$1000,16,FALSE),0,(VLOOKUP($B378,Resumo_HSF!$C$13:$AB$1000,16,FALSE)-VLOOKUP($B377,Resumo_HSF!$C$13:$AB$1000,16,FALSE))*VLOOKUP($B378,Resumo_HSF!$C$13:$AB$1000,15,FALSE))</f>
        <v>0</v>
      </c>
      <c r="Y378" s="26">
        <v>0</v>
      </c>
      <c r="Z378" s="26">
        <v>0</v>
      </c>
      <c r="AA378" s="26">
        <v>0</v>
      </c>
      <c r="AB378" s="26">
        <v>0</v>
      </c>
      <c r="AC378" s="26">
        <v>0</v>
      </c>
      <c r="AD378" s="15">
        <f t="shared" ref="AD378" si="426">SUM(D378:AB378)</f>
        <v>0</v>
      </c>
    </row>
    <row r="379" spans="2:30">
      <c r="B379" s="1">
        <f>WORKDAY(B378,1,Feriados!A181:A1021)</f>
        <v>45401</v>
      </c>
      <c r="C379" s="51">
        <f t="shared" ref="C379" si="427">AD379</f>
        <v>-2.5607607767597074E-7</v>
      </c>
      <c r="D379" s="26">
        <v>0</v>
      </c>
      <c r="E379" s="26">
        <v>0</v>
      </c>
      <c r="F379" s="26">
        <v>0</v>
      </c>
      <c r="G379" s="26">
        <v>0</v>
      </c>
      <c r="H379" s="26">
        <v>0</v>
      </c>
      <c r="I379" s="26">
        <v>0</v>
      </c>
      <c r="J379" s="26">
        <v>0</v>
      </c>
      <c r="K379">
        <f>-VLOOKUP(B379,Resumo_HSF!$C$13:$AH$600,28,FALSE)</f>
        <v>0</v>
      </c>
      <c r="L379" s="26">
        <v>0</v>
      </c>
      <c r="M379" s="26">
        <v>0</v>
      </c>
      <c r="N379" s="26">
        <v>0</v>
      </c>
      <c r="O379" s="26">
        <v>0</v>
      </c>
      <c r="P379" s="26">
        <v>-196</v>
      </c>
      <c r="Q379" s="26">
        <v>0</v>
      </c>
      <c r="R379" s="26">
        <v>0</v>
      </c>
      <c r="S379" s="26">
        <v>0</v>
      </c>
      <c r="T379" s="26">
        <v>0</v>
      </c>
      <c r="U379" s="26">
        <v>0</v>
      </c>
      <c r="V379" s="26">
        <v>0</v>
      </c>
      <c r="W379" s="26">
        <v>0</v>
      </c>
      <c r="X379" s="26">
        <f>-IF(VLOOKUP($B379,Resumo_HSF!$C$13:$AB$1000,16,FALSE)=VLOOKUP($B378,Resumo_HSF!$C$13:$AB$1000,16,FALSE),0,(VLOOKUP($B379,Resumo_HSF!$C$13:$AB$1000,16,FALSE)-VLOOKUP($B378,Resumo_HSF!$C$13:$AB$1000,16,FALSE))*VLOOKUP($B379,Resumo_HSF!$C$13:$AB$1000,15,FALSE))</f>
        <v>195.99999974392392</v>
      </c>
      <c r="Y379" s="26">
        <v>0</v>
      </c>
      <c r="Z379" s="26">
        <v>0</v>
      </c>
      <c r="AA379" s="26">
        <v>0</v>
      </c>
      <c r="AB379" s="26">
        <v>0</v>
      </c>
      <c r="AC379" s="26">
        <v>0</v>
      </c>
      <c r="AD379" s="15">
        <f t="shared" ref="AD379" si="428">SUM(D379:AB379)</f>
        <v>-2.5607607767597074E-7</v>
      </c>
    </row>
    <row r="380" spans="2:30">
      <c r="B380" s="1">
        <f>WORKDAY(B379,1,Feriados!A182:A1022)</f>
        <v>45404</v>
      </c>
      <c r="C380" s="51">
        <f t="shared" ref="C380" si="429">AD380</f>
        <v>-2.0755410332640167E-6</v>
      </c>
      <c r="D380" s="26">
        <v>0</v>
      </c>
      <c r="E380" s="26">
        <v>0</v>
      </c>
      <c r="F380" s="26">
        <v>0</v>
      </c>
      <c r="G380" s="26">
        <v>0</v>
      </c>
      <c r="H380" s="26">
        <v>0</v>
      </c>
      <c r="I380" s="26">
        <v>0</v>
      </c>
      <c r="J380" s="26">
        <v>0</v>
      </c>
      <c r="K380">
        <f>-VLOOKUP(B380,Resumo_HSF!$C$13:$AH$600,28,FALSE)</f>
        <v>0</v>
      </c>
      <c r="L380" s="26">
        <v>0</v>
      </c>
      <c r="M380" s="26">
        <v>0</v>
      </c>
      <c r="N380" s="26">
        <v>0</v>
      </c>
      <c r="O380" s="26">
        <v>0</v>
      </c>
      <c r="P380" s="26">
        <v>-1637.37</v>
      </c>
      <c r="Q380" s="26">
        <v>0</v>
      </c>
      <c r="R380" s="26">
        <v>0</v>
      </c>
      <c r="S380" s="26">
        <v>0</v>
      </c>
      <c r="T380" s="26">
        <v>0</v>
      </c>
      <c r="U380" s="26">
        <v>0</v>
      </c>
      <c r="V380" s="26">
        <v>0</v>
      </c>
      <c r="W380" s="26">
        <v>0</v>
      </c>
      <c r="X380" s="26">
        <f>-IF(VLOOKUP($B380,Resumo_HSF!$C$13:$AB$1000,16,FALSE)=VLOOKUP($B379,Resumo_HSF!$C$13:$AB$1000,16,FALSE),0,(VLOOKUP($B380,Resumo_HSF!$C$13:$AB$1000,16,FALSE)-VLOOKUP($B379,Resumo_HSF!$C$13:$AB$1000,16,FALSE))*VLOOKUP($B380,Resumo_HSF!$C$13:$AB$1000,15,FALSE))</f>
        <v>1637.3699979244589</v>
      </c>
      <c r="Y380" s="26">
        <v>0</v>
      </c>
      <c r="Z380" s="26">
        <v>0</v>
      </c>
      <c r="AA380" s="26">
        <v>0</v>
      </c>
      <c r="AB380" s="26">
        <v>0</v>
      </c>
      <c r="AC380" s="26">
        <v>0</v>
      </c>
      <c r="AD380" s="15">
        <f t="shared" ref="AD380" si="430">SUM(D380:AB380)</f>
        <v>-2.0755410332640167E-6</v>
      </c>
    </row>
    <row r="381" spans="2:30">
      <c r="B381" s="1">
        <f>WORKDAY(B380,1,Feriados!A183:A1023)</f>
        <v>45405</v>
      </c>
      <c r="C381" s="51">
        <f t="shared" ref="C381:C382" si="431">AD381</f>
        <v>0</v>
      </c>
      <c r="D381" s="26">
        <v>0</v>
      </c>
      <c r="E381" s="26">
        <v>0</v>
      </c>
      <c r="F381" s="26">
        <v>0</v>
      </c>
      <c r="G381" s="26">
        <v>0</v>
      </c>
      <c r="H381" s="26">
        <v>0</v>
      </c>
      <c r="I381" s="26">
        <v>0</v>
      </c>
      <c r="J381" s="26">
        <v>0</v>
      </c>
      <c r="K381">
        <f>-VLOOKUP(B381,Resumo_HSF!$C$13:$AH$600,28,FALSE)</f>
        <v>0</v>
      </c>
      <c r="L381" s="26">
        <v>0</v>
      </c>
      <c r="M381" s="26">
        <v>0</v>
      </c>
      <c r="N381" s="26">
        <v>0</v>
      </c>
      <c r="O381" s="26">
        <v>0</v>
      </c>
      <c r="P381" s="26">
        <v>0</v>
      </c>
      <c r="Q381" s="26">
        <v>0</v>
      </c>
      <c r="R381" s="26">
        <v>0</v>
      </c>
      <c r="S381" s="26">
        <v>0</v>
      </c>
      <c r="T381" s="26">
        <v>0</v>
      </c>
      <c r="U381" s="26">
        <v>0</v>
      </c>
      <c r="V381" s="26">
        <v>0</v>
      </c>
      <c r="W381" s="26">
        <v>0</v>
      </c>
      <c r="X381" s="26">
        <f>-IF(VLOOKUP($B381,Resumo_HSF!$C$13:$AB$1000,16,FALSE)=VLOOKUP($B380,Resumo_HSF!$C$13:$AB$1000,16,FALSE),0,(VLOOKUP($B381,Resumo_HSF!$C$13:$AB$1000,16,FALSE)-VLOOKUP($B380,Resumo_HSF!$C$13:$AB$1000,16,FALSE))*VLOOKUP($B381,Resumo_HSF!$C$13:$AB$1000,15,FALSE))</f>
        <v>0</v>
      </c>
      <c r="Y381" s="26">
        <v>0</v>
      </c>
      <c r="Z381" s="26">
        <v>0</v>
      </c>
      <c r="AA381" s="26">
        <v>0</v>
      </c>
      <c r="AB381" s="26">
        <v>0</v>
      </c>
      <c r="AC381" s="26">
        <v>0</v>
      </c>
      <c r="AD381" s="15">
        <f t="shared" ref="AD381:AD382" si="432">SUM(D381:AB381)</f>
        <v>0</v>
      </c>
    </row>
    <row r="382" spans="2:30">
      <c r="B382" s="1">
        <f>WORKDAY(B381,1,Feriados!A184:A1024)</f>
        <v>45406</v>
      </c>
      <c r="C382" s="51">
        <f t="shared" si="431"/>
        <v>0</v>
      </c>
      <c r="D382" s="26">
        <v>0</v>
      </c>
      <c r="E382" s="26">
        <v>0</v>
      </c>
      <c r="F382" s="26">
        <v>0</v>
      </c>
      <c r="G382" s="26">
        <v>0</v>
      </c>
      <c r="H382" s="26">
        <v>0</v>
      </c>
      <c r="I382" s="26">
        <v>0</v>
      </c>
      <c r="J382" s="26">
        <v>0</v>
      </c>
      <c r="K382">
        <f>-VLOOKUP(B382,Resumo_HSF!$C$13:$AH$600,28,FALSE)</f>
        <v>0</v>
      </c>
      <c r="L382" s="26">
        <v>0</v>
      </c>
      <c r="M382" s="26">
        <v>0</v>
      </c>
      <c r="N382" s="26">
        <v>0</v>
      </c>
      <c r="O382" s="26">
        <v>0</v>
      </c>
      <c r="P382" s="26">
        <v>0</v>
      </c>
      <c r="Q382" s="26">
        <v>0</v>
      </c>
      <c r="R382" s="26">
        <v>0</v>
      </c>
      <c r="S382" s="26">
        <v>0</v>
      </c>
      <c r="T382" s="26">
        <v>0</v>
      </c>
      <c r="U382" s="26">
        <v>0</v>
      </c>
      <c r="V382" s="26">
        <v>0</v>
      </c>
      <c r="W382" s="26">
        <v>0</v>
      </c>
      <c r="X382" s="26">
        <f>-IF(VLOOKUP($B382,Resumo_HSF!$C$13:$AB$1000,16,FALSE)=VLOOKUP($B381,Resumo_HSF!$C$13:$AB$1000,16,FALSE),0,(VLOOKUP($B382,Resumo_HSF!$C$13:$AB$1000,16,FALSE)-VLOOKUP($B381,Resumo_HSF!$C$13:$AB$1000,16,FALSE))*VLOOKUP($B382,Resumo_HSF!$C$13:$AB$1000,15,FALSE))</f>
        <v>0</v>
      </c>
      <c r="Y382" s="26">
        <v>0</v>
      </c>
      <c r="Z382" s="26">
        <v>0</v>
      </c>
      <c r="AA382" s="26">
        <v>0</v>
      </c>
      <c r="AB382" s="26">
        <v>0</v>
      </c>
      <c r="AC382" s="26">
        <v>0</v>
      </c>
      <c r="AD382" s="15">
        <f t="shared" si="432"/>
        <v>0</v>
      </c>
    </row>
    <row r="383" spans="2:30">
      <c r="B383" s="1">
        <f>WORKDAY(B382,1,Feriados!A185:A1025)</f>
        <v>45407</v>
      </c>
      <c r="C383" s="51">
        <f t="shared" ref="C383" si="433">AD383</f>
        <v>0</v>
      </c>
      <c r="D383" s="26">
        <v>0</v>
      </c>
      <c r="E383" s="26">
        <v>0</v>
      </c>
      <c r="F383" s="26">
        <v>0</v>
      </c>
      <c r="G383" s="26">
        <v>0</v>
      </c>
      <c r="H383" s="26">
        <v>0</v>
      </c>
      <c r="I383" s="26">
        <v>0</v>
      </c>
      <c r="J383" s="26">
        <v>0</v>
      </c>
      <c r="K383">
        <f>-VLOOKUP(B383,Resumo_HSF!$C$13:$AH$600,28,FALSE)</f>
        <v>0</v>
      </c>
      <c r="L383" s="26">
        <v>0</v>
      </c>
      <c r="M383" s="26">
        <v>0</v>
      </c>
      <c r="N383" s="26">
        <v>0</v>
      </c>
      <c r="O383" s="26">
        <v>0</v>
      </c>
      <c r="P383" s="26">
        <v>0</v>
      </c>
      <c r="Q383" s="26">
        <v>0</v>
      </c>
      <c r="R383" s="26">
        <v>0</v>
      </c>
      <c r="S383" s="26">
        <v>0</v>
      </c>
      <c r="T383" s="26">
        <v>0</v>
      </c>
      <c r="U383" s="26">
        <v>0</v>
      </c>
      <c r="V383" s="26">
        <v>0</v>
      </c>
      <c r="W383" s="26">
        <v>0</v>
      </c>
      <c r="X383" s="26">
        <f>-IF(VLOOKUP($B383,Resumo_HSF!$C$13:$AB$1000,16,FALSE)=VLOOKUP($B382,Resumo_HSF!$C$13:$AB$1000,16,FALSE),0,(VLOOKUP($B383,Resumo_HSF!$C$13:$AB$1000,16,FALSE)-VLOOKUP($B382,Resumo_HSF!$C$13:$AB$1000,16,FALSE))*VLOOKUP($B383,Resumo_HSF!$C$13:$AB$1000,15,FALSE))</f>
        <v>0</v>
      </c>
      <c r="Y383" s="26">
        <v>0</v>
      </c>
      <c r="Z383" s="26">
        <v>0</v>
      </c>
      <c r="AA383" s="26">
        <v>0</v>
      </c>
      <c r="AB383" s="26">
        <v>0</v>
      </c>
      <c r="AC383" s="26">
        <v>0</v>
      </c>
      <c r="AD383" s="15">
        <f t="shared" ref="AD383" si="434">SUM(D383:AB383)</f>
        <v>0</v>
      </c>
    </row>
    <row r="384" spans="2:30">
      <c r="B384" s="1">
        <f>WORKDAY(B383,1,Feriados!A186:A1026)</f>
        <v>45408</v>
      </c>
      <c r="C384" s="51">
        <f t="shared" ref="C384" si="435">AD384</f>
        <v>0</v>
      </c>
      <c r="D384" s="26">
        <v>0</v>
      </c>
      <c r="E384" s="26">
        <v>0</v>
      </c>
      <c r="F384" s="26">
        <v>0</v>
      </c>
      <c r="G384" s="26">
        <v>0</v>
      </c>
      <c r="H384" s="26">
        <v>0</v>
      </c>
      <c r="I384" s="26">
        <v>0</v>
      </c>
      <c r="J384" s="26">
        <v>0</v>
      </c>
      <c r="K384">
        <f>-VLOOKUP(B384,Resumo_HSF!$C$13:$AH$600,28,FALSE)</f>
        <v>0</v>
      </c>
      <c r="L384" s="26">
        <v>0</v>
      </c>
      <c r="M384" s="26">
        <v>0</v>
      </c>
      <c r="N384" s="26">
        <v>0</v>
      </c>
      <c r="O384" s="26">
        <v>0</v>
      </c>
      <c r="P384" s="26">
        <v>0</v>
      </c>
      <c r="Q384" s="26">
        <v>0</v>
      </c>
      <c r="R384" s="26">
        <v>0</v>
      </c>
      <c r="S384" s="26">
        <v>0</v>
      </c>
      <c r="T384" s="26">
        <v>0</v>
      </c>
      <c r="U384" s="26">
        <v>0</v>
      </c>
      <c r="V384" s="26">
        <v>0</v>
      </c>
      <c r="W384" s="26">
        <v>0</v>
      </c>
      <c r="X384" s="26">
        <f>-IF(VLOOKUP($B384,Resumo_HSF!$C$13:$AB$1000,16,FALSE)=VLOOKUP($B383,Resumo_HSF!$C$13:$AB$1000,16,FALSE),0,(VLOOKUP($B384,Resumo_HSF!$C$13:$AB$1000,16,FALSE)-VLOOKUP($B383,Resumo_HSF!$C$13:$AB$1000,16,FALSE))*VLOOKUP($B384,Resumo_HSF!$C$13:$AB$1000,15,FALSE))</f>
        <v>0</v>
      </c>
      <c r="Y384" s="26">
        <v>0</v>
      </c>
      <c r="Z384" s="26">
        <v>0</v>
      </c>
      <c r="AA384" s="26">
        <v>0</v>
      </c>
      <c r="AB384" s="26">
        <v>0</v>
      </c>
      <c r="AC384" s="26">
        <v>0</v>
      </c>
      <c r="AD384" s="15">
        <f t="shared" ref="AD384" si="436">SUM(D384:AB384)</f>
        <v>0</v>
      </c>
    </row>
    <row r="385" spans="2:30">
      <c r="B385" s="1">
        <f>WORKDAY(B384,1,Feriados!A187:A1027)</f>
        <v>45411</v>
      </c>
      <c r="C385" s="51">
        <f t="shared" ref="C385" si="437">AD385</f>
        <v>0</v>
      </c>
      <c r="D385" s="26">
        <v>0</v>
      </c>
      <c r="E385" s="26">
        <v>0</v>
      </c>
      <c r="F385" s="26">
        <v>0</v>
      </c>
      <c r="G385" s="26">
        <v>0</v>
      </c>
      <c r="H385" s="26">
        <v>0</v>
      </c>
      <c r="I385" s="26">
        <v>0</v>
      </c>
      <c r="J385" s="26">
        <v>0</v>
      </c>
      <c r="K385">
        <f>-VLOOKUP(B385,Resumo_HSF!$C$13:$AH$600,28,FALSE)</f>
        <v>0</v>
      </c>
      <c r="L385" s="26">
        <v>0</v>
      </c>
      <c r="M385" s="26">
        <v>0</v>
      </c>
      <c r="N385" s="26">
        <v>0</v>
      </c>
      <c r="O385" s="26">
        <v>0</v>
      </c>
      <c r="P385" s="26">
        <v>0</v>
      </c>
      <c r="Q385" s="26">
        <v>0</v>
      </c>
      <c r="R385" s="26">
        <v>0</v>
      </c>
      <c r="S385" s="26">
        <v>0</v>
      </c>
      <c r="T385" s="26">
        <v>0</v>
      </c>
      <c r="U385" s="26">
        <v>0</v>
      </c>
      <c r="V385" s="26">
        <v>0</v>
      </c>
      <c r="W385" s="26">
        <v>0</v>
      </c>
      <c r="X385" s="26">
        <f>-IF(VLOOKUP($B385,Resumo_HSF!$C$13:$AB$1000,16,FALSE)=VLOOKUP($B384,Resumo_HSF!$C$13:$AB$1000,16,FALSE),0,(VLOOKUP($B385,Resumo_HSF!$C$13:$AB$1000,16,FALSE)-VLOOKUP($B384,Resumo_HSF!$C$13:$AB$1000,16,FALSE))*VLOOKUP($B385,Resumo_HSF!$C$13:$AB$1000,15,FALSE))</f>
        <v>0</v>
      </c>
      <c r="Y385" s="26">
        <v>0</v>
      </c>
      <c r="Z385" s="26">
        <v>0</v>
      </c>
      <c r="AA385" s="26">
        <v>0</v>
      </c>
      <c r="AB385" s="26">
        <v>0</v>
      </c>
      <c r="AC385" s="26">
        <v>0</v>
      </c>
      <c r="AD385" s="15">
        <f t="shared" ref="AD385" si="438">SUM(D385:AB385)</f>
        <v>0</v>
      </c>
    </row>
    <row r="386" spans="2:30">
      <c r="B386" s="1">
        <f>WORKDAY(B385,1,Feriados!A188:A1028)</f>
        <v>45412</v>
      </c>
      <c r="C386" s="51">
        <f t="shared" ref="C386:C387" si="439">AD386</f>
        <v>0</v>
      </c>
      <c r="D386" s="26">
        <v>0</v>
      </c>
      <c r="E386" s="26">
        <v>0</v>
      </c>
      <c r="F386" s="26">
        <v>0</v>
      </c>
      <c r="G386" s="26">
        <v>0</v>
      </c>
      <c r="H386" s="26">
        <v>0</v>
      </c>
      <c r="I386" s="26">
        <v>0</v>
      </c>
      <c r="J386" s="26">
        <v>0</v>
      </c>
      <c r="K386">
        <f>-VLOOKUP(B386,Resumo_HSF!$C$13:$AH$600,28,FALSE)</f>
        <v>0</v>
      </c>
      <c r="L386" s="26">
        <v>0</v>
      </c>
      <c r="M386" s="26">
        <v>0</v>
      </c>
      <c r="N386" s="26">
        <v>0</v>
      </c>
      <c r="O386" s="26">
        <v>0</v>
      </c>
      <c r="P386" s="26">
        <v>0</v>
      </c>
      <c r="Q386" s="26">
        <v>0</v>
      </c>
      <c r="R386" s="26">
        <v>0</v>
      </c>
      <c r="S386" s="26">
        <v>0</v>
      </c>
      <c r="T386" s="26">
        <v>0</v>
      </c>
      <c r="U386" s="26">
        <v>0</v>
      </c>
      <c r="V386" s="26">
        <v>0</v>
      </c>
      <c r="W386" s="26">
        <v>0</v>
      </c>
      <c r="X386" s="26">
        <f>-IF(VLOOKUP($B386,Resumo_HSF!$C$13:$AB$1000,16,FALSE)=VLOOKUP($B385,Resumo_HSF!$C$13:$AB$1000,16,FALSE),0,(VLOOKUP($B386,Resumo_HSF!$C$13:$AB$1000,16,FALSE)-VLOOKUP($B385,Resumo_HSF!$C$13:$AB$1000,16,FALSE))*VLOOKUP($B386,Resumo_HSF!$C$13:$AB$1000,15,FALSE))</f>
        <v>0</v>
      </c>
      <c r="Y386" s="26">
        <v>0</v>
      </c>
      <c r="Z386" s="26">
        <v>0</v>
      </c>
      <c r="AA386" s="26">
        <v>0</v>
      </c>
      <c r="AB386" s="26">
        <v>0</v>
      </c>
      <c r="AC386" s="26">
        <v>0</v>
      </c>
      <c r="AD386" s="15">
        <f t="shared" ref="AD386:AD387" si="440">SUM(D386:AB386)</f>
        <v>0</v>
      </c>
    </row>
    <row r="387" spans="2:30">
      <c r="B387" s="1">
        <v>45414</v>
      </c>
      <c r="C387" s="51">
        <f t="shared" si="439"/>
        <v>0</v>
      </c>
      <c r="D387" s="26">
        <v>0</v>
      </c>
      <c r="E387" s="26">
        <v>0</v>
      </c>
      <c r="F387" s="26">
        <v>0</v>
      </c>
      <c r="G387" s="26">
        <v>0</v>
      </c>
      <c r="H387" s="26">
        <v>0</v>
      </c>
      <c r="I387" s="26">
        <v>0</v>
      </c>
      <c r="J387" s="26">
        <v>0</v>
      </c>
      <c r="K387">
        <f>-VLOOKUP(B387,Resumo_HSF!$C$13:$AH$600,28,FALSE)</f>
        <v>0</v>
      </c>
      <c r="L387" s="26">
        <v>0</v>
      </c>
      <c r="M387" s="26">
        <v>0</v>
      </c>
      <c r="N387" s="26">
        <v>0</v>
      </c>
      <c r="O387" s="26">
        <v>0</v>
      </c>
      <c r="P387" s="26">
        <v>0</v>
      </c>
      <c r="Q387" s="26">
        <v>0</v>
      </c>
      <c r="R387" s="26">
        <v>0</v>
      </c>
      <c r="S387" s="26">
        <v>0</v>
      </c>
      <c r="T387" s="26">
        <v>0</v>
      </c>
      <c r="U387" s="26">
        <v>0</v>
      </c>
      <c r="V387" s="26">
        <v>0</v>
      </c>
      <c r="W387" s="26">
        <v>0</v>
      </c>
      <c r="X387" s="26">
        <f>-IF(VLOOKUP($B387,Resumo_HSF!$C$13:$AB$1000,16,FALSE)=VLOOKUP($B386,Resumo_HSF!$C$13:$AB$1000,16,FALSE),0,(VLOOKUP($B387,Resumo_HSF!$C$13:$AB$1000,16,FALSE)-VLOOKUP($B386,Resumo_HSF!$C$13:$AB$1000,16,FALSE))*VLOOKUP($B387,Resumo_HSF!$C$13:$AB$1000,15,FALSE))</f>
        <v>0</v>
      </c>
      <c r="Y387" s="26">
        <v>0</v>
      </c>
      <c r="Z387" s="26">
        <v>0</v>
      </c>
      <c r="AA387" s="26">
        <v>0</v>
      </c>
      <c r="AB387" s="26">
        <v>0</v>
      </c>
      <c r="AC387" s="26">
        <v>0</v>
      </c>
      <c r="AD387" s="15">
        <f t="shared" si="440"/>
        <v>0</v>
      </c>
    </row>
    <row r="388" spans="2:30">
      <c r="B388" s="1">
        <f>WORKDAY(B387,1,Feriados!A190:A1030)</f>
        <v>45415</v>
      </c>
      <c r="C388" s="51">
        <f t="shared" ref="C388:C389" si="441">AD388</f>
        <v>0</v>
      </c>
      <c r="D388" s="26">
        <v>0</v>
      </c>
      <c r="E388" s="26">
        <v>0</v>
      </c>
      <c r="F388" s="26">
        <v>0</v>
      </c>
      <c r="G388" s="26">
        <v>0</v>
      </c>
      <c r="H388" s="26">
        <v>0</v>
      </c>
      <c r="I388" s="26">
        <v>0</v>
      </c>
      <c r="J388" s="26">
        <v>0</v>
      </c>
      <c r="K388">
        <f>-VLOOKUP(B388,Resumo_HSF!$C$13:$AH$600,28,FALSE)</f>
        <v>0</v>
      </c>
      <c r="L388" s="26">
        <v>0</v>
      </c>
      <c r="M388" s="26">
        <v>0</v>
      </c>
      <c r="N388" s="26">
        <v>0</v>
      </c>
      <c r="O388" s="26">
        <v>0</v>
      </c>
      <c r="P388" s="26">
        <v>0</v>
      </c>
      <c r="Q388" s="26">
        <v>0</v>
      </c>
      <c r="R388" s="26">
        <v>0</v>
      </c>
      <c r="S388" s="26">
        <v>0</v>
      </c>
      <c r="T388" s="26">
        <v>0</v>
      </c>
      <c r="U388" s="26">
        <v>0</v>
      </c>
      <c r="V388" s="26">
        <v>0</v>
      </c>
      <c r="W388" s="26">
        <v>0</v>
      </c>
      <c r="X388" s="26">
        <f>-IF(VLOOKUP($B388,Resumo_HSF!$C$13:$AB$1000,16,FALSE)=VLOOKUP($B387,Resumo_HSF!$C$13:$AB$1000,16,FALSE),0,(VLOOKUP($B388,Resumo_HSF!$C$13:$AB$1000,16,FALSE)-VLOOKUP($B387,Resumo_HSF!$C$13:$AB$1000,16,FALSE))*VLOOKUP($B388,Resumo_HSF!$C$13:$AB$1000,15,FALSE))</f>
        <v>0</v>
      </c>
      <c r="Y388" s="26">
        <v>0</v>
      </c>
      <c r="Z388" s="26">
        <v>0</v>
      </c>
      <c r="AA388" s="26">
        <v>0</v>
      </c>
      <c r="AB388" s="26">
        <v>0</v>
      </c>
      <c r="AC388" s="26">
        <v>0</v>
      </c>
      <c r="AD388" s="15">
        <f t="shared" ref="AD388:AD389" si="442">SUM(D388:AB388)</f>
        <v>0</v>
      </c>
    </row>
    <row r="389" spans="2:30">
      <c r="B389" s="1">
        <f>WORKDAY(B388,1,Feriados!A191:A1031)</f>
        <v>45418</v>
      </c>
      <c r="C389" s="51">
        <f t="shared" si="441"/>
        <v>0</v>
      </c>
      <c r="D389" s="26">
        <v>0</v>
      </c>
      <c r="E389" s="26">
        <v>0</v>
      </c>
      <c r="F389" s="26">
        <v>0</v>
      </c>
      <c r="G389" s="26">
        <v>0</v>
      </c>
      <c r="H389" s="26">
        <v>0</v>
      </c>
      <c r="I389" s="26">
        <v>0</v>
      </c>
      <c r="J389" s="26">
        <v>0</v>
      </c>
      <c r="K389">
        <f>-VLOOKUP(B389,Resumo_HSF!$C$13:$AH$600,28,FALSE)</f>
        <v>0</v>
      </c>
      <c r="L389" s="26">
        <v>0</v>
      </c>
      <c r="M389" s="26">
        <v>0</v>
      </c>
      <c r="N389" s="26">
        <v>0</v>
      </c>
      <c r="O389" s="26">
        <v>0</v>
      </c>
      <c r="P389" s="26">
        <v>0</v>
      </c>
      <c r="Q389" s="26">
        <v>0</v>
      </c>
      <c r="R389" s="26">
        <v>0</v>
      </c>
      <c r="S389" s="26">
        <v>0</v>
      </c>
      <c r="T389" s="26">
        <v>0</v>
      </c>
      <c r="U389" s="26">
        <v>0</v>
      </c>
      <c r="V389" s="26">
        <v>0</v>
      </c>
      <c r="W389" s="26">
        <v>0</v>
      </c>
      <c r="X389" s="26">
        <f>-IF(VLOOKUP($B389,Resumo_HSF!$C$13:$AB$1000,16,FALSE)=VLOOKUP($B388,Resumo_HSF!$C$13:$AB$1000,16,FALSE),0,(VLOOKUP($B389,Resumo_HSF!$C$13:$AB$1000,16,FALSE)-VLOOKUP($B388,Resumo_HSF!$C$13:$AB$1000,16,FALSE))*VLOOKUP($B389,Resumo_HSF!$C$13:$AB$1000,15,FALSE))</f>
        <v>0</v>
      </c>
      <c r="Y389" s="26">
        <v>0</v>
      </c>
      <c r="Z389" s="26">
        <v>0</v>
      </c>
      <c r="AA389" s="26">
        <v>0</v>
      </c>
      <c r="AB389" s="26">
        <v>0</v>
      </c>
      <c r="AC389" s="26">
        <v>0</v>
      </c>
      <c r="AD389" s="15">
        <f t="shared" si="442"/>
        <v>0</v>
      </c>
    </row>
    <row r="390" spans="2:30">
      <c r="B390" s="1">
        <f>WORKDAY(B389,1,Feriados!A192:A1032)</f>
        <v>45419</v>
      </c>
      <c r="C390" s="51">
        <f t="shared" ref="C390" si="443">AD390</f>
        <v>0</v>
      </c>
      <c r="D390" s="26">
        <v>0</v>
      </c>
      <c r="E390" s="26">
        <v>0</v>
      </c>
      <c r="F390" s="26">
        <v>0</v>
      </c>
      <c r="G390" s="26">
        <v>0</v>
      </c>
      <c r="H390" s="26">
        <v>0</v>
      </c>
      <c r="I390" s="26">
        <v>0</v>
      </c>
      <c r="J390" s="26">
        <v>0</v>
      </c>
      <c r="K390">
        <f>-VLOOKUP(B390,Resumo_HSF!$C$13:$AH$600,28,FALSE)</f>
        <v>0</v>
      </c>
      <c r="L390" s="26">
        <v>0</v>
      </c>
      <c r="M390" s="26">
        <v>0</v>
      </c>
      <c r="N390" s="26">
        <v>0</v>
      </c>
      <c r="O390" s="26">
        <v>0</v>
      </c>
      <c r="P390" s="26">
        <v>0</v>
      </c>
      <c r="Q390" s="26">
        <v>0</v>
      </c>
      <c r="R390" s="26">
        <v>0</v>
      </c>
      <c r="S390" s="26">
        <v>0</v>
      </c>
      <c r="T390" s="26">
        <v>0</v>
      </c>
      <c r="U390" s="26">
        <v>0</v>
      </c>
      <c r="V390" s="26">
        <v>0</v>
      </c>
      <c r="W390" s="26">
        <v>0</v>
      </c>
      <c r="X390" s="26">
        <f>-IF(VLOOKUP($B390,Resumo_HSF!$C$13:$AB$1000,16,FALSE)=VLOOKUP($B389,Resumo_HSF!$C$13:$AB$1000,16,FALSE),0,(VLOOKUP($B390,Resumo_HSF!$C$13:$AB$1000,16,FALSE)-VLOOKUP($B389,Resumo_HSF!$C$13:$AB$1000,16,FALSE))*VLOOKUP($B390,Resumo_HSF!$C$13:$AB$1000,15,FALSE))</f>
        <v>0</v>
      </c>
      <c r="Y390" s="26">
        <v>0</v>
      </c>
      <c r="Z390" s="26">
        <v>0</v>
      </c>
      <c r="AA390" s="26">
        <v>0</v>
      </c>
      <c r="AB390" s="26">
        <v>0</v>
      </c>
      <c r="AC390" s="26">
        <v>0</v>
      </c>
      <c r="AD390" s="15">
        <f t="shared" ref="AD390" si="444">SUM(D390:AB390)</f>
        <v>0</v>
      </c>
    </row>
    <row r="391" spans="2:30">
      <c r="B391" s="1">
        <f>WORKDAY(B390,1,Feriados!A194:A1033)</f>
        <v>45420</v>
      </c>
      <c r="C391" s="51">
        <f>AD390</f>
        <v>0</v>
      </c>
      <c r="D391" s="26">
        <v>-11851.79</v>
      </c>
      <c r="E391" s="26">
        <v>0</v>
      </c>
      <c r="F391" s="26">
        <v>0</v>
      </c>
      <c r="G391" s="26">
        <v>0</v>
      </c>
      <c r="H391" s="26">
        <v>0</v>
      </c>
      <c r="I391" s="26">
        <v>0</v>
      </c>
      <c r="J391" s="26">
        <v>0</v>
      </c>
      <c r="K391">
        <f>-VLOOKUP(B391,Resumo_HSF!$C$13:$AH$600,28,FALSE)</f>
        <v>0</v>
      </c>
      <c r="L391" s="26">
        <v>0</v>
      </c>
      <c r="M391" s="26">
        <v>0</v>
      </c>
      <c r="N391" s="26">
        <v>-7115.15</v>
      </c>
      <c r="O391" s="26">
        <v>0</v>
      </c>
      <c r="P391" s="26">
        <v>0</v>
      </c>
      <c r="Q391" s="26">
        <v>0</v>
      </c>
      <c r="R391" s="26">
        <v>0</v>
      </c>
      <c r="S391" s="26">
        <v>0</v>
      </c>
      <c r="T391" s="26">
        <v>0</v>
      </c>
      <c r="U391" s="26">
        <v>12000</v>
      </c>
      <c r="V391" s="26">
        <v>0</v>
      </c>
      <c r="W391" s="26">
        <v>0</v>
      </c>
      <c r="X391" s="26">
        <f>-IF(VLOOKUP($B391,Resumo_HSF!$C$13:$AB$1000,16,FALSE)=VLOOKUP($B390,Resumo_HSF!$C$13:$AB$1000,16,FALSE),0,(VLOOKUP($B391,Resumo_HSF!$C$13:$AB$1000,16,FALSE)-VLOOKUP($B390,Resumo_HSF!$C$13:$AB$1000,16,FALSE))*VLOOKUP($B391,Resumo_HSF!$C$13:$AB$1000,15,FALSE))</f>
        <v>6966.9400024104652</v>
      </c>
      <c r="Y391" s="26">
        <v>0</v>
      </c>
      <c r="Z391" s="26">
        <v>0</v>
      </c>
      <c r="AA391" s="26">
        <v>0</v>
      </c>
      <c r="AB391" s="26">
        <v>0</v>
      </c>
      <c r="AC391" s="26">
        <v>0</v>
      </c>
      <c r="AD391" s="15">
        <f t="shared" ref="AD391:AD392" si="445">SUM(D391:AB391)</f>
        <v>2.4104629119392484E-6</v>
      </c>
    </row>
    <row r="392" spans="2:30">
      <c r="B392" s="1">
        <f>WORKDAY(B391,1,Feriados!A195:A1034)</f>
        <v>45421</v>
      </c>
      <c r="C392" s="51">
        <f t="shared" ref="C392" si="446">AD392</f>
        <v>0</v>
      </c>
      <c r="D392" s="26">
        <v>0</v>
      </c>
      <c r="E392" s="26">
        <v>0</v>
      </c>
      <c r="F392" s="26">
        <v>0</v>
      </c>
      <c r="G392" s="26">
        <v>0</v>
      </c>
      <c r="H392" s="26">
        <v>0</v>
      </c>
      <c r="I392" s="26">
        <v>0</v>
      </c>
      <c r="J392" s="26">
        <v>0</v>
      </c>
      <c r="K392">
        <f>-VLOOKUP(B392,Resumo_HSF!$C$13:$AH$600,28,FALSE)</f>
        <v>0</v>
      </c>
      <c r="L392" s="26">
        <v>0</v>
      </c>
      <c r="M392" s="26">
        <v>0</v>
      </c>
      <c r="N392" s="26">
        <v>0</v>
      </c>
      <c r="O392" s="26">
        <v>0</v>
      </c>
      <c r="P392" s="26">
        <v>0</v>
      </c>
      <c r="Q392" s="26">
        <v>0</v>
      </c>
      <c r="R392" s="26">
        <v>0</v>
      </c>
      <c r="S392" s="26">
        <v>0</v>
      </c>
      <c r="T392" s="26">
        <v>0</v>
      </c>
      <c r="U392" s="26">
        <v>0</v>
      </c>
      <c r="V392" s="26">
        <v>0</v>
      </c>
      <c r="W392" s="26">
        <v>0</v>
      </c>
      <c r="X392" s="26">
        <f>-IF(VLOOKUP($B392,Resumo_HSF!$C$13:$AB$1000,16,FALSE)=VLOOKUP($B391,Resumo_HSF!$C$13:$AB$1000,16,FALSE),0,(VLOOKUP($B392,Resumo_HSF!$C$13:$AB$1000,16,FALSE)-VLOOKUP($B391,Resumo_HSF!$C$13:$AB$1000,16,FALSE))*VLOOKUP($B392,Resumo_HSF!$C$13:$AB$1000,15,FALSE))</f>
        <v>0</v>
      </c>
      <c r="Y392" s="26">
        <v>0</v>
      </c>
      <c r="Z392" s="26">
        <v>0</v>
      </c>
      <c r="AA392" s="26">
        <v>0</v>
      </c>
      <c r="AB392" s="26">
        <v>0</v>
      </c>
      <c r="AC392" s="26">
        <v>0</v>
      </c>
      <c r="AD392" s="15">
        <f t="shared" si="445"/>
        <v>0</v>
      </c>
    </row>
    <row r="393" spans="2:30">
      <c r="B393" s="1">
        <f>WORKDAY(B392,1,Feriados!A196:A1035)</f>
        <v>45422</v>
      </c>
      <c r="C393" s="51">
        <f t="shared" ref="C393" si="447">AD393</f>
        <v>0</v>
      </c>
      <c r="D393" s="26">
        <v>0</v>
      </c>
      <c r="E393" s="26">
        <v>0</v>
      </c>
      <c r="F393" s="26">
        <v>0</v>
      </c>
      <c r="G393" s="26">
        <v>0</v>
      </c>
      <c r="H393" s="26">
        <v>0</v>
      </c>
      <c r="I393" s="26">
        <v>0</v>
      </c>
      <c r="J393" s="26">
        <v>0</v>
      </c>
      <c r="K393">
        <f>-VLOOKUP(B393,Resumo_HSF!$C$13:$AH$600,28,FALSE)</f>
        <v>0</v>
      </c>
      <c r="L393" s="26">
        <v>0</v>
      </c>
      <c r="M393" s="26">
        <v>0</v>
      </c>
      <c r="N393" s="26">
        <v>0</v>
      </c>
      <c r="O393" s="26">
        <v>0</v>
      </c>
      <c r="P393" s="26">
        <v>0</v>
      </c>
      <c r="Q393" s="26">
        <v>0</v>
      </c>
      <c r="R393" s="26">
        <v>0</v>
      </c>
      <c r="S393" s="26">
        <v>0</v>
      </c>
      <c r="T393" s="26">
        <v>0</v>
      </c>
      <c r="U393" s="26">
        <v>0</v>
      </c>
      <c r="V393" s="26">
        <v>0</v>
      </c>
      <c r="W393" s="26">
        <v>0</v>
      </c>
      <c r="X393" s="26">
        <f>-IF(VLOOKUP($B393,Resumo_HSF!$C$13:$AB$1000,16,FALSE)=VLOOKUP($B392,Resumo_HSF!$C$13:$AB$1000,16,FALSE),0,(VLOOKUP($B393,Resumo_HSF!$C$13:$AB$1000,16,FALSE)-VLOOKUP($B392,Resumo_HSF!$C$13:$AB$1000,16,FALSE))*VLOOKUP($B393,Resumo_HSF!$C$13:$AB$1000,15,FALSE))</f>
        <v>0</v>
      </c>
      <c r="Y393" s="26">
        <v>0</v>
      </c>
      <c r="Z393" s="26">
        <v>0</v>
      </c>
      <c r="AA393" s="26">
        <v>0</v>
      </c>
      <c r="AB393" s="26">
        <v>0</v>
      </c>
      <c r="AC393" s="26">
        <v>0</v>
      </c>
      <c r="AD393" s="15">
        <f t="shared" ref="AD393" si="448">SUM(D393:AB393)</f>
        <v>0</v>
      </c>
    </row>
    <row r="394" spans="2:30">
      <c r="B394" s="1">
        <f>WORKDAY(B393,1,Feriados!A197:A1036)</f>
        <v>45425</v>
      </c>
      <c r="C394" s="51">
        <f t="shared" ref="C394:C395" si="449">AD394</f>
        <v>0</v>
      </c>
      <c r="D394" s="26">
        <v>0</v>
      </c>
      <c r="E394" s="26">
        <v>0</v>
      </c>
      <c r="F394" s="26">
        <v>0</v>
      </c>
      <c r="G394" s="26">
        <v>0</v>
      </c>
      <c r="H394" s="26">
        <v>0</v>
      </c>
      <c r="I394" s="26">
        <v>0</v>
      </c>
      <c r="J394" s="26">
        <v>0</v>
      </c>
      <c r="K394">
        <f>-VLOOKUP(B394,Resumo_HSF!$C$13:$AH$600,28,FALSE)</f>
        <v>0</v>
      </c>
      <c r="L394" s="26">
        <v>0</v>
      </c>
      <c r="M394" s="26">
        <v>0</v>
      </c>
      <c r="N394" s="26">
        <v>0</v>
      </c>
      <c r="O394" s="26">
        <v>0</v>
      </c>
      <c r="P394" s="26">
        <v>0</v>
      </c>
      <c r="Q394" s="26">
        <v>0</v>
      </c>
      <c r="R394" s="26">
        <v>0</v>
      </c>
      <c r="S394" s="26">
        <v>0</v>
      </c>
      <c r="T394" s="26">
        <v>0</v>
      </c>
      <c r="U394" s="26">
        <v>0</v>
      </c>
      <c r="V394" s="26">
        <v>0</v>
      </c>
      <c r="W394" s="26">
        <v>0</v>
      </c>
      <c r="X394" s="26">
        <f>-IF(VLOOKUP($B394,Resumo_HSF!$C$13:$AB$1000,16,FALSE)=VLOOKUP($B393,Resumo_HSF!$C$13:$AB$1000,16,FALSE),0,(VLOOKUP($B394,Resumo_HSF!$C$13:$AB$1000,16,FALSE)-VLOOKUP($B393,Resumo_HSF!$C$13:$AB$1000,16,FALSE))*VLOOKUP($B394,Resumo_HSF!$C$13:$AB$1000,15,FALSE))</f>
        <v>0</v>
      </c>
      <c r="Y394" s="26">
        <v>0</v>
      </c>
      <c r="Z394" s="26">
        <v>0</v>
      </c>
      <c r="AA394" s="26">
        <v>0</v>
      </c>
      <c r="AB394" s="26">
        <v>0</v>
      </c>
      <c r="AC394" s="26">
        <v>0</v>
      </c>
      <c r="AD394" s="15">
        <f t="shared" ref="AD394:AD395" si="450">SUM(D394:AB394)</f>
        <v>0</v>
      </c>
    </row>
    <row r="395" spans="2:30">
      <c r="B395" s="1">
        <f>WORKDAY(B394,1,Feriados!A198:A1037)</f>
        <v>45426</v>
      </c>
      <c r="C395" s="51">
        <f t="shared" si="449"/>
        <v>0</v>
      </c>
      <c r="D395" s="26">
        <v>0</v>
      </c>
      <c r="E395" s="26">
        <v>0</v>
      </c>
      <c r="F395" s="26">
        <v>0</v>
      </c>
      <c r="G395" s="26">
        <v>0</v>
      </c>
      <c r="H395" s="26">
        <v>0</v>
      </c>
      <c r="I395" s="26">
        <v>0</v>
      </c>
      <c r="J395" s="26">
        <v>0</v>
      </c>
      <c r="K395">
        <f>-VLOOKUP(B395,Resumo_HSF!$C$13:$AH$600,28,FALSE)</f>
        <v>0</v>
      </c>
      <c r="L395" s="26">
        <v>0</v>
      </c>
      <c r="M395" s="26">
        <v>0</v>
      </c>
      <c r="N395" s="26">
        <v>0</v>
      </c>
      <c r="O395" s="26">
        <v>0</v>
      </c>
      <c r="P395" s="26">
        <v>0</v>
      </c>
      <c r="Q395" s="26">
        <v>0</v>
      </c>
      <c r="R395" s="26">
        <v>0</v>
      </c>
      <c r="S395" s="26">
        <v>0</v>
      </c>
      <c r="T395" s="26">
        <v>0</v>
      </c>
      <c r="U395" s="26">
        <v>0</v>
      </c>
      <c r="V395" s="26">
        <v>0</v>
      </c>
      <c r="W395" s="26">
        <v>0</v>
      </c>
      <c r="X395" s="26">
        <f>-IF(VLOOKUP($B395,Resumo_HSF!$C$13:$AB$1000,16,FALSE)=VLOOKUP($B394,Resumo_HSF!$C$13:$AB$1000,16,FALSE),0,(VLOOKUP($B395,Resumo_HSF!$C$13:$AB$1000,16,FALSE)-VLOOKUP($B394,Resumo_HSF!$C$13:$AB$1000,16,FALSE))*VLOOKUP($B395,Resumo_HSF!$C$13:$AB$1000,15,FALSE))</f>
        <v>0</v>
      </c>
      <c r="Y395" s="26">
        <v>0</v>
      </c>
      <c r="Z395" s="26">
        <v>0</v>
      </c>
      <c r="AA395" s="26">
        <v>0</v>
      </c>
      <c r="AB395" s="26">
        <v>0</v>
      </c>
      <c r="AC395" s="26">
        <v>0</v>
      </c>
      <c r="AD395" s="15">
        <f t="shared" si="450"/>
        <v>0</v>
      </c>
    </row>
    <row r="396" spans="2:30">
      <c r="B396" s="1">
        <f>WORKDAY(B395,1,Feriados!A199:A1038)</f>
        <v>45427</v>
      </c>
      <c r="C396" s="51">
        <f t="shared" ref="C396" si="451">AD396</f>
        <v>0</v>
      </c>
      <c r="D396" s="26">
        <v>0</v>
      </c>
      <c r="E396" s="26">
        <v>0</v>
      </c>
      <c r="F396" s="26">
        <v>0</v>
      </c>
      <c r="G396" s="26">
        <v>0</v>
      </c>
      <c r="H396" s="26">
        <v>0</v>
      </c>
      <c r="I396" s="26">
        <v>0</v>
      </c>
      <c r="J396" s="26">
        <v>0</v>
      </c>
      <c r="K396">
        <f>-VLOOKUP(B396,Resumo_HSF!$C$13:$AH$600,28,FALSE)</f>
        <v>0</v>
      </c>
      <c r="L396" s="26">
        <v>0</v>
      </c>
      <c r="M396" s="26">
        <v>0</v>
      </c>
      <c r="N396" s="26">
        <v>0</v>
      </c>
      <c r="O396" s="26">
        <v>0</v>
      </c>
      <c r="P396" s="26">
        <v>0</v>
      </c>
      <c r="Q396" s="26">
        <v>0</v>
      </c>
      <c r="R396" s="26">
        <v>0</v>
      </c>
      <c r="S396" s="26">
        <v>0</v>
      </c>
      <c r="T396" s="26">
        <v>0</v>
      </c>
      <c r="U396" s="26">
        <v>0</v>
      </c>
      <c r="V396" s="26">
        <v>0</v>
      </c>
      <c r="W396" s="26">
        <v>0</v>
      </c>
      <c r="X396" s="26">
        <f>-IF(VLOOKUP($B396,Resumo_HSF!$C$13:$AB$1000,16,FALSE)=VLOOKUP($B395,Resumo_HSF!$C$13:$AB$1000,16,FALSE),0,(VLOOKUP($B396,Resumo_HSF!$C$13:$AB$1000,16,FALSE)-VLOOKUP($B395,Resumo_HSF!$C$13:$AB$1000,16,FALSE))*VLOOKUP($B396,Resumo_HSF!$C$13:$AB$1000,15,FALSE))</f>
        <v>0</v>
      </c>
      <c r="Y396" s="26">
        <v>0</v>
      </c>
      <c r="Z396" s="26">
        <v>0</v>
      </c>
      <c r="AA396" s="26">
        <v>0</v>
      </c>
      <c r="AB396" s="26">
        <v>0</v>
      </c>
      <c r="AC396" s="26">
        <v>0</v>
      </c>
      <c r="AD396" s="15">
        <f t="shared" ref="AD396" si="452">SUM(D396:AB396)</f>
        <v>0</v>
      </c>
    </row>
    <row r="397" spans="2:30">
      <c r="B397" s="1">
        <f>WORKDAY(B396,1,Feriados!A200:A1039)</f>
        <v>45428</v>
      </c>
      <c r="C397" s="51">
        <f t="shared" ref="C397" si="453">AD397</f>
        <v>0</v>
      </c>
      <c r="D397" s="26">
        <v>0</v>
      </c>
      <c r="E397" s="26">
        <v>0</v>
      </c>
      <c r="F397" s="26">
        <v>0</v>
      </c>
      <c r="G397" s="26">
        <v>0</v>
      </c>
      <c r="H397" s="26">
        <v>0</v>
      </c>
      <c r="I397" s="26">
        <v>0</v>
      </c>
      <c r="J397" s="26">
        <v>0</v>
      </c>
      <c r="K397">
        <f>-VLOOKUP(B397,Resumo_HSF!$C$13:$AH$600,28,FALSE)</f>
        <v>0</v>
      </c>
      <c r="L397" s="26">
        <v>0</v>
      </c>
      <c r="M397" s="26">
        <v>0</v>
      </c>
      <c r="N397" s="26">
        <v>0</v>
      </c>
      <c r="O397" s="26">
        <v>0</v>
      </c>
      <c r="P397" s="26">
        <v>0</v>
      </c>
      <c r="Q397" s="26">
        <v>0</v>
      </c>
      <c r="R397" s="26">
        <v>0</v>
      </c>
      <c r="S397" s="26">
        <v>0</v>
      </c>
      <c r="T397" s="26">
        <v>0</v>
      </c>
      <c r="U397" s="26">
        <v>0</v>
      </c>
      <c r="V397" s="26">
        <v>0</v>
      </c>
      <c r="W397" s="26">
        <v>0</v>
      </c>
      <c r="X397" s="26">
        <f>-IF(VLOOKUP($B397,Resumo_HSF!$C$13:$AB$1000,16,FALSE)=VLOOKUP($B396,Resumo_HSF!$C$13:$AB$1000,16,FALSE),0,(VLOOKUP($B397,Resumo_HSF!$C$13:$AB$1000,16,FALSE)-VLOOKUP($B396,Resumo_HSF!$C$13:$AB$1000,16,FALSE))*VLOOKUP($B397,Resumo_HSF!$C$13:$AB$1000,15,FALSE))</f>
        <v>0</v>
      </c>
      <c r="Y397" s="26">
        <v>0</v>
      </c>
      <c r="Z397" s="26">
        <v>0</v>
      </c>
      <c r="AA397" s="26">
        <v>0</v>
      </c>
      <c r="AB397" s="26">
        <v>0</v>
      </c>
      <c r="AC397" s="26">
        <v>0</v>
      </c>
      <c r="AD397" s="15">
        <f t="shared" ref="AD397" si="454">SUM(D397:AB397)</f>
        <v>0</v>
      </c>
    </row>
    <row r="398" spans="2:30">
      <c r="B398" s="1">
        <f>WORKDAY(B397,1,Feriados!A201:A1040)</f>
        <v>45429</v>
      </c>
      <c r="C398" s="51">
        <f t="shared" ref="C398" si="455">AD398</f>
        <v>0</v>
      </c>
      <c r="D398" s="26">
        <v>0</v>
      </c>
      <c r="E398" s="26">
        <v>0</v>
      </c>
      <c r="F398" s="26">
        <v>0</v>
      </c>
      <c r="G398" s="26">
        <v>0</v>
      </c>
      <c r="H398" s="26">
        <v>0</v>
      </c>
      <c r="I398" s="26">
        <v>0</v>
      </c>
      <c r="J398" s="26">
        <v>0</v>
      </c>
      <c r="K398">
        <f>-VLOOKUP(B398,Resumo_HSF!$C$13:$AH$600,28,FALSE)</f>
        <v>0</v>
      </c>
      <c r="L398" s="26">
        <v>0</v>
      </c>
      <c r="M398" s="26">
        <v>0</v>
      </c>
      <c r="N398" s="26">
        <v>0</v>
      </c>
      <c r="O398" s="26">
        <v>0</v>
      </c>
      <c r="P398" s="26">
        <v>0</v>
      </c>
      <c r="Q398" s="26">
        <v>0</v>
      </c>
      <c r="R398" s="26">
        <v>0</v>
      </c>
      <c r="S398" s="26">
        <v>0</v>
      </c>
      <c r="T398" s="26">
        <v>0</v>
      </c>
      <c r="U398" s="26">
        <v>0</v>
      </c>
      <c r="V398" s="26">
        <v>0</v>
      </c>
      <c r="W398" s="26">
        <v>0</v>
      </c>
      <c r="X398" s="26">
        <f>-IF(VLOOKUP($B398,Resumo_HSF!$C$13:$AB$1000,16,FALSE)=VLOOKUP($B397,Resumo_HSF!$C$13:$AB$1000,16,FALSE),0,(VLOOKUP($B398,Resumo_HSF!$C$13:$AB$1000,16,FALSE)-VLOOKUP($B397,Resumo_HSF!$C$13:$AB$1000,16,FALSE))*VLOOKUP($B398,Resumo_HSF!$C$13:$AB$1000,15,FALSE))</f>
        <v>0</v>
      </c>
      <c r="Y398" s="26">
        <v>0</v>
      </c>
      <c r="Z398" s="26">
        <v>0</v>
      </c>
      <c r="AA398" s="26">
        <v>0</v>
      </c>
      <c r="AB398" s="26">
        <v>0</v>
      </c>
      <c r="AC398" s="26">
        <v>0</v>
      </c>
      <c r="AD398" s="15">
        <f t="shared" ref="AD398" si="456">SUM(D398:AB398)</f>
        <v>0</v>
      </c>
    </row>
    <row r="399" spans="2:30">
      <c r="B399" s="1">
        <f>WORKDAY(B398,1,Feriados!A202:A1041)</f>
        <v>45432</v>
      </c>
      <c r="C399" s="51">
        <f t="shared" ref="C399" si="457">AD399</f>
        <v>0</v>
      </c>
      <c r="D399" s="26">
        <v>0</v>
      </c>
      <c r="E399" s="26">
        <v>0</v>
      </c>
      <c r="F399" s="26">
        <v>0</v>
      </c>
      <c r="G399" s="26">
        <v>0</v>
      </c>
      <c r="H399" s="26">
        <v>0</v>
      </c>
      <c r="I399" s="26">
        <v>0</v>
      </c>
      <c r="J399" s="26">
        <v>0</v>
      </c>
      <c r="K399">
        <f>-VLOOKUP(B399,Resumo_HSF!$C$13:$AH$600,28,FALSE)</f>
        <v>0</v>
      </c>
      <c r="L399" s="26">
        <v>0</v>
      </c>
      <c r="M399" s="26">
        <v>0</v>
      </c>
      <c r="N399" s="26">
        <v>0</v>
      </c>
      <c r="O399" s="26">
        <v>0</v>
      </c>
      <c r="P399" s="26">
        <v>0</v>
      </c>
      <c r="Q399" s="26">
        <v>0</v>
      </c>
      <c r="R399" s="26">
        <v>0</v>
      </c>
      <c r="S399" s="26">
        <v>0</v>
      </c>
      <c r="T399" s="26">
        <v>0</v>
      </c>
      <c r="U399" s="26">
        <v>0</v>
      </c>
      <c r="V399" s="26">
        <v>0</v>
      </c>
      <c r="W399" s="26">
        <v>0</v>
      </c>
      <c r="X399" s="26">
        <f>-IF(VLOOKUP($B399,Resumo_HSF!$C$13:$AB$1000,16,FALSE)=VLOOKUP($B398,Resumo_HSF!$C$13:$AB$1000,16,FALSE),0,(VLOOKUP($B399,Resumo_HSF!$C$13:$AB$1000,16,FALSE)-VLOOKUP($B398,Resumo_HSF!$C$13:$AB$1000,16,FALSE))*VLOOKUP($B399,Resumo_HSF!$C$13:$AB$1000,15,FALSE))</f>
        <v>0</v>
      </c>
      <c r="Y399" s="26">
        <v>0</v>
      </c>
      <c r="Z399" s="26">
        <v>0</v>
      </c>
      <c r="AA399" s="26">
        <v>0</v>
      </c>
      <c r="AB399" s="26">
        <v>0</v>
      </c>
      <c r="AC399" s="26">
        <v>0</v>
      </c>
      <c r="AD399" s="15">
        <f t="shared" ref="AD399" si="458">SUM(D399:AB399)</f>
        <v>0</v>
      </c>
    </row>
    <row r="400" spans="2:30">
      <c r="B400" s="1">
        <f>WORKDAY(B399,1,Feriados!A203:A1042)</f>
        <v>45433</v>
      </c>
      <c r="C400" s="51">
        <f t="shared" ref="C400" si="459">AD400</f>
        <v>0</v>
      </c>
      <c r="D400" s="26">
        <v>0</v>
      </c>
      <c r="E400" s="26">
        <v>0</v>
      </c>
      <c r="F400" s="26">
        <v>0</v>
      </c>
      <c r="G400" s="26">
        <v>0</v>
      </c>
      <c r="H400" s="26">
        <v>0</v>
      </c>
      <c r="I400" s="26">
        <v>0</v>
      </c>
      <c r="J400" s="26">
        <v>0</v>
      </c>
      <c r="K400">
        <f>-VLOOKUP(B400,Resumo_HSF!$C$13:$AH$600,28,FALSE)</f>
        <v>0</v>
      </c>
      <c r="L400" s="26">
        <v>0</v>
      </c>
      <c r="M400" s="26">
        <v>0</v>
      </c>
      <c r="N400" s="26">
        <v>0</v>
      </c>
      <c r="O400" s="26">
        <v>0</v>
      </c>
      <c r="P400" s="26">
        <v>0</v>
      </c>
      <c r="Q400" s="26">
        <v>0</v>
      </c>
      <c r="R400" s="26">
        <v>0</v>
      </c>
      <c r="S400" s="26">
        <v>0</v>
      </c>
      <c r="T400" s="26">
        <v>0</v>
      </c>
      <c r="U400" s="26">
        <v>0</v>
      </c>
      <c r="V400" s="26">
        <v>0</v>
      </c>
      <c r="W400" s="26">
        <v>0</v>
      </c>
      <c r="X400" s="26">
        <f>-IF(VLOOKUP($B400,Resumo_HSF!$C$13:$AB$1000,16,FALSE)=VLOOKUP($B399,Resumo_HSF!$C$13:$AB$1000,16,FALSE),0,(VLOOKUP($B400,Resumo_HSF!$C$13:$AB$1000,16,FALSE)-VLOOKUP($B399,Resumo_HSF!$C$13:$AB$1000,16,FALSE))*VLOOKUP($B400,Resumo_HSF!$C$13:$AB$1000,15,FALSE))</f>
        <v>0</v>
      </c>
      <c r="Y400" s="26">
        <v>0</v>
      </c>
      <c r="Z400" s="26">
        <v>0</v>
      </c>
      <c r="AA400" s="26">
        <v>0</v>
      </c>
      <c r="AB400" s="26">
        <v>0</v>
      </c>
      <c r="AC400" s="26">
        <v>0</v>
      </c>
      <c r="AD400" s="15">
        <f t="shared" ref="AD400" si="460">SUM(D400:AB400)</f>
        <v>0</v>
      </c>
    </row>
    <row r="401" spans="2:30">
      <c r="B401" s="1">
        <f>WORKDAY(B400,1,Feriados!A204:A1043)</f>
        <v>45434</v>
      </c>
      <c r="C401" s="51">
        <f t="shared" ref="C401" si="461">AD401</f>
        <v>0</v>
      </c>
      <c r="D401" s="26">
        <v>0</v>
      </c>
      <c r="E401" s="26">
        <v>0</v>
      </c>
      <c r="F401" s="26">
        <v>0</v>
      </c>
      <c r="G401" s="26">
        <v>0</v>
      </c>
      <c r="H401" s="26">
        <v>0</v>
      </c>
      <c r="I401" s="26">
        <v>0</v>
      </c>
      <c r="J401" s="26">
        <v>0</v>
      </c>
      <c r="K401">
        <f>-VLOOKUP(B401,Resumo_HSF!$C$13:$AH$600,28,FALSE)</f>
        <v>0</v>
      </c>
      <c r="L401" s="26">
        <v>0</v>
      </c>
      <c r="M401" s="26">
        <v>0</v>
      </c>
      <c r="N401" s="26">
        <v>0</v>
      </c>
      <c r="O401" s="26">
        <v>0</v>
      </c>
      <c r="P401" s="26">
        <v>0</v>
      </c>
      <c r="Q401" s="26">
        <v>0</v>
      </c>
      <c r="R401" s="26">
        <v>0</v>
      </c>
      <c r="S401" s="26">
        <v>0</v>
      </c>
      <c r="T401" s="26">
        <v>0</v>
      </c>
      <c r="U401" s="26">
        <v>0</v>
      </c>
      <c r="V401" s="26">
        <v>0</v>
      </c>
      <c r="W401" s="26">
        <v>0</v>
      </c>
      <c r="X401" s="26">
        <f>-IF(VLOOKUP($B401,Resumo_HSF!$C$13:$AB$1000,16,FALSE)=VLOOKUP($B400,Resumo_HSF!$C$13:$AB$1000,16,FALSE),0,(VLOOKUP($B401,Resumo_HSF!$C$13:$AB$1000,16,FALSE)-VLOOKUP($B400,Resumo_HSF!$C$13:$AB$1000,16,FALSE))*VLOOKUP($B401,Resumo_HSF!$C$13:$AB$1000,15,FALSE))</f>
        <v>0</v>
      </c>
      <c r="Y401" s="26">
        <v>0</v>
      </c>
      <c r="Z401" s="26">
        <v>0</v>
      </c>
      <c r="AA401" s="26">
        <v>0</v>
      </c>
      <c r="AB401" s="26">
        <v>0</v>
      </c>
      <c r="AC401" s="26">
        <v>0</v>
      </c>
      <c r="AD401" s="15">
        <f t="shared" ref="AD401" si="462">SUM(D401:AB401)</f>
        <v>0</v>
      </c>
    </row>
    <row r="402" spans="2:30">
      <c r="B402" s="1">
        <f>WORKDAY(B401,1,Feriados!A205:A1044)</f>
        <v>45435</v>
      </c>
      <c r="C402" s="51">
        <f t="shared" ref="C402" si="463">AD402</f>
        <v>0</v>
      </c>
      <c r="D402" s="26">
        <v>0</v>
      </c>
      <c r="E402" s="26">
        <v>0</v>
      </c>
      <c r="F402" s="26">
        <v>0</v>
      </c>
      <c r="G402" s="26">
        <v>0</v>
      </c>
      <c r="H402" s="26">
        <v>0</v>
      </c>
      <c r="I402" s="26">
        <v>0</v>
      </c>
      <c r="J402" s="26">
        <v>0</v>
      </c>
      <c r="K402">
        <f>-VLOOKUP(B402,Resumo_HSF!$C$13:$AH$600,28,FALSE)</f>
        <v>0</v>
      </c>
      <c r="L402" s="26">
        <v>0</v>
      </c>
      <c r="M402" s="26">
        <v>0</v>
      </c>
      <c r="N402" s="26">
        <v>0</v>
      </c>
      <c r="O402" s="26">
        <v>0</v>
      </c>
      <c r="P402" s="26">
        <v>0</v>
      </c>
      <c r="Q402" s="26">
        <v>0</v>
      </c>
      <c r="R402" s="26">
        <v>0</v>
      </c>
      <c r="S402" s="26">
        <v>0</v>
      </c>
      <c r="T402" s="26">
        <v>0</v>
      </c>
      <c r="U402" s="26">
        <v>0</v>
      </c>
      <c r="V402" s="26">
        <v>0</v>
      </c>
      <c r="W402" s="26">
        <v>0</v>
      </c>
      <c r="X402" s="26">
        <f>-IF(VLOOKUP($B402,Resumo_HSF!$C$13:$AB$1000,16,FALSE)=VLOOKUP($B401,Resumo_HSF!$C$13:$AB$1000,16,FALSE),0,(VLOOKUP($B402,Resumo_HSF!$C$13:$AB$1000,16,FALSE)-VLOOKUP($B401,Resumo_HSF!$C$13:$AB$1000,16,FALSE))*VLOOKUP($B402,Resumo_HSF!$C$13:$AB$1000,15,FALSE))</f>
        <v>0</v>
      </c>
      <c r="Y402" s="26">
        <v>0</v>
      </c>
      <c r="Z402" s="26">
        <v>0</v>
      </c>
      <c r="AA402" s="26">
        <v>0</v>
      </c>
      <c r="AB402" s="26">
        <v>0</v>
      </c>
      <c r="AC402" s="26">
        <v>0</v>
      </c>
      <c r="AD402" s="15">
        <f t="shared" ref="AD402" si="464">SUM(D402:AB402)</f>
        <v>0</v>
      </c>
    </row>
    <row r="403" spans="2:30">
      <c r="B403" s="1">
        <f>WORKDAY(B402,1,Feriados!A206:A1045)</f>
        <v>45436</v>
      </c>
      <c r="C403" s="51">
        <f t="shared" ref="C403:C405" si="465">AD403</f>
        <v>0</v>
      </c>
      <c r="D403" s="26">
        <v>0</v>
      </c>
      <c r="E403" s="26">
        <v>0</v>
      </c>
      <c r="F403" s="26">
        <v>0</v>
      </c>
      <c r="G403" s="26">
        <v>0</v>
      </c>
      <c r="H403" s="26">
        <v>0</v>
      </c>
      <c r="I403" s="26">
        <v>0</v>
      </c>
      <c r="J403" s="26">
        <v>0</v>
      </c>
      <c r="K403">
        <f>-VLOOKUP(B403,Resumo_HSF!$C$13:$AH$600,28,FALSE)</f>
        <v>0</v>
      </c>
      <c r="L403" s="26">
        <v>0</v>
      </c>
      <c r="M403" s="26">
        <v>0</v>
      </c>
      <c r="N403" s="26">
        <v>0</v>
      </c>
      <c r="O403" s="26">
        <v>0</v>
      </c>
      <c r="P403" s="26">
        <v>0</v>
      </c>
      <c r="Q403" s="26">
        <v>0</v>
      </c>
      <c r="R403" s="26">
        <v>0</v>
      </c>
      <c r="S403" s="26">
        <v>0</v>
      </c>
      <c r="T403" s="26">
        <v>0</v>
      </c>
      <c r="U403" s="26">
        <v>0</v>
      </c>
      <c r="V403" s="26">
        <v>0</v>
      </c>
      <c r="W403" s="26">
        <v>0</v>
      </c>
      <c r="X403" s="26">
        <f>-IF(VLOOKUP($B403,Resumo_HSF!$C$13:$AB$1000,16,FALSE)=VLOOKUP($B402,Resumo_HSF!$C$13:$AB$1000,16,FALSE),0,(VLOOKUP($B403,Resumo_HSF!$C$13:$AB$1000,16,FALSE)-VLOOKUP($B402,Resumo_HSF!$C$13:$AB$1000,16,FALSE))*VLOOKUP($B403,Resumo_HSF!$C$13:$AB$1000,15,FALSE))</f>
        <v>0</v>
      </c>
      <c r="Y403" s="26">
        <v>0</v>
      </c>
      <c r="Z403" s="26">
        <v>0</v>
      </c>
      <c r="AA403" s="26">
        <v>0</v>
      </c>
      <c r="AB403" s="26">
        <v>0</v>
      </c>
      <c r="AC403" s="26">
        <v>0</v>
      </c>
      <c r="AD403" s="15">
        <f t="shared" ref="AD403:AD405" si="466">SUM(D403:AB403)</f>
        <v>0</v>
      </c>
    </row>
    <row r="404" spans="2:30">
      <c r="B404" s="1">
        <f>WORKDAY(B403,1,Feriados!A207:A1046)</f>
        <v>45439</v>
      </c>
      <c r="C404" s="51">
        <f t="shared" si="465"/>
        <v>0</v>
      </c>
      <c r="D404" s="26">
        <v>0</v>
      </c>
      <c r="E404" s="26">
        <v>0</v>
      </c>
      <c r="F404" s="26">
        <v>0</v>
      </c>
      <c r="G404" s="26">
        <v>0</v>
      </c>
      <c r="H404" s="26">
        <v>0</v>
      </c>
      <c r="I404" s="26">
        <v>0</v>
      </c>
      <c r="J404" s="26">
        <v>0</v>
      </c>
      <c r="K404">
        <f>-VLOOKUP(B404,Resumo_HSF!$C$13:$AH$600,28,FALSE)</f>
        <v>0</v>
      </c>
      <c r="L404" s="26">
        <v>0</v>
      </c>
      <c r="M404" s="26">
        <v>0</v>
      </c>
      <c r="N404" s="26">
        <v>0</v>
      </c>
      <c r="O404" s="26">
        <v>0</v>
      </c>
      <c r="P404" s="26">
        <v>0</v>
      </c>
      <c r="Q404" s="26">
        <v>0</v>
      </c>
      <c r="R404" s="26">
        <v>0</v>
      </c>
      <c r="S404" s="26">
        <v>0</v>
      </c>
      <c r="T404" s="26">
        <v>0</v>
      </c>
      <c r="U404" s="26">
        <v>0</v>
      </c>
      <c r="V404" s="26">
        <v>0</v>
      </c>
      <c r="W404" s="26">
        <v>0</v>
      </c>
      <c r="X404" s="26">
        <f>-IF(VLOOKUP($B404,Resumo_HSF!$C$13:$AB$1000,16,FALSE)=VLOOKUP($B403,Resumo_HSF!$C$13:$AB$1000,16,FALSE),0,(VLOOKUP($B404,Resumo_HSF!$C$13:$AB$1000,16,FALSE)-VLOOKUP($B403,Resumo_HSF!$C$13:$AB$1000,16,FALSE))*VLOOKUP($B404,Resumo_HSF!$C$13:$AB$1000,15,FALSE))</f>
        <v>0</v>
      </c>
      <c r="Y404" s="26">
        <v>0</v>
      </c>
      <c r="Z404" s="26">
        <v>0</v>
      </c>
      <c r="AA404" s="26">
        <v>0</v>
      </c>
      <c r="AB404" s="26">
        <v>0</v>
      </c>
      <c r="AC404" s="26">
        <v>0</v>
      </c>
      <c r="AD404" s="15">
        <f t="shared" si="466"/>
        <v>0</v>
      </c>
    </row>
    <row r="405" spans="2:30">
      <c r="B405" s="1">
        <f>WORKDAY(B404,1,Feriados!A208:A1047)</f>
        <v>45440</v>
      </c>
      <c r="C405" s="51">
        <f t="shared" si="465"/>
        <v>0</v>
      </c>
      <c r="D405" s="26">
        <v>0</v>
      </c>
      <c r="E405" s="26">
        <v>0</v>
      </c>
      <c r="F405" s="26">
        <v>0</v>
      </c>
      <c r="G405" s="26">
        <v>0</v>
      </c>
      <c r="H405" s="26">
        <v>0</v>
      </c>
      <c r="I405" s="26">
        <v>0</v>
      </c>
      <c r="J405" s="26">
        <v>0</v>
      </c>
      <c r="K405">
        <f>-VLOOKUP(B405,Resumo_HSF!$C$13:$AH$600,28,FALSE)</f>
        <v>0</v>
      </c>
      <c r="L405" s="26">
        <v>0</v>
      </c>
      <c r="M405" s="26">
        <v>0</v>
      </c>
      <c r="N405" s="26">
        <v>0</v>
      </c>
      <c r="O405" s="26">
        <v>0</v>
      </c>
      <c r="P405" s="26">
        <v>0</v>
      </c>
      <c r="Q405" s="26">
        <v>0</v>
      </c>
      <c r="R405" s="26">
        <v>0</v>
      </c>
      <c r="S405" s="26">
        <v>0</v>
      </c>
      <c r="T405" s="26">
        <v>0</v>
      </c>
      <c r="U405" s="26">
        <v>0</v>
      </c>
      <c r="V405" s="26">
        <v>0</v>
      </c>
      <c r="W405" s="26">
        <v>0</v>
      </c>
      <c r="X405" s="26">
        <f>-IF(VLOOKUP($B405,Resumo_HSF!$C$13:$AB$1000,16,FALSE)=VLOOKUP($B404,Resumo_HSF!$C$13:$AB$1000,16,FALSE),0,(VLOOKUP($B405,Resumo_HSF!$C$13:$AB$1000,16,FALSE)-VLOOKUP($B404,Resumo_HSF!$C$13:$AB$1000,16,FALSE))*VLOOKUP($B405,Resumo_HSF!$C$13:$AB$1000,15,FALSE))</f>
        <v>0</v>
      </c>
      <c r="Y405" s="26">
        <v>0</v>
      </c>
      <c r="Z405" s="26">
        <v>0</v>
      </c>
      <c r="AA405" s="26">
        <v>0</v>
      </c>
      <c r="AB405" s="26">
        <v>0</v>
      </c>
      <c r="AC405" s="26">
        <v>0</v>
      </c>
      <c r="AD405" s="15">
        <f t="shared" si="466"/>
        <v>0</v>
      </c>
    </row>
    <row r="406" spans="2:30">
      <c r="B406" s="1">
        <f>WORKDAY(B405,1,Feriados!A209:A1048)</f>
        <v>45441</v>
      </c>
      <c r="C406" s="51">
        <f t="shared" ref="C406" si="467">AD406</f>
        <v>0</v>
      </c>
      <c r="D406" s="26">
        <v>0</v>
      </c>
      <c r="E406" s="26">
        <v>0</v>
      </c>
      <c r="F406" s="26">
        <v>0</v>
      </c>
      <c r="G406" s="26">
        <v>0</v>
      </c>
      <c r="H406" s="26">
        <v>0</v>
      </c>
      <c r="I406" s="26">
        <v>0</v>
      </c>
      <c r="J406" s="26">
        <v>0</v>
      </c>
      <c r="K406">
        <f>-VLOOKUP(B406,Resumo_HSF!$C$13:$AH$600,28,FALSE)</f>
        <v>0</v>
      </c>
      <c r="L406" s="26">
        <v>0</v>
      </c>
      <c r="M406" s="26">
        <v>0</v>
      </c>
      <c r="N406" s="26">
        <v>0</v>
      </c>
      <c r="O406" s="26">
        <v>0</v>
      </c>
      <c r="P406" s="26">
        <v>0</v>
      </c>
      <c r="Q406" s="26">
        <v>0</v>
      </c>
      <c r="R406" s="26">
        <v>0</v>
      </c>
      <c r="S406" s="26">
        <v>0</v>
      </c>
      <c r="T406" s="26">
        <v>0</v>
      </c>
      <c r="U406" s="26">
        <v>0</v>
      </c>
      <c r="V406" s="26">
        <v>0</v>
      </c>
      <c r="W406" s="26">
        <v>0</v>
      </c>
      <c r="X406" s="26">
        <f>-IF(VLOOKUP($B406,Resumo_HSF!$C$13:$AB$1000,16,FALSE)=VLOOKUP($B405,Resumo_HSF!$C$13:$AB$1000,16,FALSE),0,(VLOOKUP($B406,Resumo_HSF!$C$13:$AB$1000,16,FALSE)-VLOOKUP($B405,Resumo_HSF!$C$13:$AB$1000,16,FALSE))*VLOOKUP($B406,Resumo_HSF!$C$13:$AB$1000,15,FALSE))</f>
        <v>0</v>
      </c>
      <c r="Y406" s="26">
        <v>0</v>
      </c>
      <c r="Z406" s="26">
        <v>0</v>
      </c>
      <c r="AA406" s="26">
        <v>0</v>
      </c>
      <c r="AB406" s="26">
        <v>0</v>
      </c>
      <c r="AC406" s="26">
        <v>0</v>
      </c>
      <c r="AD406" s="15">
        <f t="shared" ref="AD406" si="468">SUM(D406:AB406)</f>
        <v>0</v>
      </c>
    </row>
    <row r="407" spans="2:30">
      <c r="B407" s="1">
        <v>45443</v>
      </c>
      <c r="C407" s="51">
        <f t="shared" ref="C407" si="469">AD407</f>
        <v>0</v>
      </c>
      <c r="D407" s="26">
        <v>0</v>
      </c>
      <c r="E407" s="26">
        <v>0</v>
      </c>
      <c r="F407" s="26">
        <v>0</v>
      </c>
      <c r="G407" s="26">
        <v>0</v>
      </c>
      <c r="H407" s="26">
        <v>0</v>
      </c>
      <c r="I407" s="26">
        <v>0</v>
      </c>
      <c r="J407" s="26">
        <v>0</v>
      </c>
      <c r="K407">
        <f>-VLOOKUP(B407,Resumo_HSF!$C$13:$AH$600,28,FALSE)</f>
        <v>0</v>
      </c>
      <c r="L407" s="26">
        <v>0</v>
      </c>
      <c r="M407" s="26">
        <v>0</v>
      </c>
      <c r="N407" s="26">
        <v>0</v>
      </c>
      <c r="O407" s="26">
        <v>0</v>
      </c>
      <c r="P407" s="26">
        <v>0</v>
      </c>
      <c r="Q407" s="26">
        <v>0</v>
      </c>
      <c r="R407" s="26">
        <v>0</v>
      </c>
      <c r="S407" s="26">
        <v>0</v>
      </c>
      <c r="T407" s="26">
        <v>0</v>
      </c>
      <c r="U407" s="26">
        <v>0</v>
      </c>
      <c r="V407" s="26">
        <v>0</v>
      </c>
      <c r="W407" s="26">
        <v>0</v>
      </c>
      <c r="X407" s="26">
        <f>-IF(VLOOKUP($B407,Resumo_HSF!$C$13:$AB$1000,16,FALSE)=VLOOKUP($B406,Resumo_HSF!$C$13:$AB$1000,16,FALSE),0,(VLOOKUP($B407,Resumo_HSF!$C$13:$AB$1000,16,FALSE)-VLOOKUP($B406,Resumo_HSF!$C$13:$AB$1000,16,FALSE))*VLOOKUP($B407,Resumo_HSF!$C$13:$AB$1000,15,FALSE))</f>
        <v>0</v>
      </c>
      <c r="Y407" s="26">
        <v>0</v>
      </c>
      <c r="Z407" s="26">
        <v>0</v>
      </c>
      <c r="AA407" s="26">
        <v>0</v>
      </c>
      <c r="AB407" s="26">
        <v>0</v>
      </c>
      <c r="AC407" s="26">
        <v>0</v>
      </c>
      <c r="AD407" s="15">
        <f t="shared" ref="AD407" si="470">SUM(D407:AB407)</f>
        <v>0</v>
      </c>
    </row>
    <row r="408" spans="2:30">
      <c r="B408" s="1">
        <f>WORKDAY(B407,1,Feriados!A211:A1050)</f>
        <v>45446</v>
      </c>
      <c r="C408" s="51">
        <f t="shared" ref="C408" si="471">AD408</f>
        <v>0</v>
      </c>
      <c r="D408" s="26">
        <v>0</v>
      </c>
      <c r="E408" s="26">
        <v>0</v>
      </c>
      <c r="F408" s="26">
        <v>0</v>
      </c>
      <c r="G408" s="26">
        <v>0</v>
      </c>
      <c r="H408" s="26">
        <v>0</v>
      </c>
      <c r="I408" s="26">
        <v>0</v>
      </c>
      <c r="J408" s="26">
        <v>0</v>
      </c>
      <c r="K408">
        <f>-VLOOKUP(B408,Resumo_HSF!$C$13:$AH$600,28,FALSE)</f>
        <v>0</v>
      </c>
      <c r="L408" s="26">
        <v>0</v>
      </c>
      <c r="M408" s="26">
        <v>0</v>
      </c>
      <c r="N408" s="26">
        <v>0</v>
      </c>
      <c r="O408" s="26">
        <v>0</v>
      </c>
      <c r="P408" s="26">
        <v>0</v>
      </c>
      <c r="Q408" s="26">
        <v>0</v>
      </c>
      <c r="R408" s="26">
        <v>0</v>
      </c>
      <c r="S408" s="26">
        <v>0</v>
      </c>
      <c r="T408" s="26">
        <v>0</v>
      </c>
      <c r="U408" s="26">
        <v>0</v>
      </c>
      <c r="V408" s="26">
        <v>0</v>
      </c>
      <c r="W408" s="26">
        <v>0</v>
      </c>
      <c r="X408" s="26">
        <f>-IF(VLOOKUP($B408,Resumo_HSF!$C$13:$AB$1000,16,FALSE)=VLOOKUP($B407,Resumo_HSF!$C$13:$AB$1000,16,FALSE),0,(VLOOKUP($B408,Resumo_HSF!$C$13:$AB$1000,16,FALSE)-VLOOKUP($B407,Resumo_HSF!$C$13:$AB$1000,16,FALSE))*VLOOKUP($B408,Resumo_HSF!$C$13:$AB$1000,15,FALSE))</f>
        <v>0</v>
      </c>
      <c r="Y408" s="26">
        <v>0</v>
      </c>
      <c r="Z408" s="26">
        <v>0</v>
      </c>
      <c r="AA408" s="26">
        <v>0</v>
      </c>
      <c r="AB408" s="26">
        <v>0</v>
      </c>
      <c r="AC408" s="26">
        <v>0</v>
      </c>
      <c r="AD408" s="15">
        <f t="shared" ref="AD408" si="472">SUM(D408:AB408)</f>
        <v>0</v>
      </c>
    </row>
    <row r="409" spans="2:30">
      <c r="B409" s="1">
        <f>WORKDAY(B408,1,Feriados!A212:A1051)</f>
        <v>45447</v>
      </c>
      <c r="C409" s="51">
        <f t="shared" ref="C409:C411" si="473">AD409</f>
        <v>0</v>
      </c>
      <c r="D409" s="26">
        <v>0</v>
      </c>
      <c r="E409" s="26">
        <v>0</v>
      </c>
      <c r="F409" s="26">
        <v>0</v>
      </c>
      <c r="G409" s="26">
        <v>0</v>
      </c>
      <c r="H409" s="26">
        <v>0</v>
      </c>
      <c r="I409" s="26">
        <v>0</v>
      </c>
      <c r="J409" s="26">
        <v>0</v>
      </c>
      <c r="K409">
        <f>-VLOOKUP(B409,Resumo_HSF!$C$13:$AH$600,28,FALSE)</f>
        <v>0</v>
      </c>
      <c r="L409" s="26">
        <v>0</v>
      </c>
      <c r="M409" s="26">
        <v>0</v>
      </c>
      <c r="N409" s="26">
        <v>0</v>
      </c>
      <c r="O409" s="26">
        <v>0</v>
      </c>
      <c r="P409" s="26">
        <v>0</v>
      </c>
      <c r="Q409" s="26">
        <v>0</v>
      </c>
      <c r="R409" s="26">
        <v>0</v>
      </c>
      <c r="S409" s="26">
        <v>0</v>
      </c>
      <c r="T409" s="26">
        <v>0</v>
      </c>
      <c r="U409" s="26">
        <v>0</v>
      </c>
      <c r="V409" s="26">
        <v>0</v>
      </c>
      <c r="W409" s="26">
        <v>0</v>
      </c>
      <c r="X409" s="26">
        <f>-IF(VLOOKUP($B409,Resumo_HSF!$C$13:$AB$1000,16,FALSE)=VLOOKUP($B408,Resumo_HSF!$C$13:$AB$1000,16,FALSE),0,(VLOOKUP($B409,Resumo_HSF!$C$13:$AB$1000,16,FALSE)-VLOOKUP($B408,Resumo_HSF!$C$13:$AB$1000,16,FALSE))*VLOOKUP($B409,Resumo_HSF!$C$13:$AB$1000,15,FALSE))</f>
        <v>0</v>
      </c>
      <c r="Y409" s="26">
        <v>0</v>
      </c>
      <c r="Z409" s="26">
        <v>0</v>
      </c>
      <c r="AA409" s="26">
        <v>0</v>
      </c>
      <c r="AB409" s="26">
        <v>0</v>
      </c>
      <c r="AC409" s="26">
        <v>0</v>
      </c>
      <c r="AD409" s="15">
        <f t="shared" ref="AD409:AD411" si="474">SUM(D409:AB409)</f>
        <v>0</v>
      </c>
    </row>
    <row r="410" spans="2:30">
      <c r="B410" s="1">
        <f>WORKDAY(B409,1,Feriados!A213:A1052)</f>
        <v>45448</v>
      </c>
      <c r="C410" s="51">
        <f t="shared" si="473"/>
        <v>0</v>
      </c>
      <c r="D410" s="26">
        <v>0</v>
      </c>
      <c r="E410" s="26">
        <v>0</v>
      </c>
      <c r="F410" s="26">
        <v>0</v>
      </c>
      <c r="G410" s="26">
        <v>0</v>
      </c>
      <c r="H410" s="26">
        <v>0</v>
      </c>
      <c r="I410" s="26">
        <v>0</v>
      </c>
      <c r="J410" s="26">
        <v>0</v>
      </c>
      <c r="K410">
        <f>-VLOOKUP(B410,Resumo_HSF!$C$13:$AH$600,28,FALSE)</f>
        <v>0</v>
      </c>
      <c r="L410" s="26">
        <v>0</v>
      </c>
      <c r="M410" s="26">
        <v>0</v>
      </c>
      <c r="N410" s="26">
        <v>0</v>
      </c>
      <c r="O410" s="26">
        <v>0</v>
      </c>
      <c r="P410" s="26">
        <v>0</v>
      </c>
      <c r="Q410" s="26">
        <v>0</v>
      </c>
      <c r="R410" s="26">
        <v>0</v>
      </c>
      <c r="S410" s="26">
        <v>0</v>
      </c>
      <c r="T410" s="26">
        <v>0</v>
      </c>
      <c r="U410" s="26">
        <v>0</v>
      </c>
      <c r="V410" s="26">
        <v>0</v>
      </c>
      <c r="W410" s="26">
        <v>0</v>
      </c>
      <c r="X410" s="26">
        <f>-IF(VLOOKUP($B410,Resumo_HSF!$C$13:$AB$1000,16,FALSE)=VLOOKUP($B409,Resumo_HSF!$C$13:$AB$1000,16,FALSE),0,(VLOOKUP($B410,Resumo_HSF!$C$13:$AB$1000,16,FALSE)-VLOOKUP($B409,Resumo_HSF!$C$13:$AB$1000,16,FALSE))*VLOOKUP($B410,Resumo_HSF!$C$13:$AB$1000,15,FALSE))</f>
        <v>0</v>
      </c>
      <c r="Y410" s="26">
        <v>0</v>
      </c>
      <c r="Z410" s="26">
        <v>0</v>
      </c>
      <c r="AA410" s="26">
        <v>0</v>
      </c>
      <c r="AB410" s="26">
        <v>0</v>
      </c>
      <c r="AC410" s="26">
        <v>0</v>
      </c>
      <c r="AD410" s="15">
        <f t="shared" si="474"/>
        <v>0</v>
      </c>
    </row>
    <row r="411" spans="2:30">
      <c r="B411" s="1">
        <f>WORKDAY(B410,1,Feriados!A214:A1053)</f>
        <v>45449</v>
      </c>
      <c r="C411" s="51">
        <f t="shared" si="473"/>
        <v>0</v>
      </c>
      <c r="D411" s="26">
        <v>0</v>
      </c>
      <c r="E411" s="26">
        <v>0</v>
      </c>
      <c r="F411" s="26">
        <v>0</v>
      </c>
      <c r="G411" s="26">
        <v>0</v>
      </c>
      <c r="H411" s="26">
        <v>0</v>
      </c>
      <c r="I411" s="26">
        <v>0</v>
      </c>
      <c r="J411" s="26">
        <v>0</v>
      </c>
      <c r="K411">
        <f>-VLOOKUP(B411,Resumo_HSF!$C$13:$AH$600,28,FALSE)</f>
        <v>0</v>
      </c>
      <c r="L411" s="26">
        <v>0</v>
      </c>
      <c r="M411" s="26">
        <v>0</v>
      </c>
      <c r="N411" s="26">
        <v>0</v>
      </c>
      <c r="O411" s="26">
        <v>0</v>
      </c>
      <c r="P411" s="26">
        <v>0</v>
      </c>
      <c r="Q411" s="26">
        <v>0</v>
      </c>
      <c r="R411" s="26">
        <v>0</v>
      </c>
      <c r="S411" s="26">
        <v>0</v>
      </c>
      <c r="T411" s="26">
        <v>0</v>
      </c>
      <c r="U411" s="26">
        <v>0</v>
      </c>
      <c r="V411" s="26">
        <v>0</v>
      </c>
      <c r="W411" s="26">
        <v>0</v>
      </c>
      <c r="X411" s="26">
        <f>-IF(VLOOKUP($B411,Resumo_HSF!$C$13:$AB$1000,16,FALSE)=VLOOKUP($B410,Resumo_HSF!$C$13:$AB$1000,16,FALSE),0,(VLOOKUP($B411,Resumo_HSF!$C$13:$AB$1000,16,FALSE)-VLOOKUP($B410,Resumo_HSF!$C$13:$AB$1000,16,FALSE))*VLOOKUP($B411,Resumo_HSF!$C$13:$AB$1000,15,FALSE))</f>
        <v>0</v>
      </c>
      <c r="Y411" s="26">
        <v>0</v>
      </c>
      <c r="Z411" s="26">
        <v>0</v>
      </c>
      <c r="AA411" s="26">
        <v>0</v>
      </c>
      <c r="AB411" s="26">
        <v>0</v>
      </c>
      <c r="AC411" s="26">
        <v>0</v>
      </c>
      <c r="AD411" s="15">
        <f t="shared" si="474"/>
        <v>0</v>
      </c>
    </row>
    <row r="412" spans="2:30">
      <c r="B412" s="1">
        <f>WORKDAY(B411,1,Feriados!A215:A1054)</f>
        <v>45450</v>
      </c>
      <c r="C412" s="51">
        <f t="shared" ref="C412:C415" si="475">AD412</f>
        <v>-6.4260812848715432E-7</v>
      </c>
      <c r="D412" s="26">
        <v>-10913.07</v>
      </c>
      <c r="E412" s="26">
        <v>0</v>
      </c>
      <c r="F412" s="26">
        <v>0</v>
      </c>
      <c r="G412" s="26">
        <v>0</v>
      </c>
      <c r="H412" s="26">
        <v>0</v>
      </c>
      <c r="I412" s="26">
        <v>0</v>
      </c>
      <c r="J412" s="26">
        <v>0</v>
      </c>
      <c r="K412">
        <f>-VLOOKUP(B412,Resumo_HSF!$C$13:$AH$600,28,FALSE)</f>
        <v>0</v>
      </c>
      <c r="L412" s="26">
        <v>0</v>
      </c>
      <c r="M412" s="26">
        <v>0</v>
      </c>
      <c r="N412" s="26">
        <v>0</v>
      </c>
      <c r="O412" s="26">
        <v>0</v>
      </c>
      <c r="P412" s="26">
        <v>0</v>
      </c>
      <c r="Q412" s="26">
        <v>0</v>
      </c>
      <c r="R412" s="26">
        <v>0</v>
      </c>
      <c r="S412" s="26">
        <v>0</v>
      </c>
      <c r="T412" s="26">
        <v>0</v>
      </c>
      <c r="U412" s="26">
        <v>11000</v>
      </c>
      <c r="V412" s="26">
        <v>0</v>
      </c>
      <c r="W412" s="26">
        <v>0</v>
      </c>
      <c r="X412" s="26">
        <f>-IF(VLOOKUP($B412,Resumo_HSF!$C$13:$AB$1000,16,FALSE)=VLOOKUP($B411,Resumo_HSF!$C$13:$AB$1000,16,FALSE),0,(VLOOKUP($B412,Resumo_HSF!$C$13:$AB$1000,16,FALSE)-VLOOKUP($B411,Resumo_HSF!$C$13:$AB$1000,16,FALSE))*VLOOKUP($B412,Resumo_HSF!$C$13:$AB$1000,15,FALSE))</f>
        <v>-86.93000064260842</v>
      </c>
      <c r="Y412" s="26">
        <v>0</v>
      </c>
      <c r="Z412" s="26">
        <v>0</v>
      </c>
      <c r="AA412" s="26">
        <v>0</v>
      </c>
      <c r="AB412" s="26">
        <v>0</v>
      </c>
      <c r="AC412" s="26">
        <v>0</v>
      </c>
      <c r="AD412" s="15">
        <f t="shared" ref="AD412:AD415" si="476">SUM(D412:AB412)</f>
        <v>-6.4260812848715432E-7</v>
      </c>
    </row>
    <row r="413" spans="2:30">
      <c r="B413" s="1">
        <f>WORKDAY(B412,1,Feriados!A216:A1055)</f>
        <v>45453</v>
      </c>
      <c r="C413" s="51">
        <f t="shared" si="475"/>
        <v>0</v>
      </c>
      <c r="D413" s="26">
        <v>0</v>
      </c>
      <c r="E413" s="26">
        <v>0</v>
      </c>
      <c r="F413" s="26">
        <v>0</v>
      </c>
      <c r="G413" s="26">
        <v>0</v>
      </c>
      <c r="H413" s="26">
        <v>0</v>
      </c>
      <c r="I413" s="26">
        <v>0</v>
      </c>
      <c r="J413" s="26">
        <v>0</v>
      </c>
      <c r="K413">
        <f>-VLOOKUP(B413,Resumo_HSF!$C$13:$AH$600,28,FALSE)</f>
        <v>0</v>
      </c>
      <c r="L413" s="26">
        <v>0</v>
      </c>
      <c r="M413" s="26">
        <v>0</v>
      </c>
      <c r="N413" s="26">
        <v>0</v>
      </c>
      <c r="O413" s="26">
        <v>0</v>
      </c>
      <c r="P413" s="26">
        <v>0</v>
      </c>
      <c r="Q413" s="26">
        <v>0</v>
      </c>
      <c r="R413" s="26">
        <v>0</v>
      </c>
      <c r="S413" s="26">
        <v>0</v>
      </c>
      <c r="T413" s="26">
        <v>0</v>
      </c>
      <c r="U413" s="26">
        <v>0</v>
      </c>
      <c r="V413" s="26">
        <v>0</v>
      </c>
      <c r="W413" s="26">
        <v>0</v>
      </c>
      <c r="X413" s="26">
        <f>-IF(VLOOKUP($B413,Resumo_HSF!$C$13:$AB$1000,16,FALSE)=VLOOKUP($B412,Resumo_HSF!$C$13:$AB$1000,16,FALSE),0,(VLOOKUP($B413,Resumo_HSF!$C$13:$AB$1000,16,FALSE)-VLOOKUP($B412,Resumo_HSF!$C$13:$AB$1000,16,FALSE))*VLOOKUP($B413,Resumo_HSF!$C$13:$AB$1000,15,FALSE))</f>
        <v>0</v>
      </c>
      <c r="Y413" s="26">
        <v>0</v>
      </c>
      <c r="Z413" s="26">
        <v>0</v>
      </c>
      <c r="AA413" s="26">
        <v>0</v>
      </c>
      <c r="AB413" s="26">
        <v>0</v>
      </c>
      <c r="AC413" s="26">
        <v>0</v>
      </c>
      <c r="AD413" s="15">
        <f t="shared" si="476"/>
        <v>0</v>
      </c>
    </row>
    <row r="414" spans="2:30">
      <c r="B414" s="1">
        <f>WORKDAY(B413,1,Feriados!A217:A1056)</f>
        <v>45454</v>
      </c>
      <c r="C414" s="51">
        <f t="shared" si="475"/>
        <v>0</v>
      </c>
      <c r="D414" s="26">
        <v>0</v>
      </c>
      <c r="E414" s="26">
        <v>0</v>
      </c>
      <c r="F414" s="26">
        <v>0</v>
      </c>
      <c r="G414" s="26">
        <v>0</v>
      </c>
      <c r="H414" s="26">
        <v>0</v>
      </c>
      <c r="I414" s="26">
        <v>0</v>
      </c>
      <c r="J414" s="26">
        <v>0</v>
      </c>
      <c r="K414">
        <f>-VLOOKUP(B414,Resumo_HSF!$C$13:$AH$600,28,FALSE)</f>
        <v>0</v>
      </c>
      <c r="L414" s="26">
        <v>0</v>
      </c>
      <c r="M414" s="26">
        <v>0</v>
      </c>
      <c r="N414" s="26">
        <v>0</v>
      </c>
      <c r="O414" s="26">
        <v>0</v>
      </c>
      <c r="P414" s="26">
        <v>0</v>
      </c>
      <c r="Q414" s="26">
        <v>0</v>
      </c>
      <c r="R414" s="26">
        <v>0</v>
      </c>
      <c r="S414" s="26">
        <v>0</v>
      </c>
      <c r="T414" s="26">
        <v>0</v>
      </c>
      <c r="U414" s="26">
        <v>0</v>
      </c>
      <c r="V414" s="26">
        <v>0</v>
      </c>
      <c r="W414" s="26">
        <v>0</v>
      </c>
      <c r="X414" s="26">
        <f>-IF(VLOOKUP($B414,Resumo_HSF!$C$13:$AB$1000,16,FALSE)=VLOOKUP($B413,Resumo_HSF!$C$13:$AB$1000,16,FALSE),0,(VLOOKUP($B414,Resumo_HSF!$C$13:$AB$1000,16,FALSE)-VLOOKUP($B413,Resumo_HSF!$C$13:$AB$1000,16,FALSE))*VLOOKUP($B414,Resumo_HSF!$C$13:$AB$1000,15,FALSE))</f>
        <v>0</v>
      </c>
      <c r="Y414" s="26">
        <v>0</v>
      </c>
      <c r="Z414" s="26">
        <v>0</v>
      </c>
      <c r="AA414" s="26">
        <v>0</v>
      </c>
      <c r="AB414" s="26">
        <v>0</v>
      </c>
      <c r="AC414" s="26">
        <v>0</v>
      </c>
      <c r="AD414" s="15">
        <f t="shared" si="476"/>
        <v>0</v>
      </c>
    </row>
    <row r="415" spans="2:30">
      <c r="B415" s="1">
        <f>WORKDAY(B414,1,Feriados!A218:A1057)</f>
        <v>45455</v>
      </c>
      <c r="C415" s="51">
        <f t="shared" si="475"/>
        <v>0</v>
      </c>
      <c r="D415" s="26">
        <v>0</v>
      </c>
      <c r="E415" s="26">
        <v>0</v>
      </c>
      <c r="F415" s="26">
        <v>0</v>
      </c>
      <c r="G415" s="26">
        <v>0</v>
      </c>
      <c r="H415" s="26">
        <v>0</v>
      </c>
      <c r="I415" s="26">
        <v>0</v>
      </c>
      <c r="J415" s="26">
        <v>0</v>
      </c>
      <c r="K415">
        <f>-VLOOKUP(B415,Resumo_HSF!$C$13:$AH$600,28,FALSE)</f>
        <v>0</v>
      </c>
      <c r="L415" s="26">
        <v>0</v>
      </c>
      <c r="M415" s="26">
        <v>0</v>
      </c>
      <c r="N415" s="26">
        <v>0</v>
      </c>
      <c r="O415" s="26">
        <v>0</v>
      </c>
      <c r="P415" s="26">
        <v>0</v>
      </c>
      <c r="Q415" s="26">
        <v>0</v>
      </c>
      <c r="R415" s="26">
        <v>0</v>
      </c>
      <c r="S415" s="26">
        <v>0</v>
      </c>
      <c r="T415" s="26">
        <v>0</v>
      </c>
      <c r="U415" s="26">
        <v>0</v>
      </c>
      <c r="V415" s="26">
        <v>0</v>
      </c>
      <c r="W415" s="26">
        <v>0</v>
      </c>
      <c r="X415" s="26">
        <f>-IF(VLOOKUP($B415,Resumo_HSF!$C$13:$AB$1000,16,FALSE)=VLOOKUP($B414,Resumo_HSF!$C$13:$AB$1000,16,FALSE),0,(VLOOKUP($B415,Resumo_HSF!$C$13:$AB$1000,16,FALSE)-VLOOKUP($B414,Resumo_HSF!$C$13:$AB$1000,16,FALSE))*VLOOKUP($B415,Resumo_HSF!$C$13:$AB$1000,15,FALSE))</f>
        <v>0</v>
      </c>
      <c r="Y415" s="26">
        <v>0</v>
      </c>
      <c r="Z415" s="26">
        <v>0</v>
      </c>
      <c r="AA415" s="26">
        <v>0</v>
      </c>
      <c r="AB415" s="26">
        <v>0</v>
      </c>
      <c r="AC415" s="26">
        <v>0</v>
      </c>
      <c r="AD415" s="15">
        <f t="shared" si="476"/>
        <v>0</v>
      </c>
    </row>
    <row r="416" spans="2:30">
      <c r="B416" s="1">
        <f>WORKDAY(B415,1,Feriados!A219:A1058)</f>
        <v>45456</v>
      </c>
      <c r="C416" s="51">
        <f t="shared" ref="C416" si="477">AD416</f>
        <v>0</v>
      </c>
      <c r="D416" s="26">
        <v>0</v>
      </c>
      <c r="E416" s="26">
        <v>0</v>
      </c>
      <c r="F416" s="26">
        <v>0</v>
      </c>
      <c r="G416" s="26">
        <v>0</v>
      </c>
      <c r="H416" s="26">
        <v>0</v>
      </c>
      <c r="I416" s="26">
        <v>0</v>
      </c>
      <c r="J416" s="26">
        <v>0</v>
      </c>
      <c r="K416">
        <f>-VLOOKUP(B416,Resumo_HSF!$C$13:$AH$600,28,FALSE)</f>
        <v>0</v>
      </c>
      <c r="L416" s="26">
        <v>0</v>
      </c>
      <c r="M416" s="26">
        <v>0</v>
      </c>
      <c r="N416" s="26">
        <v>0</v>
      </c>
      <c r="O416" s="26">
        <v>0</v>
      </c>
      <c r="P416" s="26">
        <v>0</v>
      </c>
      <c r="Q416" s="26">
        <v>0</v>
      </c>
      <c r="R416" s="26">
        <v>0</v>
      </c>
      <c r="S416" s="26">
        <v>0</v>
      </c>
      <c r="T416" s="26">
        <v>0</v>
      </c>
      <c r="U416" s="26">
        <v>0</v>
      </c>
      <c r="V416" s="26">
        <v>0</v>
      </c>
      <c r="W416" s="26">
        <v>0</v>
      </c>
      <c r="X416" s="26">
        <f>-IF(VLOOKUP($B416,Resumo_HSF!$C$13:$AB$1000,16,FALSE)=VLOOKUP($B415,Resumo_HSF!$C$13:$AB$1000,16,FALSE),0,(VLOOKUP($B416,Resumo_HSF!$C$13:$AB$1000,16,FALSE)-VLOOKUP($B415,Resumo_HSF!$C$13:$AB$1000,16,FALSE))*VLOOKUP($B416,Resumo_HSF!$C$13:$AB$1000,15,FALSE))</f>
        <v>0</v>
      </c>
      <c r="Y416" s="26">
        <v>0</v>
      </c>
      <c r="Z416" s="26">
        <v>0</v>
      </c>
      <c r="AA416" s="26">
        <v>0</v>
      </c>
      <c r="AB416" s="26">
        <v>0</v>
      </c>
      <c r="AC416" s="26">
        <v>0</v>
      </c>
      <c r="AD416" s="15">
        <f t="shared" ref="AD416" si="478">SUM(D416:AB416)</f>
        <v>0</v>
      </c>
    </row>
    <row r="417" spans="2:30">
      <c r="B417" s="1">
        <f>WORKDAY(B416,1,Feriados!A220:A1059)</f>
        <v>45457</v>
      </c>
      <c r="C417" s="51">
        <f t="shared" ref="C417" si="479">AD417</f>
        <v>0</v>
      </c>
      <c r="D417" s="26">
        <v>0</v>
      </c>
      <c r="E417" s="26">
        <v>0</v>
      </c>
      <c r="F417" s="26">
        <v>0</v>
      </c>
      <c r="G417" s="26">
        <v>0</v>
      </c>
      <c r="H417" s="26">
        <v>0</v>
      </c>
      <c r="I417" s="26">
        <v>0</v>
      </c>
      <c r="J417" s="26">
        <v>0</v>
      </c>
      <c r="K417">
        <f>-VLOOKUP(B417,Resumo_HSF!$C$13:$AH$600,28,FALSE)</f>
        <v>0</v>
      </c>
      <c r="L417" s="26">
        <v>0</v>
      </c>
      <c r="M417" s="26">
        <v>0</v>
      </c>
      <c r="N417" s="26">
        <v>0</v>
      </c>
      <c r="O417" s="26">
        <v>0</v>
      </c>
      <c r="P417" s="26">
        <v>0</v>
      </c>
      <c r="Q417" s="26">
        <v>0</v>
      </c>
      <c r="R417" s="26">
        <v>0</v>
      </c>
      <c r="S417" s="26">
        <v>0</v>
      </c>
      <c r="T417" s="26">
        <v>0</v>
      </c>
      <c r="U417" s="26">
        <v>0</v>
      </c>
      <c r="V417" s="26">
        <v>0</v>
      </c>
      <c r="W417" s="26">
        <v>0</v>
      </c>
      <c r="X417" s="26">
        <f>-IF(VLOOKUP($B417,Resumo_HSF!$C$13:$AB$1000,16,FALSE)=VLOOKUP($B416,Resumo_HSF!$C$13:$AB$1000,16,FALSE),0,(VLOOKUP($B417,Resumo_HSF!$C$13:$AB$1000,16,FALSE)-VLOOKUP($B416,Resumo_HSF!$C$13:$AB$1000,16,FALSE))*VLOOKUP($B417,Resumo_HSF!$C$13:$AB$1000,15,FALSE))</f>
        <v>0</v>
      </c>
      <c r="Y417" s="26">
        <v>0</v>
      </c>
      <c r="Z417" s="26">
        <v>0</v>
      </c>
      <c r="AA417" s="26">
        <v>0</v>
      </c>
      <c r="AB417" s="26">
        <v>0</v>
      </c>
      <c r="AC417" s="26">
        <v>0</v>
      </c>
      <c r="AD417" s="15">
        <f t="shared" ref="AD417" si="480">SUM(D417:AB417)</f>
        <v>0</v>
      </c>
    </row>
    <row r="418" spans="2:30">
      <c r="B418" s="1">
        <f>WORKDAY(B417,1,Feriados!A221:A1060)</f>
        <v>45460</v>
      </c>
      <c r="C418" s="51">
        <f t="shared" ref="C418" si="481">AD418</f>
        <v>0</v>
      </c>
      <c r="D418" s="26">
        <v>0</v>
      </c>
      <c r="E418" s="26">
        <v>0</v>
      </c>
      <c r="F418" s="26">
        <v>0</v>
      </c>
      <c r="G418" s="26">
        <v>0</v>
      </c>
      <c r="H418" s="26">
        <v>0</v>
      </c>
      <c r="I418" s="26">
        <v>0</v>
      </c>
      <c r="J418" s="26">
        <v>0</v>
      </c>
      <c r="K418">
        <f>-VLOOKUP(B418,Resumo_HSF!$C$13:$AH$600,28,FALSE)</f>
        <v>0</v>
      </c>
      <c r="L418" s="26">
        <v>0</v>
      </c>
      <c r="M418" s="26">
        <v>0</v>
      </c>
      <c r="N418" s="26">
        <v>0</v>
      </c>
      <c r="O418" s="26">
        <v>0</v>
      </c>
      <c r="P418" s="26">
        <v>0</v>
      </c>
      <c r="Q418" s="26">
        <v>0</v>
      </c>
      <c r="R418" s="26">
        <v>0</v>
      </c>
      <c r="S418" s="26">
        <v>0</v>
      </c>
      <c r="T418" s="26">
        <v>0</v>
      </c>
      <c r="U418" s="26">
        <v>0</v>
      </c>
      <c r="V418" s="26">
        <v>0</v>
      </c>
      <c r="W418" s="26">
        <v>0</v>
      </c>
      <c r="X418" s="26">
        <f>-IF(VLOOKUP($B418,Resumo_HSF!$C$13:$AB$1000,16,FALSE)=VLOOKUP($B417,Resumo_HSF!$C$13:$AB$1000,16,FALSE),0,(VLOOKUP($B418,Resumo_HSF!$C$13:$AB$1000,16,FALSE)-VLOOKUP($B417,Resumo_HSF!$C$13:$AB$1000,16,FALSE))*VLOOKUP($B418,Resumo_HSF!$C$13:$AB$1000,15,FALSE))</f>
        <v>0</v>
      </c>
      <c r="Y418" s="26">
        <v>0</v>
      </c>
      <c r="Z418" s="26">
        <v>0</v>
      </c>
      <c r="AA418" s="26">
        <v>0</v>
      </c>
      <c r="AB418" s="26">
        <v>0</v>
      </c>
      <c r="AC418" s="26">
        <v>0</v>
      </c>
      <c r="AD418" s="15">
        <f t="shared" ref="AD418" si="482">SUM(D418:AB418)</f>
        <v>0</v>
      </c>
    </row>
    <row r="419" spans="2:30">
      <c r="B419" s="1">
        <f>WORKDAY(B418,1,Feriados!A222:A1061)</f>
        <v>45461</v>
      </c>
      <c r="C419" s="51">
        <f t="shared" ref="C419" si="483">AD419</f>
        <v>0</v>
      </c>
      <c r="D419" s="26">
        <v>0</v>
      </c>
      <c r="E419" s="26">
        <v>0</v>
      </c>
      <c r="F419" s="26">
        <v>0</v>
      </c>
      <c r="G419" s="26">
        <v>0</v>
      </c>
      <c r="H419" s="26">
        <v>0</v>
      </c>
      <c r="I419" s="26">
        <v>0</v>
      </c>
      <c r="J419" s="26">
        <v>0</v>
      </c>
      <c r="K419">
        <f>-VLOOKUP(B419,Resumo_HSF!$C$13:$AH$600,28,FALSE)</f>
        <v>0</v>
      </c>
      <c r="L419" s="26">
        <v>0</v>
      </c>
      <c r="M419" s="26">
        <v>0</v>
      </c>
      <c r="N419" s="26">
        <v>0</v>
      </c>
      <c r="O419" s="26">
        <v>0</v>
      </c>
      <c r="P419" s="26">
        <v>0</v>
      </c>
      <c r="Q419" s="26">
        <v>0</v>
      </c>
      <c r="R419" s="26">
        <v>0</v>
      </c>
      <c r="S419" s="26">
        <v>0</v>
      </c>
      <c r="T419" s="26">
        <v>0</v>
      </c>
      <c r="U419" s="26">
        <v>0</v>
      </c>
      <c r="V419" s="26">
        <v>0</v>
      </c>
      <c r="W419" s="26">
        <v>0</v>
      </c>
      <c r="X419" s="26">
        <f>-IF(VLOOKUP($B419,Resumo_HSF!$C$13:$AB$1000,16,FALSE)=VLOOKUP($B418,Resumo_HSF!$C$13:$AB$1000,16,FALSE),0,(VLOOKUP($B419,Resumo_HSF!$C$13:$AB$1000,16,FALSE)-VLOOKUP($B418,Resumo_HSF!$C$13:$AB$1000,16,FALSE))*VLOOKUP($B419,Resumo_HSF!$C$13:$AB$1000,15,FALSE))</f>
        <v>0</v>
      </c>
      <c r="Y419" s="26">
        <v>0</v>
      </c>
      <c r="Z419" s="26">
        <v>0</v>
      </c>
      <c r="AA419" s="26">
        <v>0</v>
      </c>
      <c r="AB419" s="26">
        <v>0</v>
      </c>
      <c r="AC419" s="26">
        <v>0</v>
      </c>
      <c r="AD419" s="15">
        <f t="shared" ref="AD419" si="484">SUM(D419:AB419)</f>
        <v>0</v>
      </c>
    </row>
    <row r="420" spans="2:30">
      <c r="B420" s="1">
        <f>WORKDAY(B419,1,Feriados!A223:A1062)</f>
        <v>45462</v>
      </c>
      <c r="C420" s="51">
        <f t="shared" ref="C420" si="485">AD420</f>
        <v>0</v>
      </c>
      <c r="D420" s="26">
        <v>0</v>
      </c>
      <c r="E420" s="26">
        <v>0</v>
      </c>
      <c r="F420" s="26">
        <v>0</v>
      </c>
      <c r="G420" s="26">
        <v>0</v>
      </c>
      <c r="H420" s="26">
        <v>0</v>
      </c>
      <c r="I420" s="26">
        <v>0</v>
      </c>
      <c r="J420" s="26">
        <v>0</v>
      </c>
      <c r="K420">
        <f>-VLOOKUP(B420,Resumo_HSF!$C$13:$AH$600,28,FALSE)</f>
        <v>0</v>
      </c>
      <c r="L420" s="26">
        <v>0</v>
      </c>
      <c r="M420" s="26">
        <v>0</v>
      </c>
      <c r="N420" s="26">
        <v>0</v>
      </c>
      <c r="O420" s="26">
        <v>0</v>
      </c>
      <c r="P420" s="26">
        <v>0</v>
      </c>
      <c r="Q420" s="26">
        <v>0</v>
      </c>
      <c r="R420" s="26">
        <v>0</v>
      </c>
      <c r="S420" s="26">
        <v>0</v>
      </c>
      <c r="T420" s="26">
        <v>0</v>
      </c>
      <c r="U420" s="26">
        <v>0</v>
      </c>
      <c r="V420" s="26">
        <v>0</v>
      </c>
      <c r="W420" s="26">
        <v>0</v>
      </c>
      <c r="X420" s="26">
        <f>-IF(VLOOKUP($B420,Resumo_HSF!$C$13:$AB$1000,16,FALSE)=VLOOKUP($B419,Resumo_HSF!$C$13:$AB$1000,16,FALSE),0,(VLOOKUP($B420,Resumo_HSF!$C$13:$AB$1000,16,FALSE)-VLOOKUP($B419,Resumo_HSF!$C$13:$AB$1000,16,FALSE))*VLOOKUP($B420,Resumo_HSF!$C$13:$AB$1000,15,FALSE))</f>
        <v>0</v>
      </c>
      <c r="Y420" s="26">
        <v>0</v>
      </c>
      <c r="Z420" s="26">
        <v>0</v>
      </c>
      <c r="AA420" s="26">
        <v>0</v>
      </c>
      <c r="AB420" s="26">
        <v>0</v>
      </c>
      <c r="AC420" s="26">
        <v>0</v>
      </c>
      <c r="AD420" s="15">
        <f t="shared" ref="AD420" si="486">SUM(D420:AB420)</f>
        <v>0</v>
      </c>
    </row>
    <row r="421" spans="2:30">
      <c r="B421" s="1">
        <f>WORKDAY(B420,1,Feriados!A224:A1063)</f>
        <v>45463</v>
      </c>
      <c r="C421" s="51">
        <f t="shared" ref="C421" si="487">AD421</f>
        <v>0</v>
      </c>
      <c r="D421" s="26">
        <v>0</v>
      </c>
      <c r="E421" s="26">
        <v>0</v>
      </c>
      <c r="F421" s="26">
        <v>0</v>
      </c>
      <c r="G421" s="26">
        <v>0</v>
      </c>
      <c r="H421" s="26">
        <v>0</v>
      </c>
      <c r="I421" s="26">
        <v>0</v>
      </c>
      <c r="J421" s="26">
        <v>0</v>
      </c>
      <c r="K421">
        <f>-VLOOKUP(B421,Resumo_HSF!$C$13:$AH$600,28,FALSE)</f>
        <v>0</v>
      </c>
      <c r="L421" s="26">
        <v>0</v>
      </c>
      <c r="M421" s="26">
        <v>0</v>
      </c>
      <c r="N421" s="26">
        <v>0</v>
      </c>
      <c r="O421" s="26">
        <v>0</v>
      </c>
      <c r="P421" s="26">
        <v>0</v>
      </c>
      <c r="Q421" s="26">
        <v>0</v>
      </c>
      <c r="R421" s="26">
        <v>0</v>
      </c>
      <c r="S421" s="26">
        <v>0</v>
      </c>
      <c r="T421" s="26">
        <v>0</v>
      </c>
      <c r="U421" s="26">
        <v>0</v>
      </c>
      <c r="V421" s="26">
        <v>0</v>
      </c>
      <c r="W421" s="26">
        <v>0</v>
      </c>
      <c r="X421" s="26">
        <f>-IF(VLOOKUP($B421,Resumo_HSF!$C$13:$AB$1000,16,FALSE)=VLOOKUP($B420,Resumo_HSF!$C$13:$AB$1000,16,FALSE),0,(VLOOKUP($B421,Resumo_HSF!$C$13:$AB$1000,16,FALSE)-VLOOKUP($B420,Resumo_HSF!$C$13:$AB$1000,16,FALSE))*VLOOKUP($B421,Resumo_HSF!$C$13:$AB$1000,15,FALSE))</f>
        <v>0</v>
      </c>
      <c r="Y421" s="26">
        <v>0</v>
      </c>
      <c r="Z421" s="26">
        <v>0</v>
      </c>
      <c r="AA421" s="26">
        <v>0</v>
      </c>
      <c r="AB421" s="26">
        <v>0</v>
      </c>
      <c r="AC421" s="26">
        <v>0</v>
      </c>
      <c r="AD421" s="15">
        <f t="shared" ref="AD421" si="488">SUM(D421:AB421)</f>
        <v>0</v>
      </c>
    </row>
    <row r="422" spans="2:30">
      <c r="B422" s="1">
        <f>WORKDAY(B421,1,Feriados!A225:A1064)</f>
        <v>45464</v>
      </c>
      <c r="C422" s="51">
        <f t="shared" ref="C422" si="489">AD422</f>
        <v>0</v>
      </c>
      <c r="D422" s="26">
        <v>0</v>
      </c>
      <c r="E422" s="26">
        <v>0</v>
      </c>
      <c r="F422" s="26">
        <v>0</v>
      </c>
      <c r="G422" s="26">
        <v>0</v>
      </c>
      <c r="H422" s="26">
        <v>0</v>
      </c>
      <c r="I422" s="26">
        <v>0</v>
      </c>
      <c r="J422" s="26">
        <v>0</v>
      </c>
      <c r="K422">
        <f>-VLOOKUP(B422,Resumo_HSF!$C$13:$AH$600,28,FALSE)</f>
        <v>0</v>
      </c>
      <c r="L422" s="26">
        <v>0</v>
      </c>
      <c r="M422" s="26">
        <v>0</v>
      </c>
      <c r="N422" s="26">
        <v>0</v>
      </c>
      <c r="O422" s="26">
        <v>0</v>
      </c>
      <c r="P422" s="26">
        <v>0</v>
      </c>
      <c r="Q422" s="26">
        <v>0</v>
      </c>
      <c r="R422" s="26">
        <v>0</v>
      </c>
      <c r="S422" s="26">
        <v>0</v>
      </c>
      <c r="T422" s="26">
        <v>0</v>
      </c>
      <c r="U422" s="26">
        <v>0</v>
      </c>
      <c r="V422" s="26">
        <v>0</v>
      </c>
      <c r="W422" s="26">
        <v>0</v>
      </c>
      <c r="X422" s="26">
        <f>-IF(VLOOKUP($B422,Resumo_HSF!$C$13:$AB$1000,16,FALSE)=VLOOKUP($B421,Resumo_HSF!$C$13:$AB$1000,16,FALSE),0,(VLOOKUP($B422,Resumo_HSF!$C$13:$AB$1000,16,FALSE)-VLOOKUP($B421,Resumo_HSF!$C$13:$AB$1000,16,FALSE))*VLOOKUP($B422,Resumo_HSF!$C$13:$AB$1000,15,FALSE))</f>
        <v>0</v>
      </c>
      <c r="Y422" s="26">
        <v>0</v>
      </c>
      <c r="Z422" s="26">
        <v>0</v>
      </c>
      <c r="AA422" s="26">
        <v>0</v>
      </c>
      <c r="AB422" s="26">
        <v>0</v>
      </c>
      <c r="AC422" s="26">
        <v>0</v>
      </c>
      <c r="AD422" s="15">
        <f t="shared" ref="AD422" si="490">SUM(D422:AB422)</f>
        <v>0</v>
      </c>
    </row>
    <row r="423" spans="2:30">
      <c r="B423" s="1">
        <f>WORKDAY(B422,1,Feriados!A226:A1065)</f>
        <v>45467</v>
      </c>
      <c r="C423" s="51">
        <f t="shared" ref="C423:C424" si="491">AD423</f>
        <v>4.3587277787082712E-8</v>
      </c>
      <c r="D423" s="26">
        <v>0</v>
      </c>
      <c r="E423" s="26">
        <v>0</v>
      </c>
      <c r="F423" s="26">
        <v>0</v>
      </c>
      <c r="G423" s="26">
        <v>0</v>
      </c>
      <c r="H423" s="26">
        <v>0</v>
      </c>
      <c r="I423" s="26">
        <v>0</v>
      </c>
      <c r="J423" s="26">
        <v>0</v>
      </c>
      <c r="K423">
        <f>-VLOOKUP(B423,Resumo_HSF!$C$13:$AH$600,28,FALSE)</f>
        <v>0</v>
      </c>
      <c r="L423" s="26">
        <v>0</v>
      </c>
      <c r="M423" s="26">
        <v>0</v>
      </c>
      <c r="N423" s="26">
        <v>0</v>
      </c>
      <c r="O423" s="26">
        <v>0</v>
      </c>
      <c r="P423" s="26">
        <v>-145</v>
      </c>
      <c r="Q423" s="26">
        <v>0</v>
      </c>
      <c r="R423" s="26">
        <v>0</v>
      </c>
      <c r="S423" s="26">
        <v>0</v>
      </c>
      <c r="T423" s="26">
        <v>0</v>
      </c>
      <c r="U423" s="26">
        <v>0</v>
      </c>
      <c r="V423" s="26">
        <v>0</v>
      </c>
      <c r="W423" s="26">
        <v>0</v>
      </c>
      <c r="X423" s="26">
        <f>-IF(VLOOKUP($B423,Resumo_HSF!$C$13:$AB$1000,16,FALSE)=VLOOKUP($B422,Resumo_HSF!$C$13:$AB$1000,16,FALSE),0,(VLOOKUP($B423,Resumo_HSF!$C$13:$AB$1000,16,FALSE)-VLOOKUP($B422,Resumo_HSF!$C$13:$AB$1000,16,FALSE))*VLOOKUP($B423,Resumo_HSF!$C$13:$AB$1000,15,FALSE))</f>
        <v>145.00000004358728</v>
      </c>
      <c r="Y423" s="26">
        <v>0</v>
      </c>
      <c r="Z423" s="26">
        <v>0</v>
      </c>
      <c r="AA423" s="26">
        <v>0</v>
      </c>
      <c r="AB423" s="26">
        <v>0</v>
      </c>
      <c r="AC423" s="26">
        <v>0</v>
      </c>
      <c r="AD423" s="15">
        <f t="shared" ref="AD423:AD424" si="492">SUM(D423:AB423)</f>
        <v>4.3587277787082712E-8</v>
      </c>
    </row>
    <row r="424" spans="2:30">
      <c r="B424" s="1">
        <f>WORKDAY(B423,1,Feriados!A227:A1066)</f>
        <v>45468</v>
      </c>
      <c r="C424" s="51">
        <f t="shared" si="491"/>
        <v>0</v>
      </c>
      <c r="D424" s="26">
        <v>0</v>
      </c>
      <c r="E424" s="26">
        <v>0</v>
      </c>
      <c r="F424" s="26">
        <v>0</v>
      </c>
      <c r="G424" s="26">
        <v>0</v>
      </c>
      <c r="H424" s="26">
        <v>0</v>
      </c>
      <c r="I424" s="26">
        <v>0</v>
      </c>
      <c r="J424" s="26">
        <v>0</v>
      </c>
      <c r="K424">
        <f>-VLOOKUP(B424,Resumo_HSF!$C$13:$AH$600,28,FALSE)</f>
        <v>0</v>
      </c>
      <c r="L424" s="26">
        <v>0</v>
      </c>
      <c r="M424" s="26">
        <v>0</v>
      </c>
      <c r="N424" s="26">
        <v>0</v>
      </c>
      <c r="O424" s="26">
        <v>0</v>
      </c>
      <c r="P424" s="26">
        <v>0</v>
      </c>
      <c r="Q424" s="26">
        <v>0</v>
      </c>
      <c r="R424" s="26">
        <v>0</v>
      </c>
      <c r="S424" s="26">
        <v>0</v>
      </c>
      <c r="T424" s="26">
        <v>0</v>
      </c>
      <c r="U424" s="26">
        <v>0</v>
      </c>
      <c r="V424" s="26">
        <v>0</v>
      </c>
      <c r="W424" s="26">
        <v>0</v>
      </c>
      <c r="X424" s="26">
        <f>-IF(VLOOKUP($B424,Resumo_HSF!$C$13:$AB$1000,16,FALSE)=VLOOKUP($B423,Resumo_HSF!$C$13:$AB$1000,16,FALSE),0,(VLOOKUP($B424,Resumo_HSF!$C$13:$AB$1000,16,FALSE)-VLOOKUP($B423,Resumo_HSF!$C$13:$AB$1000,16,FALSE))*VLOOKUP($B424,Resumo_HSF!$C$13:$AB$1000,15,FALSE))</f>
        <v>0</v>
      </c>
      <c r="Y424" s="26">
        <v>0</v>
      </c>
      <c r="Z424" s="26">
        <v>0</v>
      </c>
      <c r="AA424" s="26">
        <v>0</v>
      </c>
      <c r="AB424" s="26">
        <v>0</v>
      </c>
      <c r="AC424" s="26">
        <v>0</v>
      </c>
      <c r="AD424" s="15">
        <f t="shared" si="492"/>
        <v>0</v>
      </c>
    </row>
    <row r="425" spans="2:30">
      <c r="B425" s="1">
        <f>WORKDAY(B424,1,Feriados!A228:A1067)</f>
        <v>45469</v>
      </c>
      <c r="C425" s="51">
        <f t="shared" ref="C425:C426" si="493">AD425</f>
        <v>0</v>
      </c>
      <c r="D425" s="26">
        <v>0</v>
      </c>
      <c r="E425" s="26">
        <v>0</v>
      </c>
      <c r="F425" s="26">
        <v>0</v>
      </c>
      <c r="G425" s="26">
        <v>0</v>
      </c>
      <c r="H425" s="26">
        <v>0</v>
      </c>
      <c r="I425" s="26">
        <v>0</v>
      </c>
      <c r="J425" s="26">
        <v>0</v>
      </c>
      <c r="K425">
        <f>-VLOOKUP(B425,Resumo_HSF!$C$13:$AH$600,28,FALSE)</f>
        <v>0</v>
      </c>
      <c r="L425" s="26">
        <v>0</v>
      </c>
      <c r="M425" s="26">
        <v>0</v>
      </c>
      <c r="N425" s="26">
        <v>0</v>
      </c>
      <c r="O425" s="26">
        <v>0</v>
      </c>
      <c r="P425" s="26">
        <v>0</v>
      </c>
      <c r="Q425" s="26">
        <v>0</v>
      </c>
      <c r="R425" s="26">
        <v>0</v>
      </c>
      <c r="S425" s="26">
        <v>0</v>
      </c>
      <c r="T425" s="26">
        <v>0</v>
      </c>
      <c r="U425" s="26">
        <v>0</v>
      </c>
      <c r="V425" s="26">
        <v>0</v>
      </c>
      <c r="W425" s="26">
        <v>0</v>
      </c>
      <c r="X425" s="26">
        <f>-IF(VLOOKUP($B425,Resumo_HSF!$C$13:$AB$1000,16,FALSE)=VLOOKUP($B424,Resumo_HSF!$C$13:$AB$1000,16,FALSE),0,(VLOOKUP($B425,Resumo_HSF!$C$13:$AB$1000,16,FALSE)-VLOOKUP($B424,Resumo_HSF!$C$13:$AB$1000,16,FALSE))*VLOOKUP($B425,Resumo_HSF!$C$13:$AB$1000,15,FALSE))</f>
        <v>0</v>
      </c>
      <c r="Y425" s="26">
        <v>0</v>
      </c>
      <c r="Z425" s="26">
        <v>0</v>
      </c>
      <c r="AA425" s="26">
        <v>0</v>
      </c>
      <c r="AB425" s="26">
        <v>0</v>
      </c>
      <c r="AC425" s="26">
        <v>0</v>
      </c>
      <c r="AD425" s="15">
        <f t="shared" ref="AD425:AD426" si="494">SUM(D425:AB425)</f>
        <v>0</v>
      </c>
    </row>
    <row r="426" spans="2:30">
      <c r="B426" s="1">
        <f>WORKDAY(B425,1,Feriados!A229:A1068)</f>
        <v>45470</v>
      </c>
      <c r="C426" s="51">
        <f t="shared" si="493"/>
        <v>0</v>
      </c>
      <c r="D426" s="26">
        <v>0</v>
      </c>
      <c r="E426" s="26">
        <v>0</v>
      </c>
      <c r="F426" s="26">
        <v>0</v>
      </c>
      <c r="G426" s="26">
        <v>0</v>
      </c>
      <c r="H426" s="26">
        <v>0</v>
      </c>
      <c r="I426" s="26">
        <v>0</v>
      </c>
      <c r="J426" s="26">
        <v>0</v>
      </c>
      <c r="K426">
        <f>-VLOOKUP(B426,Resumo_HSF!$C$13:$AH$600,28,FALSE)</f>
        <v>0</v>
      </c>
      <c r="L426" s="26">
        <v>0</v>
      </c>
      <c r="M426" s="26">
        <v>0</v>
      </c>
      <c r="N426" s="26">
        <v>0</v>
      </c>
      <c r="O426" s="26">
        <v>0</v>
      </c>
      <c r="P426" s="26">
        <v>0</v>
      </c>
      <c r="Q426" s="26">
        <v>0</v>
      </c>
      <c r="R426" s="26">
        <v>0</v>
      </c>
      <c r="S426" s="26">
        <v>0</v>
      </c>
      <c r="T426" s="26">
        <v>0</v>
      </c>
      <c r="U426" s="26">
        <v>0</v>
      </c>
      <c r="V426" s="26">
        <v>0</v>
      </c>
      <c r="W426" s="26">
        <v>0</v>
      </c>
      <c r="X426" s="26">
        <f>-IF(VLOOKUP($B426,Resumo_HSF!$C$13:$AB$1000,16,FALSE)=VLOOKUP($B425,Resumo_HSF!$C$13:$AB$1000,16,FALSE),0,(VLOOKUP($B426,Resumo_HSF!$C$13:$AB$1000,16,FALSE)-VLOOKUP($B425,Resumo_HSF!$C$13:$AB$1000,16,FALSE))*VLOOKUP($B426,Resumo_HSF!$C$13:$AB$1000,15,FALSE))</f>
        <v>0</v>
      </c>
      <c r="Y426" s="26">
        <v>0</v>
      </c>
      <c r="Z426" s="26">
        <v>0</v>
      </c>
      <c r="AA426" s="26">
        <v>0</v>
      </c>
      <c r="AB426" s="26">
        <v>0</v>
      </c>
      <c r="AC426" s="26">
        <v>0</v>
      </c>
      <c r="AD426" s="15">
        <f t="shared" si="494"/>
        <v>0</v>
      </c>
    </row>
    <row r="427" spans="2:30">
      <c r="B427" s="1">
        <f>WORKDAY(B426,1,Feriados!A230:A1069)</f>
        <v>45471</v>
      </c>
      <c r="C427" s="51">
        <f t="shared" ref="C427" si="495">AD427</f>
        <v>0</v>
      </c>
      <c r="D427" s="26">
        <v>0</v>
      </c>
      <c r="E427" s="26">
        <v>0</v>
      </c>
      <c r="F427" s="26">
        <v>0</v>
      </c>
      <c r="G427" s="26">
        <v>0</v>
      </c>
      <c r="H427" s="26">
        <v>0</v>
      </c>
      <c r="I427" s="26">
        <v>0</v>
      </c>
      <c r="J427" s="26">
        <v>0</v>
      </c>
      <c r="K427">
        <f>-VLOOKUP(B427,Resumo_HSF!$C$13:$AH$600,28,FALSE)</f>
        <v>0</v>
      </c>
      <c r="L427" s="26">
        <v>0</v>
      </c>
      <c r="M427" s="26">
        <v>0</v>
      </c>
      <c r="N427" s="26">
        <v>0</v>
      </c>
      <c r="O427" s="26">
        <v>0</v>
      </c>
      <c r="P427" s="26">
        <v>0</v>
      </c>
      <c r="Q427" s="26">
        <v>0</v>
      </c>
      <c r="R427" s="26">
        <v>0</v>
      </c>
      <c r="S427" s="26">
        <v>0</v>
      </c>
      <c r="T427" s="26">
        <v>0</v>
      </c>
      <c r="U427" s="26">
        <v>0</v>
      </c>
      <c r="V427" s="26">
        <v>0</v>
      </c>
      <c r="W427" s="26">
        <v>0</v>
      </c>
      <c r="X427" s="26">
        <f>-IF(VLOOKUP($B427,Resumo_HSF!$C$13:$AB$1000,16,FALSE)=VLOOKUP($B426,Resumo_HSF!$C$13:$AB$1000,16,FALSE),0,(VLOOKUP($B427,Resumo_HSF!$C$13:$AB$1000,16,FALSE)-VLOOKUP($B426,Resumo_HSF!$C$13:$AB$1000,16,FALSE))*VLOOKUP($B427,Resumo_HSF!$C$13:$AB$1000,15,FALSE))</f>
        <v>0</v>
      </c>
      <c r="Y427" s="26">
        <v>0</v>
      </c>
      <c r="Z427" s="26">
        <v>0</v>
      </c>
      <c r="AA427" s="26">
        <v>0</v>
      </c>
      <c r="AB427" s="26">
        <v>0</v>
      </c>
      <c r="AC427" s="26">
        <v>0</v>
      </c>
      <c r="AD427" s="15">
        <f t="shared" ref="AD427" si="496">SUM(D427:AB427)</f>
        <v>0</v>
      </c>
    </row>
    <row r="428" spans="2:30">
      <c r="B428" s="1">
        <f>WORKDAY(B427,1,Feriados!A231:A1070)</f>
        <v>45474</v>
      </c>
      <c r="C428" s="51">
        <f t="shared" ref="C428" si="497">AD428</f>
        <v>0</v>
      </c>
      <c r="D428" s="26">
        <v>0</v>
      </c>
      <c r="E428" s="26">
        <v>0</v>
      </c>
      <c r="F428" s="26">
        <v>0</v>
      </c>
      <c r="G428" s="26">
        <v>0</v>
      </c>
      <c r="H428" s="26">
        <v>0</v>
      </c>
      <c r="I428" s="26">
        <v>0</v>
      </c>
      <c r="J428" s="26">
        <v>0</v>
      </c>
      <c r="K428">
        <f>-VLOOKUP(B428,Resumo_HSF!$C$13:$AH$600,28,FALSE)</f>
        <v>0</v>
      </c>
      <c r="L428" s="26">
        <v>0</v>
      </c>
      <c r="M428" s="26">
        <v>0</v>
      </c>
      <c r="N428" s="26">
        <v>0</v>
      </c>
      <c r="O428" s="26">
        <v>0</v>
      </c>
      <c r="P428" s="26">
        <v>0</v>
      </c>
      <c r="Q428" s="26">
        <v>0</v>
      </c>
      <c r="R428" s="26">
        <v>0</v>
      </c>
      <c r="S428" s="26">
        <v>0</v>
      </c>
      <c r="T428" s="26">
        <v>0</v>
      </c>
      <c r="U428" s="26">
        <v>0</v>
      </c>
      <c r="V428" s="26">
        <v>0</v>
      </c>
      <c r="W428" s="26">
        <v>0</v>
      </c>
      <c r="X428" s="26">
        <f>-IF(VLOOKUP($B428,Resumo_HSF!$C$13:$AB$1000,16,FALSE)=VLOOKUP($B427,Resumo_HSF!$C$13:$AB$1000,16,FALSE),0,(VLOOKUP($B428,Resumo_HSF!$C$13:$AB$1000,16,FALSE)-VLOOKUP($B427,Resumo_HSF!$C$13:$AB$1000,16,FALSE))*VLOOKUP($B428,Resumo_HSF!$C$13:$AB$1000,15,FALSE))</f>
        <v>0</v>
      </c>
      <c r="Y428" s="26">
        <v>0</v>
      </c>
      <c r="Z428" s="26">
        <v>0</v>
      </c>
      <c r="AA428" s="26">
        <v>0</v>
      </c>
      <c r="AB428" s="26">
        <v>0</v>
      </c>
      <c r="AC428" s="26">
        <v>0</v>
      </c>
      <c r="AD428" s="15">
        <f t="shared" ref="AD428" si="498">SUM(D428:AB428)</f>
        <v>0</v>
      </c>
    </row>
    <row r="429" spans="2:30">
      <c r="B429" s="1">
        <f>WORKDAY(B428,1,Feriados!A232:A1071)</f>
        <v>45475</v>
      </c>
      <c r="C429" s="51">
        <f t="shared" ref="C429" si="499">AD429</f>
        <v>0</v>
      </c>
      <c r="D429" s="26">
        <v>0</v>
      </c>
      <c r="E429" s="26">
        <v>0</v>
      </c>
      <c r="F429" s="26">
        <v>0</v>
      </c>
      <c r="G429" s="26">
        <v>0</v>
      </c>
      <c r="H429" s="26">
        <v>0</v>
      </c>
      <c r="I429" s="26">
        <v>0</v>
      </c>
      <c r="J429" s="26">
        <v>0</v>
      </c>
      <c r="K429">
        <f>-VLOOKUP(B429,Resumo_HSF!$C$13:$AH$600,28,FALSE)</f>
        <v>0</v>
      </c>
      <c r="L429" s="26">
        <v>0</v>
      </c>
      <c r="M429" s="26">
        <v>0</v>
      </c>
      <c r="N429" s="26">
        <v>0</v>
      </c>
      <c r="O429" s="26">
        <v>0</v>
      </c>
      <c r="P429" s="26">
        <v>0</v>
      </c>
      <c r="Q429" s="26">
        <v>0</v>
      </c>
      <c r="R429" s="26">
        <v>0</v>
      </c>
      <c r="S429" s="26">
        <v>0</v>
      </c>
      <c r="T429" s="26">
        <v>0</v>
      </c>
      <c r="U429" s="26">
        <v>0</v>
      </c>
      <c r="V429" s="26">
        <v>0</v>
      </c>
      <c r="W429" s="26">
        <v>0</v>
      </c>
      <c r="X429" s="26">
        <f>-IF(VLOOKUP($B429,Resumo_HSF!$C$13:$AB$1000,16,FALSE)=VLOOKUP($B428,Resumo_HSF!$C$13:$AB$1000,16,FALSE),0,(VLOOKUP($B429,Resumo_HSF!$C$13:$AB$1000,16,FALSE)-VLOOKUP($B428,Resumo_HSF!$C$13:$AB$1000,16,FALSE))*VLOOKUP($B429,Resumo_HSF!$C$13:$AB$1000,15,FALSE))</f>
        <v>0</v>
      </c>
      <c r="Y429" s="26">
        <v>0</v>
      </c>
      <c r="Z429" s="26">
        <v>0</v>
      </c>
      <c r="AA429" s="26">
        <v>0</v>
      </c>
      <c r="AB429" s="26">
        <v>0</v>
      </c>
      <c r="AC429" s="26">
        <v>0</v>
      </c>
      <c r="AD429" s="15">
        <f t="shared" ref="AD429" si="500">SUM(D429:AB429)</f>
        <v>0</v>
      </c>
    </row>
    <row r="430" spans="2:30">
      <c r="B430" s="1">
        <f>WORKDAY(B429,1,Feriados!A233:A1072)</f>
        <v>45476</v>
      </c>
      <c r="C430" s="51">
        <f t="shared" ref="C430" si="501">AD430</f>
        <v>0</v>
      </c>
      <c r="D430" s="26">
        <v>0</v>
      </c>
      <c r="E430" s="26">
        <v>0</v>
      </c>
      <c r="F430" s="26">
        <v>0</v>
      </c>
      <c r="G430" s="26">
        <v>0</v>
      </c>
      <c r="H430" s="26">
        <v>0</v>
      </c>
      <c r="I430" s="26">
        <v>0</v>
      </c>
      <c r="J430" s="26">
        <v>0</v>
      </c>
      <c r="K430">
        <f>-VLOOKUP(B430,Resumo_HSF!$C$13:$AH$600,28,FALSE)</f>
        <v>-200000</v>
      </c>
      <c r="L430" s="26">
        <v>0</v>
      </c>
      <c r="M430" s="26">
        <v>0</v>
      </c>
      <c r="N430" s="26">
        <v>0</v>
      </c>
      <c r="O430" s="26">
        <v>0</v>
      </c>
      <c r="P430" s="26">
        <v>0</v>
      </c>
      <c r="Q430" s="26">
        <v>0</v>
      </c>
      <c r="R430" s="26">
        <v>200000</v>
      </c>
      <c r="S430" s="26">
        <v>0</v>
      </c>
      <c r="T430" s="26">
        <v>0</v>
      </c>
      <c r="U430" s="26">
        <v>0</v>
      </c>
      <c r="V430" s="26">
        <v>0</v>
      </c>
      <c r="W430" s="26">
        <v>0</v>
      </c>
      <c r="X430" s="26">
        <f>-IF(VLOOKUP($B430,Resumo_HSF!$C$13:$AB$1000,16,FALSE)=VLOOKUP($B429,Resumo_HSF!$C$13:$AB$1000,16,FALSE),0,(VLOOKUP($B430,Resumo_HSF!$C$13:$AB$1000,16,FALSE)-VLOOKUP($B429,Resumo_HSF!$C$13:$AB$1000,16,FALSE))*VLOOKUP($B430,Resumo_HSF!$C$13:$AB$1000,15,FALSE))</f>
        <v>0</v>
      </c>
      <c r="Y430" s="26">
        <v>0</v>
      </c>
      <c r="Z430" s="26">
        <v>0</v>
      </c>
      <c r="AA430" s="26">
        <v>0</v>
      </c>
      <c r="AB430" s="26">
        <v>0</v>
      </c>
      <c r="AC430" s="26">
        <v>0</v>
      </c>
      <c r="AD430" s="15">
        <f t="shared" ref="AD430" si="502">SUM(D430:AB430)</f>
        <v>0</v>
      </c>
    </row>
    <row r="431" spans="2:30">
      <c r="B431" s="1">
        <f>WORKDAY(B430,1,Feriados!A234:A1073)</f>
        <v>45477</v>
      </c>
      <c r="C431" s="51">
        <f t="shared" ref="C431" si="503">AD431</f>
        <v>0</v>
      </c>
      <c r="D431" s="26">
        <v>0</v>
      </c>
      <c r="E431" s="26">
        <v>0</v>
      </c>
      <c r="F431" s="26">
        <v>0</v>
      </c>
      <c r="G431" s="26">
        <v>0</v>
      </c>
      <c r="H431" s="26">
        <v>0</v>
      </c>
      <c r="I431" s="26">
        <v>0</v>
      </c>
      <c r="J431" s="26">
        <v>0</v>
      </c>
      <c r="K431">
        <f>-VLOOKUP(B431,Resumo_HSF!$C$13:$AH$600,28,FALSE)</f>
        <v>0</v>
      </c>
      <c r="L431" s="26">
        <v>0</v>
      </c>
      <c r="M431" s="26">
        <v>0</v>
      </c>
      <c r="N431" s="26">
        <v>0</v>
      </c>
      <c r="O431" s="26">
        <v>0</v>
      </c>
      <c r="P431" s="26">
        <v>0</v>
      </c>
      <c r="Q431" s="26">
        <v>0</v>
      </c>
      <c r="R431" s="26">
        <v>0</v>
      </c>
      <c r="S431" s="26">
        <v>0</v>
      </c>
      <c r="T431" s="26">
        <v>0</v>
      </c>
      <c r="U431" s="26">
        <v>0</v>
      </c>
      <c r="V431" s="26">
        <v>0</v>
      </c>
      <c r="W431" s="26">
        <v>0</v>
      </c>
      <c r="X431" s="26">
        <f>-IF(VLOOKUP($B431,Resumo_HSF!$C$13:$AB$1000,16,FALSE)=VLOOKUP($B430,Resumo_HSF!$C$13:$AB$1000,16,FALSE),0,(VLOOKUP($B431,Resumo_HSF!$C$13:$AB$1000,16,FALSE)-VLOOKUP($B430,Resumo_HSF!$C$13:$AB$1000,16,FALSE))*VLOOKUP($B431,Resumo_HSF!$C$13:$AB$1000,15,FALSE))</f>
        <v>0</v>
      </c>
      <c r="Y431" s="26">
        <v>0</v>
      </c>
      <c r="Z431" s="26">
        <v>0</v>
      </c>
      <c r="AA431" s="26">
        <v>0</v>
      </c>
      <c r="AB431" s="26">
        <v>0</v>
      </c>
      <c r="AC431" s="26">
        <v>0</v>
      </c>
      <c r="AD431" s="15">
        <f t="shared" ref="AD431" si="504">SUM(D431:AB431)</f>
        <v>0</v>
      </c>
    </row>
    <row r="432" spans="2:30">
      <c r="B432" s="1">
        <f>WORKDAY(B431,1,Feriados!A235:A1074)</f>
        <v>45478</v>
      </c>
      <c r="C432" s="51">
        <f t="shared" ref="C432:C433" si="505">AD432</f>
        <v>1.4596078585782379E-6</v>
      </c>
      <c r="D432" s="26">
        <v>-9732.1</v>
      </c>
      <c r="E432" s="26">
        <v>0</v>
      </c>
      <c r="F432" s="26">
        <v>0</v>
      </c>
      <c r="G432" s="26">
        <v>0</v>
      </c>
      <c r="H432" s="26">
        <v>0</v>
      </c>
      <c r="I432" s="26">
        <v>0</v>
      </c>
      <c r="J432" s="26">
        <v>0</v>
      </c>
      <c r="K432">
        <f>-VLOOKUP(B432,Resumo_HSF!$C$13:$AH$600,28,FALSE)</f>
        <v>0</v>
      </c>
      <c r="L432" s="26">
        <v>0</v>
      </c>
      <c r="M432" s="26">
        <v>0</v>
      </c>
      <c r="N432" s="26">
        <v>0</v>
      </c>
      <c r="O432" s="26">
        <v>0</v>
      </c>
      <c r="P432" s="26">
        <v>0</v>
      </c>
      <c r="Q432" s="26">
        <v>0</v>
      </c>
      <c r="R432" s="26">
        <v>0</v>
      </c>
      <c r="S432" s="26">
        <v>0</v>
      </c>
      <c r="T432" s="26">
        <v>0</v>
      </c>
      <c r="U432" s="26">
        <v>10000</v>
      </c>
      <c r="V432" s="26">
        <v>0</v>
      </c>
      <c r="W432" s="26">
        <v>0</v>
      </c>
      <c r="X432" s="26">
        <f>-IF(VLOOKUP($B432,Resumo_HSF!$C$13:$AB$1000,16,FALSE)=VLOOKUP($B431,Resumo_HSF!$C$13:$AB$1000,16,FALSE),0,(VLOOKUP($B432,Resumo_HSF!$C$13:$AB$1000,16,FALSE)-VLOOKUP($B431,Resumo_HSF!$C$13:$AB$1000,16,FALSE))*VLOOKUP($B432,Resumo_HSF!$C$13:$AB$1000,15,FALSE))</f>
        <v>-267.89999854039178</v>
      </c>
      <c r="Y432" s="26">
        <v>0</v>
      </c>
      <c r="Z432" s="26">
        <v>0</v>
      </c>
      <c r="AA432" s="26">
        <v>0</v>
      </c>
      <c r="AB432" s="26">
        <v>0</v>
      </c>
      <c r="AC432" s="26">
        <v>0</v>
      </c>
      <c r="AD432" s="15">
        <f t="shared" ref="AD432:AD433" si="506">SUM(D432:AB432)</f>
        <v>1.4596078585782379E-6</v>
      </c>
    </row>
    <row r="433" spans="2:30">
      <c r="B433" s="1">
        <f>WORKDAY(B432,1,Feriados!A236:A1075)</f>
        <v>45481</v>
      </c>
      <c r="C433" s="51">
        <f t="shared" si="505"/>
        <v>0</v>
      </c>
      <c r="D433" s="26">
        <v>0</v>
      </c>
      <c r="E433" s="26">
        <v>0</v>
      </c>
      <c r="F433" s="26">
        <v>0</v>
      </c>
      <c r="G433" s="26">
        <v>0</v>
      </c>
      <c r="H433" s="26">
        <v>0</v>
      </c>
      <c r="I433" s="26">
        <v>0</v>
      </c>
      <c r="J433" s="26">
        <v>0</v>
      </c>
      <c r="K433">
        <f>-VLOOKUP(B433,Resumo_HSF!$C$13:$AH$600,28,FALSE)</f>
        <v>0</v>
      </c>
      <c r="L433" s="26">
        <v>0</v>
      </c>
      <c r="M433" s="26">
        <v>0</v>
      </c>
      <c r="N433" s="26">
        <v>0</v>
      </c>
      <c r="O433" s="26">
        <v>0</v>
      </c>
      <c r="P433" s="26">
        <v>0</v>
      </c>
      <c r="Q433" s="26">
        <v>0</v>
      </c>
      <c r="R433" s="26">
        <v>0</v>
      </c>
      <c r="S433" s="26">
        <v>0</v>
      </c>
      <c r="T433" s="26">
        <v>0</v>
      </c>
      <c r="U433" s="26">
        <v>0</v>
      </c>
      <c r="V433" s="26">
        <v>0</v>
      </c>
      <c r="W433" s="26">
        <v>0</v>
      </c>
      <c r="X433" s="26">
        <f>-IF(VLOOKUP($B433,Resumo_HSF!$C$13:$AB$1000,16,FALSE)=VLOOKUP($B432,Resumo_HSF!$C$13:$AB$1000,16,FALSE),0,(VLOOKUP($B433,Resumo_HSF!$C$13:$AB$1000,16,FALSE)-VLOOKUP($B432,Resumo_HSF!$C$13:$AB$1000,16,FALSE))*VLOOKUP($B433,Resumo_HSF!$C$13:$AB$1000,15,FALSE))</f>
        <v>0</v>
      </c>
      <c r="Y433" s="26">
        <v>0</v>
      </c>
      <c r="Z433" s="26">
        <v>0</v>
      </c>
      <c r="AA433" s="26">
        <v>0</v>
      </c>
      <c r="AB433" s="26">
        <v>0</v>
      </c>
      <c r="AC433" s="26">
        <v>0</v>
      </c>
      <c r="AD433" s="15">
        <f t="shared" si="506"/>
        <v>0</v>
      </c>
    </row>
    <row r="434" spans="2:30">
      <c r="B434" s="1">
        <f>WORKDAY(B433,1,Feriados!A237:A1076)</f>
        <v>45482</v>
      </c>
      <c r="C434" s="51">
        <f t="shared" ref="C434" si="507">AD434</f>
        <v>0</v>
      </c>
      <c r="D434" s="26">
        <v>0</v>
      </c>
      <c r="E434" s="26">
        <v>0</v>
      </c>
      <c r="F434" s="26">
        <v>0</v>
      </c>
      <c r="G434" s="26">
        <v>0</v>
      </c>
      <c r="H434" s="26">
        <v>0</v>
      </c>
      <c r="I434" s="26">
        <v>0</v>
      </c>
      <c r="J434" s="26">
        <v>0</v>
      </c>
      <c r="K434">
        <f>-VLOOKUP(B434,Resumo_HSF!$C$13:$AH$600,28,FALSE)</f>
        <v>0</v>
      </c>
      <c r="L434" s="26">
        <v>0</v>
      </c>
      <c r="M434" s="26">
        <v>0</v>
      </c>
      <c r="N434" s="26">
        <v>0</v>
      </c>
      <c r="O434" s="26">
        <v>0</v>
      </c>
      <c r="P434" s="26">
        <v>0</v>
      </c>
      <c r="Q434" s="26">
        <v>0</v>
      </c>
      <c r="R434" s="26">
        <v>0</v>
      </c>
      <c r="S434" s="26">
        <v>0</v>
      </c>
      <c r="T434" s="26">
        <v>0</v>
      </c>
      <c r="U434" s="26">
        <v>0</v>
      </c>
      <c r="V434" s="26">
        <v>0</v>
      </c>
      <c r="W434" s="26">
        <v>0</v>
      </c>
      <c r="X434" s="26">
        <f>-IF(VLOOKUP($B434,Resumo_HSF!$C$13:$AB$1000,16,FALSE)=VLOOKUP($B433,Resumo_HSF!$C$13:$AB$1000,16,FALSE),0,(VLOOKUP($B434,Resumo_HSF!$C$13:$AB$1000,16,FALSE)-VLOOKUP($B433,Resumo_HSF!$C$13:$AB$1000,16,FALSE))*VLOOKUP($B434,Resumo_HSF!$C$13:$AB$1000,15,FALSE))</f>
        <v>0</v>
      </c>
      <c r="Y434" s="26">
        <v>0</v>
      </c>
      <c r="Z434" s="26">
        <v>0</v>
      </c>
      <c r="AA434" s="26">
        <v>0</v>
      </c>
      <c r="AB434" s="26">
        <v>0</v>
      </c>
      <c r="AC434" s="26">
        <v>0</v>
      </c>
      <c r="AD434" s="15">
        <f t="shared" ref="AD434" si="508">SUM(D434:AB434)</f>
        <v>0</v>
      </c>
    </row>
    <row r="435" spans="2:30">
      <c r="B435" s="1">
        <f>WORKDAY(B434,1,Feriados!A238:A1077)</f>
        <v>45483</v>
      </c>
      <c r="C435" s="51">
        <f t="shared" ref="C435" si="509">AD435</f>
        <v>0</v>
      </c>
      <c r="D435" s="26">
        <v>0</v>
      </c>
      <c r="E435" s="26">
        <v>0</v>
      </c>
      <c r="F435" s="26">
        <v>0</v>
      </c>
      <c r="G435" s="26">
        <v>0</v>
      </c>
      <c r="H435" s="26">
        <v>0</v>
      </c>
      <c r="I435" s="26">
        <v>0</v>
      </c>
      <c r="J435" s="26">
        <v>0</v>
      </c>
      <c r="K435">
        <f>-VLOOKUP(B435,Resumo_HSF!$C$13:$AH$600,28,FALSE)</f>
        <v>0</v>
      </c>
      <c r="L435" s="26">
        <v>0</v>
      </c>
      <c r="M435" s="26">
        <v>0</v>
      </c>
      <c r="N435" s="26">
        <v>0</v>
      </c>
      <c r="O435" s="26">
        <v>0</v>
      </c>
      <c r="P435" s="26">
        <v>0</v>
      </c>
      <c r="Q435" s="26">
        <v>0</v>
      </c>
      <c r="R435" s="26">
        <v>0</v>
      </c>
      <c r="S435" s="26">
        <v>0</v>
      </c>
      <c r="T435" s="26">
        <v>0</v>
      </c>
      <c r="U435" s="26">
        <v>0</v>
      </c>
      <c r="V435" s="26">
        <v>0</v>
      </c>
      <c r="W435" s="26">
        <v>0</v>
      </c>
      <c r="X435" s="26">
        <f>-IF(VLOOKUP($B435,Resumo_HSF!$C$13:$AB$1000,16,FALSE)=VLOOKUP($B434,Resumo_HSF!$C$13:$AB$1000,16,FALSE),0,(VLOOKUP($B435,Resumo_HSF!$C$13:$AB$1000,16,FALSE)-VLOOKUP($B434,Resumo_HSF!$C$13:$AB$1000,16,FALSE))*VLOOKUP($B435,Resumo_HSF!$C$13:$AB$1000,15,FALSE))</f>
        <v>0</v>
      </c>
      <c r="Y435" s="26">
        <v>0</v>
      </c>
      <c r="Z435" s="26">
        <v>0</v>
      </c>
      <c r="AA435" s="26">
        <v>0</v>
      </c>
      <c r="AB435" s="26">
        <v>0</v>
      </c>
      <c r="AC435" s="26">
        <v>0</v>
      </c>
      <c r="AD435" s="15">
        <f t="shared" ref="AD435" si="510">SUM(D435:AB435)</f>
        <v>0</v>
      </c>
    </row>
    <row r="436" spans="2:30">
      <c r="B436" s="1">
        <f>WORKDAY(B435,1,Feriados!A239:A1078)</f>
        <v>45484</v>
      </c>
      <c r="C436" s="51">
        <f t="shared" ref="C436:C437" si="511">AD436</f>
        <v>0</v>
      </c>
      <c r="D436" s="26">
        <v>0</v>
      </c>
      <c r="E436" s="26">
        <v>0</v>
      </c>
      <c r="F436" s="26">
        <v>0</v>
      </c>
      <c r="G436" s="26">
        <v>0</v>
      </c>
      <c r="H436" s="26">
        <v>0</v>
      </c>
      <c r="I436" s="26">
        <v>0</v>
      </c>
      <c r="J436" s="26">
        <v>0</v>
      </c>
      <c r="K436">
        <f>-VLOOKUP(B436,Resumo_HSF!$C$13:$AH$600,28,FALSE)</f>
        <v>0</v>
      </c>
      <c r="L436" s="26">
        <v>0</v>
      </c>
      <c r="M436" s="26">
        <v>0</v>
      </c>
      <c r="N436" s="26">
        <v>0</v>
      </c>
      <c r="O436" s="26">
        <v>0</v>
      </c>
      <c r="P436" s="26">
        <v>0</v>
      </c>
      <c r="Q436" s="26">
        <v>0</v>
      </c>
      <c r="R436" s="26">
        <v>0</v>
      </c>
      <c r="S436" s="26">
        <v>0</v>
      </c>
      <c r="T436" s="26">
        <v>0</v>
      </c>
      <c r="U436" s="26">
        <v>0</v>
      </c>
      <c r="V436" s="26">
        <v>0</v>
      </c>
      <c r="W436" s="26">
        <v>0</v>
      </c>
      <c r="X436" s="26">
        <f>-IF(VLOOKUP($B436,Resumo_HSF!$C$13:$AB$1000,16,FALSE)=VLOOKUP($B435,Resumo_HSF!$C$13:$AB$1000,16,FALSE),0,(VLOOKUP($B436,Resumo_HSF!$C$13:$AB$1000,16,FALSE)-VLOOKUP($B435,Resumo_HSF!$C$13:$AB$1000,16,FALSE))*VLOOKUP($B436,Resumo_HSF!$C$13:$AB$1000,15,FALSE))</f>
        <v>0</v>
      </c>
      <c r="Y436" s="26">
        <v>0</v>
      </c>
      <c r="Z436" s="26">
        <v>0</v>
      </c>
      <c r="AA436" s="26">
        <v>0</v>
      </c>
      <c r="AB436" s="26">
        <v>0</v>
      </c>
      <c r="AC436" s="26">
        <v>0</v>
      </c>
      <c r="AD436" s="15">
        <f t="shared" ref="AD436:AD437" si="512">SUM(D436:AB436)</f>
        <v>0</v>
      </c>
    </row>
    <row r="437" spans="2:30">
      <c r="B437" s="1">
        <f>WORKDAY(B436,1,Feriados!A240:A1079)</f>
        <v>45485</v>
      </c>
      <c r="C437" s="51">
        <f t="shared" si="511"/>
        <v>0</v>
      </c>
      <c r="D437" s="26">
        <v>0</v>
      </c>
      <c r="E437" s="26">
        <v>0</v>
      </c>
      <c r="F437" s="26">
        <v>0</v>
      </c>
      <c r="G437" s="26">
        <v>0</v>
      </c>
      <c r="H437" s="26">
        <v>0</v>
      </c>
      <c r="I437" s="26">
        <v>0</v>
      </c>
      <c r="J437" s="26">
        <v>0</v>
      </c>
      <c r="K437">
        <f>-VLOOKUP(B437,Resumo_HSF!$C$13:$AH$600,28,FALSE)</f>
        <v>0</v>
      </c>
      <c r="L437" s="26">
        <v>0</v>
      </c>
      <c r="M437" s="26">
        <v>0</v>
      </c>
      <c r="N437" s="26">
        <v>0</v>
      </c>
      <c r="O437" s="26">
        <v>0</v>
      </c>
      <c r="P437" s="26">
        <v>0</v>
      </c>
      <c r="Q437" s="26">
        <v>0</v>
      </c>
      <c r="R437" s="26">
        <v>0</v>
      </c>
      <c r="S437" s="26">
        <v>0</v>
      </c>
      <c r="T437" s="26">
        <v>0</v>
      </c>
      <c r="U437" s="26">
        <v>0</v>
      </c>
      <c r="V437" s="26">
        <v>0</v>
      </c>
      <c r="W437" s="26">
        <v>0</v>
      </c>
      <c r="X437" s="26">
        <f>-IF(VLOOKUP($B437,Resumo_HSF!$C$13:$AB$1000,16,FALSE)=VLOOKUP($B436,Resumo_HSF!$C$13:$AB$1000,16,FALSE),0,(VLOOKUP($B437,Resumo_HSF!$C$13:$AB$1000,16,FALSE)-VLOOKUP($B436,Resumo_HSF!$C$13:$AB$1000,16,FALSE))*VLOOKUP($B437,Resumo_HSF!$C$13:$AB$1000,15,FALSE))</f>
        <v>0</v>
      </c>
      <c r="Y437" s="26">
        <v>0</v>
      </c>
      <c r="Z437" s="26">
        <v>0</v>
      </c>
      <c r="AA437" s="26">
        <v>0</v>
      </c>
      <c r="AB437" s="26">
        <v>0</v>
      </c>
      <c r="AC437" s="26">
        <v>0</v>
      </c>
      <c r="AD437" s="15">
        <f t="shared" si="512"/>
        <v>0</v>
      </c>
    </row>
    <row r="438" spans="2:30">
      <c r="B438" s="1">
        <f>WORKDAY(B437,1,Feriados!A241:A1080)</f>
        <v>45488</v>
      </c>
      <c r="C438" s="51">
        <f t="shared" ref="C438" si="513">AD438</f>
        <v>0</v>
      </c>
      <c r="D438" s="26">
        <v>0</v>
      </c>
      <c r="E438" s="26">
        <v>0</v>
      </c>
      <c r="F438" s="26">
        <v>0</v>
      </c>
      <c r="G438" s="26">
        <v>0</v>
      </c>
      <c r="H438" s="26">
        <v>0</v>
      </c>
      <c r="I438" s="26">
        <v>0</v>
      </c>
      <c r="J438" s="26">
        <v>0</v>
      </c>
      <c r="K438">
        <f>-VLOOKUP(B438,Resumo_HSF!$C$13:$AH$600,28,FALSE)</f>
        <v>0</v>
      </c>
      <c r="L438" s="26">
        <v>0</v>
      </c>
      <c r="M438" s="26">
        <v>0</v>
      </c>
      <c r="N438" s="26">
        <v>0</v>
      </c>
      <c r="O438" s="26">
        <v>0</v>
      </c>
      <c r="P438" s="26">
        <v>0</v>
      </c>
      <c r="Q438" s="26">
        <v>0</v>
      </c>
      <c r="R438" s="26">
        <v>0</v>
      </c>
      <c r="S438" s="26">
        <v>0</v>
      </c>
      <c r="T438" s="26">
        <v>0</v>
      </c>
      <c r="U438" s="26">
        <v>0</v>
      </c>
      <c r="V438" s="26">
        <v>0</v>
      </c>
      <c r="W438" s="26">
        <v>0</v>
      </c>
      <c r="X438" s="26">
        <f>-IF(VLOOKUP($B438,Resumo_HSF!$C$13:$AB$1000,16,FALSE)=VLOOKUP($B437,Resumo_HSF!$C$13:$AB$1000,16,FALSE),0,(VLOOKUP($B438,Resumo_HSF!$C$13:$AB$1000,16,FALSE)-VLOOKUP($B437,Resumo_HSF!$C$13:$AB$1000,16,FALSE))*VLOOKUP($B438,Resumo_HSF!$C$13:$AB$1000,15,FALSE))</f>
        <v>0</v>
      </c>
      <c r="Y438" s="26">
        <v>0</v>
      </c>
      <c r="Z438" s="26">
        <v>0</v>
      </c>
      <c r="AA438" s="26">
        <v>0</v>
      </c>
      <c r="AB438" s="26">
        <v>0</v>
      </c>
      <c r="AC438" s="26">
        <v>0</v>
      </c>
      <c r="AD438" s="15">
        <f t="shared" ref="AD438" si="514">SUM(D438:AB438)</f>
        <v>0</v>
      </c>
    </row>
    <row r="439" spans="2:30">
      <c r="B439" s="1">
        <f>WORKDAY(B438,1,Feriados!A242:A1081)</f>
        <v>45489</v>
      </c>
      <c r="C439" s="51">
        <f t="shared" ref="C439" si="515">AD439</f>
        <v>0</v>
      </c>
      <c r="D439" s="26">
        <v>0</v>
      </c>
      <c r="E439" s="26">
        <v>0</v>
      </c>
      <c r="F439" s="26">
        <v>0</v>
      </c>
      <c r="G439" s="26">
        <v>0</v>
      </c>
      <c r="H439" s="26">
        <v>0</v>
      </c>
      <c r="I439" s="26">
        <v>0</v>
      </c>
      <c r="J439" s="26">
        <v>0</v>
      </c>
      <c r="K439">
        <f>-VLOOKUP(B439,Resumo_HSF!$C$13:$AH$600,28,FALSE)</f>
        <v>0</v>
      </c>
      <c r="L439" s="26">
        <v>0</v>
      </c>
      <c r="M439" s="26">
        <v>0</v>
      </c>
      <c r="N439" s="26">
        <v>0</v>
      </c>
      <c r="O439" s="26">
        <v>0</v>
      </c>
      <c r="P439" s="26">
        <v>0</v>
      </c>
      <c r="Q439" s="26">
        <v>0</v>
      </c>
      <c r="R439" s="26">
        <v>0</v>
      </c>
      <c r="S439" s="26">
        <v>0</v>
      </c>
      <c r="T439" s="26">
        <v>0</v>
      </c>
      <c r="U439" s="26">
        <v>0</v>
      </c>
      <c r="V439" s="26">
        <v>0</v>
      </c>
      <c r="W439" s="26">
        <v>0</v>
      </c>
      <c r="X439" s="26">
        <f>-IF(VLOOKUP($B439,Resumo_HSF!$C$13:$AB$1000,16,FALSE)=VLOOKUP($B438,Resumo_HSF!$C$13:$AB$1000,16,FALSE),0,(VLOOKUP($B439,Resumo_HSF!$C$13:$AB$1000,16,FALSE)-VLOOKUP($B438,Resumo_HSF!$C$13:$AB$1000,16,FALSE))*VLOOKUP($B439,Resumo_HSF!$C$13:$AB$1000,15,FALSE))</f>
        <v>0</v>
      </c>
      <c r="Y439" s="26">
        <v>0</v>
      </c>
      <c r="Z439" s="26">
        <v>0</v>
      </c>
      <c r="AA439" s="26">
        <v>0</v>
      </c>
      <c r="AB439" s="26">
        <v>0</v>
      </c>
      <c r="AC439" s="26">
        <v>0</v>
      </c>
      <c r="AD439" s="15">
        <f t="shared" ref="AD439" si="516">SUM(D439:AB439)</f>
        <v>0</v>
      </c>
    </row>
    <row r="440" spans="2:30">
      <c r="B440" s="1">
        <f>WORKDAY(B439,1,Feriados!A243:A1082)</f>
        <v>45490</v>
      </c>
      <c r="C440" s="51">
        <f t="shared" ref="C440" si="517">AD440</f>
        <v>0</v>
      </c>
      <c r="D440" s="26">
        <v>0</v>
      </c>
      <c r="E440" s="26">
        <v>0</v>
      </c>
      <c r="F440" s="26">
        <v>0</v>
      </c>
      <c r="G440" s="26">
        <v>0</v>
      </c>
      <c r="H440" s="26">
        <v>0</v>
      </c>
      <c r="I440" s="26">
        <v>0</v>
      </c>
      <c r="J440" s="26">
        <v>0</v>
      </c>
      <c r="K440">
        <f>-VLOOKUP(B440,Resumo_HSF!$C$13:$AH$600,28,FALSE)</f>
        <v>0</v>
      </c>
      <c r="L440" s="26">
        <v>0</v>
      </c>
      <c r="M440" s="26">
        <v>0</v>
      </c>
      <c r="N440" s="26">
        <v>0</v>
      </c>
      <c r="O440" s="26">
        <v>0</v>
      </c>
      <c r="P440" s="26">
        <v>0</v>
      </c>
      <c r="Q440" s="26">
        <v>0</v>
      </c>
      <c r="R440" s="26">
        <v>0</v>
      </c>
      <c r="S440" s="26">
        <v>0</v>
      </c>
      <c r="T440" s="26">
        <v>0</v>
      </c>
      <c r="U440" s="26">
        <v>0</v>
      </c>
      <c r="V440" s="26">
        <v>0</v>
      </c>
      <c r="W440" s="26">
        <v>0</v>
      </c>
      <c r="X440" s="26">
        <f>-IF(VLOOKUP($B440,Resumo_HSF!$C$13:$AB$1000,16,FALSE)=VLOOKUP($B439,Resumo_HSF!$C$13:$AB$1000,16,FALSE),0,(VLOOKUP($B440,Resumo_HSF!$C$13:$AB$1000,16,FALSE)-VLOOKUP($B439,Resumo_HSF!$C$13:$AB$1000,16,FALSE))*VLOOKUP($B440,Resumo_HSF!$C$13:$AB$1000,15,FALSE))</f>
        <v>0</v>
      </c>
      <c r="Y440" s="26">
        <v>0</v>
      </c>
      <c r="Z440" s="26">
        <v>0</v>
      </c>
      <c r="AA440" s="26">
        <v>0</v>
      </c>
      <c r="AB440" s="26">
        <v>0</v>
      </c>
      <c r="AC440" s="26">
        <v>0</v>
      </c>
      <c r="AD440" s="15">
        <f t="shared" ref="AD440" si="518">SUM(D440:AB440)</f>
        <v>0</v>
      </c>
    </row>
    <row r="441" spans="2:30">
      <c r="B441" s="1">
        <f>WORKDAY(B440,1,Feriados!A244:A1083)</f>
        <v>45491</v>
      </c>
      <c r="C441" s="51">
        <f t="shared" ref="C441" si="519">AD441</f>
        <v>0</v>
      </c>
      <c r="D441" s="26">
        <v>0</v>
      </c>
      <c r="E441" s="26">
        <v>0</v>
      </c>
      <c r="F441" s="26">
        <v>0</v>
      </c>
      <c r="G441" s="26">
        <v>0</v>
      </c>
      <c r="H441" s="26">
        <v>0</v>
      </c>
      <c r="I441" s="26">
        <v>0</v>
      </c>
      <c r="J441" s="26">
        <v>0</v>
      </c>
      <c r="K441">
        <f>-VLOOKUP(B441,Resumo_HSF!$C$13:$AH$600,28,FALSE)</f>
        <v>0</v>
      </c>
      <c r="L441" s="26">
        <v>0</v>
      </c>
      <c r="M441" s="26">
        <v>0</v>
      </c>
      <c r="N441" s="26">
        <v>0</v>
      </c>
      <c r="O441" s="26">
        <v>0</v>
      </c>
      <c r="P441" s="26">
        <v>0</v>
      </c>
      <c r="Q441" s="26">
        <v>0</v>
      </c>
      <c r="R441" s="26">
        <v>0</v>
      </c>
      <c r="S441" s="26">
        <v>0</v>
      </c>
      <c r="T441" s="26">
        <v>0</v>
      </c>
      <c r="U441" s="26">
        <v>0</v>
      </c>
      <c r="V441" s="26">
        <v>0</v>
      </c>
      <c r="W441" s="26">
        <v>0</v>
      </c>
      <c r="X441" s="26">
        <f>-IF(VLOOKUP($B441,Resumo_HSF!$C$13:$AB$1000,16,FALSE)=VLOOKUP($B440,Resumo_HSF!$C$13:$AB$1000,16,FALSE),0,(VLOOKUP($B441,Resumo_HSF!$C$13:$AB$1000,16,FALSE)-VLOOKUP($B440,Resumo_HSF!$C$13:$AB$1000,16,FALSE))*VLOOKUP($B441,Resumo_HSF!$C$13:$AB$1000,15,FALSE))</f>
        <v>0</v>
      </c>
      <c r="Y441" s="26">
        <v>0</v>
      </c>
      <c r="Z441" s="26">
        <v>0</v>
      </c>
      <c r="AA441" s="26">
        <v>0</v>
      </c>
      <c r="AB441" s="26">
        <v>0</v>
      </c>
      <c r="AC441" s="26">
        <v>0</v>
      </c>
      <c r="AD441" s="15">
        <f t="shared" ref="AD441" si="520">SUM(D441:AB441)</f>
        <v>0</v>
      </c>
    </row>
    <row r="442" spans="2:30">
      <c r="B442" s="1">
        <f>WORKDAY(B441,1,Feriados!A245:A1084)</f>
        <v>45492</v>
      </c>
      <c r="C442" s="51">
        <f t="shared" ref="C442" si="521">AD442</f>
        <v>0</v>
      </c>
      <c r="D442" s="26">
        <v>0</v>
      </c>
      <c r="E442" s="26">
        <v>0</v>
      </c>
      <c r="F442" s="26">
        <v>0</v>
      </c>
      <c r="G442" s="26">
        <v>0</v>
      </c>
      <c r="H442" s="26">
        <v>0</v>
      </c>
      <c r="I442" s="26">
        <v>0</v>
      </c>
      <c r="J442" s="26">
        <v>0</v>
      </c>
      <c r="K442">
        <f>-VLOOKUP(B442,Resumo_HSF!$C$13:$AH$600,28,FALSE)</f>
        <v>0</v>
      </c>
      <c r="L442" s="26">
        <v>0</v>
      </c>
      <c r="M442" s="26">
        <v>0</v>
      </c>
      <c r="N442" s="26">
        <v>0</v>
      </c>
      <c r="O442" s="26">
        <v>0</v>
      </c>
      <c r="P442" s="26">
        <v>0</v>
      </c>
      <c r="Q442" s="26">
        <v>0</v>
      </c>
      <c r="R442" s="26">
        <v>0</v>
      </c>
      <c r="S442" s="26">
        <v>0</v>
      </c>
      <c r="T442" s="26">
        <v>0</v>
      </c>
      <c r="U442" s="26">
        <v>0</v>
      </c>
      <c r="V442" s="26">
        <v>0</v>
      </c>
      <c r="W442" s="26">
        <v>0</v>
      </c>
      <c r="X442" s="26">
        <f>-IF(VLOOKUP($B442,Resumo_HSF!$C$13:$AB$1000,16,FALSE)=VLOOKUP($B441,Resumo_HSF!$C$13:$AB$1000,16,FALSE),0,(VLOOKUP($B442,Resumo_HSF!$C$13:$AB$1000,16,FALSE)-VLOOKUP($B441,Resumo_HSF!$C$13:$AB$1000,16,FALSE))*VLOOKUP($B442,Resumo_HSF!$C$13:$AB$1000,15,FALSE))</f>
        <v>0</v>
      </c>
      <c r="Y442" s="26">
        <v>0</v>
      </c>
      <c r="Z442" s="26">
        <v>0</v>
      </c>
      <c r="AA442" s="26">
        <v>0</v>
      </c>
      <c r="AB442" s="26">
        <v>0</v>
      </c>
      <c r="AC442" s="26">
        <v>0</v>
      </c>
      <c r="AD442" s="15">
        <f t="shared" ref="AD442" si="522">SUM(D442:AB442)</f>
        <v>0</v>
      </c>
    </row>
    <row r="443" spans="2:30">
      <c r="B443" s="1">
        <f>WORKDAY(B442,1,Feriados!A246:A1085)</f>
        <v>45495</v>
      </c>
      <c r="C443" s="51">
        <f t="shared" ref="C443" si="523">AD443</f>
        <v>0</v>
      </c>
      <c r="D443" s="26">
        <v>0</v>
      </c>
      <c r="E443" s="26">
        <v>0</v>
      </c>
      <c r="F443" s="26">
        <v>0</v>
      </c>
      <c r="G443" s="26">
        <v>0</v>
      </c>
      <c r="H443" s="26">
        <v>0</v>
      </c>
      <c r="I443" s="26">
        <v>0</v>
      </c>
      <c r="J443" s="26">
        <v>0</v>
      </c>
      <c r="K443">
        <f>-VLOOKUP(B443,Resumo_HSF!$C$13:$AH$600,28,FALSE)</f>
        <v>0</v>
      </c>
      <c r="L443" s="26">
        <v>0</v>
      </c>
      <c r="M443" s="26">
        <v>0</v>
      </c>
      <c r="N443" s="26">
        <v>0</v>
      </c>
      <c r="O443" s="26">
        <v>0</v>
      </c>
      <c r="P443" s="26">
        <v>0</v>
      </c>
      <c r="Q443" s="26">
        <v>0</v>
      </c>
      <c r="R443" s="26">
        <v>0</v>
      </c>
      <c r="S443" s="26">
        <v>0</v>
      </c>
      <c r="T443" s="26">
        <v>0</v>
      </c>
      <c r="U443" s="26">
        <v>0</v>
      </c>
      <c r="V443" s="26">
        <v>0</v>
      </c>
      <c r="W443" s="26">
        <v>0</v>
      </c>
      <c r="X443" s="26">
        <f>-IF(VLOOKUP($B443,Resumo_HSF!$C$13:$AB$1000,16,FALSE)=VLOOKUP($B442,Resumo_HSF!$C$13:$AB$1000,16,FALSE),0,(VLOOKUP($B443,Resumo_HSF!$C$13:$AB$1000,16,FALSE)-VLOOKUP($B442,Resumo_HSF!$C$13:$AB$1000,16,FALSE))*VLOOKUP($B443,Resumo_HSF!$C$13:$AB$1000,15,FALSE))</f>
        <v>0</v>
      </c>
      <c r="Y443" s="26">
        <v>0</v>
      </c>
      <c r="Z443" s="26">
        <v>0</v>
      </c>
      <c r="AA443" s="26">
        <v>0</v>
      </c>
      <c r="AB443" s="26">
        <v>0</v>
      </c>
      <c r="AC443" s="26">
        <v>0</v>
      </c>
      <c r="AD443" s="15">
        <f t="shared" ref="AD443" si="524">SUM(D443:AB443)</f>
        <v>0</v>
      </c>
    </row>
    <row r="444" spans="2:30">
      <c r="B444" s="1">
        <f>WORKDAY(B443,1,Feriados!A247:A1086)</f>
        <v>45496</v>
      </c>
      <c r="C444" s="51">
        <f t="shared" ref="C444:C445" si="525">AD444</f>
        <v>0</v>
      </c>
      <c r="D444" s="26">
        <v>0</v>
      </c>
      <c r="E444" s="26">
        <v>0</v>
      </c>
      <c r="F444" s="26">
        <v>0</v>
      </c>
      <c r="G444" s="26">
        <v>0</v>
      </c>
      <c r="H444" s="26">
        <v>0</v>
      </c>
      <c r="I444" s="26">
        <v>0</v>
      </c>
      <c r="J444" s="26">
        <v>0</v>
      </c>
      <c r="K444">
        <f>-VLOOKUP(B444,Resumo_HSF!$C$13:$AH$600,28,FALSE)</f>
        <v>0</v>
      </c>
      <c r="L444" s="26">
        <v>0</v>
      </c>
      <c r="M444" s="26">
        <v>0</v>
      </c>
      <c r="N444" s="26">
        <v>0</v>
      </c>
      <c r="O444" s="26">
        <v>0</v>
      </c>
      <c r="P444" s="26">
        <v>0</v>
      </c>
      <c r="Q444" s="26">
        <v>0</v>
      </c>
      <c r="R444" s="26">
        <v>0</v>
      </c>
      <c r="S444" s="26">
        <v>0</v>
      </c>
      <c r="T444" s="26">
        <v>0</v>
      </c>
      <c r="U444" s="26">
        <v>0</v>
      </c>
      <c r="V444" s="26">
        <v>0</v>
      </c>
      <c r="W444" s="26">
        <v>0</v>
      </c>
      <c r="X444" s="26">
        <f>-IF(VLOOKUP($B444,Resumo_HSF!$C$13:$AB$1000,16,FALSE)=VLOOKUP($B443,Resumo_HSF!$C$13:$AB$1000,16,FALSE),0,(VLOOKUP($B444,Resumo_HSF!$C$13:$AB$1000,16,FALSE)-VLOOKUP($B443,Resumo_HSF!$C$13:$AB$1000,16,FALSE))*VLOOKUP($B444,Resumo_HSF!$C$13:$AB$1000,15,FALSE))</f>
        <v>0</v>
      </c>
      <c r="Y444" s="26">
        <v>0</v>
      </c>
      <c r="Z444" s="26">
        <v>0</v>
      </c>
      <c r="AA444" s="26">
        <v>0</v>
      </c>
      <c r="AB444" s="26">
        <v>0</v>
      </c>
      <c r="AC444" s="26">
        <v>0</v>
      </c>
      <c r="AD444" s="15">
        <f t="shared" ref="AD444:AD445" si="526">SUM(D444:AB444)</f>
        <v>0</v>
      </c>
    </row>
    <row r="445" spans="2:30">
      <c r="B445" s="1">
        <f>WORKDAY(B444,1,Feriados!A248:A1087)</f>
        <v>45497</v>
      </c>
      <c r="C445" s="51">
        <f t="shared" si="525"/>
        <v>0</v>
      </c>
      <c r="D445" s="26">
        <v>0</v>
      </c>
      <c r="E445" s="26">
        <v>0</v>
      </c>
      <c r="F445" s="26">
        <v>0</v>
      </c>
      <c r="G445" s="26">
        <v>0</v>
      </c>
      <c r="H445" s="26">
        <v>0</v>
      </c>
      <c r="I445" s="26">
        <v>0</v>
      </c>
      <c r="J445" s="26">
        <v>0</v>
      </c>
      <c r="K445">
        <f>-VLOOKUP(B445,Resumo_HSF!$C$13:$AH$600,28,FALSE)</f>
        <v>0</v>
      </c>
      <c r="L445" s="26">
        <v>0</v>
      </c>
      <c r="M445" s="26">
        <v>0</v>
      </c>
      <c r="N445" s="26">
        <v>0</v>
      </c>
      <c r="O445" s="26">
        <v>0</v>
      </c>
      <c r="P445" s="26">
        <v>0</v>
      </c>
      <c r="Q445" s="26">
        <v>0</v>
      </c>
      <c r="R445" s="26">
        <v>0</v>
      </c>
      <c r="S445" s="26">
        <v>0</v>
      </c>
      <c r="T445" s="26">
        <v>0</v>
      </c>
      <c r="U445" s="26">
        <v>0</v>
      </c>
      <c r="V445" s="26">
        <v>0</v>
      </c>
      <c r="W445" s="26">
        <v>0</v>
      </c>
      <c r="X445" s="26">
        <f>-IF(VLOOKUP($B445,Resumo_HSF!$C$13:$AB$1000,16,FALSE)=VLOOKUP($B444,Resumo_HSF!$C$13:$AB$1000,16,FALSE),0,(VLOOKUP($B445,Resumo_HSF!$C$13:$AB$1000,16,FALSE)-VLOOKUP($B444,Resumo_HSF!$C$13:$AB$1000,16,FALSE))*VLOOKUP($B445,Resumo_HSF!$C$13:$AB$1000,15,FALSE))</f>
        <v>0</v>
      </c>
      <c r="Y445" s="26">
        <v>0</v>
      </c>
      <c r="Z445" s="26">
        <v>0</v>
      </c>
      <c r="AA445" s="26">
        <v>0</v>
      </c>
      <c r="AB445" s="26">
        <v>0</v>
      </c>
      <c r="AC445" s="26">
        <v>0</v>
      </c>
      <c r="AD445" s="15">
        <f t="shared" si="526"/>
        <v>0</v>
      </c>
    </row>
    <row r="446" spans="2:30">
      <c r="B446" s="1">
        <f>WORKDAY(B445,1,Feriados!A249:A1088)</f>
        <v>45498</v>
      </c>
      <c r="C446" s="51">
        <f t="shared" ref="C446:C447" si="527">AD446</f>
        <v>0</v>
      </c>
      <c r="D446" s="26">
        <v>0</v>
      </c>
      <c r="E446" s="26">
        <v>0</v>
      </c>
      <c r="F446" s="26">
        <v>0</v>
      </c>
      <c r="G446" s="26">
        <v>0</v>
      </c>
      <c r="H446" s="26">
        <v>0</v>
      </c>
      <c r="I446" s="26">
        <v>0</v>
      </c>
      <c r="J446" s="26">
        <v>0</v>
      </c>
      <c r="K446">
        <f>-VLOOKUP(B446,Resumo_HSF!$C$13:$AH$600,28,FALSE)</f>
        <v>0</v>
      </c>
      <c r="L446" s="26">
        <v>0</v>
      </c>
      <c r="M446" s="26">
        <v>0</v>
      </c>
      <c r="N446" s="26">
        <v>0</v>
      </c>
      <c r="O446" s="26">
        <v>0</v>
      </c>
      <c r="P446" s="26">
        <v>0</v>
      </c>
      <c r="Q446" s="26">
        <v>0</v>
      </c>
      <c r="R446" s="26">
        <v>0</v>
      </c>
      <c r="S446" s="26">
        <v>0</v>
      </c>
      <c r="T446" s="26">
        <v>0</v>
      </c>
      <c r="U446" s="26">
        <v>0</v>
      </c>
      <c r="V446" s="26">
        <v>0</v>
      </c>
      <c r="W446" s="26">
        <v>0</v>
      </c>
      <c r="X446" s="26">
        <f>-IF(VLOOKUP($B446,Resumo_HSF!$C$13:$AB$1000,16,FALSE)=VLOOKUP($B445,Resumo_HSF!$C$13:$AB$1000,16,FALSE),0,(VLOOKUP($B446,Resumo_HSF!$C$13:$AB$1000,16,FALSE)-VLOOKUP($B445,Resumo_HSF!$C$13:$AB$1000,16,FALSE))*VLOOKUP($B446,Resumo_HSF!$C$13:$AB$1000,15,FALSE))</f>
        <v>0</v>
      </c>
      <c r="Y446" s="26">
        <v>0</v>
      </c>
      <c r="Z446" s="26">
        <v>0</v>
      </c>
      <c r="AA446" s="26">
        <v>0</v>
      </c>
      <c r="AB446" s="26">
        <v>0</v>
      </c>
      <c r="AC446" s="26">
        <v>0</v>
      </c>
      <c r="AD446" s="15">
        <f t="shared" ref="AD446:AD447" si="528">SUM(D446:AB446)</f>
        <v>0</v>
      </c>
    </row>
    <row r="447" spans="2:30">
      <c r="B447" s="1">
        <f>WORKDAY(B446,1,Feriados!A250:A1089)</f>
        <v>45499</v>
      </c>
      <c r="C447" s="51">
        <f t="shared" si="527"/>
        <v>0</v>
      </c>
      <c r="D447" s="26">
        <v>0</v>
      </c>
      <c r="E447" s="26">
        <v>0</v>
      </c>
      <c r="F447" s="26">
        <v>0</v>
      </c>
      <c r="G447" s="26">
        <v>0</v>
      </c>
      <c r="H447" s="26">
        <v>0</v>
      </c>
      <c r="I447" s="26">
        <v>0</v>
      </c>
      <c r="J447" s="26">
        <v>0</v>
      </c>
      <c r="K447">
        <f>-VLOOKUP(B447,Resumo_HSF!$C$13:$AH$600,28,FALSE)</f>
        <v>0</v>
      </c>
      <c r="L447" s="26">
        <v>0</v>
      </c>
      <c r="M447" s="26">
        <v>0</v>
      </c>
      <c r="N447" s="26">
        <v>0</v>
      </c>
      <c r="O447" s="26">
        <v>0</v>
      </c>
      <c r="P447" s="26">
        <v>0</v>
      </c>
      <c r="Q447" s="26">
        <v>0</v>
      </c>
      <c r="R447" s="26">
        <v>0</v>
      </c>
      <c r="S447" s="26">
        <v>0</v>
      </c>
      <c r="T447" s="26">
        <v>0</v>
      </c>
      <c r="U447" s="26">
        <v>0</v>
      </c>
      <c r="V447" s="26">
        <v>0</v>
      </c>
      <c r="W447" s="26">
        <v>0</v>
      </c>
      <c r="X447" s="26">
        <f>-IF(VLOOKUP($B447,Resumo_HSF!$C$13:$AB$1000,16,FALSE)=VLOOKUP($B446,Resumo_HSF!$C$13:$AB$1000,16,FALSE),0,(VLOOKUP($B447,Resumo_HSF!$C$13:$AB$1000,16,FALSE)-VLOOKUP($B446,Resumo_HSF!$C$13:$AB$1000,16,FALSE))*VLOOKUP($B447,Resumo_HSF!$C$13:$AB$1000,15,FALSE))</f>
        <v>0</v>
      </c>
      <c r="Y447" s="26">
        <v>0</v>
      </c>
      <c r="Z447" s="26">
        <v>0</v>
      </c>
      <c r="AA447" s="26">
        <v>0</v>
      </c>
      <c r="AB447" s="26">
        <v>0</v>
      </c>
      <c r="AC447" s="26">
        <v>0</v>
      </c>
      <c r="AD447" s="15">
        <f t="shared" si="528"/>
        <v>0</v>
      </c>
    </row>
    <row r="448" spans="2:30">
      <c r="B448" s="1">
        <f>WORKDAY(B447,1,Feriados!A251:A1090)</f>
        <v>45502</v>
      </c>
      <c r="C448" s="51">
        <f t="shared" ref="C448" si="529">AD448</f>
        <v>0</v>
      </c>
      <c r="D448" s="26">
        <v>0</v>
      </c>
      <c r="E448" s="26">
        <v>0</v>
      </c>
      <c r="F448" s="26">
        <v>0</v>
      </c>
      <c r="G448" s="26">
        <v>0</v>
      </c>
      <c r="H448" s="26">
        <v>0</v>
      </c>
      <c r="I448" s="26">
        <v>0</v>
      </c>
      <c r="J448" s="26">
        <v>0</v>
      </c>
      <c r="K448">
        <f>-VLOOKUP(B448,Resumo_HSF!$C$13:$AH$600,28,FALSE)</f>
        <v>0</v>
      </c>
      <c r="L448" s="26">
        <v>0</v>
      </c>
      <c r="M448" s="26">
        <v>0</v>
      </c>
      <c r="N448" s="26">
        <v>0</v>
      </c>
      <c r="O448" s="26">
        <v>0</v>
      </c>
      <c r="P448" s="26">
        <v>0</v>
      </c>
      <c r="Q448" s="26">
        <v>0</v>
      </c>
      <c r="R448" s="26">
        <v>0</v>
      </c>
      <c r="S448" s="26">
        <v>0</v>
      </c>
      <c r="T448" s="26">
        <v>0</v>
      </c>
      <c r="U448" s="26">
        <v>0</v>
      </c>
      <c r="V448" s="26">
        <v>0</v>
      </c>
      <c r="W448" s="26">
        <v>0</v>
      </c>
      <c r="X448" s="26">
        <f>-IF(VLOOKUP($B448,Resumo_HSF!$C$13:$AB$1000,16,FALSE)=VLOOKUP($B447,Resumo_HSF!$C$13:$AB$1000,16,FALSE),0,(VLOOKUP($B448,Resumo_HSF!$C$13:$AB$1000,16,FALSE)-VLOOKUP($B447,Resumo_HSF!$C$13:$AB$1000,16,FALSE))*VLOOKUP($B448,Resumo_HSF!$C$13:$AB$1000,15,FALSE))</f>
        <v>0</v>
      </c>
      <c r="Y448" s="26">
        <v>0</v>
      </c>
      <c r="Z448" s="26">
        <v>0</v>
      </c>
      <c r="AA448" s="26">
        <v>0</v>
      </c>
      <c r="AB448" s="26">
        <v>0</v>
      </c>
      <c r="AC448" s="26">
        <v>0</v>
      </c>
      <c r="AD448" s="15">
        <f t="shared" ref="AD448" si="530">SUM(D448:AB448)</f>
        <v>0</v>
      </c>
    </row>
    <row r="449" spans="2:30">
      <c r="B449" s="1">
        <f>WORKDAY(B448,1,Feriados!A252:A1091)</f>
        <v>45503</v>
      </c>
      <c r="C449" s="51">
        <f t="shared" ref="C449" si="531">AD449</f>
        <v>0</v>
      </c>
      <c r="D449" s="26">
        <v>0</v>
      </c>
      <c r="E449" s="26">
        <v>0</v>
      </c>
      <c r="F449" s="26">
        <v>0</v>
      </c>
      <c r="G449" s="26">
        <v>0</v>
      </c>
      <c r="H449" s="26">
        <v>0</v>
      </c>
      <c r="I449" s="26">
        <v>0</v>
      </c>
      <c r="J449" s="26">
        <v>0</v>
      </c>
      <c r="K449">
        <f>-VLOOKUP(B449,Resumo_HSF!$C$13:$AH$600,28,FALSE)</f>
        <v>0</v>
      </c>
      <c r="L449" s="26">
        <v>0</v>
      </c>
      <c r="M449" s="26">
        <v>0</v>
      </c>
      <c r="N449" s="26">
        <v>0</v>
      </c>
      <c r="O449" s="26">
        <v>0</v>
      </c>
      <c r="P449" s="26">
        <v>0</v>
      </c>
      <c r="Q449" s="26">
        <v>0</v>
      </c>
      <c r="R449" s="26">
        <v>0</v>
      </c>
      <c r="S449" s="26">
        <v>0</v>
      </c>
      <c r="T449" s="26">
        <v>0</v>
      </c>
      <c r="U449" s="26">
        <v>0</v>
      </c>
      <c r="V449" s="26">
        <v>0</v>
      </c>
      <c r="W449" s="26">
        <v>0</v>
      </c>
      <c r="X449" s="26">
        <f>-IF(VLOOKUP($B449,Resumo_HSF!$C$13:$AB$1000,16,FALSE)=VLOOKUP($B448,Resumo_HSF!$C$13:$AB$1000,16,FALSE),0,(VLOOKUP($B449,Resumo_HSF!$C$13:$AB$1000,16,FALSE)-VLOOKUP($B448,Resumo_HSF!$C$13:$AB$1000,16,FALSE))*VLOOKUP($B449,Resumo_HSF!$C$13:$AB$1000,15,FALSE))</f>
        <v>0</v>
      </c>
      <c r="Y449" s="26">
        <v>0</v>
      </c>
      <c r="Z449" s="26">
        <v>0</v>
      </c>
      <c r="AA449" s="26">
        <v>0</v>
      </c>
      <c r="AB449" s="26">
        <v>0</v>
      </c>
      <c r="AC449" s="26">
        <v>0</v>
      </c>
      <c r="AD449" s="15">
        <f t="shared" ref="AD449" si="532">SUM(D449:AB449)</f>
        <v>0</v>
      </c>
    </row>
    <row r="450" spans="2:30">
      <c r="B450" s="1">
        <f>WORKDAY(B449,1,Feriados!A253:A1092)</f>
        <v>45504</v>
      </c>
      <c r="C450" s="51">
        <f t="shared" ref="C450:C451" si="533">AD450</f>
        <v>0</v>
      </c>
      <c r="D450" s="26">
        <v>0</v>
      </c>
      <c r="E450" s="26">
        <v>0</v>
      </c>
      <c r="F450" s="26">
        <v>0</v>
      </c>
      <c r="G450" s="26">
        <v>0</v>
      </c>
      <c r="H450" s="26">
        <v>0</v>
      </c>
      <c r="I450" s="26">
        <v>0</v>
      </c>
      <c r="J450" s="26">
        <v>0</v>
      </c>
      <c r="K450">
        <f>-VLOOKUP(B450,Resumo_HSF!$C$13:$AH$600,28,FALSE)</f>
        <v>0</v>
      </c>
      <c r="L450" s="26">
        <v>0</v>
      </c>
      <c r="M450" s="26">
        <v>0</v>
      </c>
      <c r="N450" s="26">
        <v>0</v>
      </c>
      <c r="O450" s="26">
        <v>0</v>
      </c>
      <c r="P450" s="26">
        <v>0</v>
      </c>
      <c r="Q450" s="26">
        <v>0</v>
      </c>
      <c r="R450" s="26">
        <v>0</v>
      </c>
      <c r="S450" s="26">
        <v>0</v>
      </c>
      <c r="T450" s="26">
        <v>0</v>
      </c>
      <c r="U450" s="26">
        <v>0</v>
      </c>
      <c r="V450" s="26">
        <v>0</v>
      </c>
      <c r="W450" s="26">
        <v>0</v>
      </c>
      <c r="X450" s="26">
        <f>-IF(VLOOKUP($B450,Resumo_HSF!$C$13:$AB$1000,16,FALSE)=VLOOKUP($B449,Resumo_HSF!$C$13:$AB$1000,16,FALSE),0,(VLOOKUP($B450,Resumo_HSF!$C$13:$AB$1000,16,FALSE)-VLOOKUP($B449,Resumo_HSF!$C$13:$AB$1000,16,FALSE))*VLOOKUP($B450,Resumo_HSF!$C$13:$AB$1000,15,FALSE))</f>
        <v>0</v>
      </c>
      <c r="Y450" s="26">
        <v>0</v>
      </c>
      <c r="Z450" s="26">
        <v>0</v>
      </c>
      <c r="AA450" s="26">
        <v>0</v>
      </c>
      <c r="AB450" s="26">
        <v>0</v>
      </c>
      <c r="AC450" s="26">
        <v>0</v>
      </c>
      <c r="AD450" s="15">
        <f t="shared" ref="AD450:AD451" si="534">SUM(D450:AB450)</f>
        <v>0</v>
      </c>
    </row>
    <row r="451" spans="2:30">
      <c r="B451" s="1">
        <f>WORKDAY(B450,1,Feriados!A254:A1093)</f>
        <v>45505</v>
      </c>
      <c r="C451" s="51">
        <f t="shared" si="533"/>
        <v>0</v>
      </c>
      <c r="D451" s="26">
        <v>0</v>
      </c>
      <c r="E451" s="26">
        <v>0</v>
      </c>
      <c r="F451" s="26">
        <v>0</v>
      </c>
      <c r="G451" s="26">
        <v>0</v>
      </c>
      <c r="H451" s="26">
        <v>0</v>
      </c>
      <c r="I451" s="26">
        <v>0</v>
      </c>
      <c r="J451" s="26">
        <v>0</v>
      </c>
      <c r="K451">
        <f>-VLOOKUP(B451,Resumo_HSF!$C$13:$AH$600,28,FALSE)</f>
        <v>0</v>
      </c>
      <c r="L451" s="26">
        <v>0</v>
      </c>
      <c r="M451" s="26">
        <v>0</v>
      </c>
      <c r="N451" s="26">
        <v>0</v>
      </c>
      <c r="O451" s="26">
        <v>0</v>
      </c>
      <c r="P451" s="26">
        <v>0</v>
      </c>
      <c r="Q451" s="26">
        <v>0</v>
      </c>
      <c r="R451" s="26">
        <v>0</v>
      </c>
      <c r="S451" s="26">
        <v>0</v>
      </c>
      <c r="T451" s="26">
        <v>0</v>
      </c>
      <c r="U451" s="26">
        <v>0</v>
      </c>
      <c r="V451" s="26">
        <v>0</v>
      </c>
      <c r="W451" s="26">
        <v>0</v>
      </c>
      <c r="X451" s="26">
        <f>-IF(VLOOKUP($B451,Resumo_HSF!$C$13:$AB$1000,16,FALSE)=VLOOKUP($B450,Resumo_HSF!$C$13:$AB$1000,16,FALSE),0,(VLOOKUP($B451,Resumo_HSF!$C$13:$AB$1000,16,FALSE)-VLOOKUP($B450,Resumo_HSF!$C$13:$AB$1000,16,FALSE))*VLOOKUP($B451,Resumo_HSF!$C$13:$AB$1000,15,FALSE))</f>
        <v>0</v>
      </c>
      <c r="Y451" s="26">
        <v>0</v>
      </c>
      <c r="Z451" s="26">
        <v>0</v>
      </c>
      <c r="AA451" s="26">
        <v>0</v>
      </c>
      <c r="AB451" s="26">
        <v>0</v>
      </c>
      <c r="AC451" s="26">
        <v>0</v>
      </c>
      <c r="AD451" s="15">
        <f t="shared" si="534"/>
        <v>0</v>
      </c>
    </row>
    <row r="452" spans="2:30">
      <c r="B452" s="1">
        <f>WORKDAY(B451,1,Feriados!A255:A1094)</f>
        <v>45506</v>
      </c>
      <c r="C452" s="51">
        <f t="shared" ref="C452:C453" si="535">AD452</f>
        <v>0</v>
      </c>
      <c r="D452" s="26">
        <v>0</v>
      </c>
      <c r="E452" s="26">
        <v>0</v>
      </c>
      <c r="F452" s="26">
        <v>0</v>
      </c>
      <c r="G452" s="26">
        <v>0</v>
      </c>
      <c r="H452" s="26">
        <v>0</v>
      </c>
      <c r="I452" s="26">
        <v>0</v>
      </c>
      <c r="J452" s="26">
        <v>0</v>
      </c>
      <c r="K452">
        <f>-VLOOKUP(B452,Resumo_HSF!$C$13:$AH$600,28,FALSE)</f>
        <v>0</v>
      </c>
      <c r="L452" s="26">
        <v>0</v>
      </c>
      <c r="M452" s="26">
        <v>0</v>
      </c>
      <c r="N452" s="26">
        <v>0</v>
      </c>
      <c r="O452" s="26">
        <v>0</v>
      </c>
      <c r="P452" s="26">
        <v>0</v>
      </c>
      <c r="Q452" s="26">
        <v>0</v>
      </c>
      <c r="R452" s="26">
        <v>0</v>
      </c>
      <c r="S452" s="26">
        <v>0</v>
      </c>
      <c r="T452" s="26">
        <v>0</v>
      </c>
      <c r="U452" s="26">
        <v>0</v>
      </c>
      <c r="V452" s="26">
        <v>0</v>
      </c>
      <c r="W452" s="26">
        <v>0</v>
      </c>
      <c r="X452" s="26">
        <f>-IF(VLOOKUP($B452,Resumo_HSF!$C$13:$AB$1000,16,FALSE)=VLOOKUP($B451,Resumo_HSF!$C$13:$AB$1000,16,FALSE),0,(VLOOKUP($B452,Resumo_HSF!$C$13:$AB$1000,16,FALSE)-VLOOKUP($B451,Resumo_HSF!$C$13:$AB$1000,16,FALSE))*VLOOKUP($B452,Resumo_HSF!$C$13:$AB$1000,15,FALSE))</f>
        <v>0</v>
      </c>
      <c r="Y452" s="26">
        <v>0</v>
      </c>
      <c r="Z452" s="26">
        <v>0</v>
      </c>
      <c r="AA452" s="26">
        <v>0</v>
      </c>
      <c r="AB452" s="26">
        <v>0</v>
      </c>
      <c r="AC452" s="26">
        <v>0</v>
      </c>
      <c r="AD452" s="15">
        <f t="shared" ref="AD452:AD453" si="536">SUM(D452:AB452)</f>
        <v>0</v>
      </c>
    </row>
    <row r="453" spans="2:30">
      <c r="B453" s="1">
        <f>WORKDAY(B452,1,Feriados!A256:A1095)</f>
        <v>45509</v>
      </c>
      <c r="C453" s="51">
        <f t="shared" si="535"/>
        <v>0</v>
      </c>
      <c r="D453" s="26">
        <v>0</v>
      </c>
      <c r="E453" s="26">
        <v>0</v>
      </c>
      <c r="F453" s="26">
        <v>0</v>
      </c>
      <c r="G453" s="26">
        <v>0</v>
      </c>
      <c r="H453" s="26">
        <v>0</v>
      </c>
      <c r="I453" s="26">
        <v>0</v>
      </c>
      <c r="J453" s="26">
        <v>0</v>
      </c>
      <c r="K453">
        <f>-VLOOKUP(B453,Resumo_HSF!$C$13:$AH$600,28,FALSE)</f>
        <v>0</v>
      </c>
      <c r="L453" s="26">
        <v>0</v>
      </c>
      <c r="M453" s="26">
        <v>0</v>
      </c>
      <c r="N453" s="26">
        <v>0</v>
      </c>
      <c r="O453" s="26">
        <v>0</v>
      </c>
      <c r="P453" s="26">
        <v>0</v>
      </c>
      <c r="Q453" s="26">
        <v>0</v>
      </c>
      <c r="R453" s="26">
        <v>0</v>
      </c>
      <c r="S453" s="26">
        <v>0</v>
      </c>
      <c r="T453" s="26">
        <v>0</v>
      </c>
      <c r="U453" s="26">
        <v>0</v>
      </c>
      <c r="V453" s="26">
        <v>0</v>
      </c>
      <c r="W453" s="26">
        <v>0</v>
      </c>
      <c r="X453" s="26">
        <f>-IF(VLOOKUP($B453,Resumo_HSF!$C$13:$AB$1000,16,FALSE)=VLOOKUP($B452,Resumo_HSF!$C$13:$AB$1000,16,FALSE),0,(VLOOKUP($B453,Resumo_HSF!$C$13:$AB$1000,16,FALSE)-VLOOKUP($B452,Resumo_HSF!$C$13:$AB$1000,16,FALSE))*VLOOKUP($B453,Resumo_HSF!$C$13:$AB$1000,15,FALSE))</f>
        <v>0</v>
      </c>
      <c r="Y453" s="26">
        <v>0</v>
      </c>
      <c r="Z453" s="26">
        <v>0</v>
      </c>
      <c r="AA453" s="26">
        <v>0</v>
      </c>
      <c r="AB453" s="26">
        <v>0</v>
      </c>
      <c r="AC453" s="26">
        <v>0</v>
      </c>
      <c r="AD453" s="15">
        <f t="shared" si="536"/>
        <v>0</v>
      </c>
    </row>
    <row r="454" spans="2:30">
      <c r="B454" s="1">
        <f>WORKDAY(B453,1,Feriados!A257:A1096)</f>
        <v>45510</v>
      </c>
      <c r="C454" s="51">
        <f t="shared" ref="C454" si="537">AD454</f>
        <v>0</v>
      </c>
      <c r="D454" s="26">
        <v>0</v>
      </c>
      <c r="E454" s="26">
        <v>0</v>
      </c>
      <c r="F454" s="26">
        <v>0</v>
      </c>
      <c r="G454" s="26">
        <v>0</v>
      </c>
      <c r="H454" s="26">
        <v>0</v>
      </c>
      <c r="I454" s="26">
        <v>0</v>
      </c>
      <c r="J454" s="26">
        <v>0</v>
      </c>
      <c r="K454">
        <f>-VLOOKUP(B454,Resumo_HSF!$C$13:$AH$600,28,FALSE)</f>
        <v>0</v>
      </c>
      <c r="L454" s="26">
        <v>0</v>
      </c>
      <c r="M454" s="26">
        <v>0</v>
      </c>
      <c r="N454" s="26">
        <v>0</v>
      </c>
      <c r="O454" s="26">
        <v>0</v>
      </c>
      <c r="P454" s="26">
        <v>0</v>
      </c>
      <c r="Q454" s="26">
        <v>0</v>
      </c>
      <c r="R454" s="26">
        <v>0</v>
      </c>
      <c r="S454" s="26">
        <v>0</v>
      </c>
      <c r="T454" s="26">
        <v>0</v>
      </c>
      <c r="U454" s="26">
        <v>0</v>
      </c>
      <c r="V454" s="26">
        <v>0</v>
      </c>
      <c r="W454" s="26">
        <v>0</v>
      </c>
      <c r="X454" s="26">
        <f>-IF(VLOOKUP($B454,Resumo_HSF!$C$13:$AB$1000,16,FALSE)=VLOOKUP($B453,Resumo_HSF!$C$13:$AB$1000,16,FALSE),0,(VLOOKUP($B454,Resumo_HSF!$C$13:$AB$1000,16,FALSE)-VLOOKUP($B453,Resumo_HSF!$C$13:$AB$1000,16,FALSE))*VLOOKUP($B454,Resumo_HSF!$C$13:$AB$1000,15,FALSE))</f>
        <v>0</v>
      </c>
      <c r="Y454" s="26">
        <v>0</v>
      </c>
      <c r="Z454" s="26">
        <v>0</v>
      </c>
      <c r="AA454" s="26">
        <v>0</v>
      </c>
      <c r="AB454" s="26">
        <v>0</v>
      </c>
      <c r="AC454" s="26">
        <v>0</v>
      </c>
      <c r="AD454" s="15">
        <f t="shared" ref="AD454:AD455" si="538">SUM(D454:AB454)</f>
        <v>0</v>
      </c>
    </row>
    <row r="455" spans="2:30">
      <c r="B455" s="1">
        <f>WORKDAY(B454,1,Feriados!A258:A1097)</f>
        <v>45511</v>
      </c>
      <c r="C455" s="51">
        <f t="shared" ref="C455:C456" si="539">AD455</f>
        <v>-1.7154874285552069E-6</v>
      </c>
      <c r="D455" s="26">
        <v>-11667.41</v>
      </c>
      <c r="E455" s="26">
        <v>0</v>
      </c>
      <c r="F455" s="26">
        <v>0</v>
      </c>
      <c r="G455" s="26">
        <v>0</v>
      </c>
      <c r="H455" s="26">
        <v>0</v>
      </c>
      <c r="I455" s="26">
        <v>0</v>
      </c>
      <c r="J455" s="26">
        <v>0</v>
      </c>
      <c r="K455">
        <f>-VLOOKUP(B455,Resumo_HSF!$C$13:$AH$600,28,FALSE)</f>
        <v>0</v>
      </c>
      <c r="L455" s="26">
        <v>0</v>
      </c>
      <c r="M455" s="26">
        <v>0</v>
      </c>
      <c r="N455" s="26">
        <v>0</v>
      </c>
      <c r="O455" s="26">
        <v>0</v>
      </c>
      <c r="P455" s="26">
        <v>0</v>
      </c>
      <c r="Q455" s="26">
        <v>0</v>
      </c>
      <c r="R455" s="26">
        <v>0</v>
      </c>
      <c r="S455" s="26">
        <v>0</v>
      </c>
      <c r="T455" s="26">
        <v>0</v>
      </c>
      <c r="U455" s="26">
        <v>12000</v>
      </c>
      <c r="V455" s="26">
        <v>0</v>
      </c>
      <c r="W455" s="26">
        <v>0</v>
      </c>
      <c r="X455" s="26">
        <f>-IF(VLOOKUP($B455,Resumo_HSF!$C$13:$AB$1000,16,FALSE)=VLOOKUP($B454,Resumo_HSF!$C$13:$AB$1000,16,FALSE),0,(VLOOKUP($B455,Resumo_HSF!$C$13:$AB$1000,16,FALSE)-VLOOKUP($B454,Resumo_HSF!$C$13:$AB$1000,16,FALSE))*VLOOKUP($B455,Resumo_HSF!$C$13:$AB$1000,15,FALSE))</f>
        <v>-332.59000171548757</v>
      </c>
      <c r="Y455" s="26">
        <v>0</v>
      </c>
      <c r="Z455" s="26">
        <v>0</v>
      </c>
      <c r="AA455" s="26">
        <v>0</v>
      </c>
      <c r="AB455" s="26">
        <v>0</v>
      </c>
      <c r="AC455" s="26">
        <v>0</v>
      </c>
      <c r="AD455" s="15">
        <f t="shared" si="538"/>
        <v>-1.7154874285552069E-6</v>
      </c>
    </row>
    <row r="456" spans="2:30">
      <c r="B456" s="1">
        <f>WORKDAY(B455,1,Feriados!A259:A1098)</f>
        <v>45512</v>
      </c>
      <c r="C456" s="51">
        <f t="shared" si="539"/>
        <v>0</v>
      </c>
      <c r="D456" s="26">
        <v>0</v>
      </c>
      <c r="E456" s="26">
        <v>0</v>
      </c>
      <c r="F456" s="26">
        <v>0</v>
      </c>
      <c r="G456" s="26">
        <v>0</v>
      </c>
      <c r="H456" s="26">
        <v>0</v>
      </c>
      <c r="I456" s="26">
        <v>0</v>
      </c>
      <c r="J456" s="26">
        <v>0</v>
      </c>
      <c r="K456">
        <f>-VLOOKUP(B456,Resumo_HSF!$C$13:$AH$600,28,FALSE)</f>
        <v>0</v>
      </c>
      <c r="L456" s="26">
        <v>0</v>
      </c>
      <c r="M456" s="26">
        <v>0</v>
      </c>
      <c r="N456" s="26">
        <v>0</v>
      </c>
      <c r="O456" s="26">
        <v>0</v>
      </c>
      <c r="P456" s="26">
        <v>0</v>
      </c>
      <c r="Q456" s="26">
        <v>0</v>
      </c>
      <c r="R456" s="26">
        <v>0</v>
      </c>
      <c r="S456" s="26">
        <v>0</v>
      </c>
      <c r="T456" s="26">
        <v>0</v>
      </c>
      <c r="U456" s="26">
        <v>0</v>
      </c>
      <c r="V456" s="26">
        <v>0</v>
      </c>
      <c r="W456" s="26">
        <v>0</v>
      </c>
      <c r="X456" s="26">
        <f>-IF(VLOOKUP($B456,Resumo_HSF!$C$13:$AB$1000,16,FALSE)=VLOOKUP($B455,Resumo_HSF!$C$13:$AB$1000,16,FALSE),0,(VLOOKUP($B456,Resumo_HSF!$C$13:$AB$1000,16,FALSE)-VLOOKUP($B455,Resumo_HSF!$C$13:$AB$1000,16,FALSE))*VLOOKUP($B456,Resumo_HSF!$C$13:$AB$1000,15,FALSE))</f>
        <v>0</v>
      </c>
      <c r="Y456" s="26">
        <v>0</v>
      </c>
      <c r="Z456" s="26">
        <v>0</v>
      </c>
      <c r="AA456" s="26">
        <v>0</v>
      </c>
      <c r="AB456" s="26">
        <v>0</v>
      </c>
      <c r="AC456" s="26">
        <v>0</v>
      </c>
      <c r="AD456" s="15">
        <f t="shared" ref="AD456" si="540">SUM(D456:AB456)</f>
        <v>0</v>
      </c>
    </row>
    <row r="457" spans="2:30">
      <c r="B457" s="1">
        <f>WORKDAY(B456,1,Feriados!A260:A1099)</f>
        <v>45513</v>
      </c>
      <c r="C457" s="51">
        <f t="shared" ref="C457" si="541">AD457</f>
        <v>0</v>
      </c>
      <c r="D457" s="26">
        <v>0</v>
      </c>
      <c r="E457" s="26">
        <v>0</v>
      </c>
      <c r="F457" s="26">
        <v>0</v>
      </c>
      <c r="G457" s="26">
        <v>0</v>
      </c>
      <c r="H457" s="26">
        <v>0</v>
      </c>
      <c r="I457" s="26">
        <v>0</v>
      </c>
      <c r="J457" s="26">
        <v>0</v>
      </c>
      <c r="K457">
        <f>-VLOOKUP(B457,Resumo_HSF!$C$13:$AH$600,28,FALSE)</f>
        <v>0</v>
      </c>
      <c r="L457" s="26">
        <v>0</v>
      </c>
      <c r="M457" s="26">
        <v>0</v>
      </c>
      <c r="N457" s="26">
        <v>0</v>
      </c>
      <c r="O457" s="26">
        <v>0</v>
      </c>
      <c r="P457" s="26">
        <v>0</v>
      </c>
      <c r="Q457" s="26">
        <v>0</v>
      </c>
      <c r="R457" s="26">
        <v>0</v>
      </c>
      <c r="S457" s="26">
        <v>0</v>
      </c>
      <c r="T457" s="26">
        <v>0</v>
      </c>
      <c r="U457" s="26">
        <v>0</v>
      </c>
      <c r="V457" s="26">
        <v>0</v>
      </c>
      <c r="W457" s="26">
        <v>0</v>
      </c>
      <c r="X457" s="26">
        <f>-IF(VLOOKUP($B457,Resumo_HSF!$C$13:$AB$1000,16,FALSE)=VLOOKUP($B456,Resumo_HSF!$C$13:$AB$1000,16,FALSE),0,(VLOOKUP($B457,Resumo_HSF!$C$13:$AB$1000,16,FALSE)-VLOOKUP($B456,Resumo_HSF!$C$13:$AB$1000,16,FALSE))*VLOOKUP($B457,Resumo_HSF!$C$13:$AB$1000,15,FALSE))</f>
        <v>0</v>
      </c>
      <c r="Y457" s="26">
        <v>0</v>
      </c>
      <c r="Z457" s="26">
        <v>0</v>
      </c>
      <c r="AA457" s="26">
        <v>0</v>
      </c>
      <c r="AB457" s="26">
        <v>0</v>
      </c>
      <c r="AC457" s="26">
        <v>0</v>
      </c>
      <c r="AD457" s="15">
        <f t="shared" ref="AD457" si="542">SUM(D457:AB457)</f>
        <v>0</v>
      </c>
    </row>
    <row r="458" spans="2:30">
      <c r="B458" s="1">
        <f>WORKDAY(B457,1,Feriados!A261:A1100)</f>
        <v>45516</v>
      </c>
      <c r="C458" s="51">
        <f t="shared" ref="C458:C459" si="543">AD458</f>
        <v>0</v>
      </c>
      <c r="D458" s="26">
        <v>0</v>
      </c>
      <c r="E458" s="26">
        <v>0</v>
      </c>
      <c r="F458" s="26">
        <v>0</v>
      </c>
      <c r="G458" s="26">
        <v>0</v>
      </c>
      <c r="H458" s="26">
        <v>0</v>
      </c>
      <c r="I458" s="26">
        <v>0</v>
      </c>
      <c r="J458" s="26">
        <v>0</v>
      </c>
      <c r="K458">
        <f>-VLOOKUP(B458,Resumo_HSF!$C$13:$AH$600,28,FALSE)</f>
        <v>0</v>
      </c>
      <c r="L458" s="26">
        <v>0</v>
      </c>
      <c r="M458" s="26">
        <v>0</v>
      </c>
      <c r="N458" s="26">
        <v>0</v>
      </c>
      <c r="O458" s="26">
        <v>0</v>
      </c>
      <c r="P458" s="26">
        <v>0</v>
      </c>
      <c r="Q458" s="26">
        <v>0</v>
      </c>
      <c r="R458" s="26">
        <v>0</v>
      </c>
      <c r="S458" s="26">
        <v>0</v>
      </c>
      <c r="T458" s="26">
        <v>0</v>
      </c>
      <c r="U458" s="26">
        <v>0</v>
      </c>
      <c r="V458" s="26">
        <v>0</v>
      </c>
      <c r="W458" s="26">
        <v>0</v>
      </c>
      <c r="X458" s="26">
        <f>-IF(VLOOKUP($B458,Resumo_HSF!$C$13:$AB$1000,16,FALSE)=VLOOKUP($B457,Resumo_HSF!$C$13:$AB$1000,16,FALSE),0,(VLOOKUP($B458,Resumo_HSF!$C$13:$AB$1000,16,FALSE)-VLOOKUP($B457,Resumo_HSF!$C$13:$AB$1000,16,FALSE))*VLOOKUP($B458,Resumo_HSF!$C$13:$AB$1000,15,FALSE))</f>
        <v>0</v>
      </c>
      <c r="Y458" s="26">
        <v>0</v>
      </c>
      <c r="Z458" s="26">
        <v>0</v>
      </c>
      <c r="AA458" s="26">
        <v>0</v>
      </c>
      <c r="AB458" s="26">
        <v>0</v>
      </c>
      <c r="AC458" s="26">
        <v>0</v>
      </c>
      <c r="AD458" s="15">
        <f t="shared" ref="AD458:AD459" si="544">SUM(D458:AB458)</f>
        <v>0</v>
      </c>
    </row>
    <row r="459" spans="2:30">
      <c r="B459" s="1">
        <f>WORKDAY(B458,1,Feriados!A262:A1101)</f>
        <v>45517</v>
      </c>
      <c r="C459" s="51">
        <f t="shared" si="543"/>
        <v>0</v>
      </c>
      <c r="D459" s="26">
        <v>0</v>
      </c>
      <c r="E459" s="26">
        <v>0</v>
      </c>
      <c r="F459" s="26">
        <v>0</v>
      </c>
      <c r="G459" s="26">
        <v>0</v>
      </c>
      <c r="H459" s="26">
        <v>0</v>
      </c>
      <c r="I459" s="26">
        <v>0</v>
      </c>
      <c r="J459" s="26">
        <v>0</v>
      </c>
      <c r="K459">
        <f>-VLOOKUP(B459,Resumo_HSF!$C$13:$AH$600,28,FALSE)</f>
        <v>0</v>
      </c>
      <c r="L459" s="26">
        <v>0</v>
      </c>
      <c r="M459" s="26">
        <v>0</v>
      </c>
      <c r="N459" s="26">
        <v>0</v>
      </c>
      <c r="O459" s="26">
        <v>0</v>
      </c>
      <c r="P459" s="26">
        <v>0</v>
      </c>
      <c r="Q459" s="26">
        <v>0</v>
      </c>
      <c r="R459" s="26">
        <v>0</v>
      </c>
      <c r="S459" s="26">
        <v>0</v>
      </c>
      <c r="T459" s="26">
        <v>0</v>
      </c>
      <c r="U459" s="26">
        <v>0</v>
      </c>
      <c r="V459" s="26">
        <v>0</v>
      </c>
      <c r="W459" s="26">
        <v>0</v>
      </c>
      <c r="X459" s="26">
        <f>-IF(VLOOKUP($B459,Resumo_HSF!$C$13:$AB$1000,16,FALSE)=VLOOKUP($B458,Resumo_HSF!$C$13:$AB$1000,16,FALSE),0,(VLOOKUP($B459,Resumo_HSF!$C$13:$AB$1000,16,FALSE)-VLOOKUP($B458,Resumo_HSF!$C$13:$AB$1000,16,FALSE))*VLOOKUP($B459,Resumo_HSF!$C$13:$AB$1000,15,FALSE))</f>
        <v>0</v>
      </c>
      <c r="Y459" s="26">
        <v>0</v>
      </c>
      <c r="Z459" s="26">
        <v>0</v>
      </c>
      <c r="AA459" s="26">
        <v>0</v>
      </c>
      <c r="AB459" s="26">
        <v>0</v>
      </c>
      <c r="AC459" s="26">
        <v>0</v>
      </c>
      <c r="AD459" s="15">
        <f t="shared" si="544"/>
        <v>0</v>
      </c>
    </row>
    <row r="460" spans="2:30">
      <c r="B460" s="1">
        <f>WORKDAY(B459,1,Feriados!A263:A1102)</f>
        <v>45518</v>
      </c>
      <c r="C460" s="51">
        <f t="shared" ref="C460" si="545">AD460</f>
        <v>0</v>
      </c>
      <c r="D460" s="26">
        <v>0</v>
      </c>
      <c r="E460" s="26">
        <v>0</v>
      </c>
      <c r="F460" s="26">
        <v>0</v>
      </c>
      <c r="G460" s="26">
        <v>0</v>
      </c>
      <c r="H460" s="26">
        <v>0</v>
      </c>
      <c r="I460" s="26">
        <v>0</v>
      </c>
      <c r="J460" s="26">
        <v>0</v>
      </c>
      <c r="K460">
        <f>-VLOOKUP(B460,Resumo_HSF!$C$13:$AH$600,28,FALSE)</f>
        <v>0</v>
      </c>
      <c r="L460" s="26">
        <v>0</v>
      </c>
      <c r="M460" s="26">
        <v>0</v>
      </c>
      <c r="N460" s="26">
        <v>0</v>
      </c>
      <c r="O460" s="26">
        <v>0</v>
      </c>
      <c r="P460" s="26">
        <v>0</v>
      </c>
      <c r="Q460" s="26">
        <v>0</v>
      </c>
      <c r="R460" s="26">
        <v>0</v>
      </c>
      <c r="S460" s="26">
        <v>0</v>
      </c>
      <c r="T460" s="26">
        <v>0</v>
      </c>
      <c r="U460" s="26">
        <v>0</v>
      </c>
      <c r="V460" s="26">
        <v>0</v>
      </c>
      <c r="W460" s="26">
        <v>0</v>
      </c>
      <c r="X460" s="26">
        <f>-IF(VLOOKUP($B460,Resumo_HSF!$C$13:$AB$1000,16,FALSE)=VLOOKUP($B459,Resumo_HSF!$C$13:$AB$1000,16,FALSE),0,(VLOOKUP($B460,Resumo_HSF!$C$13:$AB$1000,16,FALSE)-VLOOKUP($B459,Resumo_HSF!$C$13:$AB$1000,16,FALSE))*VLOOKUP($B460,Resumo_HSF!$C$13:$AB$1000,15,FALSE))</f>
        <v>0</v>
      </c>
      <c r="Y460" s="26">
        <v>0</v>
      </c>
      <c r="Z460" s="26">
        <v>0</v>
      </c>
      <c r="AA460" s="26">
        <v>0</v>
      </c>
      <c r="AB460" s="26">
        <v>0</v>
      </c>
      <c r="AC460" s="26">
        <v>0</v>
      </c>
      <c r="AD460" s="15">
        <f t="shared" ref="AD460" si="546">SUM(D460:AB460)</f>
        <v>0</v>
      </c>
    </row>
    <row r="461" spans="2:30">
      <c r="B461" s="1">
        <f>WORKDAY(B460,1,Feriados!A264:A1103)</f>
        <v>45519</v>
      </c>
      <c r="C461" s="51">
        <f t="shared" ref="C461" si="547">AD461</f>
        <v>0</v>
      </c>
      <c r="D461" s="26">
        <v>0</v>
      </c>
      <c r="E461" s="26">
        <v>0</v>
      </c>
      <c r="F461" s="26">
        <v>0</v>
      </c>
      <c r="G461" s="26">
        <v>0</v>
      </c>
      <c r="H461" s="26">
        <v>0</v>
      </c>
      <c r="I461" s="26">
        <v>0</v>
      </c>
      <c r="J461" s="26">
        <v>0</v>
      </c>
      <c r="K461">
        <f>-VLOOKUP(B461,Resumo_HSF!$C$13:$AH$600,28,FALSE)</f>
        <v>0</v>
      </c>
      <c r="L461" s="26">
        <v>0</v>
      </c>
      <c r="M461" s="26">
        <v>0</v>
      </c>
      <c r="N461" s="26">
        <v>0</v>
      </c>
      <c r="O461" s="26">
        <v>0</v>
      </c>
      <c r="P461" s="26">
        <v>0</v>
      </c>
      <c r="Q461" s="26">
        <v>0</v>
      </c>
      <c r="R461" s="26">
        <v>0</v>
      </c>
      <c r="S461" s="26">
        <v>0</v>
      </c>
      <c r="T461" s="26">
        <v>0</v>
      </c>
      <c r="U461" s="26">
        <v>0</v>
      </c>
      <c r="V461" s="26">
        <v>0</v>
      </c>
      <c r="W461" s="26">
        <v>0</v>
      </c>
      <c r="X461" s="26">
        <f>-IF(VLOOKUP($B461,Resumo_HSF!$C$13:$AB$1000,16,FALSE)=VLOOKUP($B460,Resumo_HSF!$C$13:$AB$1000,16,FALSE),0,(VLOOKUP($B461,Resumo_HSF!$C$13:$AB$1000,16,FALSE)-VLOOKUP($B460,Resumo_HSF!$C$13:$AB$1000,16,FALSE))*VLOOKUP($B461,Resumo_HSF!$C$13:$AB$1000,15,FALSE))</f>
        <v>0</v>
      </c>
      <c r="Y461" s="26">
        <v>0</v>
      </c>
      <c r="Z461" s="26">
        <v>0</v>
      </c>
      <c r="AA461" s="26">
        <v>0</v>
      </c>
      <c r="AB461" s="26">
        <v>0</v>
      </c>
      <c r="AC461" s="26">
        <v>0</v>
      </c>
      <c r="AD461" s="15">
        <f t="shared" ref="AD461" si="548">SUM(D461:AB461)</f>
        <v>0</v>
      </c>
    </row>
    <row r="462" spans="2:30">
      <c r="B462" s="1">
        <f>WORKDAY(B461,1,Feriados!A265:A1104)</f>
        <v>45520</v>
      </c>
      <c r="C462" s="51">
        <f t="shared" ref="C462" si="549">AD462</f>
        <v>2.1534381176024908E-6</v>
      </c>
      <c r="D462" s="26">
        <v>0</v>
      </c>
      <c r="E462" s="26">
        <v>0</v>
      </c>
      <c r="F462" s="26">
        <v>0</v>
      </c>
      <c r="G462" s="26">
        <v>0</v>
      </c>
      <c r="H462" s="26">
        <v>0</v>
      </c>
      <c r="I462" s="26">
        <v>0</v>
      </c>
      <c r="J462" s="26">
        <v>0</v>
      </c>
      <c r="K462">
        <f>-VLOOKUP(B462,Resumo_HSF!$C$13:$AH$600,28,FALSE)</f>
        <v>0</v>
      </c>
      <c r="L462" s="26">
        <v>0</v>
      </c>
      <c r="M462" s="26">
        <v>0</v>
      </c>
      <c r="N462" s="26">
        <v>0</v>
      </c>
      <c r="O462" s="26">
        <v>0</v>
      </c>
      <c r="P462" s="26">
        <v>-145</v>
      </c>
      <c r="Q462" s="26">
        <v>0</v>
      </c>
      <c r="R462" s="26">
        <v>0</v>
      </c>
      <c r="S462" s="26">
        <v>0</v>
      </c>
      <c r="T462" s="26">
        <v>0</v>
      </c>
      <c r="U462" s="26">
        <v>0</v>
      </c>
      <c r="V462" s="26">
        <v>0</v>
      </c>
      <c r="W462" s="26">
        <v>0</v>
      </c>
      <c r="X462" s="26">
        <f>-IF(VLOOKUP($B462,Resumo_HSF!$C$13:$AB$1000,16,FALSE)=VLOOKUP($B461,Resumo_HSF!$C$13:$AB$1000,16,FALSE),0,(VLOOKUP($B462,Resumo_HSF!$C$13:$AB$1000,16,FALSE)-VLOOKUP($B461,Resumo_HSF!$C$13:$AB$1000,16,FALSE))*VLOOKUP($B462,Resumo_HSF!$C$13:$AB$1000,15,FALSE))</f>
        <v>145.00000215343812</v>
      </c>
      <c r="Y462" s="26">
        <v>0</v>
      </c>
      <c r="Z462" s="26">
        <v>0</v>
      </c>
      <c r="AA462" s="26">
        <v>0</v>
      </c>
      <c r="AB462" s="26">
        <v>0</v>
      </c>
      <c r="AC462" s="26">
        <v>0</v>
      </c>
      <c r="AD462" s="15">
        <f t="shared" ref="AD462" si="550">SUM(D462:AB462)</f>
        <v>2.1534381176024908E-6</v>
      </c>
    </row>
    <row r="463" spans="2:30">
      <c r="B463" s="1">
        <f>WORKDAY(B462,1,Feriados!A266:A1105)</f>
        <v>45523</v>
      </c>
      <c r="C463" s="51">
        <f t="shared" ref="C463" si="551">AD463</f>
        <v>0</v>
      </c>
      <c r="D463" s="26">
        <v>0</v>
      </c>
      <c r="E463" s="26">
        <v>0</v>
      </c>
      <c r="F463" s="26">
        <v>0</v>
      </c>
      <c r="G463" s="26">
        <v>0</v>
      </c>
      <c r="H463" s="26">
        <v>0</v>
      </c>
      <c r="I463" s="26">
        <v>0</v>
      </c>
      <c r="J463" s="26">
        <v>0</v>
      </c>
      <c r="K463">
        <f>-VLOOKUP(B463,Resumo_HSF!$C$13:$AH$600,28,FALSE)</f>
        <v>0</v>
      </c>
      <c r="L463" s="26">
        <v>0</v>
      </c>
      <c r="M463" s="26">
        <v>0</v>
      </c>
      <c r="N463" s="26">
        <v>0</v>
      </c>
      <c r="O463" s="26">
        <v>0</v>
      </c>
      <c r="P463" s="26">
        <v>0</v>
      </c>
      <c r="Q463" s="26">
        <v>0</v>
      </c>
      <c r="R463" s="26">
        <v>0</v>
      </c>
      <c r="S463" s="26">
        <v>0</v>
      </c>
      <c r="T463" s="26">
        <v>0</v>
      </c>
      <c r="U463" s="26">
        <v>0</v>
      </c>
      <c r="V463" s="26">
        <v>0</v>
      </c>
      <c r="W463" s="26">
        <v>0</v>
      </c>
      <c r="X463" s="26">
        <f>-IF(VLOOKUP($B463,Resumo_HSF!$C$13:$AB$1000,16,FALSE)=VLOOKUP($B462,Resumo_HSF!$C$13:$AB$1000,16,FALSE),0,(VLOOKUP($B463,Resumo_HSF!$C$13:$AB$1000,16,FALSE)-VLOOKUP($B462,Resumo_HSF!$C$13:$AB$1000,16,FALSE))*VLOOKUP($B463,Resumo_HSF!$C$13:$AB$1000,15,FALSE))</f>
        <v>0</v>
      </c>
      <c r="Y463" s="26">
        <v>0</v>
      </c>
      <c r="Z463" s="26">
        <v>0</v>
      </c>
      <c r="AA463" s="26">
        <v>0</v>
      </c>
      <c r="AB463" s="26">
        <v>0</v>
      </c>
      <c r="AC463" s="26">
        <v>0</v>
      </c>
      <c r="AD463" s="15">
        <f t="shared" ref="AD463" si="552">SUM(D463:AB463)</f>
        <v>0</v>
      </c>
    </row>
    <row r="464" spans="2:30">
      <c r="B464" s="1">
        <f>WORKDAY(B463,1,Feriados!A267:A1106)</f>
        <v>45524</v>
      </c>
      <c r="C464" s="51">
        <f t="shared" ref="C464" si="553">AD464</f>
        <v>0</v>
      </c>
      <c r="D464" s="26">
        <v>0</v>
      </c>
      <c r="E464" s="26">
        <v>0</v>
      </c>
      <c r="F464" s="26">
        <v>0</v>
      </c>
      <c r="G464" s="26">
        <v>0</v>
      </c>
      <c r="H464" s="26">
        <v>0</v>
      </c>
      <c r="I464" s="26">
        <v>0</v>
      </c>
      <c r="J464" s="26">
        <v>0</v>
      </c>
      <c r="K464">
        <f>-VLOOKUP(B464,Resumo_HSF!$C$13:$AH$600,28,FALSE)</f>
        <v>0</v>
      </c>
      <c r="L464" s="26">
        <v>0</v>
      </c>
      <c r="M464" s="26">
        <v>0</v>
      </c>
      <c r="N464" s="26">
        <v>0</v>
      </c>
      <c r="O464" s="26">
        <v>0</v>
      </c>
      <c r="P464" s="26">
        <v>0</v>
      </c>
      <c r="Q464" s="26">
        <v>0</v>
      </c>
      <c r="R464" s="26">
        <v>0</v>
      </c>
      <c r="S464" s="26">
        <v>0</v>
      </c>
      <c r="T464" s="26">
        <v>0</v>
      </c>
      <c r="U464" s="26">
        <v>0</v>
      </c>
      <c r="V464" s="26">
        <v>0</v>
      </c>
      <c r="W464" s="26">
        <v>0</v>
      </c>
      <c r="X464" s="26">
        <f>-IF(VLOOKUP($B464,Resumo_HSF!$C$13:$AB$1000,16,FALSE)=VLOOKUP($B463,Resumo_HSF!$C$13:$AB$1000,16,FALSE),0,(VLOOKUP($B464,Resumo_HSF!$C$13:$AB$1000,16,FALSE)-VLOOKUP($B463,Resumo_HSF!$C$13:$AB$1000,16,FALSE))*VLOOKUP($B464,Resumo_HSF!$C$13:$AB$1000,15,FALSE))</f>
        <v>0</v>
      </c>
      <c r="Y464" s="26">
        <v>0</v>
      </c>
      <c r="Z464" s="26">
        <v>0</v>
      </c>
      <c r="AA464" s="26">
        <v>0</v>
      </c>
      <c r="AB464" s="26">
        <v>0</v>
      </c>
      <c r="AC464" s="26">
        <v>0</v>
      </c>
      <c r="AD464" s="15">
        <f t="shared" ref="AD464" si="554">SUM(D464:AB464)</f>
        <v>0</v>
      </c>
    </row>
    <row r="465" spans="2:30">
      <c r="B465" s="1">
        <f>WORKDAY(B464,1,Feriados!A268:A1107)</f>
        <v>45525</v>
      </c>
      <c r="C465" s="51">
        <f t="shared" ref="C465" si="555">AD465</f>
        <v>0</v>
      </c>
      <c r="D465" s="26">
        <v>0</v>
      </c>
      <c r="E465" s="26">
        <v>0</v>
      </c>
      <c r="F465" s="26">
        <v>0</v>
      </c>
      <c r="G465" s="26">
        <v>0</v>
      </c>
      <c r="H465" s="26">
        <v>0</v>
      </c>
      <c r="I465" s="26">
        <v>0</v>
      </c>
      <c r="J465" s="26">
        <v>0</v>
      </c>
      <c r="K465">
        <f>-VLOOKUP(B465,Resumo_HSF!$C$13:$AH$600,28,FALSE)</f>
        <v>0</v>
      </c>
      <c r="L465" s="26">
        <v>0</v>
      </c>
      <c r="M465" s="26">
        <v>0</v>
      </c>
      <c r="N465" s="26">
        <v>0</v>
      </c>
      <c r="O465" s="26">
        <v>0</v>
      </c>
      <c r="P465" s="26">
        <v>0</v>
      </c>
      <c r="Q465" s="26">
        <v>0</v>
      </c>
      <c r="R465" s="26">
        <v>0</v>
      </c>
      <c r="S465" s="26">
        <v>0</v>
      </c>
      <c r="T465" s="26">
        <v>0</v>
      </c>
      <c r="U465" s="26">
        <v>0</v>
      </c>
      <c r="V465" s="26">
        <v>0</v>
      </c>
      <c r="W465" s="26">
        <v>0</v>
      </c>
      <c r="X465" s="26">
        <f>-IF(VLOOKUP($B465,Resumo_HSF!$C$13:$AB$1000,16,FALSE)=VLOOKUP($B464,Resumo_HSF!$C$13:$AB$1000,16,FALSE),0,(VLOOKUP($B465,Resumo_HSF!$C$13:$AB$1000,16,FALSE)-VLOOKUP($B464,Resumo_HSF!$C$13:$AB$1000,16,FALSE))*VLOOKUP($B465,Resumo_HSF!$C$13:$AB$1000,15,FALSE))</f>
        <v>0</v>
      </c>
      <c r="Y465" s="26">
        <v>0</v>
      </c>
      <c r="Z465" s="26">
        <v>0</v>
      </c>
      <c r="AA465" s="26">
        <v>0</v>
      </c>
      <c r="AB465" s="26">
        <v>0</v>
      </c>
      <c r="AC465" s="26">
        <v>0</v>
      </c>
      <c r="AD465" s="15">
        <f t="shared" ref="AD465" si="556">SUM(D465:AB465)</f>
        <v>0</v>
      </c>
    </row>
    <row r="466" spans="2:30">
      <c r="B466" s="1">
        <f>WORKDAY(B465,1,Feriados!A269:A1108)</f>
        <v>45526</v>
      </c>
      <c r="C466" s="51">
        <f t="shared" ref="C466:C467" si="557">AD466</f>
        <v>0</v>
      </c>
      <c r="D466" s="26">
        <v>0</v>
      </c>
      <c r="E466" s="26">
        <v>0</v>
      </c>
      <c r="F466" s="26">
        <v>0</v>
      </c>
      <c r="G466" s="26">
        <v>0</v>
      </c>
      <c r="H466" s="26">
        <v>0</v>
      </c>
      <c r="I466" s="26">
        <v>0</v>
      </c>
      <c r="J466" s="26">
        <v>0</v>
      </c>
      <c r="K466">
        <f>-VLOOKUP(B466,Resumo_HSF!$C$13:$AH$600,28,FALSE)</f>
        <v>0</v>
      </c>
      <c r="L466" s="26">
        <v>0</v>
      </c>
      <c r="M466" s="26">
        <v>0</v>
      </c>
      <c r="N466" s="26">
        <v>0</v>
      </c>
      <c r="O466" s="26">
        <v>0</v>
      </c>
      <c r="P466" s="26">
        <v>0</v>
      </c>
      <c r="Q466" s="26">
        <v>0</v>
      </c>
      <c r="R466" s="26">
        <v>0</v>
      </c>
      <c r="S466" s="26">
        <v>0</v>
      </c>
      <c r="T466" s="26">
        <v>0</v>
      </c>
      <c r="U466" s="26">
        <v>0</v>
      </c>
      <c r="V466" s="26">
        <v>0</v>
      </c>
      <c r="W466" s="26">
        <v>0</v>
      </c>
      <c r="X466" s="26">
        <f>-IF(VLOOKUP($B466,Resumo_HSF!$C$13:$AB$1000,16,FALSE)=VLOOKUP($B465,Resumo_HSF!$C$13:$AB$1000,16,FALSE),0,(VLOOKUP($B466,Resumo_HSF!$C$13:$AB$1000,16,FALSE)-VLOOKUP($B465,Resumo_HSF!$C$13:$AB$1000,16,FALSE))*VLOOKUP($B466,Resumo_HSF!$C$13:$AB$1000,15,FALSE))</f>
        <v>0</v>
      </c>
      <c r="Y466" s="26">
        <v>0</v>
      </c>
      <c r="Z466" s="26">
        <v>0</v>
      </c>
      <c r="AA466" s="26">
        <v>0</v>
      </c>
      <c r="AB466" s="26">
        <v>0</v>
      </c>
      <c r="AC466" s="26">
        <v>0</v>
      </c>
      <c r="AD466" s="15">
        <f t="shared" ref="AD466:AD467" si="558">SUM(D466:AB466)</f>
        <v>0</v>
      </c>
    </row>
    <row r="467" spans="2:30">
      <c r="B467" s="1">
        <f>WORKDAY(B466,1,Feriados!A270:A1109)</f>
        <v>45527</v>
      </c>
      <c r="C467" s="51">
        <f t="shared" si="557"/>
        <v>0</v>
      </c>
      <c r="D467" s="26">
        <v>0</v>
      </c>
      <c r="E467" s="26">
        <v>0</v>
      </c>
      <c r="F467" s="26">
        <v>0</v>
      </c>
      <c r="G467" s="26">
        <v>0</v>
      </c>
      <c r="H467" s="26">
        <v>0</v>
      </c>
      <c r="I467" s="26">
        <v>0</v>
      </c>
      <c r="J467" s="26">
        <v>0</v>
      </c>
      <c r="K467">
        <f>-VLOOKUP(B467,Resumo_HSF!$C$13:$AH$600,28,FALSE)</f>
        <v>0</v>
      </c>
      <c r="L467" s="26">
        <v>0</v>
      </c>
      <c r="M467" s="26">
        <v>0</v>
      </c>
      <c r="N467" s="26">
        <v>0</v>
      </c>
      <c r="O467" s="26">
        <v>0</v>
      </c>
      <c r="P467" s="26">
        <v>0</v>
      </c>
      <c r="Q467" s="26">
        <v>0</v>
      </c>
      <c r="R467" s="26">
        <v>0</v>
      </c>
      <c r="S467" s="26">
        <v>0</v>
      </c>
      <c r="T467" s="26">
        <v>0</v>
      </c>
      <c r="U467" s="26">
        <v>0</v>
      </c>
      <c r="V467" s="26">
        <v>0</v>
      </c>
      <c r="W467" s="26">
        <v>0</v>
      </c>
      <c r="X467" s="26">
        <f>-IF(VLOOKUP($B467,Resumo_HSF!$C$13:$AB$1000,16,FALSE)=VLOOKUP($B466,Resumo_HSF!$C$13:$AB$1000,16,FALSE),0,(VLOOKUP($B467,Resumo_HSF!$C$13:$AB$1000,16,FALSE)-VLOOKUP($B466,Resumo_HSF!$C$13:$AB$1000,16,FALSE))*VLOOKUP($B467,Resumo_HSF!$C$13:$AB$1000,15,FALSE))</f>
        <v>0</v>
      </c>
      <c r="Y467" s="26">
        <v>0</v>
      </c>
      <c r="Z467" s="26">
        <v>0</v>
      </c>
      <c r="AA467" s="26">
        <v>0</v>
      </c>
      <c r="AB467" s="26">
        <v>0</v>
      </c>
      <c r="AC467" s="26">
        <v>0</v>
      </c>
      <c r="AD467" s="15">
        <f t="shared" si="558"/>
        <v>0</v>
      </c>
    </row>
    <row r="468" spans="2:30">
      <c r="B468" s="1">
        <f>WORKDAY(B467,1,Feriados!A271:A1110)</f>
        <v>45530</v>
      </c>
      <c r="C468" s="51">
        <f t="shared" ref="C468:C469" si="559">AD468</f>
        <v>0</v>
      </c>
      <c r="D468" s="26">
        <v>0</v>
      </c>
      <c r="E468" s="26">
        <v>0</v>
      </c>
      <c r="F468" s="26">
        <v>0</v>
      </c>
      <c r="G468" s="26">
        <v>0</v>
      </c>
      <c r="H468" s="26">
        <v>0</v>
      </c>
      <c r="I468" s="26">
        <v>0</v>
      </c>
      <c r="J468" s="26">
        <v>0</v>
      </c>
      <c r="K468">
        <f>-VLOOKUP(B468,Resumo_HSF!$C$13:$AH$600,28,FALSE)</f>
        <v>0</v>
      </c>
      <c r="L468" s="26">
        <v>0</v>
      </c>
      <c r="M468" s="26">
        <v>0</v>
      </c>
      <c r="N468" s="26">
        <v>0</v>
      </c>
      <c r="O468" s="26">
        <v>0</v>
      </c>
      <c r="P468" s="26">
        <v>0</v>
      </c>
      <c r="Q468" s="26">
        <v>0</v>
      </c>
      <c r="R468" s="26">
        <v>0</v>
      </c>
      <c r="S468" s="26">
        <v>0</v>
      </c>
      <c r="T468" s="26">
        <v>0</v>
      </c>
      <c r="U468" s="26">
        <v>0</v>
      </c>
      <c r="V468" s="26">
        <v>0</v>
      </c>
      <c r="W468" s="26">
        <v>0</v>
      </c>
      <c r="X468" s="26">
        <f>-IF(VLOOKUP($B468,Resumo_HSF!$C$13:$AB$1000,16,FALSE)=VLOOKUP($B467,Resumo_HSF!$C$13:$AB$1000,16,FALSE),0,(VLOOKUP($B468,Resumo_HSF!$C$13:$AB$1000,16,FALSE)-VLOOKUP($B467,Resumo_HSF!$C$13:$AB$1000,16,FALSE))*VLOOKUP($B468,Resumo_HSF!$C$13:$AB$1000,15,FALSE))</f>
        <v>0</v>
      </c>
      <c r="Y468" s="26">
        <v>0</v>
      </c>
      <c r="Z468" s="26">
        <v>0</v>
      </c>
      <c r="AA468" s="26">
        <v>0</v>
      </c>
      <c r="AB468" s="26">
        <v>0</v>
      </c>
      <c r="AC468" s="26">
        <v>0</v>
      </c>
      <c r="AD468" s="15">
        <f t="shared" ref="AD468:AD469" si="560">SUM(D468:AB468)</f>
        <v>0</v>
      </c>
    </row>
    <row r="469" spans="2:30">
      <c r="B469" s="1">
        <f>WORKDAY(B468,1,Feriados!A272:A1111)</f>
        <v>45531</v>
      </c>
      <c r="C469" s="51">
        <f t="shared" si="559"/>
        <v>0</v>
      </c>
      <c r="D469" s="26">
        <v>0</v>
      </c>
      <c r="E469" s="26">
        <v>0</v>
      </c>
      <c r="F469" s="26">
        <v>0</v>
      </c>
      <c r="G469" s="26">
        <v>0</v>
      </c>
      <c r="H469" s="26">
        <v>0</v>
      </c>
      <c r="I469" s="26">
        <v>0</v>
      </c>
      <c r="J469" s="26">
        <v>0</v>
      </c>
      <c r="K469">
        <f>-VLOOKUP(B469,Resumo_HSF!$C$13:$AH$600,28,FALSE)</f>
        <v>0</v>
      </c>
      <c r="L469" s="26">
        <v>0</v>
      </c>
      <c r="M469" s="26">
        <v>0</v>
      </c>
      <c r="N469" s="26">
        <v>0</v>
      </c>
      <c r="O469" s="26">
        <v>0</v>
      </c>
      <c r="P469" s="26">
        <v>0</v>
      </c>
      <c r="Q469" s="26">
        <v>0</v>
      </c>
      <c r="R469" s="26">
        <v>0</v>
      </c>
      <c r="S469" s="26">
        <v>0</v>
      </c>
      <c r="T469" s="26">
        <v>0</v>
      </c>
      <c r="U469" s="26">
        <v>0</v>
      </c>
      <c r="V469" s="26">
        <v>0</v>
      </c>
      <c r="W469" s="26">
        <v>0</v>
      </c>
      <c r="X469" s="26">
        <f>-IF(VLOOKUP($B469,Resumo_HSF!$C$13:$AB$1000,16,FALSE)=VLOOKUP($B468,Resumo_HSF!$C$13:$AB$1000,16,FALSE),0,(VLOOKUP($B469,Resumo_HSF!$C$13:$AB$1000,16,FALSE)-VLOOKUP($B468,Resumo_HSF!$C$13:$AB$1000,16,FALSE))*VLOOKUP($B469,Resumo_HSF!$C$13:$AB$1000,15,FALSE))</f>
        <v>0</v>
      </c>
      <c r="Y469" s="26">
        <v>0</v>
      </c>
      <c r="Z469" s="26">
        <v>0</v>
      </c>
      <c r="AA469" s="26">
        <v>0</v>
      </c>
      <c r="AB469" s="26">
        <v>0</v>
      </c>
      <c r="AC469" s="26">
        <v>0</v>
      </c>
      <c r="AD469" s="15">
        <f t="shared" si="560"/>
        <v>0</v>
      </c>
    </row>
    <row r="470" spans="2:30">
      <c r="B470" s="1">
        <f>WORKDAY(B469,1,Feriados!A273:A1112)</f>
        <v>45532</v>
      </c>
      <c r="C470" s="51">
        <f t="shared" ref="C470" si="561">AD470</f>
        <v>0</v>
      </c>
      <c r="D470" s="26">
        <v>0</v>
      </c>
      <c r="E470" s="26">
        <v>0</v>
      </c>
      <c r="F470" s="26">
        <v>0</v>
      </c>
      <c r="G470" s="26">
        <v>0</v>
      </c>
      <c r="H470" s="26">
        <v>0</v>
      </c>
      <c r="I470" s="26">
        <v>0</v>
      </c>
      <c r="J470" s="26">
        <v>0</v>
      </c>
      <c r="K470">
        <f>-VLOOKUP(B470,Resumo_HSF!$C$13:$AH$600,28,FALSE)</f>
        <v>0</v>
      </c>
      <c r="L470" s="26">
        <v>0</v>
      </c>
      <c r="M470" s="26">
        <v>0</v>
      </c>
      <c r="N470" s="26">
        <v>0</v>
      </c>
      <c r="O470" s="26">
        <v>0</v>
      </c>
      <c r="P470" s="26">
        <v>0</v>
      </c>
      <c r="Q470" s="26">
        <v>0</v>
      </c>
      <c r="R470" s="26">
        <v>0</v>
      </c>
      <c r="S470" s="26">
        <v>0</v>
      </c>
      <c r="T470" s="26">
        <v>0</v>
      </c>
      <c r="U470" s="26">
        <v>0</v>
      </c>
      <c r="V470" s="26">
        <v>0</v>
      </c>
      <c r="W470" s="26">
        <v>0</v>
      </c>
      <c r="X470" s="26">
        <f>-IF(VLOOKUP($B470,Resumo_HSF!$C$13:$AB$1000,16,FALSE)=VLOOKUP($B469,Resumo_HSF!$C$13:$AB$1000,16,FALSE),0,(VLOOKUP($B470,Resumo_HSF!$C$13:$AB$1000,16,FALSE)-VLOOKUP($B469,Resumo_HSF!$C$13:$AB$1000,16,FALSE))*VLOOKUP($B470,Resumo_HSF!$C$13:$AB$1000,15,FALSE))</f>
        <v>0</v>
      </c>
      <c r="Y470" s="26">
        <v>0</v>
      </c>
      <c r="Z470" s="26">
        <v>0</v>
      </c>
      <c r="AA470" s="26">
        <v>0</v>
      </c>
      <c r="AB470" s="26">
        <v>0</v>
      </c>
      <c r="AC470" s="26">
        <v>0</v>
      </c>
      <c r="AD470" s="15">
        <f t="shared" ref="AD470" si="562">SUM(D470:AB470)</f>
        <v>0</v>
      </c>
    </row>
    <row r="471" spans="2:30">
      <c r="B471" s="1">
        <f>WORKDAY(B470,1,Feriados!A274:A1113)</f>
        <v>45533</v>
      </c>
      <c r="C471" s="51">
        <f t="shared" ref="C471:C473" si="563">AD471</f>
        <v>0</v>
      </c>
      <c r="D471" s="26">
        <v>0</v>
      </c>
      <c r="E471" s="26">
        <v>0</v>
      </c>
      <c r="F471" s="26">
        <v>0</v>
      </c>
      <c r="G471" s="26">
        <v>0</v>
      </c>
      <c r="H471" s="26">
        <v>0</v>
      </c>
      <c r="I471" s="26">
        <v>0</v>
      </c>
      <c r="J471" s="26">
        <v>0</v>
      </c>
      <c r="K471">
        <f>-VLOOKUP(B471,Resumo_HSF!$C$13:$AH$600,28,FALSE)</f>
        <v>0</v>
      </c>
      <c r="L471" s="26">
        <v>0</v>
      </c>
      <c r="M471" s="26">
        <v>0</v>
      </c>
      <c r="N471" s="26">
        <v>0</v>
      </c>
      <c r="O471" s="26">
        <v>0</v>
      </c>
      <c r="P471" s="26">
        <v>0</v>
      </c>
      <c r="Q471" s="26">
        <v>0</v>
      </c>
      <c r="R471" s="26">
        <v>0</v>
      </c>
      <c r="S471" s="26">
        <v>0</v>
      </c>
      <c r="T471" s="26">
        <v>0</v>
      </c>
      <c r="U471" s="26">
        <v>0</v>
      </c>
      <c r="V471" s="26">
        <v>0</v>
      </c>
      <c r="W471" s="26">
        <v>0</v>
      </c>
      <c r="X471" s="26">
        <f>-IF(VLOOKUP($B471,Resumo_HSF!$C$13:$AB$1000,16,FALSE)=VLOOKUP($B470,Resumo_HSF!$C$13:$AB$1000,16,FALSE),0,(VLOOKUP($B471,Resumo_HSF!$C$13:$AB$1000,16,FALSE)-VLOOKUP($B470,Resumo_HSF!$C$13:$AB$1000,16,FALSE))*VLOOKUP($B471,Resumo_HSF!$C$13:$AB$1000,15,FALSE))</f>
        <v>0</v>
      </c>
      <c r="Y471" s="26">
        <v>0</v>
      </c>
      <c r="Z471" s="26">
        <v>0</v>
      </c>
      <c r="AA471" s="26">
        <v>0</v>
      </c>
      <c r="AB471" s="26">
        <v>0</v>
      </c>
      <c r="AC471" s="26">
        <v>0</v>
      </c>
      <c r="AD471" s="15">
        <f t="shared" ref="AD471:AD473" si="564">SUM(D471:AB471)</f>
        <v>0</v>
      </c>
    </row>
    <row r="472" spans="2:30">
      <c r="B472" s="1">
        <f>WORKDAY(B471,1,Feriados!A275:A1114)</f>
        <v>45534</v>
      </c>
      <c r="C472" s="51">
        <f t="shared" si="563"/>
        <v>0</v>
      </c>
      <c r="D472" s="26">
        <v>0</v>
      </c>
      <c r="E472" s="26">
        <v>0</v>
      </c>
      <c r="F472" s="26">
        <v>0</v>
      </c>
      <c r="G472" s="26">
        <v>0</v>
      </c>
      <c r="H472" s="26">
        <v>0</v>
      </c>
      <c r="I472" s="26">
        <v>0</v>
      </c>
      <c r="J472" s="26">
        <v>0</v>
      </c>
      <c r="K472">
        <f>-VLOOKUP(B472,Resumo_HSF!$C$13:$AH$600,28,FALSE)</f>
        <v>0</v>
      </c>
      <c r="L472" s="26">
        <v>0</v>
      </c>
      <c r="M472" s="26">
        <v>0</v>
      </c>
      <c r="N472" s="26">
        <v>0</v>
      </c>
      <c r="O472" s="26">
        <v>0</v>
      </c>
      <c r="P472" s="26">
        <v>0</v>
      </c>
      <c r="Q472" s="26">
        <v>0</v>
      </c>
      <c r="R472" s="26">
        <v>0</v>
      </c>
      <c r="S472" s="26">
        <v>0</v>
      </c>
      <c r="T472" s="26">
        <v>0</v>
      </c>
      <c r="U472" s="26">
        <v>0</v>
      </c>
      <c r="V472" s="26">
        <v>0</v>
      </c>
      <c r="W472" s="26">
        <v>0</v>
      </c>
      <c r="X472" s="26">
        <f>-IF(VLOOKUP($B472,Resumo_HSF!$C$13:$AB$1000,16,FALSE)=VLOOKUP($B471,Resumo_HSF!$C$13:$AB$1000,16,FALSE),0,(VLOOKUP($B472,Resumo_HSF!$C$13:$AB$1000,16,FALSE)-VLOOKUP($B471,Resumo_HSF!$C$13:$AB$1000,16,FALSE))*VLOOKUP($B472,Resumo_HSF!$C$13:$AB$1000,15,FALSE))</f>
        <v>0</v>
      </c>
      <c r="Y472" s="26">
        <v>0</v>
      </c>
      <c r="Z472" s="26">
        <v>0</v>
      </c>
      <c r="AA472" s="26">
        <v>0</v>
      </c>
      <c r="AB472" s="26">
        <v>0</v>
      </c>
      <c r="AC472" s="26">
        <v>0</v>
      </c>
      <c r="AD472" s="15">
        <f t="shared" si="564"/>
        <v>0</v>
      </c>
    </row>
    <row r="473" spans="2:30">
      <c r="B473" s="1">
        <f>WORKDAY(B472,1,Feriados!A276:A1115)</f>
        <v>45537</v>
      </c>
      <c r="C473" s="51">
        <f t="shared" si="563"/>
        <v>0</v>
      </c>
      <c r="D473" s="26">
        <v>0</v>
      </c>
      <c r="E473" s="26">
        <v>0</v>
      </c>
      <c r="F473" s="26">
        <v>0</v>
      </c>
      <c r="G473" s="26">
        <v>0</v>
      </c>
      <c r="H473" s="26">
        <v>0</v>
      </c>
      <c r="I473" s="26">
        <v>0</v>
      </c>
      <c r="J473" s="26">
        <v>0</v>
      </c>
      <c r="K473">
        <f>-VLOOKUP(B473,Resumo_HSF!$C$13:$AH$600,28,FALSE)</f>
        <v>0</v>
      </c>
      <c r="L473" s="26">
        <v>0</v>
      </c>
      <c r="M473" s="26">
        <v>0</v>
      </c>
      <c r="N473" s="26">
        <v>0</v>
      </c>
      <c r="O473" s="26">
        <v>0</v>
      </c>
      <c r="P473" s="26">
        <v>0</v>
      </c>
      <c r="Q473" s="26">
        <v>0</v>
      </c>
      <c r="R473" s="26">
        <v>0</v>
      </c>
      <c r="S473" s="26">
        <v>0</v>
      </c>
      <c r="T473" s="26">
        <v>0</v>
      </c>
      <c r="U473" s="26">
        <v>0</v>
      </c>
      <c r="V473" s="26">
        <v>0</v>
      </c>
      <c r="W473" s="26">
        <v>0</v>
      </c>
      <c r="X473" s="26">
        <f>-IF(VLOOKUP($B473,Resumo_HSF!$C$13:$AB$1000,16,FALSE)=VLOOKUP($B472,Resumo_HSF!$C$13:$AB$1000,16,FALSE),0,(VLOOKUP($B473,Resumo_HSF!$C$13:$AB$1000,16,FALSE)-VLOOKUP($B472,Resumo_HSF!$C$13:$AB$1000,16,FALSE))*VLOOKUP($B473,Resumo_HSF!$C$13:$AB$1000,15,FALSE))</f>
        <v>0</v>
      </c>
      <c r="Y473" s="26">
        <v>0</v>
      </c>
      <c r="Z473" s="26">
        <v>0</v>
      </c>
      <c r="AA473" s="26">
        <v>0</v>
      </c>
      <c r="AB473" s="26">
        <v>0</v>
      </c>
      <c r="AC473" s="26">
        <v>0</v>
      </c>
      <c r="AD473" s="15">
        <f t="shared" si="564"/>
        <v>0</v>
      </c>
    </row>
    <row r="474" spans="2:30">
      <c r="B474" s="1">
        <f>WORKDAY(B473,1,Feriados!A277:A1116)</f>
        <v>45538</v>
      </c>
      <c r="C474" s="51">
        <f t="shared" ref="C474" si="565">AD474</f>
        <v>0</v>
      </c>
      <c r="D474" s="26">
        <v>0</v>
      </c>
      <c r="E474" s="26">
        <v>0</v>
      </c>
      <c r="F474" s="26">
        <v>0</v>
      </c>
      <c r="G474" s="26">
        <v>0</v>
      </c>
      <c r="H474" s="26">
        <v>0</v>
      </c>
      <c r="I474" s="26">
        <v>0</v>
      </c>
      <c r="J474" s="26">
        <v>0</v>
      </c>
      <c r="K474">
        <f>-VLOOKUP(B474,Resumo_HSF!$C$13:$AH$600,28,FALSE)</f>
        <v>0</v>
      </c>
      <c r="L474" s="26">
        <v>0</v>
      </c>
      <c r="M474" s="26">
        <v>0</v>
      </c>
      <c r="N474" s="26">
        <v>0</v>
      </c>
      <c r="O474" s="26">
        <v>0</v>
      </c>
      <c r="P474" s="26">
        <v>0</v>
      </c>
      <c r="Q474" s="26">
        <v>0</v>
      </c>
      <c r="R474" s="26">
        <v>0</v>
      </c>
      <c r="S474" s="26">
        <v>0</v>
      </c>
      <c r="T474" s="26">
        <v>0</v>
      </c>
      <c r="U474" s="26">
        <v>0</v>
      </c>
      <c r="V474" s="26">
        <v>0</v>
      </c>
      <c r="W474" s="26">
        <v>0</v>
      </c>
      <c r="X474" s="26">
        <f>-IF(VLOOKUP($B474,Resumo_HSF!$C$13:$AB$1000,16,FALSE)=VLOOKUP($B473,Resumo_HSF!$C$13:$AB$1000,16,FALSE),0,(VLOOKUP($B474,Resumo_HSF!$C$13:$AB$1000,16,FALSE)-VLOOKUP($B473,Resumo_HSF!$C$13:$AB$1000,16,FALSE))*VLOOKUP($B474,Resumo_HSF!$C$13:$AB$1000,15,FALSE))</f>
        <v>0</v>
      </c>
      <c r="Y474" s="26">
        <v>0</v>
      </c>
      <c r="Z474" s="26">
        <v>0</v>
      </c>
      <c r="AA474" s="26">
        <v>0</v>
      </c>
      <c r="AB474" s="26">
        <v>0</v>
      </c>
      <c r="AC474" s="26">
        <v>0</v>
      </c>
      <c r="AD474" s="15">
        <f t="shared" ref="AD474" si="566">SUM(D474:AB474)</f>
        <v>0</v>
      </c>
    </row>
    <row r="475" spans="2:30">
      <c r="B475" s="1">
        <f>WORKDAY(B474,1,Feriados!A278:A1117)</f>
        <v>45539</v>
      </c>
      <c r="C475" s="51">
        <f t="shared" ref="C475" si="567">AD475</f>
        <v>0</v>
      </c>
      <c r="D475" s="26">
        <v>0</v>
      </c>
      <c r="E475" s="26">
        <v>0</v>
      </c>
      <c r="F475" s="26">
        <v>0</v>
      </c>
      <c r="G475" s="26">
        <v>0</v>
      </c>
      <c r="H475" s="26">
        <v>0</v>
      </c>
      <c r="I475" s="26">
        <v>0</v>
      </c>
      <c r="J475" s="26">
        <v>0</v>
      </c>
      <c r="K475">
        <f>-VLOOKUP(B475,Resumo_HSF!$C$13:$AH$600,28,FALSE)</f>
        <v>0</v>
      </c>
      <c r="L475" s="26">
        <v>0</v>
      </c>
      <c r="M475" s="26">
        <v>0</v>
      </c>
      <c r="N475" s="26">
        <v>0</v>
      </c>
      <c r="O475" s="26">
        <v>0</v>
      </c>
      <c r="P475" s="26">
        <v>0</v>
      </c>
      <c r="Q475" s="26">
        <v>0</v>
      </c>
      <c r="R475" s="26">
        <v>0</v>
      </c>
      <c r="S475" s="26">
        <v>0</v>
      </c>
      <c r="T475" s="26">
        <v>0</v>
      </c>
      <c r="U475" s="26">
        <v>0</v>
      </c>
      <c r="V475" s="26">
        <v>0</v>
      </c>
      <c r="W475" s="26">
        <v>0</v>
      </c>
      <c r="X475" s="26">
        <f>-IF(VLOOKUP($B475,Resumo_HSF!$C$13:$AB$1000,16,FALSE)=VLOOKUP($B474,Resumo_HSF!$C$13:$AB$1000,16,FALSE),0,(VLOOKUP($B475,Resumo_HSF!$C$13:$AB$1000,16,FALSE)-VLOOKUP($B474,Resumo_HSF!$C$13:$AB$1000,16,FALSE))*VLOOKUP($B475,Resumo_HSF!$C$13:$AB$1000,15,FALSE))</f>
        <v>0</v>
      </c>
      <c r="Y475" s="26">
        <v>0</v>
      </c>
      <c r="Z475" s="26">
        <v>0</v>
      </c>
      <c r="AA475" s="26">
        <v>0</v>
      </c>
      <c r="AB475" s="26">
        <v>0</v>
      </c>
      <c r="AC475" s="26">
        <v>0</v>
      </c>
      <c r="AD475" s="15">
        <f t="shared" ref="AD475" si="568">SUM(D475:AB475)</f>
        <v>0</v>
      </c>
    </row>
    <row r="476" spans="2:30">
      <c r="B476" s="1">
        <f>WORKDAY(B475,1,Feriados!A279:A1118)</f>
        <v>45540</v>
      </c>
      <c r="C476" s="51">
        <f t="shared" ref="C476" si="569">AD476</f>
        <v>0</v>
      </c>
      <c r="D476" s="26">
        <v>0</v>
      </c>
      <c r="E476" s="26">
        <v>0</v>
      </c>
      <c r="F476" s="26">
        <v>0</v>
      </c>
      <c r="G476" s="26">
        <v>0</v>
      </c>
      <c r="H476" s="26">
        <v>0</v>
      </c>
      <c r="I476" s="26">
        <v>0</v>
      </c>
      <c r="J476" s="26">
        <v>0</v>
      </c>
      <c r="K476">
        <f>-VLOOKUP(B476,Resumo_HSF!$C$13:$AH$600,28,FALSE)</f>
        <v>0</v>
      </c>
      <c r="L476" s="26">
        <v>0</v>
      </c>
      <c r="M476" s="26">
        <v>0</v>
      </c>
      <c r="N476" s="26">
        <v>0</v>
      </c>
      <c r="O476" s="26">
        <v>0</v>
      </c>
      <c r="P476" s="26">
        <v>0</v>
      </c>
      <c r="Q476" s="26">
        <v>0</v>
      </c>
      <c r="R476" s="26">
        <v>0</v>
      </c>
      <c r="S476" s="26">
        <v>0</v>
      </c>
      <c r="T476" s="26">
        <v>0</v>
      </c>
      <c r="U476" s="26">
        <v>0</v>
      </c>
      <c r="V476" s="26">
        <v>0</v>
      </c>
      <c r="W476" s="26">
        <v>0</v>
      </c>
      <c r="X476" s="26">
        <f>-IF(VLOOKUP($B476,Resumo_HSF!$C$13:$AB$1000,16,FALSE)=VLOOKUP($B475,Resumo_HSF!$C$13:$AB$1000,16,FALSE),0,(VLOOKUP($B476,Resumo_HSF!$C$13:$AB$1000,16,FALSE)-VLOOKUP($B475,Resumo_HSF!$C$13:$AB$1000,16,FALSE))*VLOOKUP($B476,Resumo_HSF!$C$13:$AB$1000,15,FALSE))</f>
        <v>0</v>
      </c>
      <c r="Y476" s="26">
        <v>0</v>
      </c>
      <c r="Z476" s="26">
        <v>0</v>
      </c>
      <c r="AA476" s="26">
        <v>0</v>
      </c>
      <c r="AB476" s="26">
        <v>0</v>
      </c>
      <c r="AC476" s="26">
        <v>0</v>
      </c>
      <c r="AD476" s="15">
        <f t="shared" ref="AD476" si="570">SUM(D476:AB476)</f>
        <v>0</v>
      </c>
    </row>
    <row r="477" spans="2:30">
      <c r="B477" s="1">
        <f>WORKDAY(B476,1,Feriados!A280:A1119)</f>
        <v>45541</v>
      </c>
      <c r="C477" s="51">
        <f t="shared" ref="C477" si="571">AD477</f>
        <v>-0.34340624557989941</v>
      </c>
      <c r="D477" s="26">
        <v>-11796.163404335184</v>
      </c>
      <c r="E477" s="26">
        <v>0</v>
      </c>
      <c r="F477" s="26">
        <v>0</v>
      </c>
      <c r="G477" s="26">
        <v>0</v>
      </c>
      <c r="H477" s="26">
        <v>0</v>
      </c>
      <c r="I477" s="26">
        <v>0</v>
      </c>
      <c r="J477" s="26">
        <v>0</v>
      </c>
      <c r="K477">
        <f>-VLOOKUP(B477,Resumo_HSF!$C$13:$AH$600,28,FALSE)</f>
        <v>0</v>
      </c>
      <c r="L477" s="26">
        <v>0</v>
      </c>
      <c r="M477" s="26">
        <v>0</v>
      </c>
      <c r="N477" s="26">
        <v>0</v>
      </c>
      <c r="O477" s="26">
        <v>0</v>
      </c>
      <c r="P477" s="26">
        <v>0</v>
      </c>
      <c r="Q477" s="26">
        <v>0</v>
      </c>
      <c r="R477" s="26">
        <v>0</v>
      </c>
      <c r="S477" s="26">
        <v>0</v>
      </c>
      <c r="T477" s="26">
        <v>0</v>
      </c>
      <c r="U477" s="26">
        <v>12500</v>
      </c>
      <c r="V477" s="26">
        <v>0</v>
      </c>
      <c r="W477" s="26">
        <v>0</v>
      </c>
      <c r="X477" s="15">
        <f>-IF(VLOOKUP($B477,Resumo_HSF!$C$13:$AB$1000,16,FALSE)=VLOOKUP($B476,Resumo_HSF!$C$13:$AB$1000,16,FALSE),0,(VLOOKUP($B477,Resumo_HSF!$C$13:$AB$1000,16,FALSE)-VLOOKUP($B476,Resumo_HSF!$C$13:$AB$1000,16,FALSE))*VLOOKUP($B477,Resumo_HSF!$C$13:$AB$1000,15,FALSE))</f>
        <v>-704.18000191039573</v>
      </c>
      <c r="Y477" s="26">
        <v>0</v>
      </c>
      <c r="Z477" s="26">
        <v>0</v>
      </c>
      <c r="AA477" s="26">
        <v>0</v>
      </c>
      <c r="AB477" s="26">
        <v>0</v>
      </c>
      <c r="AC477" s="26">
        <v>0</v>
      </c>
      <c r="AD477" s="15">
        <f t="shared" ref="AD477" si="572">SUM(D477:AB477)</f>
        <v>-0.34340624557989941</v>
      </c>
    </row>
    <row r="478" spans="2:30">
      <c r="B478" s="1">
        <f>WORKDAY(B477,1,Feriados!A281:A1120)</f>
        <v>45544</v>
      </c>
      <c r="C478" s="51">
        <f t="shared" ref="C478" si="573">AD478</f>
        <v>0</v>
      </c>
      <c r="D478" s="26">
        <v>0</v>
      </c>
      <c r="E478" s="26">
        <v>0</v>
      </c>
      <c r="F478" s="26">
        <v>0</v>
      </c>
      <c r="G478" s="26">
        <v>0</v>
      </c>
      <c r="H478" s="26">
        <v>0</v>
      </c>
      <c r="I478" s="26">
        <v>0</v>
      </c>
      <c r="J478" s="26">
        <v>0</v>
      </c>
      <c r="K478">
        <f>-VLOOKUP(B478,Resumo_HSF!$C$13:$AH$600,28,FALSE)</f>
        <v>0</v>
      </c>
      <c r="L478" s="26">
        <v>0</v>
      </c>
      <c r="M478" s="26">
        <v>0</v>
      </c>
      <c r="N478" s="26">
        <v>0</v>
      </c>
      <c r="O478" s="26">
        <v>0</v>
      </c>
      <c r="P478" s="26">
        <v>0</v>
      </c>
      <c r="Q478" s="26">
        <v>0</v>
      </c>
      <c r="R478" s="26">
        <v>0</v>
      </c>
      <c r="S478" s="26">
        <v>0</v>
      </c>
      <c r="T478" s="26">
        <v>0</v>
      </c>
      <c r="U478" s="26">
        <v>0</v>
      </c>
      <c r="V478" s="26">
        <v>0</v>
      </c>
      <c r="W478" s="26">
        <v>0</v>
      </c>
      <c r="X478" s="15">
        <f>-IF(VLOOKUP($B478,Resumo_HSF!$C$13:$AB$1000,16,FALSE)=VLOOKUP($B477,Resumo_HSF!$C$13:$AB$1000,16,FALSE),0,(VLOOKUP($B478,Resumo_HSF!$C$13:$AB$1000,16,FALSE)-VLOOKUP($B477,Resumo_HSF!$C$13:$AB$1000,16,FALSE))*VLOOKUP($B478,Resumo_HSF!$C$13:$AB$1000,15,FALSE))</f>
        <v>0</v>
      </c>
      <c r="Y478" s="26">
        <v>0</v>
      </c>
      <c r="Z478" s="26">
        <v>0</v>
      </c>
      <c r="AA478" s="26">
        <v>0</v>
      </c>
      <c r="AB478" s="26">
        <v>0</v>
      </c>
      <c r="AC478" s="26">
        <v>0</v>
      </c>
      <c r="AD478" s="15">
        <f t="shared" ref="AD478" si="574">SUM(D478:AB478)</f>
        <v>0</v>
      </c>
    </row>
    <row r="479" spans="2:30">
      <c r="B479" s="1">
        <f>WORKDAY(B478,1,Feriados!A282:A1121)</f>
        <v>45545</v>
      </c>
      <c r="C479" s="51">
        <f t="shared" ref="C479" si="575">AD479</f>
        <v>0</v>
      </c>
      <c r="D479" s="26">
        <v>0</v>
      </c>
      <c r="E479" s="26">
        <v>0</v>
      </c>
      <c r="F479" s="26">
        <v>0</v>
      </c>
      <c r="G479" s="26">
        <v>0</v>
      </c>
      <c r="H479" s="26">
        <v>0</v>
      </c>
      <c r="I479" s="26">
        <v>0</v>
      </c>
      <c r="J479" s="26">
        <v>0</v>
      </c>
      <c r="K479">
        <f>-VLOOKUP(B479,Resumo_HSF!$C$13:$AH$600,28,FALSE)</f>
        <v>0</v>
      </c>
      <c r="L479" s="26">
        <v>0</v>
      </c>
      <c r="M479" s="26">
        <v>0</v>
      </c>
      <c r="N479" s="26">
        <v>0</v>
      </c>
      <c r="O479" s="26">
        <v>0</v>
      </c>
      <c r="P479" s="26">
        <v>0</v>
      </c>
      <c r="Q479" s="26">
        <v>0</v>
      </c>
      <c r="R479" s="26">
        <v>0</v>
      </c>
      <c r="S479" s="26">
        <v>0</v>
      </c>
      <c r="T479" s="26">
        <v>0</v>
      </c>
      <c r="U479" s="26">
        <v>0</v>
      </c>
      <c r="V479" s="26">
        <v>0</v>
      </c>
      <c r="W479" s="26">
        <v>0</v>
      </c>
      <c r="X479" s="15">
        <f>-IF(VLOOKUP($B479,Resumo_HSF!$C$13:$AB$1000,16,FALSE)=VLOOKUP($B478,Resumo_HSF!$C$13:$AB$1000,16,FALSE),0,(VLOOKUP($B479,Resumo_HSF!$C$13:$AB$1000,16,FALSE)-VLOOKUP($B478,Resumo_HSF!$C$13:$AB$1000,16,FALSE))*VLOOKUP($B479,Resumo_HSF!$C$13:$AB$1000,15,FALSE))</f>
        <v>0</v>
      </c>
      <c r="Y479" s="26">
        <v>0</v>
      </c>
      <c r="Z479" s="26">
        <v>0</v>
      </c>
      <c r="AA479" s="26">
        <v>0</v>
      </c>
      <c r="AB479" s="26">
        <v>0</v>
      </c>
      <c r="AC479" s="26">
        <v>0</v>
      </c>
      <c r="AD479" s="15">
        <f t="shared" ref="AD479" si="576">SUM(D479:AB479)</f>
        <v>0</v>
      </c>
    </row>
    <row r="480" spans="2:30">
      <c r="B480" s="1">
        <f>WORKDAY(B479,1,Feriados!A283:A1122)</f>
        <v>45546</v>
      </c>
      <c r="C480" s="51">
        <f t="shared" ref="C480" si="577">AD480</f>
        <v>0</v>
      </c>
      <c r="D480" s="26">
        <v>0</v>
      </c>
      <c r="E480" s="26">
        <v>0</v>
      </c>
      <c r="F480" s="26">
        <v>0</v>
      </c>
      <c r="G480" s="26">
        <v>0</v>
      </c>
      <c r="H480" s="26">
        <v>0</v>
      </c>
      <c r="I480" s="26">
        <v>0</v>
      </c>
      <c r="J480" s="26">
        <v>0</v>
      </c>
      <c r="K480">
        <f>-VLOOKUP(B480,Resumo_HSF!$C$13:$AH$600,28,FALSE)</f>
        <v>0</v>
      </c>
      <c r="L480" s="26">
        <v>0</v>
      </c>
      <c r="M480" s="26">
        <v>0</v>
      </c>
      <c r="N480" s="26">
        <v>0</v>
      </c>
      <c r="O480" s="26">
        <v>0</v>
      </c>
      <c r="P480" s="26">
        <v>0</v>
      </c>
      <c r="Q480" s="26">
        <v>0</v>
      </c>
      <c r="R480" s="26">
        <v>0</v>
      </c>
      <c r="S480" s="26">
        <v>0</v>
      </c>
      <c r="T480" s="26">
        <v>0</v>
      </c>
      <c r="U480" s="26">
        <v>0</v>
      </c>
      <c r="V480" s="26">
        <v>0</v>
      </c>
      <c r="W480" s="26">
        <v>0</v>
      </c>
      <c r="X480" s="15">
        <f>-IF(VLOOKUP($B480,Resumo_HSF!$C$13:$AB$1000,16,FALSE)=VLOOKUP($B479,Resumo_HSF!$C$13:$AB$1000,16,FALSE),0,(VLOOKUP($B480,Resumo_HSF!$C$13:$AB$1000,16,FALSE)-VLOOKUP($B479,Resumo_HSF!$C$13:$AB$1000,16,FALSE))*VLOOKUP($B480,Resumo_HSF!$C$13:$AB$1000,15,FALSE))</f>
        <v>0</v>
      </c>
      <c r="Y480" s="26">
        <v>0</v>
      </c>
      <c r="Z480" s="26">
        <v>0</v>
      </c>
      <c r="AA480" s="26">
        <v>0</v>
      </c>
      <c r="AB480" s="26">
        <v>0</v>
      </c>
      <c r="AC480" s="26">
        <v>0</v>
      </c>
      <c r="AD480" s="15">
        <f t="shared" ref="AD480" si="578">SUM(D480:AB480)</f>
        <v>0</v>
      </c>
    </row>
    <row r="481" spans="2:30">
      <c r="B481" s="1">
        <f>WORKDAY(B480,1,Feriados!A284:A1123)</f>
        <v>45547</v>
      </c>
      <c r="C481" s="51">
        <f t="shared" ref="C481" si="579">AD481</f>
        <v>0</v>
      </c>
      <c r="D481" s="26">
        <v>0</v>
      </c>
      <c r="E481" s="26">
        <v>0</v>
      </c>
      <c r="F481" s="26">
        <v>0</v>
      </c>
      <c r="G481" s="26">
        <v>0</v>
      </c>
      <c r="H481" s="26">
        <v>0</v>
      </c>
      <c r="I481" s="26">
        <v>0</v>
      </c>
      <c r="J481" s="26">
        <v>0</v>
      </c>
      <c r="K481">
        <f>-VLOOKUP(B481,Resumo_HSF!$C$13:$AH$600,28,FALSE)</f>
        <v>0</v>
      </c>
      <c r="L481" s="26">
        <v>0</v>
      </c>
      <c r="M481" s="26">
        <v>0</v>
      </c>
      <c r="N481" s="26">
        <v>0</v>
      </c>
      <c r="O481" s="26">
        <v>0</v>
      </c>
      <c r="P481" s="26">
        <v>0</v>
      </c>
      <c r="Q481" s="26">
        <v>0</v>
      </c>
      <c r="R481" s="26">
        <v>0</v>
      </c>
      <c r="S481" s="26">
        <v>0</v>
      </c>
      <c r="T481" s="26">
        <v>0</v>
      </c>
      <c r="U481" s="26">
        <v>0</v>
      </c>
      <c r="V481" s="26">
        <v>0</v>
      </c>
      <c r="W481" s="26">
        <v>0</v>
      </c>
      <c r="X481" s="15">
        <f>-IF(VLOOKUP($B481,Resumo_HSF!$C$13:$AB$1000,16,FALSE)=VLOOKUP($B480,Resumo_HSF!$C$13:$AB$1000,16,FALSE),0,(VLOOKUP($B481,Resumo_HSF!$C$13:$AB$1000,16,FALSE)-VLOOKUP($B480,Resumo_HSF!$C$13:$AB$1000,16,FALSE))*VLOOKUP($B481,Resumo_HSF!$C$13:$AB$1000,15,FALSE))</f>
        <v>0</v>
      </c>
      <c r="Y481" s="26">
        <v>0</v>
      </c>
      <c r="Z481" s="26">
        <v>0</v>
      </c>
      <c r="AA481" s="26">
        <v>0</v>
      </c>
      <c r="AB481" s="26">
        <v>0</v>
      </c>
      <c r="AC481" s="26">
        <v>0</v>
      </c>
      <c r="AD481" s="15">
        <f t="shared" ref="AD481" si="580">SUM(D481:AB481)</f>
        <v>0</v>
      </c>
    </row>
    <row r="482" spans="2:30">
      <c r="B482" s="1">
        <f>WORKDAY(B481,1,Feriados!A285:A1124)</f>
        <v>45548</v>
      </c>
      <c r="C482" s="51">
        <f t="shared" ref="C482:C483" si="581">AD482</f>
        <v>0</v>
      </c>
      <c r="D482" s="26">
        <v>0</v>
      </c>
      <c r="E482" s="26">
        <v>0</v>
      </c>
      <c r="F482" s="26">
        <v>0</v>
      </c>
      <c r="G482" s="26">
        <v>0</v>
      </c>
      <c r="H482" s="26">
        <v>0</v>
      </c>
      <c r="I482" s="26">
        <v>0</v>
      </c>
      <c r="J482" s="26">
        <v>0</v>
      </c>
      <c r="K482">
        <f>-VLOOKUP(B482,Resumo_HSF!$C$13:$AH$600,28,FALSE)</f>
        <v>0</v>
      </c>
      <c r="L482" s="26">
        <v>0</v>
      </c>
      <c r="M482" s="26">
        <v>0</v>
      </c>
      <c r="N482" s="26">
        <v>0</v>
      </c>
      <c r="O482" s="26">
        <v>0</v>
      </c>
      <c r="P482" s="26">
        <v>0</v>
      </c>
      <c r="Q482" s="26">
        <v>0</v>
      </c>
      <c r="R482" s="26">
        <v>0</v>
      </c>
      <c r="S482" s="26">
        <v>0</v>
      </c>
      <c r="T482" s="26">
        <v>0</v>
      </c>
      <c r="U482" s="26">
        <v>0</v>
      </c>
      <c r="V482" s="26">
        <v>0</v>
      </c>
      <c r="W482" s="26">
        <v>0</v>
      </c>
      <c r="X482" s="15">
        <f>-IF(VLOOKUP($B482,Resumo_HSF!$C$13:$AB$1000,16,FALSE)=VLOOKUP($B481,Resumo_HSF!$C$13:$AB$1000,16,FALSE),0,(VLOOKUP($B482,Resumo_HSF!$C$13:$AB$1000,16,FALSE)-VLOOKUP($B481,Resumo_HSF!$C$13:$AB$1000,16,FALSE))*VLOOKUP($B482,Resumo_HSF!$C$13:$AB$1000,15,FALSE))</f>
        <v>0</v>
      </c>
      <c r="Y482" s="26">
        <v>0</v>
      </c>
      <c r="Z482" s="26">
        <v>0</v>
      </c>
      <c r="AA482" s="26">
        <v>0</v>
      </c>
      <c r="AB482" s="26">
        <v>0</v>
      </c>
      <c r="AC482" s="26">
        <v>0</v>
      </c>
      <c r="AD482" s="15">
        <f t="shared" ref="AD482:AD483" si="582">SUM(D482:AB482)</f>
        <v>0</v>
      </c>
    </row>
    <row r="483" spans="2:30">
      <c r="B483" s="1">
        <f>WORKDAY(B482,1,Feriados!A286:A1125)</f>
        <v>45551</v>
      </c>
      <c r="C483" s="51">
        <f t="shared" si="581"/>
        <v>0</v>
      </c>
      <c r="D483" s="26">
        <v>0</v>
      </c>
      <c r="E483" s="26">
        <v>0</v>
      </c>
      <c r="F483" s="26">
        <v>0</v>
      </c>
      <c r="G483" s="26">
        <v>0</v>
      </c>
      <c r="H483" s="26">
        <v>0</v>
      </c>
      <c r="I483" s="26">
        <v>0</v>
      </c>
      <c r="J483" s="26">
        <v>0</v>
      </c>
      <c r="K483">
        <f>-VLOOKUP(B483,Resumo_HSF!$C$13:$AH$600,28,FALSE)</f>
        <v>0</v>
      </c>
      <c r="L483" s="26">
        <v>0</v>
      </c>
      <c r="M483" s="26">
        <v>0</v>
      </c>
      <c r="N483" s="26">
        <v>0</v>
      </c>
      <c r="O483" s="26">
        <v>0</v>
      </c>
      <c r="P483" s="26">
        <v>0</v>
      </c>
      <c r="Q483" s="26">
        <v>0</v>
      </c>
      <c r="R483" s="26">
        <v>0</v>
      </c>
      <c r="S483" s="26">
        <v>0</v>
      </c>
      <c r="T483" s="26">
        <v>0</v>
      </c>
      <c r="U483" s="26">
        <v>0</v>
      </c>
      <c r="V483" s="26">
        <v>0</v>
      </c>
      <c r="W483" s="26">
        <v>0</v>
      </c>
      <c r="X483" s="15">
        <f>-IF(VLOOKUP($B483,Resumo_HSF!$C$13:$AB$1000,16,FALSE)=VLOOKUP($B482,Resumo_HSF!$C$13:$AB$1000,16,FALSE),0,(VLOOKUP($B483,Resumo_HSF!$C$13:$AB$1000,16,FALSE)-VLOOKUP($B482,Resumo_HSF!$C$13:$AB$1000,16,FALSE))*VLOOKUP($B483,Resumo_HSF!$C$13:$AB$1000,15,FALSE))</f>
        <v>0</v>
      </c>
      <c r="Y483" s="26">
        <v>0</v>
      </c>
      <c r="Z483" s="26">
        <v>0</v>
      </c>
      <c r="AA483" s="26">
        <v>0</v>
      </c>
      <c r="AB483" s="26">
        <v>0</v>
      </c>
      <c r="AC483" s="26">
        <v>0</v>
      </c>
      <c r="AD483" s="15">
        <f t="shared" si="582"/>
        <v>0</v>
      </c>
    </row>
    <row r="484" spans="2:30">
      <c r="B484" s="1">
        <f>WORKDAY(B483,1,Feriados!A287:A1126)</f>
        <v>45552</v>
      </c>
      <c r="C484" s="51">
        <f t="shared" ref="C484" si="583">AD484</f>
        <v>0</v>
      </c>
      <c r="D484" s="26">
        <v>0</v>
      </c>
      <c r="E484" s="26">
        <v>0</v>
      </c>
      <c r="F484" s="26">
        <v>0</v>
      </c>
      <c r="G484" s="26">
        <v>0</v>
      </c>
      <c r="H484" s="26">
        <v>0</v>
      </c>
      <c r="I484" s="26">
        <v>0</v>
      </c>
      <c r="J484" s="26">
        <v>0</v>
      </c>
      <c r="K484">
        <f>-VLOOKUP(B484,Resumo_HSF!$C$13:$AH$600,28,FALSE)</f>
        <v>0</v>
      </c>
      <c r="L484" s="26">
        <v>0</v>
      </c>
      <c r="M484" s="26">
        <v>0</v>
      </c>
      <c r="N484" s="26">
        <v>0</v>
      </c>
      <c r="O484" s="26">
        <v>0</v>
      </c>
      <c r="P484" s="26">
        <v>0</v>
      </c>
      <c r="Q484" s="26">
        <v>0</v>
      </c>
      <c r="R484" s="26">
        <v>0</v>
      </c>
      <c r="S484" s="26">
        <v>0</v>
      </c>
      <c r="T484" s="26">
        <v>0</v>
      </c>
      <c r="U484" s="26">
        <v>0</v>
      </c>
      <c r="V484" s="26">
        <v>0</v>
      </c>
      <c r="W484" s="26">
        <v>0</v>
      </c>
      <c r="X484" s="15">
        <f>-IF(VLOOKUP($B484,Resumo_HSF!$C$13:$AB$1000,16,FALSE)=VLOOKUP($B483,Resumo_HSF!$C$13:$AB$1000,16,FALSE),0,(VLOOKUP($B484,Resumo_HSF!$C$13:$AB$1000,16,FALSE)-VLOOKUP($B483,Resumo_HSF!$C$13:$AB$1000,16,FALSE))*VLOOKUP($B484,Resumo_HSF!$C$13:$AB$1000,15,FALSE))</f>
        <v>0</v>
      </c>
      <c r="Y484" s="26">
        <v>0</v>
      </c>
      <c r="Z484" s="26">
        <v>0</v>
      </c>
      <c r="AA484" s="26">
        <v>0</v>
      </c>
      <c r="AB484" s="26">
        <v>0</v>
      </c>
      <c r="AC484" s="26">
        <v>0</v>
      </c>
      <c r="AD484" s="15">
        <f t="shared" ref="AD484" si="584">SUM(D484:AB484)</f>
        <v>0</v>
      </c>
    </row>
    <row r="485" spans="2:30">
      <c r="B485" s="1">
        <f>WORKDAY(B484,1,Feriados!A288:A1127)</f>
        <v>45553</v>
      </c>
      <c r="C485" s="51">
        <f t="shared" ref="C485" si="585">AD485</f>
        <v>0</v>
      </c>
      <c r="D485" s="26">
        <v>0</v>
      </c>
      <c r="E485" s="26">
        <v>0</v>
      </c>
      <c r="F485" s="26">
        <v>0</v>
      </c>
      <c r="G485" s="26">
        <v>0</v>
      </c>
      <c r="H485" s="26">
        <v>0</v>
      </c>
      <c r="I485" s="26">
        <v>0</v>
      </c>
      <c r="J485" s="26">
        <v>0</v>
      </c>
      <c r="K485">
        <f>-VLOOKUP(B485,Resumo_HSF!$C$13:$AH$600,28,FALSE)</f>
        <v>0</v>
      </c>
      <c r="L485" s="26">
        <v>0</v>
      </c>
      <c r="M485" s="26">
        <v>0</v>
      </c>
      <c r="N485" s="26">
        <v>0</v>
      </c>
      <c r="O485" s="26">
        <v>0</v>
      </c>
      <c r="P485" s="26">
        <v>0</v>
      </c>
      <c r="Q485" s="26">
        <v>0</v>
      </c>
      <c r="R485" s="26">
        <v>0</v>
      </c>
      <c r="S485" s="26">
        <v>0</v>
      </c>
      <c r="T485" s="26">
        <v>0</v>
      </c>
      <c r="U485" s="26">
        <v>0</v>
      </c>
      <c r="V485" s="26">
        <v>0</v>
      </c>
      <c r="W485" s="26">
        <v>0</v>
      </c>
      <c r="X485" s="15">
        <f>-IF(VLOOKUP($B485,Resumo_HSF!$C$13:$AB$1000,16,FALSE)=VLOOKUP($B484,Resumo_HSF!$C$13:$AB$1000,16,FALSE),0,(VLOOKUP($B485,Resumo_HSF!$C$13:$AB$1000,16,FALSE)-VLOOKUP($B484,Resumo_HSF!$C$13:$AB$1000,16,FALSE))*VLOOKUP($B485,Resumo_HSF!$C$13:$AB$1000,15,FALSE))</f>
        <v>0</v>
      </c>
      <c r="Y485" s="26">
        <v>0</v>
      </c>
      <c r="Z485" s="26">
        <v>0</v>
      </c>
      <c r="AA485" s="26">
        <v>0</v>
      </c>
      <c r="AB485" s="26">
        <v>0</v>
      </c>
      <c r="AC485" s="26">
        <v>0</v>
      </c>
      <c r="AD485" s="15">
        <f t="shared" ref="AD485" si="586">SUM(D485:AB485)</f>
        <v>0</v>
      </c>
    </row>
    <row r="486" spans="2:30">
      <c r="B486" s="1">
        <f>WORKDAY(B485,1,Feriados!A289:A1128)</f>
        <v>45554</v>
      </c>
      <c r="C486" s="51">
        <f t="shared" ref="C486" si="587">AD486</f>
        <v>0</v>
      </c>
      <c r="D486" s="26">
        <v>0</v>
      </c>
      <c r="E486" s="26">
        <v>0</v>
      </c>
      <c r="F486" s="26">
        <v>0</v>
      </c>
      <c r="G486" s="26">
        <v>0</v>
      </c>
      <c r="H486" s="26">
        <v>0</v>
      </c>
      <c r="I486" s="26">
        <v>0</v>
      </c>
      <c r="J486" s="26">
        <v>0</v>
      </c>
      <c r="K486">
        <f>-VLOOKUP(B486,Resumo_HSF!$C$13:$AH$600,28,FALSE)</f>
        <v>0</v>
      </c>
      <c r="L486" s="26">
        <v>0</v>
      </c>
      <c r="M486" s="26">
        <v>0</v>
      </c>
      <c r="N486" s="26">
        <v>0</v>
      </c>
      <c r="O486" s="26">
        <v>0</v>
      </c>
      <c r="P486" s="26">
        <v>0</v>
      </c>
      <c r="Q486" s="26">
        <v>0</v>
      </c>
      <c r="R486" s="26">
        <v>0</v>
      </c>
      <c r="S486" s="26">
        <v>0</v>
      </c>
      <c r="T486" s="26">
        <v>0</v>
      </c>
      <c r="U486" s="26">
        <v>0</v>
      </c>
      <c r="V486" s="26">
        <v>0</v>
      </c>
      <c r="W486" s="26">
        <v>0</v>
      </c>
      <c r="X486" s="15">
        <f>-IF(VLOOKUP($B486,Resumo_HSF!$C$13:$AB$1000,16,FALSE)=VLOOKUP($B485,Resumo_HSF!$C$13:$AB$1000,16,FALSE),0,(VLOOKUP($B486,Resumo_HSF!$C$13:$AB$1000,16,FALSE)-VLOOKUP($B485,Resumo_HSF!$C$13:$AB$1000,16,FALSE))*VLOOKUP($B486,Resumo_HSF!$C$13:$AB$1000,15,FALSE))</f>
        <v>0</v>
      </c>
      <c r="Y486" s="26">
        <v>0</v>
      </c>
      <c r="Z486" s="26">
        <v>0</v>
      </c>
      <c r="AA486" s="26">
        <v>0</v>
      </c>
      <c r="AB486" s="26">
        <v>0</v>
      </c>
      <c r="AC486" s="26">
        <v>0</v>
      </c>
      <c r="AD486" s="15">
        <f t="shared" ref="AD486" si="588">SUM(D486:AB486)</f>
        <v>0</v>
      </c>
    </row>
    <row r="487" spans="2:30">
      <c r="B487" s="1">
        <f>WORKDAY(B486,1,Feriados!A290:A1129)</f>
        <v>45555</v>
      </c>
      <c r="C487" s="51">
        <f t="shared" ref="C487" si="589">AD487</f>
        <v>0</v>
      </c>
      <c r="D487" s="26">
        <v>0</v>
      </c>
      <c r="E487" s="26">
        <v>0</v>
      </c>
      <c r="F487" s="26">
        <v>0</v>
      </c>
      <c r="G487" s="26">
        <v>0</v>
      </c>
      <c r="H487" s="26">
        <v>0</v>
      </c>
      <c r="I487" s="26">
        <v>0</v>
      </c>
      <c r="J487" s="26">
        <v>0</v>
      </c>
      <c r="K487">
        <f>-VLOOKUP(B487,Resumo_HSF!$C$13:$AH$600,28,FALSE)</f>
        <v>0</v>
      </c>
      <c r="L487" s="26">
        <v>0</v>
      </c>
      <c r="M487" s="26">
        <v>0</v>
      </c>
      <c r="N487" s="26">
        <v>0</v>
      </c>
      <c r="O487" s="26">
        <v>0</v>
      </c>
      <c r="P487" s="26">
        <v>0</v>
      </c>
      <c r="Q487" s="26">
        <v>0</v>
      </c>
      <c r="R487" s="26">
        <v>0</v>
      </c>
      <c r="S487" s="26">
        <v>0</v>
      </c>
      <c r="T487" s="26">
        <v>0</v>
      </c>
      <c r="U487" s="26">
        <v>0</v>
      </c>
      <c r="V487" s="26">
        <v>0</v>
      </c>
      <c r="W487" s="26">
        <v>0</v>
      </c>
      <c r="X487" s="15">
        <f>-IF(VLOOKUP($B487,Resumo_HSF!$C$13:$AB$1000,16,FALSE)=VLOOKUP($B486,Resumo_HSF!$C$13:$AB$1000,16,FALSE),0,(VLOOKUP($B487,Resumo_HSF!$C$13:$AB$1000,16,FALSE)-VLOOKUP($B486,Resumo_HSF!$C$13:$AB$1000,16,FALSE))*VLOOKUP($B487,Resumo_HSF!$C$13:$AB$1000,15,FALSE))</f>
        <v>0</v>
      </c>
      <c r="Y487" s="26">
        <v>0</v>
      </c>
      <c r="Z487" s="26">
        <v>0</v>
      </c>
      <c r="AA487" s="26">
        <v>0</v>
      </c>
      <c r="AB487" s="26">
        <v>0</v>
      </c>
      <c r="AC487" s="26">
        <v>0</v>
      </c>
      <c r="AD487" s="15">
        <f t="shared" ref="AD487" si="590">SUM(D487:AB487)</f>
        <v>0</v>
      </c>
    </row>
    <row r="488" spans="2:30">
      <c r="B488" s="1">
        <f>WORKDAY(B487,1,Feriados!A291:A1130)</f>
        <v>45558</v>
      </c>
      <c r="C488" s="51">
        <f t="shared" ref="C488" si="591">AD488</f>
        <v>0</v>
      </c>
      <c r="D488" s="26">
        <v>0</v>
      </c>
      <c r="E488" s="26">
        <v>0</v>
      </c>
      <c r="F488" s="26">
        <v>0</v>
      </c>
      <c r="G488" s="26">
        <v>0</v>
      </c>
      <c r="H488" s="26">
        <v>0</v>
      </c>
      <c r="I488" s="26">
        <v>0</v>
      </c>
      <c r="J488" s="26">
        <v>0</v>
      </c>
      <c r="K488">
        <f>-VLOOKUP(B488,Resumo_HSF!$C$13:$AH$600,28,FALSE)</f>
        <v>0</v>
      </c>
      <c r="L488" s="26">
        <v>0</v>
      </c>
      <c r="M488" s="26">
        <v>0</v>
      </c>
      <c r="N488" s="26">
        <v>0</v>
      </c>
      <c r="O488" s="26">
        <v>0</v>
      </c>
      <c r="P488" s="26">
        <v>0</v>
      </c>
      <c r="Q488" s="26">
        <v>0</v>
      </c>
      <c r="R488" s="26">
        <v>0</v>
      </c>
      <c r="S488" s="26">
        <v>0</v>
      </c>
      <c r="T488" s="26">
        <v>0</v>
      </c>
      <c r="U488" s="26">
        <v>0</v>
      </c>
      <c r="V488" s="26">
        <v>0</v>
      </c>
      <c r="W488" s="26">
        <v>0</v>
      </c>
      <c r="X488" s="15">
        <f>-IF(VLOOKUP($B488,Resumo_HSF!$C$13:$AB$1000,16,FALSE)=VLOOKUP($B487,Resumo_HSF!$C$13:$AB$1000,16,FALSE),0,(VLOOKUP($B488,Resumo_HSF!$C$13:$AB$1000,16,FALSE)-VLOOKUP($B487,Resumo_HSF!$C$13:$AB$1000,16,FALSE))*VLOOKUP($B488,Resumo_HSF!$C$13:$AB$1000,15,FALSE))</f>
        <v>0</v>
      </c>
      <c r="Y488" s="26">
        <v>0</v>
      </c>
      <c r="Z488" s="26">
        <v>0</v>
      </c>
      <c r="AA488" s="26">
        <v>0</v>
      </c>
      <c r="AB488" s="26">
        <v>0</v>
      </c>
      <c r="AC488" s="26">
        <v>0</v>
      </c>
      <c r="AD488" s="15">
        <f t="shared" ref="AD488" si="592">SUM(D488:AB488)</f>
        <v>0</v>
      </c>
    </row>
    <row r="489" spans="2:30">
      <c r="B489" s="1">
        <f>WORKDAY(B488,1,Feriados!A292:A1131)</f>
        <v>45559</v>
      </c>
      <c r="C489" s="51">
        <f t="shared" ref="C489" si="593">AD489</f>
        <v>0</v>
      </c>
      <c r="D489" s="26">
        <v>0</v>
      </c>
      <c r="E489" s="26">
        <v>0</v>
      </c>
      <c r="F489" s="26">
        <v>0</v>
      </c>
      <c r="G489" s="26">
        <v>0</v>
      </c>
      <c r="H489" s="26">
        <v>0</v>
      </c>
      <c r="I489" s="26">
        <v>0</v>
      </c>
      <c r="J489" s="26">
        <v>0</v>
      </c>
      <c r="K489">
        <f>-VLOOKUP(B489,Resumo_HSF!$C$13:$AH$600,28,FALSE)</f>
        <v>0</v>
      </c>
      <c r="L489" s="26">
        <v>0</v>
      </c>
      <c r="M489" s="26">
        <v>0</v>
      </c>
      <c r="N489" s="26">
        <v>0</v>
      </c>
      <c r="O489" s="26">
        <v>0</v>
      </c>
      <c r="P489" s="26">
        <v>0</v>
      </c>
      <c r="Q489" s="26">
        <v>0</v>
      </c>
      <c r="R489" s="26">
        <v>0</v>
      </c>
      <c r="S489" s="26">
        <v>0</v>
      </c>
      <c r="T489" s="26">
        <v>0</v>
      </c>
      <c r="U489" s="26">
        <v>0</v>
      </c>
      <c r="V489" s="26">
        <v>0</v>
      </c>
      <c r="W489" s="26">
        <v>0</v>
      </c>
      <c r="X489" s="15">
        <f>-IF(VLOOKUP($B489,Resumo_HSF!$C$13:$AB$1000,16,FALSE)=VLOOKUP($B488,Resumo_HSF!$C$13:$AB$1000,16,FALSE),0,(VLOOKUP($B489,Resumo_HSF!$C$13:$AB$1000,16,FALSE)-VLOOKUP($B488,Resumo_HSF!$C$13:$AB$1000,16,FALSE))*VLOOKUP($B489,Resumo_HSF!$C$13:$AB$1000,15,FALSE))</f>
        <v>0</v>
      </c>
      <c r="Y489" s="26">
        <v>0</v>
      </c>
      <c r="Z489" s="26">
        <v>0</v>
      </c>
      <c r="AA489" s="26">
        <v>0</v>
      </c>
      <c r="AB489" s="26">
        <v>0</v>
      </c>
      <c r="AC489" s="26">
        <v>0</v>
      </c>
      <c r="AD489" s="15">
        <f t="shared" ref="AD489" si="594">SUM(D489:AB489)</f>
        <v>0</v>
      </c>
    </row>
    <row r="490" spans="2:30">
      <c r="B490" s="1">
        <f>WORKDAY(B489,1,Feriados!A293:A1132)</f>
        <v>45560</v>
      </c>
      <c r="C490" s="51">
        <f t="shared" ref="C490" si="595">AD490</f>
        <v>0</v>
      </c>
      <c r="D490" s="26">
        <v>0</v>
      </c>
      <c r="E490" s="26">
        <v>0</v>
      </c>
      <c r="F490" s="26">
        <v>0</v>
      </c>
      <c r="G490" s="26">
        <v>0</v>
      </c>
      <c r="H490" s="26">
        <v>0</v>
      </c>
      <c r="I490" s="26">
        <v>0</v>
      </c>
      <c r="J490" s="26">
        <v>0</v>
      </c>
      <c r="K490">
        <f>-VLOOKUP(B490,Resumo_HSF!$C$13:$AH$600,28,FALSE)</f>
        <v>0</v>
      </c>
      <c r="L490" s="26">
        <v>0</v>
      </c>
      <c r="M490" s="26">
        <v>0</v>
      </c>
      <c r="N490" s="26">
        <v>0</v>
      </c>
      <c r="O490" s="26">
        <v>0</v>
      </c>
      <c r="P490" s="26">
        <v>0</v>
      </c>
      <c r="Q490" s="26">
        <v>0</v>
      </c>
      <c r="R490" s="26">
        <v>0</v>
      </c>
      <c r="S490" s="26">
        <v>0</v>
      </c>
      <c r="T490" s="26">
        <v>0</v>
      </c>
      <c r="U490" s="26">
        <v>0</v>
      </c>
      <c r="V490" s="26">
        <v>0</v>
      </c>
      <c r="W490" s="26">
        <v>0</v>
      </c>
      <c r="X490" s="15">
        <f>-IF(VLOOKUP($B490,Resumo_HSF!$C$13:$AB$1000,16,FALSE)=VLOOKUP($B489,Resumo_HSF!$C$13:$AB$1000,16,FALSE),0,(VLOOKUP($B490,Resumo_HSF!$C$13:$AB$1000,16,FALSE)-VLOOKUP($B489,Resumo_HSF!$C$13:$AB$1000,16,FALSE))*VLOOKUP($B490,Resumo_HSF!$C$13:$AB$1000,15,FALSE))</f>
        <v>0</v>
      </c>
      <c r="Y490" s="26">
        <v>0</v>
      </c>
      <c r="Z490" s="26">
        <v>0</v>
      </c>
      <c r="AA490" s="26">
        <v>0</v>
      </c>
      <c r="AB490" s="26">
        <v>0</v>
      </c>
      <c r="AC490" s="26">
        <v>0</v>
      </c>
      <c r="AD490" s="15">
        <f t="shared" ref="AD490" si="596">SUM(D490:AB490)</f>
        <v>0</v>
      </c>
    </row>
    <row r="491" spans="2:30">
      <c r="B491" s="1">
        <f>WORKDAY(B490,1,Feriados!A294:A1133)</f>
        <v>45561</v>
      </c>
      <c r="C491" s="51">
        <f t="shared" ref="C491" si="597">AD491</f>
        <v>0</v>
      </c>
      <c r="D491" s="26">
        <v>0</v>
      </c>
      <c r="E491" s="26">
        <v>0</v>
      </c>
      <c r="F491" s="26">
        <v>0</v>
      </c>
      <c r="G491" s="26">
        <v>0</v>
      </c>
      <c r="H491" s="26">
        <v>0</v>
      </c>
      <c r="I491" s="26">
        <v>0</v>
      </c>
      <c r="J491" s="26">
        <v>0</v>
      </c>
      <c r="K491">
        <f>-VLOOKUP(B491,Resumo_HSF!$C$13:$AH$600,28,FALSE)</f>
        <v>0</v>
      </c>
      <c r="L491" s="26">
        <v>0</v>
      </c>
      <c r="M491" s="26">
        <v>0</v>
      </c>
      <c r="N491" s="26">
        <v>0</v>
      </c>
      <c r="O491" s="26">
        <v>0</v>
      </c>
      <c r="P491" s="26">
        <v>0</v>
      </c>
      <c r="Q491" s="26">
        <v>0</v>
      </c>
      <c r="R491" s="26">
        <v>0</v>
      </c>
      <c r="S491" s="26">
        <v>0</v>
      </c>
      <c r="T491" s="26">
        <v>0</v>
      </c>
      <c r="U491" s="26">
        <v>0</v>
      </c>
      <c r="V491" s="26">
        <v>0</v>
      </c>
      <c r="W491" s="26">
        <v>0</v>
      </c>
      <c r="X491" s="15">
        <f>-IF(VLOOKUP($B491,Resumo_HSF!$C$13:$AB$1000,16,FALSE)=VLOOKUP($B490,Resumo_HSF!$C$13:$AB$1000,16,FALSE),0,(VLOOKUP($B491,Resumo_HSF!$C$13:$AB$1000,16,FALSE)-VLOOKUP($B490,Resumo_HSF!$C$13:$AB$1000,16,FALSE))*VLOOKUP($B491,Resumo_HSF!$C$13:$AB$1000,15,FALSE))</f>
        <v>0</v>
      </c>
      <c r="Y491" s="26">
        <v>0</v>
      </c>
      <c r="Z491" s="26">
        <v>0</v>
      </c>
      <c r="AA491" s="26">
        <v>0</v>
      </c>
      <c r="AB491" s="26">
        <v>0</v>
      </c>
      <c r="AC491" s="26">
        <v>0</v>
      </c>
      <c r="AD491" s="15">
        <f t="shared" ref="AD491" si="598">SUM(D491:AB491)</f>
        <v>0</v>
      </c>
    </row>
    <row r="492" spans="2:30">
      <c r="B492" s="1">
        <f>WORKDAY(B491,1,Feriados!A295:A1134)</f>
        <v>45562</v>
      </c>
      <c r="C492" s="51">
        <f t="shared" ref="C492" si="599">AD492</f>
        <v>0</v>
      </c>
      <c r="D492" s="26">
        <v>0</v>
      </c>
      <c r="E492" s="26">
        <v>0</v>
      </c>
      <c r="F492" s="26">
        <v>0</v>
      </c>
      <c r="G492" s="26">
        <v>0</v>
      </c>
      <c r="H492" s="26">
        <v>0</v>
      </c>
      <c r="I492" s="26">
        <v>0</v>
      </c>
      <c r="J492" s="26">
        <v>0</v>
      </c>
      <c r="K492">
        <f>-VLOOKUP(B492,Resumo_HSF!$C$13:$AH$600,28,FALSE)</f>
        <v>0</v>
      </c>
      <c r="L492" s="26">
        <v>0</v>
      </c>
      <c r="M492" s="26">
        <v>0</v>
      </c>
      <c r="N492" s="26">
        <v>0</v>
      </c>
      <c r="O492" s="26">
        <v>0</v>
      </c>
      <c r="P492" s="26">
        <v>0</v>
      </c>
      <c r="Q492" s="26">
        <v>0</v>
      </c>
      <c r="R492" s="26">
        <v>0</v>
      </c>
      <c r="S492" s="26">
        <v>0</v>
      </c>
      <c r="T492" s="26">
        <v>0</v>
      </c>
      <c r="U492" s="26">
        <v>0</v>
      </c>
      <c r="V492" s="26">
        <v>0</v>
      </c>
      <c r="W492" s="26">
        <v>0</v>
      </c>
      <c r="X492" s="15">
        <f>-IF(VLOOKUP($B492,Resumo_HSF!$C$13:$AB$1000,16,FALSE)=VLOOKUP($B491,Resumo_HSF!$C$13:$AB$1000,16,FALSE),0,(VLOOKUP($B492,Resumo_HSF!$C$13:$AB$1000,16,FALSE)-VLOOKUP($B491,Resumo_HSF!$C$13:$AB$1000,16,FALSE))*VLOOKUP($B492,Resumo_HSF!$C$13:$AB$1000,15,FALSE))</f>
        <v>0</v>
      </c>
      <c r="Y492" s="26">
        <v>0</v>
      </c>
      <c r="Z492" s="26">
        <v>0</v>
      </c>
      <c r="AA492" s="26">
        <v>0</v>
      </c>
      <c r="AB492" s="26">
        <v>0</v>
      </c>
      <c r="AC492" s="26">
        <v>0</v>
      </c>
      <c r="AD492" s="15">
        <f t="shared" ref="AD492" si="600">SUM(D492:AB492)</f>
        <v>0</v>
      </c>
    </row>
    <row r="493" spans="2:30">
      <c r="B493" s="1">
        <f>WORKDAY(B492,1,Feriados!A296:A1135)</f>
        <v>45565</v>
      </c>
      <c r="C493" s="51">
        <f t="shared" ref="C493:C494" si="601">AD493</f>
        <v>0</v>
      </c>
      <c r="D493" s="26">
        <v>0</v>
      </c>
      <c r="E493" s="26">
        <v>0</v>
      </c>
      <c r="F493" s="26">
        <v>0</v>
      </c>
      <c r="G493" s="26">
        <v>0</v>
      </c>
      <c r="H493" s="26">
        <v>0</v>
      </c>
      <c r="I493" s="26">
        <v>0</v>
      </c>
      <c r="J493" s="26">
        <v>0</v>
      </c>
      <c r="K493">
        <f>-VLOOKUP(B493,Resumo_HSF!$C$13:$AH$600,28,FALSE)</f>
        <v>0</v>
      </c>
      <c r="L493" s="26">
        <v>0</v>
      </c>
      <c r="M493" s="26">
        <v>0</v>
      </c>
      <c r="N493" s="26">
        <v>0</v>
      </c>
      <c r="O493" s="26">
        <v>0</v>
      </c>
      <c r="P493" s="26">
        <v>0</v>
      </c>
      <c r="Q493" s="26">
        <v>0</v>
      </c>
      <c r="R493" s="26">
        <v>0</v>
      </c>
      <c r="S493" s="26">
        <v>0</v>
      </c>
      <c r="T493" s="26">
        <v>0</v>
      </c>
      <c r="U493" s="26">
        <v>0</v>
      </c>
      <c r="V493" s="26">
        <v>0</v>
      </c>
      <c r="W493" s="26">
        <v>0</v>
      </c>
      <c r="X493" s="15">
        <f>-IF(VLOOKUP($B493,Resumo_HSF!$C$13:$AB$1000,16,FALSE)=VLOOKUP($B492,Resumo_HSF!$C$13:$AB$1000,16,FALSE),0,(VLOOKUP($B493,Resumo_HSF!$C$13:$AB$1000,16,FALSE)-VLOOKUP($B492,Resumo_HSF!$C$13:$AB$1000,16,FALSE))*VLOOKUP($B493,Resumo_HSF!$C$13:$AB$1000,15,FALSE))</f>
        <v>0</v>
      </c>
      <c r="Y493" s="26">
        <v>0</v>
      </c>
      <c r="Z493" s="26">
        <v>0</v>
      </c>
      <c r="AA493" s="26">
        <v>0</v>
      </c>
      <c r="AB493" s="26">
        <v>0</v>
      </c>
      <c r="AC493" s="26">
        <v>0</v>
      </c>
      <c r="AD493" s="15">
        <f t="shared" ref="AD493:AD494" si="602">SUM(D493:AB493)</f>
        <v>0</v>
      </c>
    </row>
    <row r="494" spans="2:30">
      <c r="B494" s="1">
        <f>WORKDAY(B493,1,Feriados!A297:A1136)</f>
        <v>45566</v>
      </c>
      <c r="C494" s="51">
        <f t="shared" si="601"/>
        <v>0</v>
      </c>
      <c r="D494" s="26">
        <v>0</v>
      </c>
      <c r="E494" s="26">
        <v>0</v>
      </c>
      <c r="F494" s="26">
        <v>0</v>
      </c>
      <c r="G494" s="26">
        <v>0</v>
      </c>
      <c r="H494" s="26">
        <v>0</v>
      </c>
      <c r="I494" s="26">
        <v>0</v>
      </c>
      <c r="J494" s="26">
        <v>0</v>
      </c>
      <c r="K494">
        <f>-VLOOKUP(B494,Resumo_HSF!$C$13:$AH$600,28,FALSE)</f>
        <v>0</v>
      </c>
      <c r="L494" s="26">
        <v>0</v>
      </c>
      <c r="M494" s="26">
        <v>0</v>
      </c>
      <c r="N494" s="26">
        <v>0</v>
      </c>
      <c r="O494" s="26">
        <v>0</v>
      </c>
      <c r="P494" s="26">
        <v>0</v>
      </c>
      <c r="Q494" s="26">
        <v>0</v>
      </c>
      <c r="R494" s="26">
        <v>0</v>
      </c>
      <c r="S494" s="26">
        <v>0</v>
      </c>
      <c r="T494" s="26">
        <v>0</v>
      </c>
      <c r="U494" s="26">
        <v>0</v>
      </c>
      <c r="V494" s="26">
        <v>0</v>
      </c>
      <c r="W494" s="26">
        <v>0</v>
      </c>
      <c r="X494" s="15">
        <f>-IF(VLOOKUP($B494,Resumo_HSF!$C$13:$AB$1000,16,FALSE)=VLOOKUP($B493,Resumo_HSF!$C$13:$AB$1000,16,FALSE),0,(VLOOKUP($B494,Resumo_HSF!$C$13:$AB$1000,16,FALSE)-VLOOKUP($B493,Resumo_HSF!$C$13:$AB$1000,16,FALSE))*VLOOKUP($B494,Resumo_HSF!$C$13:$AB$1000,15,FALSE))</f>
        <v>0</v>
      </c>
      <c r="Y494" s="26">
        <v>0</v>
      </c>
      <c r="Z494" s="26">
        <v>0</v>
      </c>
      <c r="AA494" s="26">
        <v>0</v>
      </c>
      <c r="AB494" s="26">
        <v>0</v>
      </c>
      <c r="AC494" s="26">
        <v>0</v>
      </c>
      <c r="AD494" s="15">
        <f t="shared" si="602"/>
        <v>0</v>
      </c>
    </row>
    <row r="495" spans="2:30">
      <c r="B495" s="1">
        <f>WORKDAY(B494,1,Feriados!A298:A1137)</f>
        <v>45567</v>
      </c>
      <c r="C495" s="51">
        <f t="shared" ref="C495" si="603">AD495</f>
        <v>0</v>
      </c>
      <c r="D495" s="26">
        <v>0</v>
      </c>
      <c r="E495" s="26">
        <v>0</v>
      </c>
      <c r="F495" s="26">
        <v>0</v>
      </c>
      <c r="G495" s="26">
        <v>0</v>
      </c>
      <c r="H495" s="26">
        <v>0</v>
      </c>
      <c r="I495" s="26">
        <v>0</v>
      </c>
      <c r="J495" s="26">
        <v>0</v>
      </c>
      <c r="K495">
        <f>-VLOOKUP(B495,Resumo_HSF!$C$13:$AH$600,28,FALSE)</f>
        <v>0</v>
      </c>
      <c r="L495" s="26">
        <v>0</v>
      </c>
      <c r="M495" s="26">
        <v>0</v>
      </c>
      <c r="N495" s="26">
        <v>0</v>
      </c>
      <c r="O495" s="26">
        <v>0</v>
      </c>
      <c r="P495" s="26">
        <v>0</v>
      </c>
      <c r="Q495" s="26">
        <v>0</v>
      </c>
      <c r="R495" s="26">
        <v>0</v>
      </c>
      <c r="S495" s="26">
        <v>0</v>
      </c>
      <c r="T495" s="26">
        <v>0</v>
      </c>
      <c r="U495" s="26">
        <v>0</v>
      </c>
      <c r="V495" s="26">
        <v>0</v>
      </c>
      <c r="W495" s="26">
        <v>0</v>
      </c>
      <c r="X495" s="15">
        <f>-IF(VLOOKUP($B495,Resumo_HSF!$C$13:$AB$1000,16,FALSE)=VLOOKUP($B494,Resumo_HSF!$C$13:$AB$1000,16,FALSE),0,(VLOOKUP($B495,Resumo_HSF!$C$13:$AB$1000,16,FALSE)-VLOOKUP($B494,Resumo_HSF!$C$13:$AB$1000,16,FALSE))*VLOOKUP($B495,Resumo_HSF!$C$13:$AB$1000,15,FALSE))</f>
        <v>0</v>
      </c>
      <c r="Y495" s="26">
        <v>0</v>
      </c>
      <c r="Z495" s="26">
        <v>0</v>
      </c>
      <c r="AA495" s="26">
        <v>0</v>
      </c>
      <c r="AB495" s="26">
        <v>0</v>
      </c>
      <c r="AC495" s="26">
        <v>0</v>
      </c>
      <c r="AD495" s="15">
        <f t="shared" ref="AD495" si="604">SUM(D495:AB495)</f>
        <v>0</v>
      </c>
    </row>
    <row r="496" spans="2:30">
      <c r="B496" s="1">
        <f>WORKDAY(B495,1,Feriados!A299:A1138)</f>
        <v>45568</v>
      </c>
      <c r="C496" s="51">
        <f t="shared" ref="C496" si="605">AD496</f>
        <v>0</v>
      </c>
      <c r="D496" s="26">
        <v>0</v>
      </c>
      <c r="E496" s="26">
        <v>0</v>
      </c>
      <c r="F496" s="26">
        <v>0</v>
      </c>
      <c r="G496" s="26">
        <v>0</v>
      </c>
      <c r="H496" s="26">
        <v>0</v>
      </c>
      <c r="I496" s="26">
        <v>0</v>
      </c>
      <c r="J496" s="26">
        <v>0</v>
      </c>
      <c r="K496">
        <f>-VLOOKUP(B496,Resumo_HSF!$C$13:$AH$600,28,FALSE)</f>
        <v>0</v>
      </c>
      <c r="L496" s="26">
        <v>0</v>
      </c>
      <c r="M496" s="26">
        <v>0</v>
      </c>
      <c r="N496" s="26">
        <v>0</v>
      </c>
      <c r="O496" s="26">
        <v>0</v>
      </c>
      <c r="P496" s="26">
        <v>0</v>
      </c>
      <c r="Q496" s="26">
        <v>0</v>
      </c>
      <c r="R496" s="26">
        <v>0</v>
      </c>
      <c r="S496" s="26">
        <v>0</v>
      </c>
      <c r="T496" s="26">
        <v>0</v>
      </c>
      <c r="U496" s="26">
        <v>0</v>
      </c>
      <c r="V496" s="26">
        <v>0</v>
      </c>
      <c r="W496" s="26">
        <v>0</v>
      </c>
      <c r="X496" s="15">
        <f>-IF(VLOOKUP($B496,Resumo_HSF!$C$13:$AB$1000,16,FALSE)=VLOOKUP($B495,Resumo_HSF!$C$13:$AB$1000,16,FALSE),0,(VLOOKUP($B496,Resumo_HSF!$C$13:$AB$1000,16,FALSE)-VLOOKUP($B495,Resumo_HSF!$C$13:$AB$1000,16,FALSE))*VLOOKUP($B496,Resumo_HSF!$C$13:$AB$1000,15,FALSE))</f>
        <v>0</v>
      </c>
      <c r="Y496" s="26">
        <v>0</v>
      </c>
      <c r="Z496" s="26">
        <v>0</v>
      </c>
      <c r="AA496" s="26">
        <v>0</v>
      </c>
      <c r="AB496" s="26">
        <v>0</v>
      </c>
      <c r="AC496" s="26">
        <v>0</v>
      </c>
      <c r="AD496" s="15">
        <f t="shared" ref="AD496" si="606">SUM(D496:AB496)</f>
        <v>0</v>
      </c>
    </row>
    <row r="497" spans="2:30">
      <c r="B497" s="1">
        <f>WORKDAY(B496,1,Feriados!A300:A1139)</f>
        <v>45569</v>
      </c>
      <c r="C497" s="51">
        <f t="shared" ref="C497" si="607">AD497</f>
        <v>0</v>
      </c>
      <c r="D497" s="26">
        <v>0</v>
      </c>
      <c r="E497" s="26">
        <v>0</v>
      </c>
      <c r="F497" s="26">
        <v>0</v>
      </c>
      <c r="G497" s="26">
        <v>0</v>
      </c>
      <c r="H497" s="26">
        <v>0</v>
      </c>
      <c r="I497" s="26">
        <v>0</v>
      </c>
      <c r="J497" s="26">
        <v>0</v>
      </c>
      <c r="K497">
        <f>-VLOOKUP(B497,Resumo_HSF!$C$13:$AH$600,28,FALSE)</f>
        <v>0</v>
      </c>
      <c r="L497" s="26">
        <v>0</v>
      </c>
      <c r="M497" s="26">
        <v>0</v>
      </c>
      <c r="N497" s="26">
        <v>0</v>
      </c>
      <c r="O497" s="26">
        <v>0</v>
      </c>
      <c r="P497" s="26">
        <v>0</v>
      </c>
      <c r="Q497" s="26">
        <v>0</v>
      </c>
      <c r="R497" s="26">
        <v>0</v>
      </c>
      <c r="S497" s="26">
        <v>0</v>
      </c>
      <c r="T497" s="26">
        <v>0</v>
      </c>
      <c r="U497" s="26">
        <v>0</v>
      </c>
      <c r="V497" s="26">
        <v>0</v>
      </c>
      <c r="W497" s="26">
        <v>0</v>
      </c>
      <c r="X497" s="15">
        <f>-IF(VLOOKUP($B497,Resumo_HSF!$C$13:$AB$1000,16,FALSE)=VLOOKUP($B496,Resumo_HSF!$C$13:$AB$1000,16,FALSE),0,(VLOOKUP($B497,Resumo_HSF!$C$13:$AB$1000,16,FALSE)-VLOOKUP($B496,Resumo_HSF!$C$13:$AB$1000,16,FALSE))*VLOOKUP($B497,Resumo_HSF!$C$13:$AB$1000,15,FALSE))</f>
        <v>0</v>
      </c>
      <c r="Y497" s="26">
        <v>0</v>
      </c>
      <c r="Z497" s="26">
        <v>0</v>
      </c>
      <c r="AA497" s="26">
        <v>0</v>
      </c>
      <c r="AB497" s="26">
        <v>0</v>
      </c>
      <c r="AC497" s="26">
        <v>0</v>
      </c>
      <c r="AD497" s="15">
        <f t="shared" ref="AD497" si="608">SUM(D497:AB497)</f>
        <v>0</v>
      </c>
    </row>
    <row r="498" spans="2:30">
      <c r="B498" s="1">
        <f>WORKDAY(B497,1,Feriados!A301:A1140)</f>
        <v>45572</v>
      </c>
      <c r="C498" s="51">
        <f t="shared" ref="C498" si="609">AD498</f>
        <v>-0.12125976691176277</v>
      </c>
      <c r="D498" s="26">
        <v>-11122.621261677617</v>
      </c>
      <c r="E498" s="26">
        <v>0</v>
      </c>
      <c r="F498" s="26">
        <v>0</v>
      </c>
      <c r="G498" s="26">
        <v>0</v>
      </c>
      <c r="H498" s="26">
        <v>0</v>
      </c>
      <c r="I498" s="26">
        <v>0</v>
      </c>
      <c r="J498" s="26">
        <v>0</v>
      </c>
      <c r="K498">
        <f>-VLOOKUP(B498,Resumo_HSF!$C$13:$AH$600,28,FALSE)</f>
        <v>0</v>
      </c>
      <c r="L498" s="26">
        <v>0</v>
      </c>
      <c r="M498" s="26">
        <v>0</v>
      </c>
      <c r="N498" s="26">
        <v>0</v>
      </c>
      <c r="O498" s="26">
        <v>0</v>
      </c>
      <c r="P498" s="26">
        <v>0</v>
      </c>
      <c r="Q498" s="26">
        <v>0</v>
      </c>
      <c r="R498" s="26">
        <v>0</v>
      </c>
      <c r="S498" s="26">
        <v>0</v>
      </c>
      <c r="T498" s="26">
        <v>0</v>
      </c>
      <c r="U498" s="26">
        <v>11200</v>
      </c>
      <c r="V498" s="26">
        <v>0</v>
      </c>
      <c r="W498" s="26">
        <v>0</v>
      </c>
      <c r="X498" s="15">
        <f>-IF(VLOOKUP($B498,Resumo_HSF!$C$13:$AB$1000,16,FALSE)=VLOOKUP($B497,Resumo_HSF!$C$13:$AB$1000,16,FALSE),0,(VLOOKUP($B498,Resumo_HSF!$C$13:$AB$1000,16,FALSE)-VLOOKUP($B497,Resumo_HSF!$C$13:$AB$1000,16,FALSE))*VLOOKUP($B498,Resumo_HSF!$C$13:$AB$1000,15,FALSE))</f>
        <v>-77.499998089294323</v>
      </c>
      <c r="Y498" s="26">
        <v>0</v>
      </c>
      <c r="Z498" s="26">
        <v>0</v>
      </c>
      <c r="AA498" s="26">
        <v>0</v>
      </c>
      <c r="AB498" s="26">
        <v>0</v>
      </c>
      <c r="AC498" s="26">
        <v>0</v>
      </c>
      <c r="AD498" s="15">
        <f t="shared" ref="AD498" si="610">SUM(D498:AB498)</f>
        <v>-0.12125976691176277</v>
      </c>
    </row>
    <row r="499" spans="2:30">
      <c r="B499" s="1">
        <f>WORKDAY(B498,1,Feriados!A302:A1141)</f>
        <v>45573</v>
      </c>
      <c r="C499" s="51">
        <f t="shared" ref="C499" si="611">AD499</f>
        <v>0</v>
      </c>
      <c r="D499" s="26">
        <v>0</v>
      </c>
      <c r="E499" s="26">
        <v>0</v>
      </c>
      <c r="F499" s="26">
        <v>0</v>
      </c>
      <c r="G499" s="26">
        <v>0</v>
      </c>
      <c r="H499" s="26">
        <v>0</v>
      </c>
      <c r="I499" s="26">
        <v>0</v>
      </c>
      <c r="J499" s="26">
        <v>0</v>
      </c>
      <c r="K499">
        <f>-VLOOKUP(B499,Resumo_HSF!$C$13:$AH$600,28,FALSE)</f>
        <v>0</v>
      </c>
      <c r="L499" s="26">
        <v>0</v>
      </c>
      <c r="M499" s="26">
        <v>0</v>
      </c>
      <c r="N499" s="26">
        <v>0</v>
      </c>
      <c r="O499" s="26">
        <v>0</v>
      </c>
      <c r="P499" s="26">
        <v>0</v>
      </c>
      <c r="Q499" s="26">
        <v>0</v>
      </c>
      <c r="R499" s="26">
        <v>0</v>
      </c>
      <c r="S499" s="26">
        <v>0</v>
      </c>
      <c r="T499" s="26">
        <v>0</v>
      </c>
      <c r="U499" s="26">
        <v>0</v>
      </c>
      <c r="V499" s="26">
        <v>0</v>
      </c>
      <c r="W499" s="26">
        <v>0</v>
      </c>
      <c r="X499" s="15">
        <f>-IF(VLOOKUP($B499,Resumo_HSF!$C$13:$AB$1000,16,FALSE)=VLOOKUP($B498,Resumo_HSF!$C$13:$AB$1000,16,FALSE),0,(VLOOKUP($B499,Resumo_HSF!$C$13:$AB$1000,16,FALSE)-VLOOKUP($B498,Resumo_HSF!$C$13:$AB$1000,16,FALSE))*VLOOKUP($B499,Resumo_HSF!$C$13:$AB$1000,15,FALSE))</f>
        <v>0</v>
      </c>
      <c r="Y499" s="26">
        <v>0</v>
      </c>
      <c r="Z499" s="26">
        <v>0</v>
      </c>
      <c r="AA499" s="26">
        <v>0</v>
      </c>
      <c r="AB499" s="26">
        <v>0</v>
      </c>
      <c r="AC499" s="26">
        <v>0</v>
      </c>
      <c r="AD499" s="15">
        <f t="shared" ref="AD499" si="612">SUM(D499:AB499)</f>
        <v>0</v>
      </c>
    </row>
    <row r="500" spans="2:30">
      <c r="B500" s="1">
        <f>WORKDAY(B499,1,Feriados!A303:A1142)</f>
        <v>45574</v>
      </c>
      <c r="C500" s="51">
        <f t="shared" ref="C500" si="613">AD500</f>
        <v>0</v>
      </c>
      <c r="D500" s="26">
        <v>0</v>
      </c>
      <c r="E500" s="26">
        <v>0</v>
      </c>
      <c r="F500" s="26">
        <v>0</v>
      </c>
      <c r="G500" s="26">
        <v>0</v>
      </c>
      <c r="H500" s="26">
        <v>0</v>
      </c>
      <c r="I500" s="26">
        <v>0</v>
      </c>
      <c r="J500" s="26">
        <v>0</v>
      </c>
      <c r="K500">
        <f>-VLOOKUP(B500,Resumo_HSF!$C$13:$AH$600,28,FALSE)</f>
        <v>0</v>
      </c>
      <c r="L500" s="26">
        <v>0</v>
      </c>
      <c r="M500" s="26">
        <v>0</v>
      </c>
      <c r="N500" s="26">
        <v>0</v>
      </c>
      <c r="O500" s="26">
        <v>0</v>
      </c>
      <c r="P500" s="26">
        <v>0</v>
      </c>
      <c r="Q500" s="26">
        <v>0</v>
      </c>
      <c r="R500" s="26">
        <v>0</v>
      </c>
      <c r="S500" s="26">
        <v>0</v>
      </c>
      <c r="T500" s="26">
        <v>0</v>
      </c>
      <c r="U500" s="26">
        <v>0</v>
      </c>
      <c r="V500" s="26">
        <v>0</v>
      </c>
      <c r="W500" s="26">
        <v>0</v>
      </c>
      <c r="X500" s="15">
        <f>-IF(VLOOKUP($B500,Resumo_HSF!$C$13:$AB$1000,16,FALSE)=VLOOKUP($B499,Resumo_HSF!$C$13:$AB$1000,16,FALSE),0,(VLOOKUP($B500,Resumo_HSF!$C$13:$AB$1000,16,FALSE)-VLOOKUP($B499,Resumo_HSF!$C$13:$AB$1000,16,FALSE))*VLOOKUP($B500,Resumo_HSF!$C$13:$AB$1000,15,FALSE))</f>
        <v>0</v>
      </c>
      <c r="Y500" s="26">
        <v>0</v>
      </c>
      <c r="Z500" s="26">
        <v>0</v>
      </c>
      <c r="AA500" s="26">
        <v>0</v>
      </c>
      <c r="AB500" s="26">
        <v>0</v>
      </c>
      <c r="AC500" s="26">
        <v>0</v>
      </c>
      <c r="AD500" s="15">
        <f t="shared" ref="AD500" si="614">SUM(D500:AB500)</f>
        <v>0</v>
      </c>
    </row>
    <row r="501" spans="2:30">
      <c r="B501" s="1">
        <f>WORKDAY(B500,1,Feriados!A304:A1143)</f>
        <v>45575</v>
      </c>
      <c r="C501" s="51">
        <f t="shared" ref="C501" si="615">AD501</f>
        <v>0</v>
      </c>
      <c r="D501" s="26">
        <v>0</v>
      </c>
      <c r="E501" s="26">
        <v>0</v>
      </c>
      <c r="F501" s="26">
        <v>0</v>
      </c>
      <c r="G501" s="26">
        <v>0</v>
      </c>
      <c r="H501" s="26">
        <v>0</v>
      </c>
      <c r="I501" s="26">
        <v>0</v>
      </c>
      <c r="J501" s="26">
        <v>0</v>
      </c>
      <c r="K501">
        <f>-VLOOKUP(B501,Resumo_HSF!$C$13:$AH$600,28,FALSE)</f>
        <v>0</v>
      </c>
      <c r="L501" s="26">
        <v>0</v>
      </c>
      <c r="M501" s="26">
        <v>0</v>
      </c>
      <c r="N501" s="26">
        <v>0</v>
      </c>
      <c r="O501" s="26">
        <v>0</v>
      </c>
      <c r="P501" s="26">
        <v>0</v>
      </c>
      <c r="Q501" s="26">
        <v>0</v>
      </c>
      <c r="R501" s="26">
        <v>0</v>
      </c>
      <c r="S501" s="26">
        <v>0</v>
      </c>
      <c r="T501" s="26">
        <v>0</v>
      </c>
      <c r="U501" s="26">
        <v>0</v>
      </c>
      <c r="V501" s="26">
        <v>0</v>
      </c>
      <c r="W501" s="26">
        <v>0</v>
      </c>
      <c r="X501" s="15">
        <f>-IF(VLOOKUP($B501,Resumo_HSF!$C$13:$AB$1000,16,FALSE)=VLOOKUP($B500,Resumo_HSF!$C$13:$AB$1000,16,FALSE),0,(VLOOKUP($B501,Resumo_HSF!$C$13:$AB$1000,16,FALSE)-VLOOKUP($B500,Resumo_HSF!$C$13:$AB$1000,16,FALSE))*VLOOKUP($B501,Resumo_HSF!$C$13:$AB$1000,15,FALSE))</f>
        <v>0</v>
      </c>
      <c r="Y501" s="26">
        <v>0</v>
      </c>
      <c r="Z501" s="26">
        <v>0</v>
      </c>
      <c r="AA501" s="26">
        <v>0</v>
      </c>
      <c r="AB501" s="26">
        <v>0</v>
      </c>
      <c r="AC501" s="26">
        <v>0</v>
      </c>
      <c r="AD501" s="15">
        <f t="shared" ref="AD501" si="616">SUM(D501:AB501)</f>
        <v>0</v>
      </c>
    </row>
    <row r="502" spans="2:30">
      <c r="B502" s="1">
        <f>WORKDAY(B501,1,Feriados!A305:A1144)</f>
        <v>45576</v>
      </c>
      <c r="C502" s="51">
        <f t="shared" ref="C502" si="617">AD502</f>
        <v>0</v>
      </c>
      <c r="D502" s="26">
        <v>0</v>
      </c>
      <c r="E502" s="26">
        <v>0</v>
      </c>
      <c r="F502" s="26">
        <v>0</v>
      </c>
      <c r="G502" s="26">
        <v>0</v>
      </c>
      <c r="H502" s="26">
        <v>0</v>
      </c>
      <c r="I502" s="26">
        <v>0</v>
      </c>
      <c r="J502" s="26">
        <v>0</v>
      </c>
      <c r="K502">
        <f>-VLOOKUP(B502,Resumo_HSF!$C$13:$AH$600,28,FALSE)</f>
        <v>0</v>
      </c>
      <c r="L502" s="26">
        <v>0</v>
      </c>
      <c r="M502" s="26">
        <v>0</v>
      </c>
      <c r="N502" s="26">
        <v>0</v>
      </c>
      <c r="O502" s="26">
        <v>0</v>
      </c>
      <c r="P502" s="26">
        <v>0</v>
      </c>
      <c r="Q502" s="26">
        <v>0</v>
      </c>
      <c r="R502" s="26">
        <v>0</v>
      </c>
      <c r="S502" s="26">
        <v>0</v>
      </c>
      <c r="T502" s="26">
        <v>0</v>
      </c>
      <c r="U502" s="26">
        <v>0</v>
      </c>
      <c r="V502" s="26">
        <v>0</v>
      </c>
      <c r="W502" s="26">
        <v>0</v>
      </c>
      <c r="X502" s="15">
        <f>-IF(VLOOKUP($B502,Resumo_HSF!$C$13:$AB$1000,16,FALSE)=VLOOKUP($B501,Resumo_HSF!$C$13:$AB$1000,16,FALSE),0,(VLOOKUP($B502,Resumo_HSF!$C$13:$AB$1000,16,FALSE)-VLOOKUP($B501,Resumo_HSF!$C$13:$AB$1000,16,FALSE))*VLOOKUP($B502,Resumo_HSF!$C$13:$AB$1000,15,FALSE))</f>
        <v>0</v>
      </c>
      <c r="Y502" s="26">
        <v>0</v>
      </c>
      <c r="Z502" s="26">
        <v>0</v>
      </c>
      <c r="AA502" s="26">
        <v>0</v>
      </c>
      <c r="AB502" s="26">
        <v>0</v>
      </c>
      <c r="AC502" s="26">
        <v>0</v>
      </c>
      <c r="AD502" s="15">
        <f t="shared" ref="AD502" si="618">SUM(D502:AB502)</f>
        <v>0</v>
      </c>
    </row>
    <row r="503" spans="2:30">
      <c r="B503" s="1">
        <f>WORKDAY(B502,1,Feriados!A306:A1145)</f>
        <v>45579</v>
      </c>
      <c r="C503" s="51">
        <f t="shared" ref="C503:C505" si="619">AD503</f>
        <v>0</v>
      </c>
      <c r="D503" s="26">
        <v>0</v>
      </c>
      <c r="E503" s="26">
        <v>0</v>
      </c>
      <c r="F503" s="26">
        <v>0</v>
      </c>
      <c r="G503" s="26">
        <v>0</v>
      </c>
      <c r="H503" s="26">
        <v>0</v>
      </c>
      <c r="I503" s="26">
        <v>0</v>
      </c>
      <c r="J503" s="26">
        <v>0</v>
      </c>
      <c r="K503">
        <f>-VLOOKUP(B503,Resumo_HSF!$C$13:$AH$600,28,FALSE)</f>
        <v>0</v>
      </c>
      <c r="L503" s="26">
        <v>0</v>
      </c>
      <c r="M503" s="26">
        <v>0</v>
      </c>
      <c r="N503" s="26">
        <v>0</v>
      </c>
      <c r="O503" s="26">
        <v>0</v>
      </c>
      <c r="P503" s="26">
        <v>0</v>
      </c>
      <c r="Q503" s="26">
        <v>0</v>
      </c>
      <c r="R503" s="26">
        <v>0</v>
      </c>
      <c r="S503" s="26">
        <v>0</v>
      </c>
      <c r="T503" s="26">
        <v>0</v>
      </c>
      <c r="U503" s="26">
        <v>0</v>
      </c>
      <c r="V503" s="26">
        <v>0</v>
      </c>
      <c r="W503" s="26">
        <v>0</v>
      </c>
      <c r="X503" s="15">
        <f>-IF(VLOOKUP($B503,Resumo_HSF!$C$13:$AB$1000,16,FALSE)=VLOOKUP($B502,Resumo_HSF!$C$13:$AB$1000,16,FALSE),0,(VLOOKUP($B503,Resumo_HSF!$C$13:$AB$1000,16,FALSE)-VLOOKUP($B502,Resumo_HSF!$C$13:$AB$1000,16,FALSE))*VLOOKUP($B503,Resumo_HSF!$C$13:$AB$1000,15,FALSE))</f>
        <v>0</v>
      </c>
      <c r="Y503" s="26">
        <v>0</v>
      </c>
      <c r="Z503" s="26">
        <v>0</v>
      </c>
      <c r="AA503" s="26">
        <v>0</v>
      </c>
      <c r="AB503" s="26">
        <v>0</v>
      </c>
      <c r="AC503" s="26">
        <v>0</v>
      </c>
      <c r="AD503" s="15">
        <f t="shared" ref="AD503:AD505" si="620">SUM(D503:AB503)</f>
        <v>0</v>
      </c>
    </row>
    <row r="504" spans="2:30">
      <c r="B504" s="1">
        <f>WORKDAY(B503,1,Feriados!A307:A1146)</f>
        <v>45580</v>
      </c>
      <c r="C504" s="51">
        <f t="shared" si="619"/>
        <v>0</v>
      </c>
      <c r="D504" s="26">
        <v>0</v>
      </c>
      <c r="E504" s="26">
        <v>0</v>
      </c>
      <c r="F504" s="26">
        <v>0</v>
      </c>
      <c r="G504" s="26">
        <v>0</v>
      </c>
      <c r="H504" s="26">
        <v>0</v>
      </c>
      <c r="I504" s="26">
        <v>0</v>
      </c>
      <c r="J504" s="26">
        <v>0</v>
      </c>
      <c r="K504">
        <f>-VLOOKUP(B504,Resumo_HSF!$C$13:$AH$600,28,FALSE)</f>
        <v>0</v>
      </c>
      <c r="L504" s="26">
        <v>0</v>
      </c>
      <c r="M504" s="26">
        <v>0</v>
      </c>
      <c r="N504" s="26">
        <v>0</v>
      </c>
      <c r="O504" s="26">
        <v>0</v>
      </c>
      <c r="P504" s="26">
        <v>0</v>
      </c>
      <c r="Q504" s="26">
        <v>0</v>
      </c>
      <c r="R504" s="26">
        <v>0</v>
      </c>
      <c r="S504" s="26">
        <v>0</v>
      </c>
      <c r="T504" s="26">
        <v>0</v>
      </c>
      <c r="U504" s="26">
        <v>0</v>
      </c>
      <c r="V504" s="26">
        <v>0</v>
      </c>
      <c r="W504" s="26">
        <v>0</v>
      </c>
      <c r="X504" s="15">
        <f>-IF(VLOOKUP($B504,Resumo_HSF!$C$13:$AB$1000,16,FALSE)=VLOOKUP($B503,Resumo_HSF!$C$13:$AB$1000,16,FALSE),0,(VLOOKUP($B504,Resumo_HSF!$C$13:$AB$1000,16,FALSE)-VLOOKUP($B503,Resumo_HSF!$C$13:$AB$1000,16,FALSE))*VLOOKUP($B504,Resumo_HSF!$C$13:$AB$1000,15,FALSE))</f>
        <v>0</v>
      </c>
      <c r="Y504" s="26">
        <v>0</v>
      </c>
      <c r="Z504" s="26">
        <v>0</v>
      </c>
      <c r="AA504" s="26">
        <v>0</v>
      </c>
      <c r="AB504" s="26">
        <v>0</v>
      </c>
      <c r="AC504" s="26">
        <v>0</v>
      </c>
      <c r="AD504" s="15">
        <f t="shared" si="620"/>
        <v>0</v>
      </c>
    </row>
    <row r="505" spans="2:30">
      <c r="B505" s="1">
        <f>WORKDAY(B504,1,Feriados!A308:A1147)</f>
        <v>45581</v>
      </c>
      <c r="C505" s="51">
        <f t="shared" si="619"/>
        <v>0</v>
      </c>
      <c r="D505" s="26">
        <v>0</v>
      </c>
      <c r="E505" s="26">
        <v>0</v>
      </c>
      <c r="F505" s="26">
        <v>0</v>
      </c>
      <c r="G505" s="26">
        <v>0</v>
      </c>
      <c r="H505" s="26">
        <v>0</v>
      </c>
      <c r="I505" s="26">
        <v>0</v>
      </c>
      <c r="J505" s="26">
        <v>0</v>
      </c>
      <c r="K505">
        <f>-VLOOKUP(B505,Resumo_HSF!$C$13:$AH$600,28,FALSE)</f>
        <v>0</v>
      </c>
      <c r="L505" s="26">
        <v>0</v>
      </c>
      <c r="M505" s="26">
        <v>0</v>
      </c>
      <c r="N505" s="26">
        <v>0</v>
      </c>
      <c r="O505" s="26">
        <v>0</v>
      </c>
      <c r="P505" s="26">
        <v>0</v>
      </c>
      <c r="Q505" s="26">
        <v>0</v>
      </c>
      <c r="R505" s="26">
        <v>0</v>
      </c>
      <c r="S505" s="26">
        <v>0</v>
      </c>
      <c r="T505" s="26">
        <v>0</v>
      </c>
      <c r="U505" s="26">
        <v>0</v>
      </c>
      <c r="V505" s="26">
        <v>0</v>
      </c>
      <c r="W505" s="26">
        <v>0</v>
      </c>
      <c r="X505" s="15">
        <f>-IF(VLOOKUP($B505,Resumo_HSF!$C$13:$AB$1000,16,FALSE)=VLOOKUP($B504,Resumo_HSF!$C$13:$AB$1000,16,FALSE),0,(VLOOKUP($B505,Resumo_HSF!$C$13:$AB$1000,16,FALSE)-VLOOKUP($B504,Resumo_HSF!$C$13:$AB$1000,16,FALSE))*VLOOKUP($B505,Resumo_HSF!$C$13:$AB$1000,15,FALSE))</f>
        <v>0</v>
      </c>
      <c r="Y505" s="26">
        <v>0</v>
      </c>
      <c r="Z505" s="26">
        <v>0</v>
      </c>
      <c r="AA505" s="26">
        <v>0</v>
      </c>
      <c r="AB505" s="26">
        <v>0</v>
      </c>
      <c r="AC505" s="26">
        <v>0</v>
      </c>
      <c r="AD505" s="15">
        <f t="shared" si="620"/>
        <v>0</v>
      </c>
    </row>
    <row r="506" spans="2:30">
      <c r="B506" s="1">
        <f>WORKDAY(B505,1,Feriados!A309:A1148)</f>
        <v>45582</v>
      </c>
      <c r="C506" s="51">
        <f t="shared" ref="C506" si="621">AD506</f>
        <v>-6.1961435449120472E-7</v>
      </c>
      <c r="D506" s="26">
        <v>0</v>
      </c>
      <c r="E506" s="26">
        <v>0</v>
      </c>
      <c r="F506" s="26">
        <v>0</v>
      </c>
      <c r="G506" s="26">
        <v>0</v>
      </c>
      <c r="H506" s="26">
        <v>0</v>
      </c>
      <c r="I506" s="26">
        <v>0</v>
      </c>
      <c r="J506" s="26">
        <v>0</v>
      </c>
      <c r="K506">
        <f>-VLOOKUP(B506,Resumo_HSF!$C$13:$AH$600,28,FALSE)</f>
        <v>0</v>
      </c>
      <c r="L506" s="26">
        <v>0</v>
      </c>
      <c r="M506" s="26">
        <v>0</v>
      </c>
      <c r="N506" s="26">
        <v>0</v>
      </c>
      <c r="O506" s="26">
        <v>0</v>
      </c>
      <c r="P506" s="26">
        <v>-145</v>
      </c>
      <c r="Q506" s="26">
        <v>0</v>
      </c>
      <c r="R506" s="26">
        <v>0</v>
      </c>
      <c r="S506" s="26">
        <v>0</v>
      </c>
      <c r="T506" s="26">
        <v>0</v>
      </c>
      <c r="U506" s="26">
        <v>0</v>
      </c>
      <c r="V506" s="26">
        <v>0</v>
      </c>
      <c r="W506" s="26">
        <v>0</v>
      </c>
      <c r="X506" s="15">
        <f>-IF(VLOOKUP($B506,Resumo_HSF!$C$13:$AB$1000,16,FALSE)=VLOOKUP($B505,Resumo_HSF!$C$13:$AB$1000,16,FALSE),0,(VLOOKUP($B506,Resumo_HSF!$C$13:$AB$1000,16,FALSE)-VLOOKUP($B505,Resumo_HSF!$C$13:$AB$1000,16,FALSE))*VLOOKUP($B506,Resumo_HSF!$C$13:$AB$1000,15,FALSE))</f>
        <v>144.99999938038565</v>
      </c>
      <c r="Y506" s="26">
        <v>0</v>
      </c>
      <c r="Z506" s="26">
        <v>0</v>
      </c>
      <c r="AA506" s="26">
        <v>0</v>
      </c>
      <c r="AB506" s="26">
        <v>0</v>
      </c>
      <c r="AC506" s="26">
        <v>0</v>
      </c>
      <c r="AD506" s="15">
        <f t="shared" ref="AD506" si="622">SUM(D506:AB506)</f>
        <v>-6.1961435449120472E-7</v>
      </c>
    </row>
    <row r="507" spans="2:30">
      <c r="B507" s="1">
        <f>WORKDAY(B506,1,Feriados!A310:A1149)</f>
        <v>45583</v>
      </c>
      <c r="C507" s="51">
        <f t="shared" ref="C507" si="623">AD507</f>
        <v>0</v>
      </c>
      <c r="D507" s="26">
        <v>0</v>
      </c>
      <c r="E507" s="26">
        <v>0</v>
      </c>
      <c r="F507" s="26">
        <v>0</v>
      </c>
      <c r="G507" s="26">
        <v>0</v>
      </c>
      <c r="H507" s="26">
        <v>0</v>
      </c>
      <c r="I507" s="26">
        <v>0</v>
      </c>
      <c r="J507" s="26">
        <v>0</v>
      </c>
      <c r="K507">
        <f>-VLOOKUP(B507,Resumo_HSF!$C$13:$AH$600,28,FALSE)</f>
        <v>0</v>
      </c>
      <c r="L507" s="26">
        <v>0</v>
      </c>
      <c r="M507" s="26">
        <v>0</v>
      </c>
      <c r="N507" s="26">
        <v>0</v>
      </c>
      <c r="O507" s="26">
        <v>0</v>
      </c>
      <c r="P507" s="26">
        <v>0</v>
      </c>
      <c r="Q507" s="26">
        <v>0</v>
      </c>
      <c r="R507" s="26">
        <v>0</v>
      </c>
      <c r="S507" s="26">
        <v>0</v>
      </c>
      <c r="T507" s="26">
        <v>0</v>
      </c>
      <c r="U507" s="26">
        <v>0</v>
      </c>
      <c r="V507" s="26">
        <v>0</v>
      </c>
      <c r="W507" s="26">
        <v>0</v>
      </c>
      <c r="X507" s="15">
        <f>-IF(VLOOKUP($B507,Resumo_HSF!$C$13:$AB$1000,16,FALSE)=VLOOKUP($B506,Resumo_HSF!$C$13:$AB$1000,16,FALSE),0,(VLOOKUP($B507,Resumo_HSF!$C$13:$AB$1000,16,FALSE)-VLOOKUP($B506,Resumo_HSF!$C$13:$AB$1000,16,FALSE))*VLOOKUP($B507,Resumo_HSF!$C$13:$AB$1000,15,FALSE))</f>
        <v>0</v>
      </c>
      <c r="Y507" s="26">
        <v>0</v>
      </c>
      <c r="Z507" s="26">
        <v>0</v>
      </c>
      <c r="AA507" s="26">
        <v>0</v>
      </c>
      <c r="AB507" s="26">
        <v>0</v>
      </c>
      <c r="AC507" s="26">
        <v>0</v>
      </c>
      <c r="AD507" s="15">
        <f t="shared" ref="AD507" si="624">SUM(D507:AB507)</f>
        <v>0</v>
      </c>
    </row>
    <row r="508" spans="2:30">
      <c r="B508" s="1">
        <f>WORKDAY(B507,1,Feriados!A311:A1150)</f>
        <v>45586</v>
      </c>
      <c r="C508" s="51">
        <f t="shared" ref="C508" si="625">AD508</f>
        <v>0</v>
      </c>
      <c r="D508" s="26">
        <v>0</v>
      </c>
      <c r="E508" s="26">
        <v>0</v>
      </c>
      <c r="F508" s="26">
        <v>0</v>
      </c>
      <c r="G508" s="26">
        <v>0</v>
      </c>
      <c r="H508" s="26">
        <v>0</v>
      </c>
      <c r="I508" s="26">
        <v>0</v>
      </c>
      <c r="J508" s="26">
        <v>0</v>
      </c>
      <c r="K508">
        <f>-VLOOKUP(B508,Resumo_HSF!$C$13:$AH$600,28,FALSE)</f>
        <v>0</v>
      </c>
      <c r="L508" s="26">
        <v>0</v>
      </c>
      <c r="M508" s="26">
        <v>0</v>
      </c>
      <c r="N508" s="26">
        <v>0</v>
      </c>
      <c r="O508" s="26">
        <v>0</v>
      </c>
      <c r="P508" s="26">
        <v>0</v>
      </c>
      <c r="Q508" s="26">
        <v>0</v>
      </c>
      <c r="R508" s="26">
        <v>0</v>
      </c>
      <c r="S508" s="26">
        <v>0</v>
      </c>
      <c r="T508" s="26">
        <v>0</v>
      </c>
      <c r="U508" s="26">
        <v>0</v>
      </c>
      <c r="V508" s="26">
        <v>0</v>
      </c>
      <c r="W508" s="26">
        <v>0</v>
      </c>
      <c r="X508" s="15">
        <f>-IF(VLOOKUP($B508,Resumo_HSF!$C$13:$AB$1000,16,FALSE)=VLOOKUP($B507,Resumo_HSF!$C$13:$AB$1000,16,FALSE),0,(VLOOKUP($B508,Resumo_HSF!$C$13:$AB$1000,16,FALSE)-VLOOKUP($B507,Resumo_HSF!$C$13:$AB$1000,16,FALSE))*VLOOKUP($B508,Resumo_HSF!$C$13:$AB$1000,15,FALSE))</f>
        <v>0</v>
      </c>
      <c r="Y508" s="26">
        <v>0</v>
      </c>
      <c r="Z508" s="26">
        <v>0</v>
      </c>
      <c r="AA508" s="26">
        <v>0</v>
      </c>
      <c r="AB508" s="26">
        <v>0</v>
      </c>
      <c r="AC508" s="26">
        <v>0</v>
      </c>
      <c r="AD508" s="15">
        <f t="shared" ref="AD508" si="626">SUM(D508:AB508)</f>
        <v>0</v>
      </c>
    </row>
    <row r="509" spans="2:30">
      <c r="B509" s="1">
        <f>WORKDAY(B508,1,Feriados!A312:A1151)</f>
        <v>45587</v>
      </c>
      <c r="C509" s="51">
        <f t="shared" ref="C509" si="627">AD509</f>
        <v>0</v>
      </c>
      <c r="D509" s="26">
        <v>0</v>
      </c>
      <c r="E509" s="26">
        <v>0</v>
      </c>
      <c r="F509" s="26">
        <v>0</v>
      </c>
      <c r="G509" s="26">
        <v>0</v>
      </c>
      <c r="H509" s="26">
        <v>0</v>
      </c>
      <c r="I509" s="26">
        <v>0</v>
      </c>
      <c r="J509" s="26">
        <v>0</v>
      </c>
      <c r="K509">
        <f>-VLOOKUP(B509,Resumo_HSF!$C$13:$AH$600,28,FALSE)</f>
        <v>0</v>
      </c>
      <c r="L509" s="26">
        <v>0</v>
      </c>
      <c r="M509" s="26">
        <v>0</v>
      </c>
      <c r="N509" s="26">
        <v>0</v>
      </c>
      <c r="O509" s="26">
        <v>0</v>
      </c>
      <c r="P509" s="26">
        <v>0</v>
      </c>
      <c r="Q509" s="26">
        <v>0</v>
      </c>
      <c r="R509" s="26">
        <v>0</v>
      </c>
      <c r="S509" s="26">
        <v>0</v>
      </c>
      <c r="T509" s="26">
        <v>0</v>
      </c>
      <c r="U509" s="26">
        <v>0</v>
      </c>
      <c r="V509" s="26">
        <v>0</v>
      </c>
      <c r="W509" s="26">
        <v>0</v>
      </c>
      <c r="X509" s="15">
        <f>-IF(VLOOKUP($B509,Resumo_HSF!$C$13:$AB$1000,16,FALSE)=VLOOKUP($B508,Resumo_HSF!$C$13:$AB$1000,16,FALSE),0,(VLOOKUP($B509,Resumo_HSF!$C$13:$AB$1000,16,FALSE)-VLOOKUP($B508,Resumo_HSF!$C$13:$AB$1000,16,FALSE))*VLOOKUP($B509,Resumo_HSF!$C$13:$AB$1000,15,FALSE))</f>
        <v>0</v>
      </c>
      <c r="Y509" s="26">
        <v>0</v>
      </c>
      <c r="Z509" s="26">
        <v>0</v>
      </c>
      <c r="AA509" s="26">
        <v>0</v>
      </c>
      <c r="AB509" s="26">
        <v>0</v>
      </c>
      <c r="AC509" s="26">
        <v>0</v>
      </c>
      <c r="AD509" s="15">
        <f t="shared" ref="AD509" si="628">SUM(D509:AB509)</f>
        <v>0</v>
      </c>
    </row>
    <row r="510" spans="2:30">
      <c r="B510" s="1">
        <f>WORKDAY(B509,1,Feriados!A313:A1152)</f>
        <v>45588</v>
      </c>
      <c r="C510" s="51">
        <f t="shared" ref="C510" si="629">AD510</f>
        <v>0</v>
      </c>
      <c r="D510" s="26">
        <v>0</v>
      </c>
      <c r="E510" s="26">
        <v>0</v>
      </c>
      <c r="F510" s="26">
        <v>0</v>
      </c>
      <c r="G510" s="26">
        <v>0</v>
      </c>
      <c r="H510" s="26">
        <v>0</v>
      </c>
      <c r="I510" s="26">
        <v>0</v>
      </c>
      <c r="J510" s="26">
        <v>0</v>
      </c>
      <c r="K510">
        <f>-VLOOKUP(B510,Resumo_HSF!$C$13:$AH$600,28,FALSE)</f>
        <v>0</v>
      </c>
      <c r="L510" s="26">
        <v>0</v>
      </c>
      <c r="M510" s="26">
        <v>0</v>
      </c>
      <c r="N510" s="26">
        <v>0</v>
      </c>
      <c r="O510" s="26">
        <v>0</v>
      </c>
      <c r="P510" s="26">
        <v>0</v>
      </c>
      <c r="Q510" s="26">
        <v>0</v>
      </c>
      <c r="R510" s="26">
        <v>0</v>
      </c>
      <c r="S510" s="26">
        <v>0</v>
      </c>
      <c r="T510" s="26">
        <v>0</v>
      </c>
      <c r="U510" s="26">
        <v>0</v>
      </c>
      <c r="V510" s="26">
        <v>0</v>
      </c>
      <c r="W510" s="26">
        <v>0</v>
      </c>
      <c r="X510" s="15">
        <f>-IF(VLOOKUP($B510,Resumo_HSF!$C$13:$AB$1000,16,FALSE)=VLOOKUP($B509,Resumo_HSF!$C$13:$AB$1000,16,FALSE),0,(VLOOKUP($B510,Resumo_HSF!$C$13:$AB$1000,16,FALSE)-VLOOKUP($B509,Resumo_HSF!$C$13:$AB$1000,16,FALSE))*VLOOKUP($B510,Resumo_HSF!$C$13:$AB$1000,15,FALSE))</f>
        <v>0</v>
      </c>
      <c r="Y510" s="26">
        <v>0</v>
      </c>
      <c r="Z510" s="26">
        <v>0</v>
      </c>
      <c r="AA510" s="26">
        <v>0</v>
      </c>
      <c r="AB510" s="26">
        <v>0</v>
      </c>
      <c r="AC510" s="26">
        <v>0</v>
      </c>
      <c r="AD510" s="15">
        <f t="shared" ref="AD510" si="630">SUM(D510:AB510)</f>
        <v>0</v>
      </c>
    </row>
    <row r="511" spans="2:30">
      <c r="B511" s="1">
        <f>WORKDAY(B510,1,Feriados!A314:A1153)</f>
        <v>45589</v>
      </c>
      <c r="C511" s="51">
        <f t="shared" ref="C511" si="631">AD511</f>
        <v>0</v>
      </c>
      <c r="D511" s="26">
        <v>0</v>
      </c>
      <c r="E511" s="26">
        <v>0</v>
      </c>
      <c r="F511" s="26">
        <v>0</v>
      </c>
      <c r="G511" s="26">
        <v>0</v>
      </c>
      <c r="H511" s="26">
        <v>0</v>
      </c>
      <c r="I511" s="26">
        <v>0</v>
      </c>
      <c r="J511" s="26">
        <v>0</v>
      </c>
      <c r="K511">
        <f>-VLOOKUP(B511,Resumo_HSF!$C$13:$AH$600,28,FALSE)</f>
        <v>0</v>
      </c>
      <c r="L511" s="26">
        <v>0</v>
      </c>
      <c r="M511" s="26">
        <v>0</v>
      </c>
      <c r="N511" s="26">
        <v>0</v>
      </c>
      <c r="O511" s="26">
        <v>0</v>
      </c>
      <c r="P511" s="26">
        <v>0</v>
      </c>
      <c r="Q511" s="26">
        <v>0</v>
      </c>
      <c r="R511" s="26">
        <v>0</v>
      </c>
      <c r="S511" s="26">
        <v>0</v>
      </c>
      <c r="T511" s="26">
        <v>0</v>
      </c>
      <c r="U511" s="26">
        <v>0</v>
      </c>
      <c r="V511" s="26">
        <v>0</v>
      </c>
      <c r="W511" s="26">
        <v>0</v>
      </c>
      <c r="X511" s="15">
        <f>-IF(VLOOKUP($B511,Resumo_HSF!$C$13:$AB$1000,16,FALSE)=VLOOKUP($B510,Resumo_HSF!$C$13:$AB$1000,16,FALSE),0,(VLOOKUP($B511,Resumo_HSF!$C$13:$AB$1000,16,FALSE)-VLOOKUP($B510,Resumo_HSF!$C$13:$AB$1000,16,FALSE))*VLOOKUP($B511,Resumo_HSF!$C$13:$AB$1000,15,FALSE))</f>
        <v>0</v>
      </c>
      <c r="Y511" s="26">
        <v>0</v>
      </c>
      <c r="Z511" s="26">
        <v>0</v>
      </c>
      <c r="AA511" s="26">
        <v>0</v>
      </c>
      <c r="AB511" s="26">
        <v>0</v>
      </c>
      <c r="AC511" s="26">
        <v>0</v>
      </c>
      <c r="AD511" s="15">
        <f t="shared" ref="AD511" si="632">SUM(D511:AB511)</f>
        <v>0</v>
      </c>
    </row>
    <row r="512" spans="2:30">
      <c r="B512" s="1">
        <f>WORKDAY(B511,1,Feriados!A315:A1154)</f>
        <v>45590</v>
      </c>
      <c r="C512" s="51">
        <f t="shared" ref="C512:C513" si="633">AD512</f>
        <v>0</v>
      </c>
      <c r="D512" s="26">
        <v>0</v>
      </c>
      <c r="E512" s="26">
        <v>0</v>
      </c>
      <c r="F512" s="26">
        <v>0</v>
      </c>
      <c r="G512" s="26">
        <v>0</v>
      </c>
      <c r="H512" s="26">
        <v>0</v>
      </c>
      <c r="I512" s="26">
        <v>0</v>
      </c>
      <c r="J512" s="26">
        <v>0</v>
      </c>
      <c r="K512">
        <f>-VLOOKUP(B512,Resumo_HSF!$C$13:$AH$600,28,FALSE)</f>
        <v>0</v>
      </c>
      <c r="L512" s="26">
        <v>0</v>
      </c>
      <c r="M512" s="26">
        <v>0</v>
      </c>
      <c r="N512" s="26">
        <v>0</v>
      </c>
      <c r="O512" s="26">
        <v>0</v>
      </c>
      <c r="P512" s="26">
        <v>0</v>
      </c>
      <c r="Q512" s="26">
        <v>0</v>
      </c>
      <c r="R512" s="26">
        <v>0</v>
      </c>
      <c r="S512" s="26">
        <v>0</v>
      </c>
      <c r="T512" s="26">
        <v>0</v>
      </c>
      <c r="U512" s="26">
        <v>0</v>
      </c>
      <c r="V512" s="26">
        <v>0</v>
      </c>
      <c r="W512" s="26">
        <v>0</v>
      </c>
      <c r="X512" s="15">
        <f>-IF(VLOOKUP($B512,Resumo_HSF!$C$13:$AB$1000,16,FALSE)=VLOOKUP($B511,Resumo_HSF!$C$13:$AB$1000,16,FALSE),0,(VLOOKUP($B512,Resumo_HSF!$C$13:$AB$1000,16,FALSE)-VLOOKUP($B511,Resumo_HSF!$C$13:$AB$1000,16,FALSE))*VLOOKUP($B512,Resumo_HSF!$C$13:$AB$1000,15,FALSE))</f>
        <v>0</v>
      </c>
      <c r="Y512" s="26">
        <v>0</v>
      </c>
      <c r="Z512" s="26">
        <v>0</v>
      </c>
      <c r="AA512" s="26">
        <v>0</v>
      </c>
      <c r="AB512" s="26">
        <v>0</v>
      </c>
      <c r="AC512" s="26">
        <v>0</v>
      </c>
      <c r="AD512" s="15">
        <f t="shared" ref="AD512:AD513" si="634">SUM(D512:AB512)</f>
        <v>0</v>
      </c>
    </row>
    <row r="513" spans="2:30">
      <c r="B513" s="1">
        <f>WORKDAY(B512,1,Feriados!A316:A1155)</f>
        <v>45593</v>
      </c>
      <c r="C513" s="51">
        <f t="shared" si="633"/>
        <v>0</v>
      </c>
      <c r="D513" s="26">
        <v>0</v>
      </c>
      <c r="E513" s="26">
        <v>0</v>
      </c>
      <c r="F513" s="26">
        <v>0</v>
      </c>
      <c r="G513" s="26">
        <v>0</v>
      </c>
      <c r="H513" s="26">
        <v>0</v>
      </c>
      <c r="I513" s="26">
        <v>0</v>
      </c>
      <c r="J513" s="26">
        <v>0</v>
      </c>
      <c r="K513">
        <f>-VLOOKUP(B513,Resumo_HSF!$C$13:$AH$600,28,FALSE)</f>
        <v>0</v>
      </c>
      <c r="L513" s="26">
        <v>0</v>
      </c>
      <c r="M513" s="26">
        <v>0</v>
      </c>
      <c r="N513" s="26">
        <v>0</v>
      </c>
      <c r="O513" s="26">
        <v>0</v>
      </c>
      <c r="P513" s="26">
        <v>0</v>
      </c>
      <c r="Q513" s="26">
        <v>0</v>
      </c>
      <c r="R513" s="26">
        <v>0</v>
      </c>
      <c r="S513" s="26">
        <v>0</v>
      </c>
      <c r="T513" s="26">
        <v>0</v>
      </c>
      <c r="U513" s="26">
        <v>0</v>
      </c>
      <c r="V513" s="26">
        <v>0</v>
      </c>
      <c r="W513" s="26">
        <v>0</v>
      </c>
      <c r="X513" s="15">
        <f>-IF(VLOOKUP($B513,Resumo_HSF!$C$13:$AB$1000,16,FALSE)=VLOOKUP($B512,Resumo_HSF!$C$13:$AB$1000,16,FALSE),0,(VLOOKUP($B513,Resumo_HSF!$C$13:$AB$1000,16,FALSE)-VLOOKUP($B512,Resumo_HSF!$C$13:$AB$1000,16,FALSE))*VLOOKUP($B513,Resumo_HSF!$C$13:$AB$1000,15,FALSE))</f>
        <v>0</v>
      </c>
      <c r="Y513" s="26">
        <v>0</v>
      </c>
      <c r="Z513" s="26">
        <v>0</v>
      </c>
      <c r="AA513" s="26">
        <v>0</v>
      </c>
      <c r="AB513" s="26">
        <v>0</v>
      </c>
      <c r="AC513" s="26">
        <v>0</v>
      </c>
      <c r="AD513" s="15">
        <f t="shared" si="634"/>
        <v>0</v>
      </c>
    </row>
    <row r="514" spans="2:30">
      <c r="B514" s="1">
        <f>WORKDAY(B513,1,Feriados!A317:A1156)</f>
        <v>45594</v>
      </c>
      <c r="C514" s="51">
        <f t="shared" ref="C514" si="635">AD514</f>
        <v>0</v>
      </c>
      <c r="D514" s="26">
        <v>0</v>
      </c>
      <c r="E514" s="26">
        <v>0</v>
      </c>
      <c r="F514" s="26">
        <v>0</v>
      </c>
      <c r="G514" s="26">
        <v>0</v>
      </c>
      <c r="H514" s="26">
        <v>0</v>
      </c>
      <c r="I514" s="26">
        <v>0</v>
      </c>
      <c r="J514" s="26">
        <v>0</v>
      </c>
      <c r="K514">
        <f>-VLOOKUP(B514,Resumo_HSF!$C$13:$AH$600,28,FALSE)</f>
        <v>0</v>
      </c>
      <c r="L514" s="26">
        <v>0</v>
      </c>
      <c r="M514" s="26">
        <v>0</v>
      </c>
      <c r="N514" s="26">
        <v>0</v>
      </c>
      <c r="O514" s="26">
        <v>0</v>
      </c>
      <c r="P514" s="26">
        <v>0</v>
      </c>
      <c r="Q514" s="26">
        <v>0</v>
      </c>
      <c r="R514" s="26">
        <v>0</v>
      </c>
      <c r="S514" s="26">
        <v>0</v>
      </c>
      <c r="T514" s="26">
        <v>0</v>
      </c>
      <c r="U514" s="26">
        <v>0</v>
      </c>
      <c r="V514" s="26">
        <v>0</v>
      </c>
      <c r="W514" s="26">
        <v>0</v>
      </c>
      <c r="X514" s="15">
        <f>-IF(VLOOKUP($B514,Resumo_HSF!$C$13:$AB$1000,16,FALSE)=VLOOKUP($B513,Resumo_HSF!$C$13:$AB$1000,16,FALSE),0,(VLOOKUP($B514,Resumo_HSF!$C$13:$AB$1000,16,FALSE)-VLOOKUP($B513,Resumo_HSF!$C$13:$AB$1000,16,FALSE))*VLOOKUP($B514,Resumo_HSF!$C$13:$AB$1000,15,FALSE))</f>
        <v>0</v>
      </c>
      <c r="Y514" s="26">
        <v>0</v>
      </c>
      <c r="Z514" s="26">
        <v>0</v>
      </c>
      <c r="AA514" s="26">
        <v>0</v>
      </c>
      <c r="AB514" s="26">
        <v>0</v>
      </c>
      <c r="AC514" s="26">
        <v>0</v>
      </c>
      <c r="AD514" s="15">
        <f t="shared" ref="AD514" si="636">SUM(D514:AB514)</f>
        <v>0</v>
      </c>
    </row>
    <row r="515" spans="2:30">
      <c r="B515" s="1">
        <f>WORKDAY(B514,1,Feriados!A318:A1157)</f>
        <v>45595</v>
      </c>
      <c r="C515" s="51">
        <f t="shared" ref="C515" si="637">AD515</f>
        <v>0</v>
      </c>
      <c r="D515" s="26">
        <v>0</v>
      </c>
      <c r="E515" s="26">
        <v>0</v>
      </c>
      <c r="F515" s="26">
        <v>0</v>
      </c>
      <c r="G515" s="26">
        <v>0</v>
      </c>
      <c r="H515" s="26">
        <v>0</v>
      </c>
      <c r="I515" s="26">
        <v>0</v>
      </c>
      <c r="J515" s="26">
        <v>0</v>
      </c>
      <c r="K515">
        <f>-VLOOKUP(B515,Resumo_HSF!$C$13:$AH$600,28,FALSE)</f>
        <v>0</v>
      </c>
      <c r="L515" s="26">
        <v>0</v>
      </c>
      <c r="M515" s="26">
        <v>0</v>
      </c>
      <c r="N515" s="26">
        <v>0</v>
      </c>
      <c r="O515" s="26">
        <v>0</v>
      </c>
      <c r="P515" s="26">
        <v>0</v>
      </c>
      <c r="Q515" s="26">
        <v>0</v>
      </c>
      <c r="R515" s="26">
        <v>0</v>
      </c>
      <c r="S515" s="26">
        <v>0</v>
      </c>
      <c r="T515" s="26">
        <v>0</v>
      </c>
      <c r="U515" s="26">
        <v>0</v>
      </c>
      <c r="V515" s="26">
        <v>0</v>
      </c>
      <c r="W515" s="26">
        <v>0</v>
      </c>
      <c r="X515" s="15">
        <f>-IF(VLOOKUP($B515,Resumo_HSF!$C$13:$AB$1000,16,FALSE)=VLOOKUP($B514,Resumo_HSF!$C$13:$AB$1000,16,FALSE),0,(VLOOKUP($B515,Resumo_HSF!$C$13:$AB$1000,16,FALSE)-VLOOKUP($B514,Resumo_HSF!$C$13:$AB$1000,16,FALSE))*VLOOKUP($B515,Resumo_HSF!$C$13:$AB$1000,15,FALSE))</f>
        <v>0</v>
      </c>
      <c r="Y515" s="26">
        <v>0</v>
      </c>
      <c r="Z515" s="26">
        <v>0</v>
      </c>
      <c r="AA515" s="26">
        <v>0</v>
      </c>
      <c r="AB515" s="26">
        <v>0</v>
      </c>
      <c r="AC515" s="26">
        <v>0</v>
      </c>
      <c r="AD515" s="15">
        <f t="shared" ref="AD515" si="638">SUM(D515:AB515)</f>
        <v>0</v>
      </c>
    </row>
    <row r="516" spans="2:30">
      <c r="B516" s="1">
        <f>WORKDAY(B515,1,Feriados!A319:A1158)</f>
        <v>45596</v>
      </c>
      <c r="C516" s="51">
        <f t="shared" ref="C516" si="639">AD516</f>
        <v>0</v>
      </c>
      <c r="D516" s="26">
        <v>0</v>
      </c>
      <c r="E516" s="26">
        <v>0</v>
      </c>
      <c r="F516" s="26">
        <v>0</v>
      </c>
      <c r="G516" s="26">
        <v>0</v>
      </c>
      <c r="H516" s="26">
        <v>0</v>
      </c>
      <c r="I516" s="26">
        <v>0</v>
      </c>
      <c r="J516" s="26">
        <v>0</v>
      </c>
      <c r="K516">
        <f>-VLOOKUP(B516,Resumo_HSF!$C$13:$AH$600,28,FALSE)</f>
        <v>0</v>
      </c>
      <c r="L516" s="26">
        <v>0</v>
      </c>
      <c r="M516" s="26">
        <v>0</v>
      </c>
      <c r="N516" s="26">
        <v>0</v>
      </c>
      <c r="O516" s="26">
        <v>0</v>
      </c>
      <c r="P516" s="26">
        <v>0</v>
      </c>
      <c r="Q516" s="26">
        <v>0</v>
      </c>
      <c r="R516" s="26">
        <v>0</v>
      </c>
      <c r="S516" s="26">
        <v>0</v>
      </c>
      <c r="T516" s="26">
        <v>0</v>
      </c>
      <c r="U516" s="26">
        <v>0</v>
      </c>
      <c r="V516" s="26">
        <v>0</v>
      </c>
      <c r="W516" s="26">
        <v>0</v>
      </c>
      <c r="X516" s="15">
        <f>-IF(VLOOKUP($B516,Resumo_HSF!$C$13:$AB$1000,16,FALSE)=VLOOKUP($B515,Resumo_HSF!$C$13:$AB$1000,16,FALSE),0,(VLOOKUP($B516,Resumo_HSF!$C$13:$AB$1000,16,FALSE)-VLOOKUP($B515,Resumo_HSF!$C$13:$AB$1000,16,FALSE))*VLOOKUP($B516,Resumo_HSF!$C$13:$AB$1000,15,FALSE))</f>
        <v>0</v>
      </c>
      <c r="Y516" s="26">
        <v>0</v>
      </c>
      <c r="Z516" s="26">
        <v>0</v>
      </c>
      <c r="AA516" s="26">
        <v>0</v>
      </c>
      <c r="AB516" s="26">
        <v>0</v>
      </c>
      <c r="AC516" s="26">
        <v>0</v>
      </c>
      <c r="AD516" s="15">
        <f t="shared" ref="AD516" si="640">SUM(D516:AB516)</f>
        <v>0</v>
      </c>
    </row>
    <row r="517" spans="2:30">
      <c r="B517" s="1">
        <f>WORKDAY(B516,1,Feriados!A320:A1159)</f>
        <v>45597</v>
      </c>
      <c r="C517" s="51">
        <f t="shared" ref="C517" si="641">AD517</f>
        <v>0</v>
      </c>
      <c r="D517" s="26">
        <v>0</v>
      </c>
      <c r="E517" s="26">
        <v>0</v>
      </c>
      <c r="F517" s="26">
        <v>0</v>
      </c>
      <c r="G517" s="26">
        <v>0</v>
      </c>
      <c r="H517" s="26">
        <v>0</v>
      </c>
      <c r="I517" s="26">
        <v>0</v>
      </c>
      <c r="J517" s="26">
        <v>0</v>
      </c>
      <c r="K517">
        <f>-VLOOKUP(B517,Resumo_HSF!$C$13:$AH$600,28,FALSE)</f>
        <v>0</v>
      </c>
      <c r="L517" s="26">
        <v>0</v>
      </c>
      <c r="M517" s="26">
        <v>0</v>
      </c>
      <c r="N517" s="26">
        <v>0</v>
      </c>
      <c r="O517" s="26">
        <v>0</v>
      </c>
      <c r="P517" s="26">
        <v>0</v>
      </c>
      <c r="Q517" s="26">
        <v>0</v>
      </c>
      <c r="R517" s="26">
        <v>0</v>
      </c>
      <c r="S517" s="26">
        <v>0</v>
      </c>
      <c r="T517" s="26">
        <v>0</v>
      </c>
      <c r="U517" s="26">
        <v>0</v>
      </c>
      <c r="V517" s="26">
        <v>0</v>
      </c>
      <c r="W517" s="26">
        <v>0</v>
      </c>
      <c r="X517" s="15">
        <f>-IF(VLOOKUP($B517,Resumo_HSF!$C$13:$AB$1000,16,FALSE)=VLOOKUP($B516,Resumo_HSF!$C$13:$AB$1000,16,FALSE),0,(VLOOKUP($B517,Resumo_HSF!$C$13:$AB$1000,16,FALSE)-VLOOKUP($B516,Resumo_HSF!$C$13:$AB$1000,16,FALSE))*VLOOKUP($B517,Resumo_HSF!$C$13:$AB$1000,15,FALSE))</f>
        <v>0</v>
      </c>
      <c r="Y517" s="26">
        <v>0</v>
      </c>
      <c r="Z517" s="26">
        <v>0</v>
      </c>
      <c r="AA517" s="26">
        <v>0</v>
      </c>
      <c r="AB517" s="26">
        <v>0</v>
      </c>
      <c r="AC517" s="26">
        <v>0</v>
      </c>
      <c r="AD517" s="15">
        <f t="shared" ref="AD517" si="642">SUM(D517:AB517)</f>
        <v>0</v>
      </c>
    </row>
    <row r="518" spans="2:30">
      <c r="B518" s="1">
        <f>WORKDAY(B517,1,Feriados!A321:A1160)</f>
        <v>45600</v>
      </c>
      <c r="C518" s="51">
        <f t="shared" ref="C518" si="643">AD518</f>
        <v>0</v>
      </c>
      <c r="D518" s="26">
        <v>0</v>
      </c>
      <c r="E518" s="26">
        <v>0</v>
      </c>
      <c r="F518" s="26">
        <v>0</v>
      </c>
      <c r="G518" s="26">
        <v>0</v>
      </c>
      <c r="H518" s="26">
        <v>0</v>
      </c>
      <c r="I518" s="26">
        <v>0</v>
      </c>
      <c r="J518" s="26">
        <v>0</v>
      </c>
      <c r="K518">
        <f>-VLOOKUP(B518,Resumo_HSF!$C$13:$AH$600,28,FALSE)</f>
        <v>0</v>
      </c>
      <c r="L518" s="26">
        <v>0</v>
      </c>
      <c r="M518" s="26">
        <v>0</v>
      </c>
      <c r="N518" s="26">
        <v>0</v>
      </c>
      <c r="O518" s="26">
        <v>0</v>
      </c>
      <c r="P518" s="26">
        <v>0</v>
      </c>
      <c r="Q518" s="26">
        <v>0</v>
      </c>
      <c r="R518" s="26">
        <v>0</v>
      </c>
      <c r="S518" s="26">
        <v>0</v>
      </c>
      <c r="T518" s="26">
        <v>0</v>
      </c>
      <c r="U518" s="26">
        <v>0</v>
      </c>
      <c r="V518" s="26">
        <v>0</v>
      </c>
      <c r="W518" s="26">
        <v>0</v>
      </c>
      <c r="X518" s="15">
        <f>-IF(VLOOKUP($B518,Resumo_HSF!$C$13:$AB$1000,16,FALSE)=VLOOKUP($B517,Resumo_HSF!$C$13:$AB$1000,16,FALSE),0,(VLOOKUP($B518,Resumo_HSF!$C$13:$AB$1000,16,FALSE)-VLOOKUP($B517,Resumo_HSF!$C$13:$AB$1000,16,FALSE))*VLOOKUP($B518,Resumo_HSF!$C$13:$AB$1000,15,FALSE))</f>
        <v>0</v>
      </c>
      <c r="Y518" s="26">
        <v>0</v>
      </c>
      <c r="Z518" s="26">
        <v>0</v>
      </c>
      <c r="AA518" s="26">
        <v>0</v>
      </c>
      <c r="AB518" s="26">
        <v>0</v>
      </c>
      <c r="AC518" s="26">
        <v>0</v>
      </c>
      <c r="AD518" s="15">
        <f t="shared" ref="AD518" si="644">SUM(D518:AB518)</f>
        <v>0</v>
      </c>
    </row>
    <row r="519" spans="2:30">
      <c r="B519" s="1">
        <f>WORKDAY(B518,1,Feriados!A322:A1161)</f>
        <v>45601</v>
      </c>
      <c r="C519" s="51">
        <f t="shared" ref="C519" si="645">AD519</f>
        <v>0</v>
      </c>
      <c r="D519" s="26">
        <v>0</v>
      </c>
      <c r="E519" s="26">
        <v>0</v>
      </c>
      <c r="F519" s="26">
        <v>0</v>
      </c>
      <c r="G519" s="26">
        <v>0</v>
      </c>
      <c r="H519" s="26">
        <v>0</v>
      </c>
      <c r="I519" s="26">
        <v>0</v>
      </c>
      <c r="J519" s="26">
        <v>0</v>
      </c>
      <c r="K519">
        <f>-VLOOKUP(B519,Resumo_HSF!$C$13:$AH$600,28,FALSE)</f>
        <v>0</v>
      </c>
      <c r="L519" s="26">
        <v>0</v>
      </c>
      <c r="M519" s="26">
        <v>0</v>
      </c>
      <c r="N519" s="26">
        <v>0</v>
      </c>
      <c r="O519" s="26">
        <v>0</v>
      </c>
      <c r="P519" s="26">
        <v>0</v>
      </c>
      <c r="Q519" s="26">
        <v>0</v>
      </c>
      <c r="R519" s="26">
        <v>0</v>
      </c>
      <c r="S519" s="26">
        <v>0</v>
      </c>
      <c r="T519" s="26">
        <v>0</v>
      </c>
      <c r="U519" s="26">
        <v>0</v>
      </c>
      <c r="V519" s="26">
        <v>0</v>
      </c>
      <c r="W519" s="26">
        <v>0</v>
      </c>
      <c r="X519" s="15">
        <f>-IF(VLOOKUP($B519,Resumo_HSF!$C$13:$AB$1000,16,FALSE)=VLOOKUP($B518,Resumo_HSF!$C$13:$AB$1000,16,FALSE),0,(VLOOKUP($B519,Resumo_HSF!$C$13:$AB$1000,16,FALSE)-VLOOKUP($B518,Resumo_HSF!$C$13:$AB$1000,16,FALSE))*VLOOKUP($B519,Resumo_HSF!$C$13:$AB$1000,15,FALSE))</f>
        <v>0</v>
      </c>
      <c r="Y519" s="26">
        <v>0</v>
      </c>
      <c r="Z519" s="26">
        <v>0</v>
      </c>
      <c r="AA519" s="26">
        <v>0</v>
      </c>
      <c r="AB519" s="26">
        <v>0</v>
      </c>
      <c r="AC519" s="26">
        <v>0</v>
      </c>
      <c r="AD519" s="15">
        <f t="shared" ref="AD519" si="646">SUM(D519:AB519)</f>
        <v>0</v>
      </c>
    </row>
    <row r="520" spans="2:30">
      <c r="B520" s="1">
        <f>WORKDAY(B519,1,Feriados!A323:A1162)</f>
        <v>45602</v>
      </c>
      <c r="C520" s="51">
        <f t="shared" ref="C520" si="647">AD520</f>
        <v>0</v>
      </c>
      <c r="D520" s="26">
        <v>0</v>
      </c>
      <c r="E520" s="26">
        <v>0</v>
      </c>
      <c r="F520" s="26">
        <v>0</v>
      </c>
      <c r="G520" s="26">
        <v>0</v>
      </c>
      <c r="H520" s="26">
        <v>0</v>
      </c>
      <c r="I520" s="26">
        <v>0</v>
      </c>
      <c r="J520" s="26">
        <v>0</v>
      </c>
      <c r="K520">
        <f>-VLOOKUP(B520,Resumo_HSF!$C$13:$AH$600,28,FALSE)</f>
        <v>0</v>
      </c>
      <c r="L520" s="26">
        <v>0</v>
      </c>
      <c r="M520" s="26">
        <v>0</v>
      </c>
      <c r="N520" s="26">
        <v>0</v>
      </c>
      <c r="O520" s="26">
        <v>0</v>
      </c>
      <c r="P520" s="26">
        <v>0</v>
      </c>
      <c r="Q520" s="26">
        <v>0</v>
      </c>
      <c r="R520" s="26">
        <v>0</v>
      </c>
      <c r="S520" s="26">
        <v>0</v>
      </c>
      <c r="T520" s="26">
        <v>0</v>
      </c>
      <c r="U520" s="26">
        <v>0</v>
      </c>
      <c r="V520" s="26">
        <v>0</v>
      </c>
      <c r="W520" s="26">
        <v>0</v>
      </c>
      <c r="X520" s="15">
        <f>-IF(VLOOKUP($B520,Resumo_HSF!$C$13:$AB$1000,16,FALSE)=VLOOKUP($B519,Resumo_HSF!$C$13:$AB$1000,16,FALSE),0,(VLOOKUP($B520,Resumo_HSF!$C$13:$AB$1000,16,FALSE)-VLOOKUP($B519,Resumo_HSF!$C$13:$AB$1000,16,FALSE))*VLOOKUP($B520,Resumo_HSF!$C$13:$AB$1000,15,FALSE))</f>
        <v>0</v>
      </c>
      <c r="Y520" s="26">
        <v>0</v>
      </c>
      <c r="Z520" s="26">
        <v>0</v>
      </c>
      <c r="AA520" s="26">
        <v>0</v>
      </c>
      <c r="AB520" s="26">
        <v>0</v>
      </c>
      <c r="AC520" s="26">
        <v>0</v>
      </c>
      <c r="AD520" s="15">
        <f t="shared" ref="AD520" si="648">SUM(D520:AB520)</f>
        <v>0</v>
      </c>
    </row>
    <row r="521" spans="2:30">
      <c r="B521" s="1">
        <f>WORKDAY(B520,1,Feriados!A324:A1163)</f>
        <v>45603</v>
      </c>
      <c r="C521" s="51">
        <f t="shared" ref="C521" si="649">AD521</f>
        <v>-0.11742686107589861</v>
      </c>
      <c r="D521" s="26">
        <v>-11545.627427415206</v>
      </c>
      <c r="E521" s="26">
        <v>0</v>
      </c>
      <c r="F521" s="26">
        <v>0</v>
      </c>
      <c r="G521" s="26">
        <v>0</v>
      </c>
      <c r="H521" s="26">
        <v>0</v>
      </c>
      <c r="I521" s="26">
        <v>0</v>
      </c>
      <c r="J521" s="26">
        <v>0</v>
      </c>
      <c r="K521">
        <f>-VLOOKUP(B521,Resumo_HSF!$C$13:$AH$600,28,FALSE)</f>
        <v>0</v>
      </c>
      <c r="L521" s="26">
        <v>0</v>
      </c>
      <c r="M521" s="26">
        <v>0</v>
      </c>
      <c r="N521" s="26">
        <v>0</v>
      </c>
      <c r="O521" s="26">
        <v>0</v>
      </c>
      <c r="P521" s="26">
        <v>0</v>
      </c>
      <c r="Q521" s="26">
        <v>0</v>
      </c>
      <c r="R521" s="26">
        <v>0</v>
      </c>
      <c r="S521" s="26">
        <v>0</v>
      </c>
      <c r="T521" s="26">
        <v>0</v>
      </c>
      <c r="U521" s="26">
        <v>12000</v>
      </c>
      <c r="V521" s="26">
        <v>0</v>
      </c>
      <c r="W521" s="26">
        <v>0</v>
      </c>
      <c r="X521" s="15">
        <f>-IF(VLOOKUP($B521,Resumo_HSF!$C$13:$AB$1000,16,FALSE)=VLOOKUP($B520,Resumo_HSF!$C$13:$AB$1000,16,FALSE),0,(VLOOKUP($B521,Resumo_HSF!$C$13:$AB$1000,16,FALSE)-VLOOKUP($B520,Resumo_HSF!$C$13:$AB$1000,16,FALSE))*VLOOKUP($B521,Resumo_HSF!$C$13:$AB$1000,15,FALSE))</f>
        <v>-454.4899994458703</v>
      </c>
      <c r="Y521" s="26">
        <v>0</v>
      </c>
      <c r="Z521" s="26">
        <v>0</v>
      </c>
      <c r="AA521" s="26">
        <v>0</v>
      </c>
      <c r="AB521" s="26">
        <v>0</v>
      </c>
      <c r="AC521" s="26">
        <v>0</v>
      </c>
      <c r="AD521" s="15">
        <f t="shared" ref="AD521" si="650">SUM(D521:AB521)</f>
        <v>-0.11742686107589861</v>
      </c>
    </row>
    <row r="522" spans="2:30">
      <c r="B522" s="1">
        <f>WORKDAY(B521,1,Feriados!A325:A1164)</f>
        <v>45604</v>
      </c>
      <c r="C522" s="51">
        <f t="shared" ref="C522" si="651">AD522</f>
        <v>0</v>
      </c>
      <c r="D522" s="26">
        <v>0</v>
      </c>
      <c r="E522" s="26">
        <v>0</v>
      </c>
      <c r="F522" s="26">
        <v>0</v>
      </c>
      <c r="G522" s="26">
        <v>0</v>
      </c>
      <c r="H522" s="26">
        <v>0</v>
      </c>
      <c r="I522" s="26">
        <v>0</v>
      </c>
      <c r="J522" s="26">
        <v>0</v>
      </c>
      <c r="K522">
        <f>-VLOOKUP(B522,Resumo_HSF!$C$13:$AH$600,28,FALSE)</f>
        <v>0</v>
      </c>
      <c r="L522" s="26">
        <v>0</v>
      </c>
      <c r="M522" s="26">
        <v>0</v>
      </c>
      <c r="N522" s="26">
        <v>0</v>
      </c>
      <c r="O522" s="26">
        <v>0</v>
      </c>
      <c r="P522" s="26">
        <v>0</v>
      </c>
      <c r="Q522" s="26">
        <v>0</v>
      </c>
      <c r="R522" s="26">
        <v>0</v>
      </c>
      <c r="S522" s="26">
        <v>0</v>
      </c>
      <c r="T522" s="26">
        <v>0</v>
      </c>
      <c r="U522" s="26">
        <v>0</v>
      </c>
      <c r="V522" s="26">
        <v>0</v>
      </c>
      <c r="W522" s="26">
        <v>0</v>
      </c>
      <c r="X522" s="15">
        <f>-IF(VLOOKUP($B522,Resumo_HSF!$C$13:$AB$1000,16,FALSE)=VLOOKUP($B521,Resumo_HSF!$C$13:$AB$1000,16,FALSE),0,(VLOOKUP($B522,Resumo_HSF!$C$13:$AB$1000,16,FALSE)-VLOOKUP($B521,Resumo_HSF!$C$13:$AB$1000,16,FALSE))*VLOOKUP($B522,Resumo_HSF!$C$13:$AB$1000,15,FALSE))</f>
        <v>0</v>
      </c>
      <c r="Y522" s="26">
        <v>0</v>
      </c>
      <c r="Z522" s="26">
        <v>0</v>
      </c>
      <c r="AA522" s="26">
        <v>0</v>
      </c>
      <c r="AB522" s="26">
        <v>0</v>
      </c>
      <c r="AC522" s="26">
        <v>0</v>
      </c>
      <c r="AD522" s="15">
        <f t="shared" ref="AD522" si="652">SUM(D522:AB522)</f>
        <v>0</v>
      </c>
    </row>
    <row r="523" spans="2:30">
      <c r="B523" s="1">
        <f>WORKDAY(B522,1,Feriados!A326:A1165)</f>
        <v>45607</v>
      </c>
      <c r="C523" s="51">
        <f t="shared" ref="C523:C524" si="653">AD523</f>
        <v>0</v>
      </c>
      <c r="D523" s="26">
        <v>0</v>
      </c>
      <c r="E523" s="26">
        <v>0</v>
      </c>
      <c r="F523" s="26">
        <v>0</v>
      </c>
      <c r="G523" s="26">
        <v>0</v>
      </c>
      <c r="H523" s="26">
        <v>0</v>
      </c>
      <c r="I523" s="26">
        <v>0</v>
      </c>
      <c r="J523" s="26">
        <v>0</v>
      </c>
      <c r="K523">
        <f>-VLOOKUP(B523,Resumo_HSF!$C$13:$AH$600,28,FALSE)</f>
        <v>0</v>
      </c>
      <c r="L523" s="26">
        <v>0</v>
      </c>
      <c r="M523" s="26">
        <v>0</v>
      </c>
      <c r="N523" s="26">
        <v>0</v>
      </c>
      <c r="O523" s="26">
        <v>0</v>
      </c>
      <c r="P523" s="26">
        <v>0</v>
      </c>
      <c r="Q523" s="26">
        <v>0</v>
      </c>
      <c r="R523" s="26">
        <v>0</v>
      </c>
      <c r="S523" s="26">
        <v>0</v>
      </c>
      <c r="T523" s="26">
        <v>0</v>
      </c>
      <c r="U523" s="26">
        <v>0</v>
      </c>
      <c r="V523" s="26">
        <v>0</v>
      </c>
      <c r="W523" s="26">
        <v>0</v>
      </c>
      <c r="X523" s="15">
        <f>-IF(VLOOKUP($B523,Resumo_HSF!$C$13:$AB$1000,16,FALSE)=VLOOKUP($B522,Resumo_HSF!$C$13:$AB$1000,16,FALSE),0,(VLOOKUP($B523,Resumo_HSF!$C$13:$AB$1000,16,FALSE)-VLOOKUP($B522,Resumo_HSF!$C$13:$AB$1000,16,FALSE))*VLOOKUP($B523,Resumo_HSF!$C$13:$AB$1000,15,FALSE))</f>
        <v>0</v>
      </c>
      <c r="Y523" s="26">
        <v>0</v>
      </c>
      <c r="Z523" s="26">
        <v>0</v>
      </c>
      <c r="AA523" s="26">
        <v>0</v>
      </c>
      <c r="AB523" s="26">
        <v>0</v>
      </c>
      <c r="AC523" s="26">
        <v>0</v>
      </c>
      <c r="AD523" s="15">
        <f t="shared" ref="AD523:AD524" si="654">SUM(D523:AB523)</f>
        <v>0</v>
      </c>
    </row>
    <row r="524" spans="2:30">
      <c r="B524" s="1">
        <f>WORKDAY(B523,1,Feriados!A327:A1166)</f>
        <v>45608</v>
      </c>
      <c r="C524" s="51">
        <f t="shared" si="653"/>
        <v>0</v>
      </c>
      <c r="D524" s="26">
        <v>0</v>
      </c>
      <c r="E524" s="26">
        <v>0</v>
      </c>
      <c r="F524" s="26">
        <v>0</v>
      </c>
      <c r="G524" s="26">
        <v>0</v>
      </c>
      <c r="H524" s="26">
        <v>0</v>
      </c>
      <c r="I524" s="26">
        <v>0</v>
      </c>
      <c r="J524" s="26">
        <v>0</v>
      </c>
      <c r="K524">
        <f>-VLOOKUP(B524,Resumo_HSF!$C$13:$AH$600,28,FALSE)</f>
        <v>0</v>
      </c>
      <c r="L524" s="26">
        <v>0</v>
      </c>
      <c r="M524" s="26">
        <v>0</v>
      </c>
      <c r="N524" s="26">
        <v>0</v>
      </c>
      <c r="O524" s="26">
        <v>0</v>
      </c>
      <c r="P524" s="26">
        <v>0</v>
      </c>
      <c r="Q524" s="26">
        <v>0</v>
      </c>
      <c r="R524" s="26">
        <v>0</v>
      </c>
      <c r="S524" s="26">
        <v>0</v>
      </c>
      <c r="T524" s="26">
        <v>0</v>
      </c>
      <c r="U524" s="26">
        <v>0</v>
      </c>
      <c r="V524" s="26">
        <v>0</v>
      </c>
      <c r="W524" s="26">
        <v>0</v>
      </c>
      <c r="X524" s="15">
        <f>-IF(VLOOKUP($B524,Resumo_HSF!$C$13:$AB$1000,16,FALSE)=VLOOKUP($B523,Resumo_HSF!$C$13:$AB$1000,16,FALSE),0,(VLOOKUP($B524,Resumo_HSF!$C$13:$AB$1000,16,FALSE)-VLOOKUP($B523,Resumo_HSF!$C$13:$AB$1000,16,FALSE))*VLOOKUP($B524,Resumo_HSF!$C$13:$AB$1000,15,FALSE))</f>
        <v>0</v>
      </c>
      <c r="Y524" s="26">
        <v>0</v>
      </c>
      <c r="Z524" s="26">
        <v>0</v>
      </c>
      <c r="AA524" s="26">
        <v>0</v>
      </c>
      <c r="AB524" s="26">
        <v>0</v>
      </c>
      <c r="AC524" s="26">
        <v>0</v>
      </c>
      <c r="AD524" s="15">
        <f t="shared" si="654"/>
        <v>0</v>
      </c>
    </row>
    <row r="525" spans="2:30">
      <c r="B525" s="1">
        <f>WORKDAY(B524,1,Feriados!A328:A1167)</f>
        <v>45609</v>
      </c>
      <c r="C525" s="51">
        <f t="shared" ref="C525" si="655">AD525</f>
        <v>0</v>
      </c>
      <c r="D525" s="26">
        <v>0</v>
      </c>
      <c r="E525" s="26">
        <v>0</v>
      </c>
      <c r="F525" s="26">
        <v>0</v>
      </c>
      <c r="G525" s="26">
        <v>0</v>
      </c>
      <c r="H525" s="26">
        <v>0</v>
      </c>
      <c r="I525" s="26">
        <v>0</v>
      </c>
      <c r="J525" s="26">
        <v>0</v>
      </c>
      <c r="K525">
        <f>-VLOOKUP(B525,Resumo_HSF!$C$13:$AH$600,28,FALSE)</f>
        <v>0</v>
      </c>
      <c r="L525" s="26">
        <v>0</v>
      </c>
      <c r="M525" s="26">
        <v>0</v>
      </c>
      <c r="N525" s="26">
        <v>0</v>
      </c>
      <c r="O525" s="26">
        <v>0</v>
      </c>
      <c r="P525" s="26">
        <v>0</v>
      </c>
      <c r="Q525" s="26">
        <v>0</v>
      </c>
      <c r="R525" s="26">
        <v>0</v>
      </c>
      <c r="S525" s="26">
        <v>0</v>
      </c>
      <c r="T525" s="26">
        <v>0</v>
      </c>
      <c r="U525" s="26">
        <v>0</v>
      </c>
      <c r="V525" s="26">
        <v>0</v>
      </c>
      <c r="W525" s="26">
        <v>0</v>
      </c>
      <c r="X525" s="15">
        <f>-IF(VLOOKUP($B525,Resumo_HSF!$C$13:$AB$1000,16,FALSE)=VLOOKUP($B524,Resumo_HSF!$C$13:$AB$1000,16,FALSE),0,(VLOOKUP($B525,Resumo_HSF!$C$13:$AB$1000,16,FALSE)-VLOOKUP($B524,Resumo_HSF!$C$13:$AB$1000,16,FALSE))*VLOOKUP($B525,Resumo_HSF!$C$13:$AB$1000,15,FALSE))</f>
        <v>0</v>
      </c>
      <c r="Y525" s="26">
        <v>0</v>
      </c>
      <c r="Z525" s="26">
        <v>0</v>
      </c>
      <c r="AA525" s="26">
        <v>0</v>
      </c>
      <c r="AB525" s="26">
        <v>0</v>
      </c>
      <c r="AC525" s="26">
        <v>0</v>
      </c>
      <c r="AD525" s="15">
        <f t="shared" ref="AD525" si="656">SUM(D525:AB525)</f>
        <v>0</v>
      </c>
    </row>
    <row r="526" spans="2:30">
      <c r="B526" s="1">
        <f>WORKDAY(B525,1,Feriados!A329:A1168)</f>
        <v>45610</v>
      </c>
      <c r="C526" s="51">
        <f t="shared" ref="C526" si="657">AD526</f>
        <v>0</v>
      </c>
      <c r="D526" s="26">
        <v>0</v>
      </c>
      <c r="E526" s="26">
        <v>0</v>
      </c>
      <c r="F526" s="26">
        <v>0</v>
      </c>
      <c r="G526" s="26">
        <v>0</v>
      </c>
      <c r="H526" s="26">
        <v>0</v>
      </c>
      <c r="I526" s="26">
        <v>0</v>
      </c>
      <c r="J526" s="26">
        <v>0</v>
      </c>
      <c r="K526">
        <f>-VLOOKUP(B526,Resumo_HSF!$C$13:$AH$600,28,FALSE)</f>
        <v>0</v>
      </c>
      <c r="L526" s="26">
        <v>0</v>
      </c>
      <c r="M526" s="26">
        <v>0</v>
      </c>
      <c r="N526" s="26">
        <v>0</v>
      </c>
      <c r="O526" s="26">
        <v>0</v>
      </c>
      <c r="P526" s="26">
        <v>0</v>
      </c>
      <c r="Q526" s="26">
        <v>0</v>
      </c>
      <c r="R526" s="26">
        <v>0</v>
      </c>
      <c r="S526" s="26">
        <v>0</v>
      </c>
      <c r="T526" s="26">
        <v>0</v>
      </c>
      <c r="U526" s="26">
        <v>0</v>
      </c>
      <c r="V526" s="26">
        <v>0</v>
      </c>
      <c r="W526" s="26">
        <v>0</v>
      </c>
      <c r="X526" s="15">
        <f>-IF(VLOOKUP($B526,Resumo_HSF!$C$13:$AB$1000,16,FALSE)=VLOOKUP($B525,Resumo_HSF!$C$13:$AB$1000,16,FALSE),0,(VLOOKUP($B526,Resumo_HSF!$C$13:$AB$1000,16,FALSE)-VLOOKUP($B525,Resumo_HSF!$C$13:$AB$1000,16,FALSE))*VLOOKUP($B526,Resumo_HSF!$C$13:$AB$1000,15,FALSE))</f>
        <v>0</v>
      </c>
      <c r="Y526" s="26">
        <v>0</v>
      </c>
      <c r="Z526" s="26">
        <v>0</v>
      </c>
      <c r="AA526" s="26">
        <v>0</v>
      </c>
      <c r="AB526" s="26">
        <v>0</v>
      </c>
      <c r="AC526" s="26">
        <v>0</v>
      </c>
      <c r="AD526" s="15">
        <f t="shared" ref="AD526" si="658">SUM(D526:AB526)</f>
        <v>0</v>
      </c>
    </row>
    <row r="527" spans="2:30">
      <c r="B527" s="1">
        <f>WORKDAY(B526,1,Feriados!$A$2:A1169)</f>
        <v>45614</v>
      </c>
      <c r="C527" s="51">
        <f t="shared" ref="C527" si="659">AD527</f>
        <v>0</v>
      </c>
      <c r="D527" s="26">
        <v>0</v>
      </c>
      <c r="E527" s="26">
        <v>0</v>
      </c>
      <c r="F527" s="26">
        <v>0</v>
      </c>
      <c r="G527" s="26">
        <v>0</v>
      </c>
      <c r="H527" s="26">
        <v>0</v>
      </c>
      <c r="I527" s="26">
        <v>0</v>
      </c>
      <c r="J527" s="26">
        <v>0</v>
      </c>
      <c r="K527">
        <f>-VLOOKUP(B527,Resumo_HSF!$C$13:$AH$600,28,FALSE)</f>
        <v>0</v>
      </c>
      <c r="L527" s="26">
        <v>0</v>
      </c>
      <c r="M527" s="26">
        <v>0</v>
      </c>
      <c r="N527" s="26">
        <v>0</v>
      </c>
      <c r="O527" s="26">
        <v>0</v>
      </c>
      <c r="P527" s="26">
        <v>0</v>
      </c>
      <c r="Q527" s="26">
        <v>0</v>
      </c>
      <c r="R527" s="26">
        <v>0</v>
      </c>
      <c r="S527" s="26">
        <v>0</v>
      </c>
      <c r="T527" s="26">
        <v>0</v>
      </c>
      <c r="U527" s="26">
        <v>0</v>
      </c>
      <c r="V527" s="26">
        <v>0</v>
      </c>
      <c r="W527" s="26">
        <v>0</v>
      </c>
      <c r="X527" s="15">
        <f>-IF(VLOOKUP($B527,Resumo_HSF!$C$13:$AB$1000,16,FALSE)=VLOOKUP($B526,Resumo_HSF!$C$13:$AB$1000,16,FALSE),0,(VLOOKUP($B527,Resumo_HSF!$C$13:$AB$1000,16,FALSE)-VLOOKUP($B526,Resumo_HSF!$C$13:$AB$1000,16,FALSE))*VLOOKUP($B527,Resumo_HSF!$C$13:$AB$1000,15,FALSE))</f>
        <v>0</v>
      </c>
      <c r="Y527" s="26">
        <v>0</v>
      </c>
      <c r="Z527" s="26">
        <v>0</v>
      </c>
      <c r="AA527" s="26">
        <v>0</v>
      </c>
      <c r="AB527" s="26">
        <v>0</v>
      </c>
      <c r="AC527" s="26">
        <v>0</v>
      </c>
      <c r="AD527" s="15">
        <f t="shared" ref="AD527" si="660">SUM(D527:AB527)</f>
        <v>0</v>
      </c>
    </row>
    <row r="528" spans="2:30">
      <c r="B528" s="1">
        <f>WORKDAY(B527,1,Feriados!$A$2:A1170)</f>
        <v>45615</v>
      </c>
      <c r="C528" s="51">
        <f t="shared" ref="C528" si="661">AD528</f>
        <v>0</v>
      </c>
      <c r="D528" s="26">
        <v>0</v>
      </c>
      <c r="E528" s="26">
        <v>0</v>
      </c>
      <c r="F528" s="26">
        <v>0</v>
      </c>
      <c r="G528" s="26">
        <v>0</v>
      </c>
      <c r="H528" s="26">
        <v>0</v>
      </c>
      <c r="I528" s="26">
        <v>0</v>
      </c>
      <c r="J528" s="26">
        <v>0</v>
      </c>
      <c r="K528">
        <f>-VLOOKUP(B528,Resumo_HSF!$C$13:$AH$600,28,FALSE)</f>
        <v>0</v>
      </c>
      <c r="L528" s="26">
        <v>0</v>
      </c>
      <c r="M528" s="26">
        <v>0</v>
      </c>
      <c r="N528" s="26">
        <v>0</v>
      </c>
      <c r="O528" s="26">
        <v>0</v>
      </c>
      <c r="P528" s="26">
        <v>0</v>
      </c>
      <c r="Q528" s="26">
        <v>0</v>
      </c>
      <c r="R528" s="26">
        <v>0</v>
      </c>
      <c r="S528" s="26">
        <v>0</v>
      </c>
      <c r="T528" s="26">
        <v>0</v>
      </c>
      <c r="U528" s="26">
        <v>0</v>
      </c>
      <c r="V528" s="26">
        <v>0</v>
      </c>
      <c r="W528" s="26">
        <v>0</v>
      </c>
      <c r="X528" s="15">
        <f>-IF(VLOOKUP($B528,Resumo_HSF!$C$13:$AB$1000,16,FALSE)=VLOOKUP($B527,Resumo_HSF!$C$13:$AB$1000,16,FALSE),0,(VLOOKUP($B528,Resumo_HSF!$C$13:$AB$1000,16,FALSE)-VLOOKUP($B527,Resumo_HSF!$C$13:$AB$1000,16,FALSE))*VLOOKUP($B528,Resumo_HSF!$C$13:$AB$1000,15,FALSE))</f>
        <v>0</v>
      </c>
      <c r="Y528" s="26">
        <v>0</v>
      </c>
      <c r="Z528" s="26">
        <v>0</v>
      </c>
      <c r="AA528" s="26">
        <v>0</v>
      </c>
      <c r="AB528" s="26">
        <v>0</v>
      </c>
      <c r="AC528" s="26">
        <v>0</v>
      </c>
      <c r="AD528" s="15">
        <f t="shared" ref="AD528" si="662">SUM(D528:AB528)</f>
        <v>0</v>
      </c>
    </row>
    <row r="529" spans="2:30">
      <c r="B529" s="1">
        <f>WORKDAY(B528,1,Feriados!$A$2:A1171)</f>
        <v>45617</v>
      </c>
      <c r="C529" s="51">
        <f t="shared" ref="C529" si="663">AD529</f>
        <v>0</v>
      </c>
      <c r="D529" s="26">
        <v>0</v>
      </c>
      <c r="E529" s="26">
        <v>0</v>
      </c>
      <c r="F529" s="26">
        <v>0</v>
      </c>
      <c r="G529" s="26">
        <v>0</v>
      </c>
      <c r="H529" s="26">
        <v>0</v>
      </c>
      <c r="I529" s="26">
        <v>0</v>
      </c>
      <c r="J529" s="26">
        <v>0</v>
      </c>
      <c r="K529">
        <f>-VLOOKUP(B529,Resumo_HSF!$C$13:$AH$600,28,FALSE)</f>
        <v>0</v>
      </c>
      <c r="L529" s="26">
        <v>0</v>
      </c>
      <c r="M529" s="26">
        <v>0</v>
      </c>
      <c r="N529" s="26">
        <v>0</v>
      </c>
      <c r="O529" s="26">
        <v>0</v>
      </c>
      <c r="P529" s="26">
        <v>0</v>
      </c>
      <c r="Q529" s="26">
        <v>0</v>
      </c>
      <c r="R529" s="26">
        <v>0</v>
      </c>
      <c r="S529" s="26">
        <v>0</v>
      </c>
      <c r="T529" s="26">
        <v>0</v>
      </c>
      <c r="U529" s="26">
        <v>0</v>
      </c>
      <c r="V529" s="26">
        <v>0</v>
      </c>
      <c r="W529" s="26">
        <v>0</v>
      </c>
      <c r="X529" s="15">
        <f>-IF(VLOOKUP($B529,Resumo_HSF!$C$13:$AB$1000,16,FALSE)=VLOOKUP($B528,Resumo_HSF!$C$13:$AB$1000,16,FALSE),0,(VLOOKUP($B529,Resumo_HSF!$C$13:$AB$1000,16,FALSE)-VLOOKUP($B528,Resumo_HSF!$C$13:$AB$1000,16,FALSE))*VLOOKUP($B529,Resumo_HSF!$C$13:$AB$1000,15,FALSE))</f>
        <v>0</v>
      </c>
      <c r="Y529" s="26">
        <v>0</v>
      </c>
      <c r="Z529" s="26">
        <v>0</v>
      </c>
      <c r="AA529" s="26">
        <v>0</v>
      </c>
      <c r="AB529" s="26">
        <v>0</v>
      </c>
      <c r="AC529" s="26">
        <v>0</v>
      </c>
      <c r="AD529" s="15">
        <f t="shared" ref="AD529" si="664">SUM(D529:AB529)</f>
        <v>0</v>
      </c>
    </row>
    <row r="530" spans="2:30">
      <c r="B530" s="1">
        <f>WORKDAY(B529,1,Feriados!$A$2:A1172)</f>
        <v>45618</v>
      </c>
      <c r="C530" s="51">
        <f t="shared" ref="C530" si="665">AD530</f>
        <v>0</v>
      </c>
      <c r="D530" s="26">
        <v>0</v>
      </c>
      <c r="E530" s="26">
        <v>0</v>
      </c>
      <c r="F530" s="26">
        <v>0</v>
      </c>
      <c r="G530" s="26">
        <v>0</v>
      </c>
      <c r="H530" s="26">
        <v>0</v>
      </c>
      <c r="I530" s="26">
        <v>0</v>
      </c>
      <c r="J530" s="26">
        <v>0</v>
      </c>
      <c r="K530">
        <f>-VLOOKUP(B530,Resumo_HSF!$C$13:$AH$600,28,FALSE)</f>
        <v>0</v>
      </c>
      <c r="L530" s="26">
        <v>0</v>
      </c>
      <c r="M530" s="26">
        <v>0</v>
      </c>
      <c r="N530" s="26">
        <v>0</v>
      </c>
      <c r="O530" s="26">
        <v>0</v>
      </c>
      <c r="P530" s="26">
        <v>0</v>
      </c>
      <c r="Q530" s="26">
        <v>0</v>
      </c>
      <c r="R530" s="26">
        <v>0</v>
      </c>
      <c r="S530" s="26">
        <v>0</v>
      </c>
      <c r="T530" s="26">
        <v>0</v>
      </c>
      <c r="U530" s="26">
        <v>0</v>
      </c>
      <c r="V530" s="26">
        <v>0</v>
      </c>
      <c r="W530" s="26">
        <v>0</v>
      </c>
      <c r="X530" s="15">
        <f>-IF(VLOOKUP($B530,Resumo_HSF!$C$13:$AB$1000,16,FALSE)=VLOOKUP($B529,Resumo_HSF!$C$13:$AB$1000,16,FALSE),0,(VLOOKUP($B530,Resumo_HSF!$C$13:$AB$1000,16,FALSE)-VLOOKUP($B529,Resumo_HSF!$C$13:$AB$1000,16,FALSE))*VLOOKUP($B530,Resumo_HSF!$C$13:$AB$1000,15,FALSE))</f>
        <v>0</v>
      </c>
      <c r="Y530" s="26">
        <v>0</v>
      </c>
      <c r="Z530" s="26">
        <v>0</v>
      </c>
      <c r="AA530" s="26">
        <v>0</v>
      </c>
      <c r="AB530" s="26">
        <v>0</v>
      </c>
      <c r="AC530" s="26">
        <v>0</v>
      </c>
      <c r="AD530" s="15">
        <f t="shared" ref="AD530" si="666">SUM(D530:AB530)</f>
        <v>0</v>
      </c>
    </row>
    <row r="531" spans="2:30">
      <c r="B531" s="1">
        <f>WORKDAY(B530,1,Feriados!$A$2:A1173)</f>
        <v>45621</v>
      </c>
      <c r="C531" s="51">
        <f t="shared" ref="C531" si="667">AD531</f>
        <v>0</v>
      </c>
      <c r="D531" s="26">
        <v>0</v>
      </c>
      <c r="E531" s="26">
        <v>0</v>
      </c>
      <c r="F531" s="26">
        <v>0</v>
      </c>
      <c r="G531" s="26">
        <v>0</v>
      </c>
      <c r="H531" s="26">
        <v>0</v>
      </c>
      <c r="I531" s="26">
        <v>0</v>
      </c>
      <c r="J531" s="26">
        <v>0</v>
      </c>
      <c r="K531">
        <f>-VLOOKUP(B531,Resumo_HSF!$C$13:$AH$600,28,FALSE)</f>
        <v>0</v>
      </c>
      <c r="L531" s="26">
        <v>0</v>
      </c>
      <c r="M531" s="26">
        <v>0</v>
      </c>
      <c r="N531" s="26">
        <v>0</v>
      </c>
      <c r="O531" s="26">
        <v>0</v>
      </c>
      <c r="P531" s="26">
        <v>0</v>
      </c>
      <c r="Q531" s="26">
        <v>0</v>
      </c>
      <c r="R531" s="26">
        <v>0</v>
      </c>
      <c r="S531" s="26">
        <v>0</v>
      </c>
      <c r="T531" s="26">
        <v>0</v>
      </c>
      <c r="U531" s="26">
        <v>0</v>
      </c>
      <c r="V531" s="26">
        <v>0</v>
      </c>
      <c r="W531" s="26">
        <v>0</v>
      </c>
      <c r="X531" s="15">
        <f>-IF(VLOOKUP($B531,Resumo_HSF!$C$13:$AB$1000,16,FALSE)=VLOOKUP($B530,Resumo_HSF!$C$13:$AB$1000,16,FALSE),0,(VLOOKUP($B531,Resumo_HSF!$C$13:$AB$1000,16,FALSE)-VLOOKUP($B530,Resumo_HSF!$C$13:$AB$1000,16,FALSE))*VLOOKUP($B531,Resumo_HSF!$C$13:$AB$1000,15,FALSE))</f>
        <v>0</v>
      </c>
      <c r="Y531" s="26">
        <v>0</v>
      </c>
      <c r="Z531" s="26">
        <v>0</v>
      </c>
      <c r="AA531" s="26">
        <v>0</v>
      </c>
      <c r="AB531" s="26">
        <v>0</v>
      </c>
      <c r="AC531" s="26">
        <v>0</v>
      </c>
      <c r="AD531" s="15">
        <f t="shared" ref="AD531" si="668">SUM(D531:AB531)</f>
        <v>0</v>
      </c>
    </row>
    <row r="532" spans="2:30">
      <c r="B532" s="1">
        <f>WORKDAY(B531,1,Feriados!$A$2:A1174)</f>
        <v>45622</v>
      </c>
      <c r="C532" s="51">
        <f t="shared" ref="C532" si="669">AD532</f>
        <v>0</v>
      </c>
      <c r="D532" s="26">
        <v>0</v>
      </c>
      <c r="E532" s="26">
        <v>0</v>
      </c>
      <c r="F532" s="26">
        <v>0</v>
      </c>
      <c r="G532" s="26">
        <v>0</v>
      </c>
      <c r="H532" s="26">
        <v>0</v>
      </c>
      <c r="I532" s="26">
        <v>0</v>
      </c>
      <c r="J532" s="26">
        <v>0</v>
      </c>
      <c r="K532">
        <f>-VLOOKUP(B532,Resumo_HSF!$C$13:$AH$600,28,FALSE)</f>
        <v>0</v>
      </c>
      <c r="L532" s="26">
        <v>0</v>
      </c>
      <c r="M532" s="26">
        <v>0</v>
      </c>
      <c r="N532" s="26">
        <v>0</v>
      </c>
      <c r="O532" s="26">
        <v>0</v>
      </c>
      <c r="P532" s="26">
        <v>0</v>
      </c>
      <c r="Q532" s="26">
        <v>0</v>
      </c>
      <c r="R532" s="26">
        <v>0</v>
      </c>
      <c r="S532" s="26">
        <v>0</v>
      </c>
      <c r="T532" s="26">
        <v>0</v>
      </c>
      <c r="U532" s="26">
        <v>0</v>
      </c>
      <c r="V532" s="26">
        <v>0</v>
      </c>
      <c r="W532" s="26">
        <v>0</v>
      </c>
      <c r="X532" s="15">
        <f>-IF(VLOOKUP($B532,Resumo_HSF!$C$13:$AB$1000,16,FALSE)=VLOOKUP($B531,Resumo_HSF!$C$13:$AB$1000,16,FALSE),0,(VLOOKUP($B532,Resumo_HSF!$C$13:$AB$1000,16,FALSE)-VLOOKUP($B531,Resumo_HSF!$C$13:$AB$1000,16,FALSE))*VLOOKUP($B532,Resumo_HSF!$C$13:$AB$1000,15,FALSE))</f>
        <v>0</v>
      </c>
      <c r="Y532" s="26">
        <v>0</v>
      </c>
      <c r="Z532" s="26">
        <v>0</v>
      </c>
      <c r="AA532" s="26">
        <v>0</v>
      </c>
      <c r="AB532" s="26">
        <v>0</v>
      </c>
      <c r="AC532" s="26">
        <v>0</v>
      </c>
      <c r="AD532" s="15">
        <f t="shared" ref="AD532" si="670">SUM(D532:AB532)</f>
        <v>0</v>
      </c>
    </row>
    <row r="533" spans="2:30">
      <c r="B533" s="1">
        <f>WORKDAY(B532,1,Feriados!$A$2:A1175)</f>
        <v>45623</v>
      </c>
      <c r="C533" s="51">
        <f t="shared" ref="C533" si="671">AD533</f>
        <v>0</v>
      </c>
      <c r="D533" s="26">
        <v>0</v>
      </c>
      <c r="E533" s="26">
        <v>0</v>
      </c>
      <c r="F533" s="26">
        <v>0</v>
      </c>
      <c r="G533" s="26">
        <v>0</v>
      </c>
      <c r="H533" s="26">
        <v>0</v>
      </c>
      <c r="I533" s="26">
        <v>0</v>
      </c>
      <c r="J533" s="26">
        <v>0</v>
      </c>
      <c r="K533">
        <f>-VLOOKUP(B533,Resumo_HSF!$C$13:$AH$600,28,FALSE)</f>
        <v>0</v>
      </c>
      <c r="L533" s="26">
        <v>0</v>
      </c>
      <c r="M533" s="26">
        <v>0</v>
      </c>
      <c r="N533" s="26">
        <v>0</v>
      </c>
      <c r="O533" s="26">
        <v>0</v>
      </c>
      <c r="P533" s="26">
        <v>0</v>
      </c>
      <c r="Q533" s="26">
        <v>0</v>
      </c>
      <c r="R533" s="26">
        <v>0</v>
      </c>
      <c r="S533" s="26">
        <v>0</v>
      </c>
      <c r="T533" s="26">
        <v>0</v>
      </c>
      <c r="U533" s="26">
        <v>0</v>
      </c>
      <c r="V533" s="26">
        <v>0</v>
      </c>
      <c r="W533" s="26">
        <v>0</v>
      </c>
      <c r="X533" s="15">
        <f>-IF(VLOOKUP($B533,Resumo_HSF!$C$13:$AB$1000,16,FALSE)=VLOOKUP($B532,Resumo_HSF!$C$13:$AB$1000,16,FALSE),0,(VLOOKUP($B533,Resumo_HSF!$C$13:$AB$1000,16,FALSE)-VLOOKUP($B532,Resumo_HSF!$C$13:$AB$1000,16,FALSE))*VLOOKUP($B533,Resumo_HSF!$C$13:$AB$1000,15,FALSE))</f>
        <v>0</v>
      </c>
      <c r="Y533" s="26">
        <v>0</v>
      </c>
      <c r="Z533" s="26">
        <v>0</v>
      </c>
      <c r="AA533" s="26">
        <v>0</v>
      </c>
      <c r="AB533" s="26">
        <v>0</v>
      </c>
      <c r="AC533" s="26">
        <v>0</v>
      </c>
      <c r="AD533" s="15">
        <f t="shared" ref="AD533" si="672">SUM(D533:AB533)</f>
        <v>0</v>
      </c>
    </row>
    <row r="534" spans="2:30">
      <c r="B534" s="1">
        <f>WORKDAY(B533,1,Feriados!$A$2:A1176)</f>
        <v>45624</v>
      </c>
      <c r="C534" s="51">
        <f t="shared" ref="C534" si="673">AD534</f>
        <v>0</v>
      </c>
      <c r="D534" s="26">
        <v>0</v>
      </c>
      <c r="E534" s="26">
        <v>0</v>
      </c>
      <c r="F534" s="26">
        <v>0</v>
      </c>
      <c r="G534" s="26">
        <v>0</v>
      </c>
      <c r="H534" s="26">
        <v>0</v>
      </c>
      <c r="I534" s="26">
        <v>0</v>
      </c>
      <c r="J534" s="26">
        <v>0</v>
      </c>
      <c r="K534">
        <f>-VLOOKUP(B534,Resumo_HSF!$C$13:$AH$600,28,FALSE)</f>
        <v>0</v>
      </c>
      <c r="L534" s="26">
        <v>0</v>
      </c>
      <c r="M534" s="26">
        <v>0</v>
      </c>
      <c r="N534" s="26">
        <v>0</v>
      </c>
      <c r="O534" s="26">
        <v>0</v>
      </c>
      <c r="P534" s="26">
        <v>0</v>
      </c>
      <c r="Q534" s="26">
        <v>0</v>
      </c>
      <c r="R534" s="26">
        <v>0</v>
      </c>
      <c r="S534" s="26">
        <v>0</v>
      </c>
      <c r="T534" s="26">
        <v>0</v>
      </c>
      <c r="U534" s="26">
        <v>0</v>
      </c>
      <c r="V534" s="26">
        <v>0</v>
      </c>
      <c r="W534" s="26">
        <v>0</v>
      </c>
      <c r="X534" s="15">
        <f>-IF(VLOOKUP($B534,Resumo_HSF!$C$13:$AB$1000,16,FALSE)=VLOOKUP($B533,Resumo_HSF!$C$13:$AB$1000,16,FALSE),0,(VLOOKUP($B534,Resumo_HSF!$C$13:$AB$1000,16,FALSE)-VLOOKUP($B533,Resumo_HSF!$C$13:$AB$1000,16,FALSE))*VLOOKUP($B534,Resumo_HSF!$C$13:$AB$1000,15,FALSE))</f>
        <v>0</v>
      </c>
      <c r="Y534" s="26">
        <v>0</v>
      </c>
      <c r="Z534" s="26">
        <v>0</v>
      </c>
      <c r="AA534" s="26">
        <v>0</v>
      </c>
      <c r="AB534" s="26">
        <v>0</v>
      </c>
      <c r="AC534" s="26">
        <v>0</v>
      </c>
      <c r="AD534" s="15">
        <f t="shared" ref="AD534" si="674">SUM(D534:AB534)</f>
        <v>0</v>
      </c>
    </row>
    <row r="535" spans="2:30">
      <c r="B535" s="1">
        <f>WORKDAY(B534,1,Feriados!$A$2:A1177)</f>
        <v>45625</v>
      </c>
      <c r="C535" s="51">
        <f t="shared" ref="C535" si="675">AD535</f>
        <v>0</v>
      </c>
      <c r="D535" s="26">
        <v>0</v>
      </c>
      <c r="E535" s="26">
        <v>0</v>
      </c>
      <c r="F535" s="26">
        <v>0</v>
      </c>
      <c r="G535" s="26">
        <v>0</v>
      </c>
      <c r="H535" s="26">
        <v>0</v>
      </c>
      <c r="I535" s="26">
        <v>0</v>
      </c>
      <c r="J535" s="26">
        <v>0</v>
      </c>
      <c r="K535">
        <f>-VLOOKUP(B535,Resumo_HSF!$C$13:$AH$600,28,FALSE)</f>
        <v>0</v>
      </c>
      <c r="L535" s="26">
        <v>0</v>
      </c>
      <c r="M535" s="26">
        <v>0</v>
      </c>
      <c r="N535" s="26">
        <v>0</v>
      </c>
      <c r="O535" s="26">
        <v>0</v>
      </c>
      <c r="P535" s="26">
        <v>0</v>
      </c>
      <c r="Q535" s="26">
        <v>0</v>
      </c>
      <c r="R535" s="26">
        <v>0</v>
      </c>
      <c r="S535" s="26">
        <v>0</v>
      </c>
      <c r="T535" s="26">
        <v>0</v>
      </c>
      <c r="U535" s="26">
        <v>0</v>
      </c>
      <c r="V535" s="26">
        <v>0</v>
      </c>
      <c r="W535" s="26">
        <v>0</v>
      </c>
      <c r="X535" s="15">
        <f>-IF(VLOOKUP($B535,Resumo_HSF!$C$13:$AB$1000,16,FALSE)=VLOOKUP($B534,Resumo_HSF!$C$13:$AB$1000,16,FALSE),0,(VLOOKUP($B535,Resumo_HSF!$C$13:$AB$1000,16,FALSE)-VLOOKUP($B534,Resumo_HSF!$C$13:$AB$1000,16,FALSE))*VLOOKUP($B535,Resumo_HSF!$C$13:$AB$1000,15,FALSE))</f>
        <v>0</v>
      </c>
      <c r="Y535" s="26">
        <v>0</v>
      </c>
      <c r="Z535" s="26">
        <v>0</v>
      </c>
      <c r="AA535" s="26">
        <v>0</v>
      </c>
      <c r="AB535" s="26">
        <v>0</v>
      </c>
      <c r="AC535" s="26">
        <v>0</v>
      </c>
      <c r="AD535" s="15">
        <f t="shared" ref="AD535" si="676">SUM(D535:AB535)</f>
        <v>0</v>
      </c>
    </row>
    <row r="536" spans="2:30">
      <c r="B536" s="1">
        <f>WORKDAY(B535,1,Feriados!$A$2:A1178)</f>
        <v>45628</v>
      </c>
      <c r="C536" s="51">
        <f t="shared" ref="C536" si="677">AD536</f>
        <v>0</v>
      </c>
      <c r="D536" s="26">
        <v>0</v>
      </c>
      <c r="E536" s="26">
        <v>0</v>
      </c>
      <c r="F536" s="26">
        <v>0</v>
      </c>
      <c r="G536" s="26">
        <v>0</v>
      </c>
      <c r="H536" s="26">
        <v>0</v>
      </c>
      <c r="I536" s="26">
        <v>0</v>
      </c>
      <c r="J536" s="26">
        <v>0</v>
      </c>
      <c r="K536">
        <f>-VLOOKUP(B536,Resumo_HSF!$C$13:$AH$600,28,FALSE)</f>
        <v>0</v>
      </c>
      <c r="L536" s="26">
        <v>0</v>
      </c>
      <c r="M536" s="26">
        <v>0</v>
      </c>
      <c r="N536" s="26">
        <v>0</v>
      </c>
      <c r="O536" s="26">
        <v>0</v>
      </c>
      <c r="P536" s="26">
        <v>0</v>
      </c>
      <c r="Q536" s="26">
        <v>0</v>
      </c>
      <c r="R536" s="26">
        <v>0</v>
      </c>
      <c r="S536" s="26">
        <v>0</v>
      </c>
      <c r="T536" s="26">
        <v>0</v>
      </c>
      <c r="U536" s="26">
        <v>0</v>
      </c>
      <c r="V536" s="26">
        <v>0</v>
      </c>
      <c r="W536" s="26">
        <v>0</v>
      </c>
      <c r="X536" s="15">
        <f>-IF(VLOOKUP($B536,Resumo_HSF!$C$13:$AB$1000,16,FALSE)=VLOOKUP($B535,Resumo_HSF!$C$13:$AB$1000,16,FALSE),0,(VLOOKUP($B536,Resumo_HSF!$C$13:$AB$1000,16,FALSE)-VLOOKUP($B535,Resumo_HSF!$C$13:$AB$1000,16,FALSE))*VLOOKUP($B536,Resumo_HSF!$C$13:$AB$1000,15,FALSE))</f>
        <v>0</v>
      </c>
      <c r="Y536" s="26">
        <v>0</v>
      </c>
      <c r="Z536" s="26">
        <v>0</v>
      </c>
      <c r="AA536" s="26">
        <v>0</v>
      </c>
      <c r="AB536" s="26">
        <v>0</v>
      </c>
      <c r="AC536" s="26">
        <v>0</v>
      </c>
      <c r="AD536" s="15">
        <f t="shared" ref="AD536" si="678">SUM(D536:AB536)</f>
        <v>0</v>
      </c>
    </row>
    <row r="537" spans="2:30">
      <c r="B537" s="1">
        <f>WORKDAY(B536,1,Feriados!$A$2:A1179)</f>
        <v>45629</v>
      </c>
      <c r="C537" s="51">
        <f t="shared" ref="C537" si="679">AD537</f>
        <v>0</v>
      </c>
      <c r="D537" s="26">
        <v>0</v>
      </c>
      <c r="E537" s="26">
        <v>0</v>
      </c>
      <c r="F537" s="26">
        <v>0</v>
      </c>
      <c r="G537" s="26">
        <v>0</v>
      </c>
      <c r="H537" s="26">
        <v>0</v>
      </c>
      <c r="I537" s="26">
        <v>0</v>
      </c>
      <c r="J537" s="26">
        <v>0</v>
      </c>
      <c r="K537">
        <f>-VLOOKUP(B537,Resumo_HSF!$C$13:$AH$600,28,FALSE)</f>
        <v>0</v>
      </c>
      <c r="L537" s="26">
        <v>0</v>
      </c>
      <c r="M537" s="26">
        <v>0</v>
      </c>
      <c r="N537" s="26">
        <v>0</v>
      </c>
      <c r="O537" s="26">
        <v>0</v>
      </c>
      <c r="P537" s="26">
        <v>0</v>
      </c>
      <c r="Q537" s="26">
        <v>0</v>
      </c>
      <c r="R537" s="26">
        <v>0</v>
      </c>
      <c r="S537" s="26">
        <v>0</v>
      </c>
      <c r="T537" s="26">
        <v>0</v>
      </c>
      <c r="U537" s="26">
        <v>0</v>
      </c>
      <c r="V537" s="26">
        <v>0</v>
      </c>
      <c r="W537" s="26">
        <v>0</v>
      </c>
      <c r="X537" s="15">
        <f>-IF(VLOOKUP($B537,Resumo_HSF!$C$13:$AB$1000,16,FALSE)=VLOOKUP($B536,Resumo_HSF!$C$13:$AB$1000,16,FALSE),0,(VLOOKUP($B537,Resumo_HSF!$C$13:$AB$1000,16,FALSE)-VLOOKUP($B536,Resumo_HSF!$C$13:$AB$1000,16,FALSE))*VLOOKUP($B537,Resumo_HSF!$C$13:$AB$1000,15,FALSE))</f>
        <v>0</v>
      </c>
      <c r="Y537" s="26">
        <v>0</v>
      </c>
      <c r="Z537" s="26">
        <v>0</v>
      </c>
      <c r="AA537" s="26">
        <v>0</v>
      </c>
      <c r="AB537" s="26">
        <v>0</v>
      </c>
      <c r="AC537" s="26">
        <v>0</v>
      </c>
      <c r="AD537" s="15">
        <f t="shared" ref="AD537" si="680">SUM(D537:AB537)</f>
        <v>0</v>
      </c>
    </row>
    <row r="538" spans="2:30">
      <c r="B538" s="1">
        <f>WORKDAY(B537,1,Feriados!$A$2:A1180)</f>
        <v>45630</v>
      </c>
      <c r="C538" s="51">
        <f t="shared" ref="C538" si="681">AD538</f>
        <v>0</v>
      </c>
      <c r="D538" s="26">
        <v>0</v>
      </c>
      <c r="E538" s="26">
        <v>0</v>
      </c>
      <c r="F538" s="26">
        <v>0</v>
      </c>
      <c r="G538" s="26">
        <v>0</v>
      </c>
      <c r="H538" s="26">
        <v>0</v>
      </c>
      <c r="I538" s="26">
        <v>0</v>
      </c>
      <c r="J538" s="26">
        <v>0</v>
      </c>
      <c r="K538">
        <f>-VLOOKUP(B538,Resumo_HSF!$C$13:$AH$600,28,FALSE)</f>
        <v>0</v>
      </c>
      <c r="L538" s="26">
        <v>0</v>
      </c>
      <c r="M538" s="26">
        <v>0</v>
      </c>
      <c r="N538" s="26">
        <v>0</v>
      </c>
      <c r="O538" s="26">
        <v>0</v>
      </c>
      <c r="P538" s="26">
        <v>0</v>
      </c>
      <c r="Q538" s="26">
        <v>0</v>
      </c>
      <c r="R538" s="26">
        <v>0</v>
      </c>
      <c r="S538" s="26">
        <v>0</v>
      </c>
      <c r="T538" s="26">
        <v>0</v>
      </c>
      <c r="U538" s="26">
        <v>0</v>
      </c>
      <c r="V538" s="26">
        <v>0</v>
      </c>
      <c r="W538" s="26">
        <v>0</v>
      </c>
      <c r="X538" s="15">
        <f>-IF(VLOOKUP($B538,Resumo_HSF!$C$13:$AB$1000,16,FALSE)=VLOOKUP($B537,Resumo_HSF!$C$13:$AB$1000,16,FALSE),0,(VLOOKUP($B538,Resumo_HSF!$C$13:$AB$1000,16,FALSE)-VLOOKUP($B537,Resumo_HSF!$C$13:$AB$1000,16,FALSE))*VLOOKUP($B538,Resumo_HSF!$C$13:$AB$1000,15,FALSE))</f>
        <v>0</v>
      </c>
      <c r="Y538" s="26">
        <v>0</v>
      </c>
      <c r="Z538" s="26">
        <v>0</v>
      </c>
      <c r="AA538" s="26">
        <v>0</v>
      </c>
      <c r="AB538" s="26">
        <v>0</v>
      </c>
      <c r="AC538" s="26">
        <v>0</v>
      </c>
      <c r="AD538" s="15">
        <f t="shared" ref="AD538" si="682">SUM(D538:AB538)</f>
        <v>0</v>
      </c>
    </row>
    <row r="539" spans="2:30">
      <c r="B539" s="1">
        <f>WORKDAY(B538,1,Feriados!$A$2:A1181)</f>
        <v>45631</v>
      </c>
      <c r="C539" s="51">
        <f t="shared" ref="C539" si="683">AD539</f>
        <v>0</v>
      </c>
      <c r="D539" s="26">
        <v>0</v>
      </c>
      <c r="E539" s="26">
        <v>0</v>
      </c>
      <c r="F539" s="26">
        <v>0</v>
      </c>
      <c r="G539" s="26">
        <v>0</v>
      </c>
      <c r="H539" s="26">
        <v>0</v>
      </c>
      <c r="I539" s="26">
        <v>0</v>
      </c>
      <c r="J539" s="26">
        <v>0</v>
      </c>
      <c r="K539">
        <f>-VLOOKUP(B539,Resumo_HSF!$C$13:$AH$600,28,FALSE)</f>
        <v>0</v>
      </c>
      <c r="L539" s="26">
        <v>0</v>
      </c>
      <c r="M539" s="26">
        <v>0</v>
      </c>
      <c r="N539" s="26">
        <v>0</v>
      </c>
      <c r="O539" s="26">
        <v>0</v>
      </c>
      <c r="P539" s="26">
        <v>0</v>
      </c>
      <c r="Q539" s="26">
        <v>0</v>
      </c>
      <c r="R539" s="26">
        <v>0</v>
      </c>
      <c r="S539" s="26">
        <v>0</v>
      </c>
      <c r="T539" s="26">
        <v>0</v>
      </c>
      <c r="U539" s="26">
        <v>0</v>
      </c>
      <c r="V539" s="26">
        <v>0</v>
      </c>
      <c r="W539" s="26">
        <v>0</v>
      </c>
      <c r="X539" s="15">
        <f>-IF(VLOOKUP($B539,Resumo_HSF!$C$13:$AB$1000,16,FALSE)=VLOOKUP($B538,Resumo_HSF!$C$13:$AB$1000,16,FALSE),0,(VLOOKUP($B539,Resumo_HSF!$C$13:$AB$1000,16,FALSE)-VLOOKUP($B538,Resumo_HSF!$C$13:$AB$1000,16,FALSE))*VLOOKUP($B539,Resumo_HSF!$C$13:$AB$1000,15,FALSE))</f>
        <v>0</v>
      </c>
      <c r="Y539" s="26">
        <v>0</v>
      </c>
      <c r="Z539" s="26">
        <v>0</v>
      </c>
      <c r="AA539" s="26">
        <v>0</v>
      </c>
      <c r="AB539" s="26">
        <v>0</v>
      </c>
      <c r="AC539" s="26">
        <v>0</v>
      </c>
      <c r="AD539" s="15">
        <f t="shared" ref="AD539" si="684">SUM(D539:AB539)</f>
        <v>0</v>
      </c>
    </row>
    <row r="540" spans="2:30">
      <c r="B540" s="1">
        <f>WORKDAY(B539,1,Feriados!$A$2:A1182)</f>
        <v>45632</v>
      </c>
      <c r="C540" s="51">
        <f t="shared" ref="C540" si="685">AD540</f>
        <v>-9.0967478172387928E-7</v>
      </c>
      <c r="D540" s="26">
        <v>-9369.7900000000009</v>
      </c>
      <c r="E540" s="26">
        <v>0</v>
      </c>
      <c r="F540" s="26">
        <v>0</v>
      </c>
      <c r="G540" s="26">
        <v>0</v>
      </c>
      <c r="H540" s="26">
        <v>0</v>
      </c>
      <c r="I540" s="26">
        <v>0</v>
      </c>
      <c r="J540" s="26">
        <v>0</v>
      </c>
      <c r="K540">
        <f>-VLOOKUP(B540,Resumo_HSF!$C$13:$AH$600,28,FALSE)</f>
        <v>0</v>
      </c>
      <c r="L540" s="26">
        <v>0</v>
      </c>
      <c r="M540" s="26">
        <v>0</v>
      </c>
      <c r="N540" s="26">
        <v>0</v>
      </c>
      <c r="O540" s="26">
        <v>0</v>
      </c>
      <c r="P540" s="26">
        <v>0</v>
      </c>
      <c r="Q540" s="26">
        <v>0</v>
      </c>
      <c r="R540" s="26">
        <v>0</v>
      </c>
      <c r="S540" s="26">
        <v>0</v>
      </c>
      <c r="T540" s="26">
        <v>0</v>
      </c>
      <c r="U540" s="26">
        <v>9700</v>
      </c>
      <c r="V540" s="26">
        <v>0</v>
      </c>
      <c r="W540" s="26">
        <v>0</v>
      </c>
      <c r="X540" s="15">
        <f>-IF(VLOOKUP($B540,Resumo_HSF!$C$13:$AB$1000,16,FALSE)=VLOOKUP($B539,Resumo_HSF!$C$13:$AB$1000,16,FALSE),0,(VLOOKUP($B540,Resumo_HSF!$C$13:$AB$1000,16,FALSE)-VLOOKUP($B539,Resumo_HSF!$C$13:$AB$1000,16,FALSE))*VLOOKUP($B540,Resumo_HSF!$C$13:$AB$1000,15,FALSE))</f>
        <v>-330.21000090967391</v>
      </c>
      <c r="Y540" s="26">
        <v>0</v>
      </c>
      <c r="Z540" s="26">
        <v>0</v>
      </c>
      <c r="AA540" s="26">
        <v>0</v>
      </c>
      <c r="AB540" s="26">
        <v>0</v>
      </c>
      <c r="AC540" s="26">
        <v>0</v>
      </c>
      <c r="AD540" s="15">
        <f t="shared" ref="AD540" si="686">SUM(D540:AB540)</f>
        <v>-9.0967478172387928E-7</v>
      </c>
    </row>
    <row r="541" spans="2:30">
      <c r="B541" s="1">
        <f>WORKDAY(B540,1,Feriados!$A$2:A1183)</f>
        <v>45635</v>
      </c>
      <c r="C541" s="51">
        <f t="shared" ref="C541" si="687">AD541</f>
        <v>0</v>
      </c>
      <c r="D541" s="26">
        <v>0</v>
      </c>
      <c r="E541" s="26">
        <v>0</v>
      </c>
      <c r="F541" s="26">
        <v>0</v>
      </c>
      <c r="G541" s="26">
        <v>0</v>
      </c>
      <c r="H541" s="26">
        <v>0</v>
      </c>
      <c r="I541" s="26">
        <v>0</v>
      </c>
      <c r="J541" s="26">
        <v>0</v>
      </c>
      <c r="K541">
        <f>-VLOOKUP(B541,Resumo_HSF!$C$13:$AH$600,28,FALSE)</f>
        <v>0</v>
      </c>
      <c r="L541" s="26">
        <v>0</v>
      </c>
      <c r="M541" s="26">
        <v>0</v>
      </c>
      <c r="N541" s="26">
        <v>0</v>
      </c>
      <c r="O541" s="26">
        <v>0</v>
      </c>
      <c r="P541" s="26">
        <v>0</v>
      </c>
      <c r="Q541" s="26">
        <v>0</v>
      </c>
      <c r="R541" s="26">
        <v>0</v>
      </c>
      <c r="S541" s="26">
        <v>0</v>
      </c>
      <c r="T541" s="26">
        <v>0</v>
      </c>
      <c r="U541" s="26">
        <v>0</v>
      </c>
      <c r="V541" s="26">
        <v>0</v>
      </c>
      <c r="W541" s="26">
        <v>0</v>
      </c>
      <c r="X541" s="15">
        <f>-IF(VLOOKUP($B541,Resumo_HSF!$C$13:$AB$1000,16,FALSE)=VLOOKUP($B540,Resumo_HSF!$C$13:$AB$1000,16,FALSE),0,(VLOOKUP($B541,Resumo_HSF!$C$13:$AB$1000,16,FALSE)-VLOOKUP($B540,Resumo_HSF!$C$13:$AB$1000,16,FALSE))*VLOOKUP($B541,Resumo_HSF!$C$13:$AB$1000,15,FALSE))</f>
        <v>0</v>
      </c>
      <c r="Y541" s="26">
        <v>0</v>
      </c>
      <c r="Z541" s="26">
        <v>0</v>
      </c>
      <c r="AA541" s="26">
        <v>0</v>
      </c>
      <c r="AB541" s="26">
        <v>0</v>
      </c>
      <c r="AC541" s="26">
        <v>0</v>
      </c>
      <c r="AD541" s="15">
        <f t="shared" ref="AD541" si="688">SUM(D541:AB541)</f>
        <v>0</v>
      </c>
    </row>
    <row r="542" spans="2:30">
      <c r="B542" s="1">
        <f>WORKDAY(B541,1,Feriados!$A$2:A1184)</f>
        <v>45636</v>
      </c>
      <c r="C542" s="51">
        <f t="shared" ref="C542" si="689">AD542</f>
        <v>0</v>
      </c>
      <c r="D542" s="26">
        <v>0</v>
      </c>
      <c r="E542" s="26">
        <v>0</v>
      </c>
      <c r="F542" s="26">
        <v>0</v>
      </c>
      <c r="G542" s="26">
        <v>0</v>
      </c>
      <c r="H542" s="26">
        <v>0</v>
      </c>
      <c r="I542" s="26">
        <v>0</v>
      </c>
      <c r="J542" s="26">
        <v>0</v>
      </c>
      <c r="K542">
        <f>-VLOOKUP(B542,Resumo_HSF!$C$13:$AH$600,28,FALSE)</f>
        <v>0</v>
      </c>
      <c r="L542" s="26">
        <v>0</v>
      </c>
      <c r="M542" s="26">
        <v>0</v>
      </c>
      <c r="N542" s="26">
        <v>0</v>
      </c>
      <c r="O542" s="26">
        <v>0</v>
      </c>
      <c r="P542" s="26">
        <v>0</v>
      </c>
      <c r="Q542" s="26">
        <v>0</v>
      </c>
      <c r="R542" s="26">
        <v>0</v>
      </c>
      <c r="S542" s="26">
        <v>0</v>
      </c>
      <c r="T542" s="26">
        <v>0</v>
      </c>
      <c r="U542" s="26">
        <v>0</v>
      </c>
      <c r="V542" s="26">
        <v>0</v>
      </c>
      <c r="W542" s="26">
        <v>0</v>
      </c>
      <c r="X542" s="15">
        <f>-IF(VLOOKUP($B542,Resumo_HSF!$C$13:$AB$1000,16,FALSE)=VLOOKUP($B541,Resumo_HSF!$C$13:$AB$1000,16,FALSE),0,(VLOOKUP($B542,Resumo_HSF!$C$13:$AB$1000,16,FALSE)-VLOOKUP($B541,Resumo_HSF!$C$13:$AB$1000,16,FALSE))*VLOOKUP($B542,Resumo_HSF!$C$13:$AB$1000,15,FALSE))</f>
        <v>0</v>
      </c>
      <c r="Y542" s="26">
        <v>0</v>
      </c>
      <c r="Z542" s="26">
        <v>0</v>
      </c>
      <c r="AA542" s="26">
        <v>0</v>
      </c>
      <c r="AB542" s="26">
        <v>0</v>
      </c>
      <c r="AC542" s="26">
        <v>0</v>
      </c>
      <c r="AD542" s="15">
        <f t="shared" ref="AD542" si="690">SUM(D542:AB542)</f>
        <v>0</v>
      </c>
    </row>
    <row r="543" spans="2:30">
      <c r="B543" s="1">
        <f>WORKDAY(B542,1,Feriados!$A$2:A1185)</f>
        <v>45637</v>
      </c>
      <c r="C543" s="51">
        <f t="shared" ref="C543" si="691">AD543</f>
        <v>0</v>
      </c>
      <c r="D543" s="26">
        <v>0</v>
      </c>
      <c r="E543" s="26">
        <v>0</v>
      </c>
      <c r="F543" s="26">
        <v>0</v>
      </c>
      <c r="G543" s="26">
        <v>0</v>
      </c>
      <c r="H543" s="26">
        <v>0</v>
      </c>
      <c r="I543" s="26">
        <v>0</v>
      </c>
      <c r="J543" s="26">
        <v>0</v>
      </c>
      <c r="K543">
        <f>-VLOOKUP(B543,Resumo_HSF!$C$13:$AH$600,28,FALSE)</f>
        <v>0</v>
      </c>
      <c r="L543" s="26">
        <v>0</v>
      </c>
      <c r="M543" s="26">
        <v>0</v>
      </c>
      <c r="N543" s="26">
        <v>0</v>
      </c>
      <c r="O543" s="26">
        <v>0</v>
      </c>
      <c r="P543" s="26">
        <v>0</v>
      </c>
      <c r="Q543" s="26">
        <v>0</v>
      </c>
      <c r="R543" s="26">
        <v>0</v>
      </c>
      <c r="S543" s="26">
        <v>0</v>
      </c>
      <c r="T543" s="26">
        <v>0</v>
      </c>
      <c r="U543" s="26">
        <v>0</v>
      </c>
      <c r="V543" s="26">
        <v>0</v>
      </c>
      <c r="W543" s="26">
        <v>0</v>
      </c>
      <c r="X543" s="15">
        <f>-IF(VLOOKUP($B543,Resumo_HSF!$C$13:$AB$1000,16,FALSE)=VLOOKUP($B542,Resumo_HSF!$C$13:$AB$1000,16,FALSE),0,(VLOOKUP($B543,Resumo_HSF!$C$13:$AB$1000,16,FALSE)-VLOOKUP($B542,Resumo_HSF!$C$13:$AB$1000,16,FALSE))*VLOOKUP($B543,Resumo_HSF!$C$13:$AB$1000,15,FALSE))</f>
        <v>0</v>
      </c>
      <c r="Y543" s="26">
        <v>0</v>
      </c>
      <c r="Z543" s="26">
        <v>0</v>
      </c>
      <c r="AA543" s="26">
        <v>0</v>
      </c>
      <c r="AB543" s="26">
        <v>0</v>
      </c>
      <c r="AC543" s="26">
        <v>0</v>
      </c>
      <c r="AD543" s="15">
        <f t="shared" ref="AD543" si="692">SUM(D543:AB543)</f>
        <v>0</v>
      </c>
    </row>
    <row r="544" spans="2:30">
      <c r="B544" s="1">
        <f>WORKDAY(B543,1,Feriados!$A$2:A1186)</f>
        <v>45638</v>
      </c>
      <c r="C544" s="51">
        <f t="shared" ref="C544" si="693">AD544</f>
        <v>0</v>
      </c>
      <c r="D544" s="26">
        <v>0</v>
      </c>
      <c r="E544" s="26">
        <v>0</v>
      </c>
      <c r="F544" s="26">
        <v>0</v>
      </c>
      <c r="G544" s="26">
        <v>0</v>
      </c>
      <c r="H544" s="26">
        <v>0</v>
      </c>
      <c r="I544" s="26">
        <v>0</v>
      </c>
      <c r="J544" s="26">
        <v>0</v>
      </c>
      <c r="K544">
        <f>-VLOOKUP(B544,Resumo_HSF!$C$13:$AH$600,28,FALSE)</f>
        <v>0</v>
      </c>
      <c r="L544" s="26">
        <v>0</v>
      </c>
      <c r="M544" s="26">
        <v>0</v>
      </c>
      <c r="N544" s="26">
        <v>0</v>
      </c>
      <c r="O544" s="26">
        <v>0</v>
      </c>
      <c r="P544" s="26">
        <v>0</v>
      </c>
      <c r="Q544" s="26">
        <v>0</v>
      </c>
      <c r="R544" s="26">
        <v>0</v>
      </c>
      <c r="S544" s="26">
        <v>0</v>
      </c>
      <c r="T544" s="26">
        <v>0</v>
      </c>
      <c r="U544" s="26">
        <v>0</v>
      </c>
      <c r="V544" s="26">
        <v>0</v>
      </c>
      <c r="W544" s="26">
        <v>0</v>
      </c>
      <c r="X544" s="15">
        <f>-IF(VLOOKUP($B544,Resumo_HSF!$C$13:$AB$1000,16,FALSE)=VLOOKUP($B543,Resumo_HSF!$C$13:$AB$1000,16,FALSE),0,(VLOOKUP($B544,Resumo_HSF!$C$13:$AB$1000,16,FALSE)-VLOOKUP($B543,Resumo_HSF!$C$13:$AB$1000,16,FALSE))*VLOOKUP($B544,Resumo_HSF!$C$13:$AB$1000,15,FALSE))</f>
        <v>0</v>
      </c>
      <c r="Y544" s="26">
        <v>0</v>
      </c>
      <c r="Z544" s="26">
        <v>0</v>
      </c>
      <c r="AA544" s="26">
        <v>0</v>
      </c>
      <c r="AB544" s="26">
        <v>0</v>
      </c>
      <c r="AC544" s="26">
        <v>0</v>
      </c>
      <c r="AD544" s="15">
        <f t="shared" ref="AD544" si="694">SUM(D544:AB544)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BC8CF-6265-4C7B-86EA-58619BB02953}">
  <sheetPr codeName="Planilha3"/>
  <dimension ref="B13:V88"/>
  <sheetViews>
    <sheetView topLeftCell="A4" workbookViewId="0">
      <pane xSplit="2" ySplit="10" topLeftCell="C14" activePane="bottomRight" state="frozen"/>
      <selection pane="topRight" activeCell="C4" sqref="C4"/>
      <selection pane="bottomLeft" activeCell="A14" sqref="A14"/>
      <selection pane="bottomRight" activeCell="C12" sqref="C12"/>
    </sheetView>
  </sheetViews>
  <sheetFormatPr defaultRowHeight="15"/>
  <cols>
    <col min="2" max="2" width="9.7109375" bestFit="1" customWidth="1"/>
    <col min="3" max="17" width="12.7109375" customWidth="1"/>
    <col min="18" max="18" width="12.28515625" bestFit="1" customWidth="1"/>
    <col min="19" max="22" width="12.7109375" customWidth="1"/>
  </cols>
  <sheetData>
    <row r="13" spans="2:22" ht="36.75" thickBot="1">
      <c r="C13" s="21" t="s">
        <v>78</v>
      </c>
      <c r="D13" s="23" t="s">
        <v>66</v>
      </c>
      <c r="E13" s="21" t="s">
        <v>79</v>
      </c>
      <c r="F13" s="21" t="s">
        <v>80</v>
      </c>
      <c r="G13" s="21" t="s">
        <v>81</v>
      </c>
      <c r="H13" s="21" t="s">
        <v>82</v>
      </c>
      <c r="I13" s="23" t="s">
        <v>83</v>
      </c>
      <c r="J13" s="21" t="s">
        <v>84</v>
      </c>
      <c r="K13" s="21" t="s">
        <v>77</v>
      </c>
      <c r="L13" s="21" t="s">
        <v>86</v>
      </c>
      <c r="M13" s="21" t="s">
        <v>87</v>
      </c>
      <c r="N13" s="21" t="s">
        <v>88</v>
      </c>
      <c r="O13" s="21" t="s">
        <v>89</v>
      </c>
      <c r="P13" s="21" t="s">
        <v>71</v>
      </c>
      <c r="Q13" s="34" t="s">
        <v>101</v>
      </c>
      <c r="R13" s="34" t="s">
        <v>102</v>
      </c>
      <c r="S13" s="34" t="s">
        <v>27</v>
      </c>
      <c r="T13" s="34" t="s">
        <v>100</v>
      </c>
      <c r="U13" s="21"/>
      <c r="V13" s="21"/>
    </row>
    <row r="14" spans="2:22">
      <c r="B14" s="1">
        <v>44868</v>
      </c>
      <c r="D14" s="35"/>
      <c r="E14" s="35">
        <v>0</v>
      </c>
      <c r="G14" s="35">
        <v>0</v>
      </c>
      <c r="H14" s="35">
        <v>0</v>
      </c>
      <c r="I14" s="35">
        <v>0</v>
      </c>
      <c r="J14" s="35">
        <v>0</v>
      </c>
      <c r="K14" t="e">
        <f>Resumo_HSF!#REF!</f>
        <v>#REF!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35"/>
      <c r="R14" s="35"/>
      <c r="S14" s="35"/>
      <c r="T14" t="e">
        <f>SUM(C14:S14)</f>
        <v>#REF!</v>
      </c>
    </row>
    <row r="15" spans="2:22">
      <c r="B15" s="1">
        <f>WORKDAY($B14,1,Feriados!A2:A842)</f>
        <v>44869</v>
      </c>
      <c r="C15" t="e">
        <f>T14</f>
        <v>#REF!</v>
      </c>
    </row>
    <row r="16" spans="2:22">
      <c r="B16" s="1">
        <f>WORKDAY($B15,1,Feriados!A3:A843)</f>
        <v>44872</v>
      </c>
    </row>
    <row r="17" spans="2:2">
      <c r="B17" s="1">
        <f>WORKDAY($B16,1,Feriados!A4:A844)</f>
        <v>44873</v>
      </c>
    </row>
    <row r="18" spans="2:2">
      <c r="B18" s="1">
        <f>WORKDAY($B17,1,Feriados!A5:A845)</f>
        <v>44874</v>
      </c>
    </row>
    <row r="19" spans="2:2">
      <c r="B19" s="1">
        <f>WORKDAY($B18,1,Feriados!A6:A846)</f>
        <v>44875</v>
      </c>
    </row>
    <row r="20" spans="2:2">
      <c r="B20" s="1">
        <f>WORKDAY($B19,1,Feriados!A7:A847)</f>
        <v>44876</v>
      </c>
    </row>
    <row r="21" spans="2:2">
      <c r="B21" s="1">
        <f>WORKDAY($B20,1,Feriados!A8:A848)</f>
        <v>44879</v>
      </c>
    </row>
    <row r="22" spans="2:2">
      <c r="B22" s="1">
        <f>WORKDAY($B21,1,Feriados!A9:A849)</f>
        <v>44881</v>
      </c>
    </row>
    <row r="23" spans="2:2">
      <c r="B23" s="1">
        <f>WORKDAY($B22,1,Feriados!A10:A850)</f>
        <v>44882</v>
      </c>
    </row>
    <row r="24" spans="2:2">
      <c r="B24" s="1">
        <f>WORKDAY($B23,1,Feriados!A11:A851)</f>
        <v>44883</v>
      </c>
    </row>
    <row r="25" spans="2:2">
      <c r="B25" s="1">
        <f>WORKDAY($B24,1,Feriados!A12:A852)</f>
        <v>44886</v>
      </c>
    </row>
    <row r="26" spans="2:2">
      <c r="B26" s="1">
        <f>WORKDAY($B25,1,Feriados!A13:A853)</f>
        <v>44887</v>
      </c>
    </row>
    <row r="27" spans="2:2">
      <c r="B27" s="1">
        <f>WORKDAY($B26,1,Feriados!A14:A854)</f>
        <v>44888</v>
      </c>
    </row>
    <row r="28" spans="2:2">
      <c r="B28" s="1">
        <f>WORKDAY($B27,1,Feriados!A15:A855)</f>
        <v>44889</v>
      </c>
    </row>
    <row r="29" spans="2:2">
      <c r="B29" s="1">
        <f>WORKDAY($B28,1,Feriados!A16:A856)</f>
        <v>44890</v>
      </c>
    </row>
    <row r="30" spans="2:2">
      <c r="B30" s="1">
        <f>WORKDAY($B29,1,Feriados!A17:A857)</f>
        <v>44893</v>
      </c>
    </row>
    <row r="31" spans="2:2">
      <c r="B31" s="1">
        <f>WORKDAY($B30,1,Feriados!A18:A858)</f>
        <v>44894</v>
      </c>
    </row>
    <row r="32" spans="2:2">
      <c r="B32" s="1">
        <f>WORKDAY($B31,1,Feriados!A19:A859)</f>
        <v>44895</v>
      </c>
    </row>
    <row r="33" spans="2:3">
      <c r="B33" s="1">
        <f>WORKDAY($B32,1,Feriados!A20:A860)</f>
        <v>44896</v>
      </c>
    </row>
    <row r="34" spans="2:3">
      <c r="B34" s="1">
        <f>WORKDAY($B33,1,Feriados!A21:A861)</f>
        <v>44897</v>
      </c>
    </row>
    <row r="35" spans="2:3">
      <c r="B35" s="1"/>
    </row>
    <row r="36" spans="2:3">
      <c r="B36" s="1"/>
      <c r="C36" s="1"/>
    </row>
    <row r="37" spans="2:3">
      <c r="B37" s="1"/>
    </row>
    <row r="38" spans="2:3">
      <c r="B38" s="1"/>
    </row>
    <row r="39" spans="2:3">
      <c r="B39" s="1"/>
    </row>
    <row r="40" spans="2:3">
      <c r="B40" s="1"/>
    </row>
    <row r="41" spans="2:3">
      <c r="B41" s="1"/>
    </row>
    <row r="42" spans="2:3">
      <c r="B42" s="1"/>
    </row>
    <row r="43" spans="2:3">
      <c r="B43" s="1"/>
    </row>
    <row r="44" spans="2:3">
      <c r="B44" s="1"/>
    </row>
    <row r="45" spans="2:3">
      <c r="B45" s="1"/>
    </row>
    <row r="46" spans="2:3">
      <c r="B46" s="1"/>
    </row>
    <row r="47" spans="2:3">
      <c r="B47" s="1"/>
    </row>
    <row r="48" spans="2:3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</sheetData>
  <pageMargins left="0.7" right="0.7" top="0.75" bottom="0.75" header="0.3" footer="0.3"/>
  <ignoredErrors>
    <ignoredError sqref="B16:B34" formulaRange="1"/>
  </ignoredError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E880C-1BE9-4E32-9077-E505CC79C0EF}">
  <sheetPr codeName="Planilha9"/>
  <dimension ref="A7:N36"/>
  <sheetViews>
    <sheetView workbookViewId="0">
      <selection sqref="A1:XFD1048576"/>
    </sheetView>
  </sheetViews>
  <sheetFormatPr defaultColWidth="9.140625" defaultRowHeight="15"/>
  <cols>
    <col min="1" max="2" width="9.140625" style="83" customWidth="1"/>
    <col min="3" max="3" width="9.140625" style="83"/>
    <col min="4" max="4" width="9.140625" customWidth="1"/>
    <col min="5" max="16384" width="9.140625" style="83"/>
  </cols>
  <sheetData>
    <row r="7" spans="1:4" s="84" customFormat="1" ht="18" customHeight="1">
      <c r="A7" s="84" t="s">
        <v>161</v>
      </c>
    </row>
    <row r="8" spans="1:4" s="85" customFormat="1" ht="11.25">
      <c r="A8" s="85" t="s">
        <v>104</v>
      </c>
      <c r="B8" s="90" t="s">
        <v>228</v>
      </c>
    </row>
    <row r="11" spans="1:4" ht="12" thickBot="1">
      <c r="A11" s="106" t="s">
        <v>162</v>
      </c>
      <c r="B11" s="106"/>
      <c r="C11" s="106"/>
      <c r="D11" s="106"/>
    </row>
    <row r="12" spans="1:4" ht="11.25">
      <c r="A12" s="91" t="s">
        <v>105</v>
      </c>
      <c r="B12" s="91" t="s">
        <v>106</v>
      </c>
      <c r="C12" s="91" t="s">
        <v>107</v>
      </c>
      <c r="D12" s="91" t="s">
        <v>108</v>
      </c>
    </row>
    <row r="13" spans="1:4" ht="11.25">
      <c r="A13" s="92" t="s">
        <v>109</v>
      </c>
      <c r="B13" s="93">
        <v>8725403.6096999999</v>
      </c>
      <c r="C13" s="93">
        <v>-306696.2</v>
      </c>
      <c r="D13" s="94">
        <v>1.00003856700421</v>
      </c>
    </row>
    <row r="14" spans="1:4" ht="11.25">
      <c r="A14" s="92" t="s">
        <v>20</v>
      </c>
      <c r="B14" s="93">
        <v>-4236.62</v>
      </c>
      <c r="C14" s="93">
        <v>-480.64</v>
      </c>
      <c r="D14" s="94">
        <v>-4.8556875799205202E-4</v>
      </c>
    </row>
    <row r="15" spans="1:4" ht="11.25">
      <c r="A15" s="92" t="s">
        <v>110</v>
      </c>
      <c r="B15" s="93">
        <v>3900.1156999999998</v>
      </c>
      <c r="C15" s="93">
        <v>-48.7</v>
      </c>
      <c r="D15" s="94">
        <v>4.4700122656133901E-4</v>
      </c>
    </row>
    <row r="16" spans="1:4" ht="11.25">
      <c r="A16" s="92"/>
      <c r="B16" s="93"/>
      <c r="C16" s="93"/>
      <c r="D16" s="94"/>
    </row>
    <row r="18" spans="1:14" ht="12" thickBot="1">
      <c r="A18" s="106" t="s">
        <v>111</v>
      </c>
      <c r="B18" s="106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</row>
    <row r="19" spans="1:14" customFormat="1">
      <c r="A19" s="91" t="s">
        <v>43</v>
      </c>
      <c r="B19" s="91" t="s">
        <v>50</v>
      </c>
      <c r="C19" s="91" t="s">
        <v>112</v>
      </c>
      <c r="D19" s="91" t="s">
        <v>113</v>
      </c>
      <c r="E19" s="91" t="s">
        <v>114</v>
      </c>
      <c r="F19" s="91" t="s">
        <v>115</v>
      </c>
      <c r="G19" s="91" t="s">
        <v>116</v>
      </c>
      <c r="H19" s="91" t="s">
        <v>117</v>
      </c>
      <c r="I19" s="91" t="s">
        <v>118</v>
      </c>
      <c r="J19" s="91" t="s">
        <v>119</v>
      </c>
      <c r="K19" s="91" t="s">
        <v>120</v>
      </c>
      <c r="L19" s="91" t="s">
        <v>121</v>
      </c>
      <c r="M19" s="91" t="s">
        <v>47</v>
      </c>
      <c r="N19" s="91" t="s">
        <v>122</v>
      </c>
    </row>
    <row r="20" spans="1:14" ht="11.25">
      <c r="A20" s="93">
        <v>8725067.1056999993</v>
      </c>
      <c r="B20" s="95">
        <v>3.8201619999999998</v>
      </c>
      <c r="C20" s="96">
        <v>-3.4014000000000002</v>
      </c>
      <c r="D20" s="96">
        <v>-1.5134000000000001</v>
      </c>
      <c r="E20" s="96">
        <v>-5.7331000000000003</v>
      </c>
      <c r="F20" s="96">
        <v>-22.175599999999999</v>
      </c>
      <c r="G20" s="96">
        <v>-8106.8267999999998</v>
      </c>
      <c r="H20" s="96">
        <v>-400.09309999999999</v>
      </c>
      <c r="I20" s="96">
        <v>-119.4789</v>
      </c>
      <c r="J20" s="96">
        <v>-215.9213</v>
      </c>
      <c r="K20" s="93"/>
      <c r="L20" s="93"/>
      <c r="M20" s="97">
        <v>2283952.1146062999</v>
      </c>
      <c r="N20" s="95">
        <v>3.8201619999999998</v>
      </c>
    </row>
    <row r="21" spans="1:14" ht="11.25">
      <c r="A21" s="93"/>
      <c r="B21" s="95"/>
      <c r="C21" s="96"/>
      <c r="D21" s="96"/>
      <c r="E21" s="96"/>
      <c r="F21" s="96"/>
      <c r="G21" s="96"/>
      <c r="H21" s="96"/>
      <c r="I21" s="96"/>
      <c r="J21" s="96"/>
      <c r="K21" s="93"/>
      <c r="L21" s="93"/>
      <c r="M21" s="97"/>
      <c r="N21" s="95"/>
    </row>
    <row r="23" spans="1:14" ht="12" thickBot="1">
      <c r="A23" s="106" t="s">
        <v>126</v>
      </c>
      <c r="B23" s="106"/>
      <c r="C23" s="106"/>
      <c r="D23" s="106"/>
      <c r="E23" s="106"/>
      <c r="F23" s="106"/>
      <c r="G23" s="106"/>
      <c r="H23" s="106"/>
    </row>
    <row r="24" spans="1:14" ht="11.25">
      <c r="A24" s="91" t="s">
        <v>127</v>
      </c>
      <c r="B24" s="91" t="s">
        <v>128</v>
      </c>
      <c r="C24" s="91" t="s">
        <v>124</v>
      </c>
      <c r="D24" s="91" t="s">
        <v>123</v>
      </c>
      <c r="E24" s="91" t="s">
        <v>129</v>
      </c>
      <c r="F24" s="91" t="s">
        <v>106</v>
      </c>
      <c r="G24" s="91" t="s">
        <v>130</v>
      </c>
      <c r="H24" s="91" t="s">
        <v>131</v>
      </c>
    </row>
    <row r="25" spans="1:14" ht="11.25">
      <c r="A25" s="92" t="s">
        <v>132</v>
      </c>
      <c r="B25" s="92" t="s">
        <v>133</v>
      </c>
      <c r="C25" s="92" t="s">
        <v>75</v>
      </c>
      <c r="D25" s="96">
        <v>8926584.7745760009</v>
      </c>
      <c r="E25" s="96">
        <v>0.97435720000000003</v>
      </c>
      <c r="F25" s="93">
        <v>8697682.1466000006</v>
      </c>
      <c r="G25" s="98">
        <v>0.99680000000000002</v>
      </c>
      <c r="H25" s="99">
        <v>-3.4062012096366799E-2</v>
      </c>
    </row>
    <row r="26" spans="1:14" ht="11.25">
      <c r="A26" s="92" t="s">
        <v>134</v>
      </c>
      <c r="B26" s="92" t="s">
        <v>135</v>
      </c>
      <c r="C26" s="92" t="s">
        <v>76</v>
      </c>
      <c r="D26" s="96">
        <v>6140.4772331976601</v>
      </c>
      <c r="E26" s="96">
        <v>4.5145454000000003</v>
      </c>
      <c r="F26" s="93">
        <v>27721.463299999999</v>
      </c>
      <c r="G26" s="98">
        <v>3.0999999999999999E-3</v>
      </c>
      <c r="H26" s="99">
        <v>4.1237095125978802E-4</v>
      </c>
    </row>
    <row r="27" spans="1:14" ht="11.25">
      <c r="A27" s="92"/>
      <c r="B27" s="92"/>
      <c r="C27" s="92"/>
      <c r="D27" s="96"/>
      <c r="E27" s="96"/>
      <c r="F27" s="93"/>
      <c r="G27" s="98"/>
      <c r="H27" s="99"/>
    </row>
    <row r="29" spans="1:14" ht="12" thickBot="1">
      <c r="A29" s="106" t="s">
        <v>136</v>
      </c>
      <c r="B29" s="106"/>
      <c r="C29" s="106"/>
      <c r="D29" s="106"/>
    </row>
    <row r="30" spans="1:14" ht="11.25">
      <c r="A30" s="91" t="s">
        <v>137</v>
      </c>
      <c r="B30" s="91" t="s">
        <v>138</v>
      </c>
      <c r="C30" s="91" t="s">
        <v>139</v>
      </c>
      <c r="D30" s="91" t="s">
        <v>140</v>
      </c>
    </row>
    <row r="31" spans="1:14" ht="11.25">
      <c r="A31" s="92" t="s">
        <v>212</v>
      </c>
      <c r="B31" s="100" t="s">
        <v>211</v>
      </c>
      <c r="C31" s="100" t="s">
        <v>213</v>
      </c>
      <c r="D31" s="93">
        <v>57.087499999999999</v>
      </c>
    </row>
    <row r="32" spans="1:14" ht="11.25">
      <c r="A32" s="92" t="s">
        <v>215</v>
      </c>
      <c r="B32" s="100" t="s">
        <v>214</v>
      </c>
      <c r="C32" s="100" t="s">
        <v>216</v>
      </c>
      <c r="D32" s="93">
        <v>465.3981</v>
      </c>
    </row>
    <row r="33" spans="1:4" ht="11.25">
      <c r="A33" s="92" t="s">
        <v>219</v>
      </c>
      <c r="B33" s="100" t="s">
        <v>218</v>
      </c>
      <c r="C33" s="100" t="s">
        <v>220</v>
      </c>
      <c r="D33" s="93">
        <v>571.78</v>
      </c>
    </row>
    <row r="34" spans="1:4" ht="11.25">
      <c r="A34" s="92" t="s">
        <v>222</v>
      </c>
      <c r="B34" s="100" t="s">
        <v>221</v>
      </c>
      <c r="C34" s="100" t="s">
        <v>223</v>
      </c>
      <c r="D34" s="93">
        <v>2795.2408999999998</v>
      </c>
    </row>
    <row r="35" spans="1:4" ht="11.25">
      <c r="A35" s="92" t="s">
        <v>226</v>
      </c>
      <c r="B35" s="100" t="s">
        <v>225</v>
      </c>
      <c r="C35" s="100" t="s">
        <v>227</v>
      </c>
      <c r="D35" s="93">
        <v>10.6092</v>
      </c>
    </row>
    <row r="36" spans="1:4" ht="11.25">
      <c r="A36" s="92"/>
      <c r="B36" s="100"/>
      <c r="C36" s="100"/>
      <c r="D36" s="93"/>
    </row>
  </sheetData>
  <mergeCells count="4">
    <mergeCell ref="A11:D11"/>
    <mergeCell ref="A18:N18"/>
    <mergeCell ref="A23:H23"/>
    <mergeCell ref="A29:D29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8CD8D-BE9B-4837-92E4-B0E122E0E5E2}">
  <sheetPr codeName="Planilha7"/>
  <dimension ref="A1:O49"/>
  <sheetViews>
    <sheetView workbookViewId="0">
      <selection activeCell="J22" sqref="J22"/>
    </sheetView>
  </sheetViews>
  <sheetFormatPr defaultRowHeight="15"/>
  <cols>
    <col min="8" max="8" width="13.5703125" bestFit="1" customWidth="1"/>
    <col min="10" max="10" width="13.7109375" bestFit="1" customWidth="1"/>
    <col min="11" max="11" width="18.5703125" bestFit="1" customWidth="1"/>
  </cols>
  <sheetData>
    <row r="1" spans="1:15">
      <c r="A1" s="107" t="s">
        <v>141</v>
      </c>
      <c r="B1" s="107"/>
      <c r="C1" s="107"/>
      <c r="D1" s="107"/>
      <c r="E1" s="107"/>
      <c r="F1" s="107"/>
      <c r="G1" s="107"/>
      <c r="H1" s="107"/>
    </row>
    <row r="2" spans="1:15">
      <c r="A2" s="45"/>
    </row>
    <row r="3" spans="1:15">
      <c r="A3" s="46" t="s">
        <v>142</v>
      </c>
      <c r="B3" t="s">
        <v>143</v>
      </c>
      <c r="C3" t="s">
        <v>144</v>
      </c>
      <c r="D3" t="s">
        <v>145</v>
      </c>
      <c r="E3" t="s">
        <v>146</v>
      </c>
      <c r="F3" t="s">
        <v>147</v>
      </c>
      <c r="G3" t="s">
        <v>148</v>
      </c>
      <c r="H3" t="s">
        <v>149</v>
      </c>
      <c r="I3" t="s">
        <v>125</v>
      </c>
      <c r="J3" t="s">
        <v>150</v>
      </c>
      <c r="K3" t="s">
        <v>151</v>
      </c>
      <c r="L3" t="s">
        <v>152</v>
      </c>
      <c r="M3" t="s">
        <v>153</v>
      </c>
      <c r="N3" t="s">
        <v>154</v>
      </c>
      <c r="O3" t="s">
        <v>155</v>
      </c>
    </row>
    <row r="4" spans="1:15">
      <c r="A4" s="46" t="s">
        <v>156</v>
      </c>
      <c r="B4">
        <v>20221121</v>
      </c>
      <c r="C4">
        <v>100000</v>
      </c>
      <c r="D4">
        <v>20160120</v>
      </c>
      <c r="E4">
        <v>20230101</v>
      </c>
      <c r="F4">
        <v>13.737</v>
      </c>
      <c r="G4">
        <v>13.7216</v>
      </c>
      <c r="H4">
        <v>13.728199999999999</v>
      </c>
      <c r="I4">
        <v>984.80223999999998</v>
      </c>
      <c r="J4">
        <v>2.0492360552199999E-3</v>
      </c>
      <c r="K4">
        <v>13.609400000000001</v>
      </c>
      <c r="L4">
        <v>13.988799999999999</v>
      </c>
      <c r="M4">
        <v>13.6035</v>
      </c>
      <c r="N4">
        <v>13.981</v>
      </c>
      <c r="O4" t="s">
        <v>157</v>
      </c>
    </row>
    <row r="5" spans="1:15">
      <c r="A5" s="46" t="s">
        <v>156</v>
      </c>
      <c r="B5">
        <v>20221121</v>
      </c>
      <c r="C5">
        <v>100000</v>
      </c>
      <c r="D5">
        <v>20220107</v>
      </c>
      <c r="E5">
        <v>20230401</v>
      </c>
      <c r="F5">
        <v>13.8477</v>
      </c>
      <c r="G5">
        <v>13.8256</v>
      </c>
      <c r="H5">
        <v>13.834</v>
      </c>
      <c r="I5">
        <v>953.30737599999998</v>
      </c>
      <c r="J5">
        <v>1.02359660018E-2</v>
      </c>
      <c r="K5">
        <v>13.741</v>
      </c>
      <c r="L5">
        <v>14.293799999999999</v>
      </c>
      <c r="M5">
        <v>13.6868</v>
      </c>
      <c r="N5">
        <v>14.236700000000001</v>
      </c>
      <c r="O5" t="s">
        <v>157</v>
      </c>
    </row>
    <row r="6" spans="1:15">
      <c r="A6" s="46" t="s">
        <v>156</v>
      </c>
      <c r="B6">
        <v>20221121</v>
      </c>
      <c r="C6">
        <v>100000</v>
      </c>
      <c r="D6">
        <v>20190405</v>
      </c>
      <c r="E6">
        <v>20230701</v>
      </c>
      <c r="F6">
        <v>14.1425</v>
      </c>
      <c r="G6">
        <v>14.125</v>
      </c>
      <c r="H6">
        <v>14.134499999999999</v>
      </c>
      <c r="I6">
        <v>922.38423</v>
      </c>
      <c r="J6">
        <v>9.6210892314999995E-4</v>
      </c>
      <c r="K6">
        <v>13.9955</v>
      </c>
      <c r="L6">
        <v>14.7287</v>
      </c>
      <c r="M6">
        <v>13.924899999999999</v>
      </c>
      <c r="N6">
        <v>14.6563</v>
      </c>
      <c r="O6" t="s">
        <v>157</v>
      </c>
    </row>
    <row r="7" spans="1:15">
      <c r="A7" s="46" t="s">
        <v>156</v>
      </c>
      <c r="B7">
        <v>20221121</v>
      </c>
      <c r="C7">
        <v>100000</v>
      </c>
      <c r="D7">
        <v>20220708</v>
      </c>
      <c r="E7">
        <v>20231001</v>
      </c>
      <c r="F7">
        <v>14.233499999999999</v>
      </c>
      <c r="G7">
        <v>14.21</v>
      </c>
      <c r="H7">
        <v>14.217499999999999</v>
      </c>
      <c r="I7">
        <v>891.367254</v>
      </c>
      <c r="J7">
        <v>3.8926590025299998E-3</v>
      </c>
      <c r="K7">
        <v>14.026899999999999</v>
      </c>
      <c r="L7">
        <v>14.8361</v>
      </c>
      <c r="M7">
        <v>13.9694</v>
      </c>
      <c r="N7">
        <v>14.7774</v>
      </c>
      <c r="O7" t="s">
        <v>157</v>
      </c>
    </row>
    <row r="8" spans="1:15">
      <c r="A8" s="46" t="s">
        <v>156</v>
      </c>
      <c r="B8">
        <v>20221121</v>
      </c>
      <c r="C8">
        <v>100000</v>
      </c>
      <c r="D8">
        <v>20200103</v>
      </c>
      <c r="E8">
        <v>20240101</v>
      </c>
      <c r="F8">
        <v>14.2906</v>
      </c>
      <c r="G8">
        <v>14.2784</v>
      </c>
      <c r="H8">
        <v>14.286</v>
      </c>
      <c r="I8">
        <v>862.56817000000001</v>
      </c>
      <c r="J8">
        <v>1.4841207397000001E-3</v>
      </c>
      <c r="K8">
        <v>14.0845</v>
      </c>
      <c r="L8">
        <v>14.969799999999999</v>
      </c>
      <c r="M8">
        <v>14.0161</v>
      </c>
      <c r="N8">
        <v>14.8992</v>
      </c>
      <c r="O8" t="s">
        <v>157</v>
      </c>
    </row>
    <row r="9" spans="1:15">
      <c r="A9" s="46" t="s">
        <v>156</v>
      </c>
      <c r="B9">
        <v>20221121</v>
      </c>
      <c r="C9">
        <v>100000</v>
      </c>
      <c r="D9">
        <v>20220107</v>
      </c>
      <c r="E9">
        <v>20240401</v>
      </c>
      <c r="F9">
        <v>14.210699999999999</v>
      </c>
      <c r="G9">
        <v>14.1952</v>
      </c>
      <c r="H9">
        <v>14.205</v>
      </c>
      <c r="I9">
        <v>835.93184900000006</v>
      </c>
      <c r="J9">
        <v>0</v>
      </c>
      <c r="K9">
        <v>14.007</v>
      </c>
      <c r="L9">
        <v>15.0169</v>
      </c>
      <c r="M9">
        <v>13.9232</v>
      </c>
      <c r="N9">
        <v>14.9308</v>
      </c>
      <c r="O9" t="s">
        <v>157</v>
      </c>
    </row>
    <row r="10" spans="1:15">
      <c r="A10" s="46" t="s">
        <v>156</v>
      </c>
      <c r="B10">
        <v>20221121</v>
      </c>
      <c r="C10">
        <v>100000</v>
      </c>
      <c r="D10">
        <v>20210108</v>
      </c>
      <c r="E10">
        <v>20240701</v>
      </c>
      <c r="F10">
        <v>13.9963</v>
      </c>
      <c r="G10">
        <v>13.9755</v>
      </c>
      <c r="H10">
        <v>13.9839</v>
      </c>
      <c r="I10">
        <v>811.13939400000004</v>
      </c>
      <c r="J10">
        <v>5.7284793950899996E-3</v>
      </c>
      <c r="K10">
        <v>13.7843</v>
      </c>
      <c r="L10">
        <v>14.9255</v>
      </c>
      <c r="M10">
        <v>13.6645</v>
      </c>
      <c r="N10">
        <v>14.803900000000001</v>
      </c>
      <c r="O10" t="s">
        <v>157</v>
      </c>
    </row>
    <row r="11" spans="1:15">
      <c r="A11" s="46" t="s">
        <v>156</v>
      </c>
      <c r="B11">
        <v>20221121</v>
      </c>
      <c r="C11">
        <v>100000</v>
      </c>
      <c r="D11">
        <v>20220708</v>
      </c>
      <c r="E11">
        <v>20241001</v>
      </c>
      <c r="F11">
        <v>13.806100000000001</v>
      </c>
      <c r="G11">
        <v>13.792999999999999</v>
      </c>
      <c r="H11">
        <v>13.8</v>
      </c>
      <c r="I11">
        <v>786.16374499999995</v>
      </c>
      <c r="J11">
        <v>0</v>
      </c>
      <c r="K11">
        <v>13.602600000000001</v>
      </c>
      <c r="L11">
        <v>14.782299999999999</v>
      </c>
      <c r="M11">
        <v>13.4581</v>
      </c>
      <c r="N11">
        <v>14.6378</v>
      </c>
      <c r="O11" t="s">
        <v>157</v>
      </c>
    </row>
    <row r="12" spans="1:15">
      <c r="A12" s="46" t="s">
        <v>156</v>
      </c>
      <c r="B12">
        <v>20221121</v>
      </c>
      <c r="C12">
        <v>100000</v>
      </c>
      <c r="D12">
        <v>20180201</v>
      </c>
      <c r="E12">
        <v>20250101</v>
      </c>
      <c r="F12">
        <v>13.5764</v>
      </c>
      <c r="G12">
        <v>13.5564</v>
      </c>
      <c r="H12">
        <v>13.566800000000001</v>
      </c>
      <c r="I12">
        <v>764.08016799999996</v>
      </c>
      <c r="J12">
        <v>3.70888769579E-3</v>
      </c>
      <c r="K12">
        <v>13.363799999999999</v>
      </c>
      <c r="L12">
        <v>14.556900000000001</v>
      </c>
      <c r="M12">
        <v>13.196300000000001</v>
      </c>
      <c r="N12">
        <v>14.3893</v>
      </c>
      <c r="O12" t="s">
        <v>157</v>
      </c>
    </row>
    <row r="13" spans="1:15">
      <c r="A13" s="46" t="s">
        <v>156</v>
      </c>
      <c r="B13">
        <v>20221121</v>
      </c>
      <c r="C13">
        <v>100000</v>
      </c>
      <c r="D13">
        <v>20220107</v>
      </c>
      <c r="E13">
        <v>20250701</v>
      </c>
      <c r="F13">
        <v>13.514099999999999</v>
      </c>
      <c r="G13">
        <v>13.496700000000001</v>
      </c>
      <c r="H13">
        <v>13.5045</v>
      </c>
      <c r="I13">
        <v>719.464969</v>
      </c>
      <c r="J13">
        <v>3.7156107371500002E-3</v>
      </c>
      <c r="K13">
        <v>13.2906</v>
      </c>
      <c r="L13">
        <v>14.470700000000001</v>
      </c>
      <c r="M13">
        <v>13.104200000000001</v>
      </c>
      <c r="N13">
        <v>14.284700000000001</v>
      </c>
      <c r="O13" t="s">
        <v>157</v>
      </c>
    </row>
    <row r="14" spans="1:15">
      <c r="A14" s="46" t="s">
        <v>156</v>
      </c>
      <c r="B14">
        <v>20221121</v>
      </c>
      <c r="C14">
        <v>100000</v>
      </c>
      <c r="D14">
        <v>20200203</v>
      </c>
      <c r="E14">
        <v>20260101</v>
      </c>
      <c r="F14">
        <v>13.494300000000001</v>
      </c>
      <c r="G14">
        <v>13.482900000000001</v>
      </c>
      <c r="H14">
        <v>13.4872</v>
      </c>
      <c r="I14">
        <v>673.93507699999998</v>
      </c>
      <c r="J14">
        <v>1.74239711317E-3</v>
      </c>
      <c r="K14">
        <v>13.2538</v>
      </c>
      <c r="L14">
        <v>14.3941</v>
      </c>
      <c r="M14">
        <v>13.0753</v>
      </c>
      <c r="N14">
        <v>14.2159</v>
      </c>
      <c r="O14" t="s">
        <v>157</v>
      </c>
    </row>
    <row r="15" spans="1:15">
      <c r="A15" s="46" t="s">
        <v>158</v>
      </c>
      <c r="B15">
        <v>20221121</v>
      </c>
      <c r="C15">
        <v>770100</v>
      </c>
      <c r="D15">
        <v>20000701</v>
      </c>
      <c r="E15">
        <v>20310101</v>
      </c>
      <c r="F15">
        <v>5.4127999999999998</v>
      </c>
      <c r="G15">
        <v>4.7557</v>
      </c>
      <c r="H15">
        <v>4.78</v>
      </c>
      <c r="I15">
        <v>9523.5300370000004</v>
      </c>
      <c r="J15">
        <v>5.1327161425509998E-2</v>
      </c>
      <c r="K15">
        <v>4.1223999999999998</v>
      </c>
      <c r="L15">
        <v>5.2161</v>
      </c>
      <c r="M15">
        <v>4.2290999999999999</v>
      </c>
      <c r="N15">
        <v>5.3261000000000003</v>
      </c>
      <c r="O15" t="s">
        <v>157</v>
      </c>
    </row>
    <row r="16" spans="1:15">
      <c r="A16" s="46" t="s">
        <v>37</v>
      </c>
      <c r="B16">
        <v>20221121</v>
      </c>
      <c r="C16">
        <v>210100</v>
      </c>
      <c r="D16">
        <v>20000701</v>
      </c>
      <c r="E16">
        <v>20230301</v>
      </c>
      <c r="F16">
        <v>0.02</v>
      </c>
      <c r="G16">
        <v>1.54E-2</v>
      </c>
      <c r="H16">
        <v>1.77E-2</v>
      </c>
      <c r="I16">
        <v>12437.499899</v>
      </c>
      <c r="J16">
        <v>6.2044529975999998E-4</v>
      </c>
      <c r="K16">
        <v>-5.4600000000000003E-2</v>
      </c>
      <c r="L16">
        <v>5.0299999999999997E-2</v>
      </c>
      <c r="M16">
        <v>-5.5399999999999998E-2</v>
      </c>
      <c r="N16">
        <v>4.9700000000000001E-2</v>
      </c>
      <c r="O16" t="s">
        <v>157</v>
      </c>
    </row>
    <row r="17" spans="1:15">
      <c r="A17" s="46" t="s">
        <v>37</v>
      </c>
      <c r="B17">
        <v>20221121</v>
      </c>
      <c r="C17">
        <v>210100</v>
      </c>
      <c r="D17">
        <v>20000701</v>
      </c>
      <c r="E17">
        <v>20230901</v>
      </c>
      <c r="F17">
        <v>1.9800000000000002E-2</v>
      </c>
      <c r="G17">
        <v>1.4999999999999999E-2</v>
      </c>
      <c r="H17">
        <v>1.7500000000000002E-2</v>
      </c>
      <c r="I17">
        <v>12436.405344999999</v>
      </c>
      <c r="J17">
        <v>0</v>
      </c>
      <c r="K17">
        <v>-2.5100000000000001E-2</v>
      </c>
      <c r="L17">
        <v>3.1399999999999997E-2</v>
      </c>
      <c r="M17">
        <v>-2.5499999999999998E-2</v>
      </c>
      <c r="N17">
        <v>3.09E-2</v>
      </c>
      <c r="O17" t="s">
        <v>157</v>
      </c>
    </row>
    <row r="18" spans="1:15">
      <c r="A18" s="46" t="s">
        <v>37</v>
      </c>
      <c r="B18">
        <v>20221121</v>
      </c>
      <c r="C18">
        <v>210100</v>
      </c>
      <c r="D18">
        <v>20000701</v>
      </c>
      <c r="E18">
        <v>20240301</v>
      </c>
      <c r="F18">
        <v>2.1999999999999999E-2</v>
      </c>
      <c r="G18">
        <v>1.4999999999999999E-2</v>
      </c>
      <c r="H18">
        <v>1.9099999999999999E-2</v>
      </c>
      <c r="I18">
        <v>12435.099342</v>
      </c>
      <c r="J18">
        <v>1.1949454924799999E-3</v>
      </c>
      <c r="K18">
        <v>-9.4000000000000004E-3</v>
      </c>
      <c r="L18">
        <v>3.2399999999999998E-2</v>
      </c>
      <c r="M18">
        <v>-9.4000000000000004E-3</v>
      </c>
      <c r="N18">
        <v>3.1899999999999998E-2</v>
      </c>
      <c r="O18" t="s">
        <v>157</v>
      </c>
    </row>
    <row r="19" spans="1:15">
      <c r="A19" s="46" t="s">
        <v>37</v>
      </c>
      <c r="B19">
        <v>20221121</v>
      </c>
      <c r="C19">
        <v>210100</v>
      </c>
      <c r="D19">
        <v>20000701</v>
      </c>
      <c r="E19">
        <v>20240901</v>
      </c>
      <c r="F19">
        <v>2.1700000000000001E-2</v>
      </c>
      <c r="G19">
        <v>1.5299999999999999E-2</v>
      </c>
      <c r="H19">
        <v>1.9199999999999998E-2</v>
      </c>
      <c r="I19">
        <v>12433.867968</v>
      </c>
      <c r="J19">
        <v>1.07128795849E-3</v>
      </c>
      <c r="K19">
        <v>5.7999999999999996E-3</v>
      </c>
      <c r="L19">
        <v>5.0599999999999999E-2</v>
      </c>
      <c r="M19">
        <v>5.5999999999999999E-3</v>
      </c>
      <c r="N19">
        <v>5.04E-2</v>
      </c>
      <c r="O19" t="s">
        <v>157</v>
      </c>
    </row>
    <row r="20" spans="1:15">
      <c r="A20" s="46" t="s">
        <v>37</v>
      </c>
      <c r="B20">
        <v>20221121</v>
      </c>
      <c r="C20">
        <v>210100</v>
      </c>
      <c r="D20">
        <v>20000701</v>
      </c>
      <c r="E20">
        <v>20250301</v>
      </c>
      <c r="F20">
        <v>3.9699999999999999E-2</v>
      </c>
      <c r="G20">
        <v>3.5000000000000003E-2</v>
      </c>
      <c r="H20">
        <v>3.7499999999999999E-2</v>
      </c>
      <c r="I20">
        <v>12427.474773</v>
      </c>
      <c r="J20">
        <v>2.4970568676000002E-4</v>
      </c>
      <c r="K20">
        <v>2.3300000000000001E-2</v>
      </c>
      <c r="L20">
        <v>7.0900000000000005E-2</v>
      </c>
      <c r="M20">
        <v>2.3300000000000001E-2</v>
      </c>
      <c r="N20">
        <v>7.0699999999999999E-2</v>
      </c>
      <c r="O20" t="s">
        <v>157</v>
      </c>
    </row>
    <row r="21" spans="1:15">
      <c r="A21" s="46" t="s">
        <v>37</v>
      </c>
      <c r="B21">
        <v>20221121</v>
      </c>
      <c r="C21">
        <v>210100</v>
      </c>
      <c r="D21">
        <v>20000701</v>
      </c>
      <c r="E21">
        <v>20250901</v>
      </c>
      <c r="F21">
        <v>6.8000000000000005E-2</v>
      </c>
      <c r="G21">
        <v>6.2E-2</v>
      </c>
      <c r="H21">
        <v>6.5100000000000005E-2</v>
      </c>
      <c r="I21">
        <v>12415.683434</v>
      </c>
      <c r="J21">
        <v>8.4614320892000005E-4</v>
      </c>
      <c r="K21">
        <v>5.0900000000000001E-2</v>
      </c>
      <c r="L21">
        <v>8.6300000000000002E-2</v>
      </c>
      <c r="M21">
        <v>5.0900000000000001E-2</v>
      </c>
      <c r="N21">
        <v>8.6099999999999996E-2</v>
      </c>
      <c r="O21" t="s">
        <v>157</v>
      </c>
    </row>
    <row r="22" spans="1:15">
      <c r="A22" s="46" t="s">
        <v>37</v>
      </c>
      <c r="B22">
        <v>20221121</v>
      </c>
      <c r="C22">
        <v>210100</v>
      </c>
      <c r="D22">
        <v>20000701</v>
      </c>
      <c r="E22">
        <v>20260301</v>
      </c>
      <c r="F22">
        <v>9.98E-2</v>
      </c>
      <c r="G22">
        <v>9.5299999999999996E-2</v>
      </c>
      <c r="H22">
        <v>9.7199999999999995E-2</v>
      </c>
      <c r="I22">
        <v>12398.618331</v>
      </c>
      <c r="J22">
        <v>3.5251807045999999E-4</v>
      </c>
      <c r="K22">
        <v>6.8199999999999997E-2</v>
      </c>
      <c r="L22">
        <v>0.1125</v>
      </c>
      <c r="M22">
        <v>6.8099999999999994E-2</v>
      </c>
      <c r="N22">
        <v>0.11260000000000001</v>
      </c>
      <c r="O22" t="s">
        <v>157</v>
      </c>
    </row>
    <row r="23" spans="1:15">
      <c r="A23" s="46" t="s">
        <v>37</v>
      </c>
      <c r="B23">
        <v>20221121</v>
      </c>
      <c r="C23">
        <v>210100</v>
      </c>
      <c r="D23">
        <v>20000701</v>
      </c>
      <c r="E23">
        <v>20260901</v>
      </c>
      <c r="F23">
        <v>9.9699999999999997E-2</v>
      </c>
      <c r="G23">
        <v>9.5000000000000001E-2</v>
      </c>
      <c r="H23">
        <v>9.7199999999999995E-2</v>
      </c>
      <c r="I23">
        <v>12392.548527000001</v>
      </c>
      <c r="J23">
        <v>3.0560071988999999E-4</v>
      </c>
      <c r="K23">
        <v>8.0199999999999994E-2</v>
      </c>
      <c r="L23">
        <v>0.13830000000000001</v>
      </c>
      <c r="M23">
        <v>8.0199999999999994E-2</v>
      </c>
      <c r="N23">
        <v>0.13830000000000001</v>
      </c>
      <c r="O23" t="s">
        <v>157</v>
      </c>
    </row>
    <row r="24" spans="1:15">
      <c r="A24" s="46" t="s">
        <v>37</v>
      </c>
      <c r="B24">
        <v>20221121</v>
      </c>
      <c r="C24">
        <v>210100</v>
      </c>
      <c r="D24">
        <v>20000701</v>
      </c>
      <c r="E24">
        <v>20270301</v>
      </c>
      <c r="F24">
        <v>0.14799999999999999</v>
      </c>
      <c r="G24">
        <v>0.14199999999999999</v>
      </c>
      <c r="H24">
        <v>0.14460000000000001</v>
      </c>
      <c r="I24">
        <v>12361.751738000001</v>
      </c>
      <c r="J24">
        <v>3.8748812885000002E-4</v>
      </c>
      <c r="K24">
        <v>9.4E-2</v>
      </c>
      <c r="L24">
        <v>0.15840000000000001</v>
      </c>
      <c r="M24">
        <v>9.3799999999999994E-2</v>
      </c>
      <c r="N24">
        <v>0.1585</v>
      </c>
      <c r="O24" t="s">
        <v>157</v>
      </c>
    </row>
    <row r="25" spans="1:15">
      <c r="A25" s="46" t="s">
        <v>37</v>
      </c>
      <c r="B25">
        <v>20221121</v>
      </c>
      <c r="C25">
        <v>210100</v>
      </c>
      <c r="D25">
        <v>20000701</v>
      </c>
      <c r="E25">
        <v>20270901</v>
      </c>
      <c r="F25">
        <v>0.14990000000000001</v>
      </c>
      <c r="G25">
        <v>0.14499999999999999</v>
      </c>
      <c r="H25">
        <v>0.14760000000000001</v>
      </c>
      <c r="I25">
        <v>12350.843505000001</v>
      </c>
      <c r="J25">
        <v>2.4524895514999999E-4</v>
      </c>
      <c r="K25">
        <v>0.1203</v>
      </c>
      <c r="L25">
        <v>0.161</v>
      </c>
      <c r="M25">
        <v>0.1202</v>
      </c>
      <c r="N25">
        <v>0.161</v>
      </c>
      <c r="O25" t="s">
        <v>157</v>
      </c>
    </row>
    <row r="26" spans="1:15">
      <c r="A26" s="46" t="s">
        <v>37</v>
      </c>
      <c r="B26">
        <v>20221121</v>
      </c>
      <c r="C26">
        <v>210100</v>
      </c>
      <c r="D26">
        <v>20000701</v>
      </c>
      <c r="E26">
        <v>20280301</v>
      </c>
      <c r="F26">
        <v>0.153</v>
      </c>
      <c r="G26">
        <v>0.14849999999999999</v>
      </c>
      <c r="H26">
        <v>0.15010000000000001</v>
      </c>
      <c r="I26">
        <v>12340.258663000001</v>
      </c>
      <c r="J26">
        <v>2.4281336454E-4</v>
      </c>
      <c r="K26">
        <v>0.13250000000000001</v>
      </c>
      <c r="L26">
        <v>0.17280000000000001</v>
      </c>
      <c r="M26">
        <v>0.13189999999999999</v>
      </c>
      <c r="N26">
        <v>0.17299999999999999</v>
      </c>
      <c r="O26" t="s">
        <v>157</v>
      </c>
    </row>
    <row r="27" spans="1:15">
      <c r="A27" s="46" t="s">
        <v>37</v>
      </c>
      <c r="B27">
        <v>20221121</v>
      </c>
      <c r="C27">
        <v>210100</v>
      </c>
      <c r="D27">
        <v>20000701</v>
      </c>
      <c r="E27">
        <v>20280901</v>
      </c>
      <c r="F27">
        <v>0.16309999999999999</v>
      </c>
      <c r="G27">
        <v>0.159</v>
      </c>
      <c r="H27">
        <v>0.161</v>
      </c>
      <c r="I27">
        <v>12323.118931000001</v>
      </c>
      <c r="J27">
        <v>0</v>
      </c>
      <c r="K27">
        <v>0.14080000000000001</v>
      </c>
      <c r="L27">
        <v>0.1847</v>
      </c>
      <c r="M27">
        <v>0.14030000000000001</v>
      </c>
      <c r="N27">
        <v>0.18459999999999999</v>
      </c>
      <c r="O27" t="s">
        <v>157</v>
      </c>
    </row>
    <row r="28" spans="1:15">
      <c r="A28" s="46" t="s">
        <v>37</v>
      </c>
      <c r="B28">
        <v>20221121</v>
      </c>
      <c r="C28">
        <v>210100</v>
      </c>
      <c r="D28">
        <v>20000701</v>
      </c>
      <c r="E28">
        <v>20290301</v>
      </c>
      <c r="F28">
        <v>0.17399999999999999</v>
      </c>
      <c r="G28">
        <v>0.1706</v>
      </c>
      <c r="H28">
        <v>0.1724</v>
      </c>
      <c r="I28">
        <v>12304.847330000001</v>
      </c>
      <c r="J28">
        <v>3.7924071511000001E-4</v>
      </c>
      <c r="K28">
        <v>0.15010000000000001</v>
      </c>
      <c r="L28">
        <v>0.1961</v>
      </c>
      <c r="M28">
        <v>0.14960000000000001</v>
      </c>
      <c r="N28">
        <v>0.19570000000000001</v>
      </c>
      <c r="O28" t="s">
        <v>157</v>
      </c>
    </row>
    <row r="29" spans="1:15">
      <c r="A29" s="46" t="s">
        <v>159</v>
      </c>
      <c r="B29">
        <v>20221121</v>
      </c>
      <c r="C29">
        <v>760100</v>
      </c>
      <c r="D29">
        <v>20000715</v>
      </c>
      <c r="E29">
        <v>20230315</v>
      </c>
      <c r="F29">
        <v>5.5415999999999999</v>
      </c>
      <c r="G29">
        <v>5.5099</v>
      </c>
      <c r="H29">
        <v>5.5099</v>
      </c>
      <c r="I29">
        <v>4019.612376</v>
      </c>
      <c r="J29">
        <v>3.7763528735410001E-2</v>
      </c>
      <c r="K29">
        <v>4.5640999999999998</v>
      </c>
      <c r="L29">
        <v>6.9627999999999997</v>
      </c>
      <c r="M29">
        <v>4.6791999999999998</v>
      </c>
      <c r="N29">
        <v>7.0960000000000001</v>
      </c>
      <c r="O29" t="s">
        <v>157</v>
      </c>
    </row>
    <row r="30" spans="1:15">
      <c r="A30" s="46" t="s">
        <v>159</v>
      </c>
      <c r="B30">
        <v>20221121</v>
      </c>
      <c r="C30">
        <v>760199</v>
      </c>
      <c r="D30">
        <v>20000715</v>
      </c>
      <c r="E30">
        <v>20230515</v>
      </c>
      <c r="F30">
        <v>5.5232999999999999</v>
      </c>
      <c r="G30">
        <v>5.4621000000000004</v>
      </c>
      <c r="H30">
        <v>5.4881000000000002</v>
      </c>
      <c r="I30">
        <v>3985.9283300000002</v>
      </c>
      <c r="J30">
        <v>4.6350162984500003E-2</v>
      </c>
      <c r="K30">
        <v>4.7491000000000003</v>
      </c>
      <c r="L30">
        <v>6.5301</v>
      </c>
      <c r="M30">
        <v>4.8457999999999997</v>
      </c>
      <c r="N30">
        <v>6.6401000000000003</v>
      </c>
      <c r="O30" t="s">
        <v>157</v>
      </c>
    </row>
    <row r="31" spans="1:15">
      <c r="A31" s="46" t="s">
        <v>159</v>
      </c>
      <c r="B31">
        <v>20221121</v>
      </c>
      <c r="C31">
        <v>760199</v>
      </c>
      <c r="D31">
        <v>20000715</v>
      </c>
      <c r="E31">
        <v>20240815</v>
      </c>
      <c r="F31">
        <v>6.7020999999999997</v>
      </c>
      <c r="G31">
        <v>6.6711</v>
      </c>
      <c r="H31">
        <v>6.6871999999999998</v>
      </c>
      <c r="I31">
        <v>3991.3848119999998</v>
      </c>
      <c r="J31">
        <v>4.7437327074799996E-3</v>
      </c>
      <c r="K31">
        <v>6.4461000000000004</v>
      </c>
      <c r="L31">
        <v>7.1639999999999997</v>
      </c>
      <c r="M31">
        <v>6.4227999999999996</v>
      </c>
      <c r="N31">
        <v>7.1413000000000002</v>
      </c>
      <c r="O31" t="s">
        <v>157</v>
      </c>
    </row>
    <row r="32" spans="1:15">
      <c r="A32" s="46" t="s">
        <v>159</v>
      </c>
      <c r="B32">
        <v>20221121</v>
      </c>
      <c r="C32">
        <v>760199</v>
      </c>
      <c r="D32">
        <v>20000715</v>
      </c>
      <c r="E32">
        <v>20250515</v>
      </c>
      <c r="F32">
        <v>6.2115</v>
      </c>
      <c r="G32">
        <v>6.181</v>
      </c>
      <c r="H32">
        <v>6.1933999999999996</v>
      </c>
      <c r="I32">
        <v>3960.5640279999998</v>
      </c>
      <c r="J32">
        <v>6.1713559328600001E-3</v>
      </c>
      <c r="K32">
        <v>5.9855</v>
      </c>
      <c r="L32">
        <v>6.6506999999999996</v>
      </c>
      <c r="M32">
        <v>5.9192999999999998</v>
      </c>
      <c r="N32">
        <v>6.5848000000000004</v>
      </c>
      <c r="O32" t="s">
        <v>157</v>
      </c>
    </row>
    <row r="33" spans="1:15">
      <c r="A33" s="46" t="s">
        <v>159</v>
      </c>
      <c r="B33">
        <v>20221121</v>
      </c>
      <c r="C33">
        <v>760199</v>
      </c>
      <c r="D33">
        <v>20000715</v>
      </c>
      <c r="E33">
        <v>20260815</v>
      </c>
      <c r="F33">
        <v>6.1200999999999999</v>
      </c>
      <c r="G33">
        <v>6.0911</v>
      </c>
      <c r="H33">
        <v>6.1060999999999996</v>
      </c>
      <c r="I33">
        <v>4019.6520890000002</v>
      </c>
      <c r="J33">
        <v>5.87500077021E-3</v>
      </c>
      <c r="K33">
        <v>5.8691000000000004</v>
      </c>
      <c r="L33">
        <v>6.4615999999999998</v>
      </c>
      <c r="M33">
        <v>5.8159000000000001</v>
      </c>
      <c r="N33">
        <v>6.4085000000000001</v>
      </c>
      <c r="O33" t="s">
        <v>157</v>
      </c>
    </row>
    <row r="34" spans="1:15">
      <c r="A34" s="46" t="s">
        <v>159</v>
      </c>
      <c r="B34">
        <v>20221121</v>
      </c>
      <c r="C34">
        <v>760199</v>
      </c>
      <c r="D34">
        <v>20000715</v>
      </c>
      <c r="E34">
        <v>20270515</v>
      </c>
      <c r="F34">
        <v>6.1352000000000002</v>
      </c>
      <c r="G34">
        <v>6.1059999999999999</v>
      </c>
      <c r="H34">
        <v>6.1188000000000002</v>
      </c>
      <c r="I34">
        <v>3959.5315059999998</v>
      </c>
      <c r="J34">
        <v>6.2594592442200003E-3</v>
      </c>
      <c r="K34">
        <v>5.8570000000000002</v>
      </c>
      <c r="L34">
        <v>6.4332000000000003</v>
      </c>
      <c r="M34">
        <v>5.8120000000000003</v>
      </c>
      <c r="N34">
        <v>6.3883000000000001</v>
      </c>
      <c r="O34" t="s">
        <v>157</v>
      </c>
    </row>
    <row r="35" spans="1:15">
      <c r="A35" s="46" t="s">
        <v>159</v>
      </c>
      <c r="B35">
        <v>20221121</v>
      </c>
      <c r="C35">
        <v>760199</v>
      </c>
      <c r="D35">
        <v>20000715</v>
      </c>
      <c r="E35">
        <v>20280815</v>
      </c>
      <c r="F35">
        <v>6.1162999999999998</v>
      </c>
      <c r="G35">
        <v>6.077</v>
      </c>
      <c r="H35">
        <v>6.0940000000000003</v>
      </c>
      <c r="I35">
        <v>4017.9643120000001</v>
      </c>
      <c r="J35">
        <v>8.0953336478500008E-3</v>
      </c>
      <c r="K35">
        <v>5.8247</v>
      </c>
      <c r="L35">
        <v>6.3662000000000001</v>
      </c>
      <c r="M35">
        <v>5.7868000000000004</v>
      </c>
      <c r="N35">
        <v>6.3284000000000002</v>
      </c>
      <c r="O35" t="s">
        <v>157</v>
      </c>
    </row>
    <row r="36" spans="1:15">
      <c r="A36" s="46" t="s">
        <v>159</v>
      </c>
      <c r="B36">
        <v>20221121</v>
      </c>
      <c r="C36">
        <v>760199</v>
      </c>
      <c r="D36">
        <v>20000715</v>
      </c>
      <c r="E36">
        <v>20300815</v>
      </c>
      <c r="F36">
        <v>6.1043000000000003</v>
      </c>
      <c r="G36">
        <v>6.0644</v>
      </c>
      <c r="H36">
        <v>6.0869</v>
      </c>
      <c r="I36">
        <v>4017.3725979999999</v>
      </c>
      <c r="J36">
        <v>7.2912116043900004E-3</v>
      </c>
      <c r="K36">
        <v>5.8418000000000001</v>
      </c>
      <c r="L36">
        <v>6.3273000000000001</v>
      </c>
      <c r="M36">
        <v>5.8079999999999998</v>
      </c>
      <c r="N36">
        <v>6.2935999999999996</v>
      </c>
      <c r="O36" t="s">
        <v>157</v>
      </c>
    </row>
    <row r="37" spans="1:15">
      <c r="A37" s="46" t="s">
        <v>159</v>
      </c>
      <c r="B37">
        <v>20221121</v>
      </c>
      <c r="C37">
        <v>760199</v>
      </c>
      <c r="D37">
        <v>20000715</v>
      </c>
      <c r="E37">
        <v>20320815</v>
      </c>
      <c r="F37">
        <v>6.1616</v>
      </c>
      <c r="G37">
        <v>6.1211000000000002</v>
      </c>
      <c r="H37">
        <v>6.1414999999999997</v>
      </c>
      <c r="I37">
        <v>3997.0279420000002</v>
      </c>
      <c r="J37">
        <v>7.7332011483000002E-3</v>
      </c>
      <c r="K37">
        <v>5.9260999999999999</v>
      </c>
      <c r="L37">
        <v>6.3752000000000004</v>
      </c>
      <c r="M37">
        <v>5.8853999999999997</v>
      </c>
      <c r="N37">
        <v>6.3345000000000002</v>
      </c>
      <c r="O37" t="s">
        <v>157</v>
      </c>
    </row>
    <row r="38" spans="1:15">
      <c r="A38" s="46" t="s">
        <v>159</v>
      </c>
      <c r="B38">
        <v>20221121</v>
      </c>
      <c r="C38">
        <v>760199</v>
      </c>
      <c r="D38">
        <v>20000715</v>
      </c>
      <c r="E38">
        <v>20350515</v>
      </c>
      <c r="F38">
        <v>6.1588000000000003</v>
      </c>
      <c r="G38">
        <v>6.1261000000000001</v>
      </c>
      <c r="H38">
        <v>6.14</v>
      </c>
      <c r="I38">
        <v>3934.8621710000002</v>
      </c>
      <c r="J38">
        <v>0</v>
      </c>
      <c r="K38">
        <v>5.9385000000000003</v>
      </c>
      <c r="L38">
        <v>6.3559000000000001</v>
      </c>
      <c r="M38">
        <v>5.9055999999999997</v>
      </c>
      <c r="N38">
        <v>6.3230000000000004</v>
      </c>
      <c r="O38" t="s">
        <v>157</v>
      </c>
    </row>
    <row r="39" spans="1:15">
      <c r="A39" s="46" t="s">
        <v>159</v>
      </c>
      <c r="B39">
        <v>20221121</v>
      </c>
      <c r="C39">
        <v>760199</v>
      </c>
      <c r="D39">
        <v>20000715</v>
      </c>
      <c r="E39">
        <v>20400815</v>
      </c>
      <c r="F39">
        <v>6.1280999999999999</v>
      </c>
      <c r="G39">
        <v>6.0880000000000001</v>
      </c>
      <c r="H39">
        <v>6.1081000000000003</v>
      </c>
      <c r="I39">
        <v>3994.7007960000001</v>
      </c>
      <c r="J39">
        <v>3.88596847388E-3</v>
      </c>
      <c r="K39">
        <v>5.9151999999999996</v>
      </c>
      <c r="L39">
        <v>6.2988</v>
      </c>
      <c r="M39">
        <v>5.8978999999999999</v>
      </c>
      <c r="N39">
        <v>6.2812999999999999</v>
      </c>
      <c r="O39" t="s">
        <v>157</v>
      </c>
    </row>
    <row r="40" spans="1:15">
      <c r="A40" s="46" t="s">
        <v>159</v>
      </c>
      <c r="B40">
        <v>20221121</v>
      </c>
      <c r="C40">
        <v>760199</v>
      </c>
      <c r="D40">
        <v>20000715</v>
      </c>
      <c r="E40">
        <v>20450515</v>
      </c>
      <c r="F40">
        <v>6.2100999999999997</v>
      </c>
      <c r="G40">
        <v>6.1746999999999996</v>
      </c>
      <c r="H40">
        <v>6.1901999999999999</v>
      </c>
      <c r="I40">
        <v>3894.6374940000001</v>
      </c>
      <c r="J40">
        <v>6.8602112940999995E-4</v>
      </c>
      <c r="K40">
        <v>5.9992000000000001</v>
      </c>
      <c r="L40">
        <v>6.3669000000000002</v>
      </c>
      <c r="M40">
        <v>5.9915000000000003</v>
      </c>
      <c r="N40">
        <v>6.359</v>
      </c>
      <c r="O40" t="s">
        <v>157</v>
      </c>
    </row>
    <row r="41" spans="1:15">
      <c r="A41" s="46" t="s">
        <v>159</v>
      </c>
      <c r="B41">
        <v>20221121</v>
      </c>
      <c r="C41">
        <v>760199</v>
      </c>
      <c r="D41">
        <v>20000715</v>
      </c>
      <c r="E41">
        <v>20500815</v>
      </c>
      <c r="F41">
        <v>6.2138</v>
      </c>
      <c r="G41">
        <v>6.1681999999999997</v>
      </c>
      <c r="H41">
        <v>6.1917999999999997</v>
      </c>
      <c r="I41">
        <v>3943.7299469999998</v>
      </c>
      <c r="J41">
        <v>3.7655880908599999E-3</v>
      </c>
      <c r="K41">
        <v>6.0119999999999996</v>
      </c>
      <c r="L41">
        <v>6.3689999999999998</v>
      </c>
      <c r="M41">
        <v>6.0008999999999997</v>
      </c>
      <c r="N41">
        <v>6.3575999999999997</v>
      </c>
      <c r="O41" t="s">
        <v>157</v>
      </c>
    </row>
    <row r="42" spans="1:15">
      <c r="A42" s="46" t="s">
        <v>159</v>
      </c>
      <c r="B42">
        <v>20221121</v>
      </c>
      <c r="C42">
        <v>760199</v>
      </c>
      <c r="D42">
        <v>20000715</v>
      </c>
      <c r="E42">
        <v>20550515</v>
      </c>
      <c r="F42">
        <v>6.2069999999999999</v>
      </c>
      <c r="G42">
        <v>6.1675000000000004</v>
      </c>
      <c r="H42">
        <v>6.1882000000000001</v>
      </c>
      <c r="I42">
        <v>3883.0414770000002</v>
      </c>
      <c r="J42">
        <v>4.17638433816E-3</v>
      </c>
      <c r="K42">
        <v>6.0126999999999997</v>
      </c>
      <c r="L42">
        <v>6.3635000000000002</v>
      </c>
      <c r="M42">
        <v>6.0018000000000002</v>
      </c>
      <c r="N42">
        <v>6.3521999999999998</v>
      </c>
      <c r="O42" t="s">
        <v>157</v>
      </c>
    </row>
    <row r="43" spans="1:15">
      <c r="A43" s="46" t="s">
        <v>159</v>
      </c>
      <c r="B43">
        <v>20221121</v>
      </c>
      <c r="C43">
        <v>760199</v>
      </c>
      <c r="D43">
        <v>20000715</v>
      </c>
      <c r="E43">
        <v>20600815</v>
      </c>
      <c r="F43">
        <v>6.2051999999999996</v>
      </c>
      <c r="G43">
        <v>6.1619999999999999</v>
      </c>
      <c r="H43">
        <v>6.1829000000000001</v>
      </c>
      <c r="I43">
        <v>3939.099483</v>
      </c>
      <c r="J43">
        <v>3.9737232138100003E-3</v>
      </c>
      <c r="K43">
        <v>6.0076000000000001</v>
      </c>
      <c r="L43">
        <v>6.3535000000000004</v>
      </c>
      <c r="M43">
        <v>6</v>
      </c>
      <c r="N43">
        <v>6.3455000000000004</v>
      </c>
      <c r="O43" t="s">
        <v>157</v>
      </c>
    </row>
    <row r="44" spans="1:15">
      <c r="A44" s="46" t="s">
        <v>160</v>
      </c>
      <c r="B44">
        <v>20221121</v>
      </c>
      <c r="C44">
        <v>950199</v>
      </c>
      <c r="D44">
        <v>20120309</v>
      </c>
      <c r="E44">
        <v>20230101</v>
      </c>
      <c r="F44">
        <v>13.7364</v>
      </c>
      <c r="G44">
        <v>13.7195</v>
      </c>
      <c r="H44">
        <v>13.7285</v>
      </c>
      <c r="I44">
        <v>1032.86898</v>
      </c>
      <c r="J44">
        <v>3.0950682318799999E-3</v>
      </c>
      <c r="K44">
        <v>13.610799999999999</v>
      </c>
      <c r="L44">
        <v>13.9902</v>
      </c>
      <c r="M44">
        <v>13.6038</v>
      </c>
      <c r="N44">
        <v>13.981299999999999</v>
      </c>
      <c r="O44" t="s">
        <v>157</v>
      </c>
    </row>
    <row r="45" spans="1:15">
      <c r="A45" s="46" t="s">
        <v>160</v>
      </c>
      <c r="B45">
        <v>20221121</v>
      </c>
      <c r="C45">
        <v>950199</v>
      </c>
      <c r="D45">
        <v>20140110</v>
      </c>
      <c r="E45">
        <v>20250101</v>
      </c>
      <c r="F45">
        <v>13.6638</v>
      </c>
      <c r="G45">
        <v>13.616400000000001</v>
      </c>
      <c r="H45">
        <v>13.6411</v>
      </c>
      <c r="I45">
        <v>975.62506599999995</v>
      </c>
      <c r="J45">
        <v>4.9278122245100002E-3</v>
      </c>
      <c r="K45">
        <v>13.4541</v>
      </c>
      <c r="L45">
        <v>14.628500000000001</v>
      </c>
      <c r="M45">
        <v>13.2828</v>
      </c>
      <c r="N45">
        <v>14.457100000000001</v>
      </c>
      <c r="O45" t="s">
        <v>157</v>
      </c>
    </row>
    <row r="46" spans="1:15">
      <c r="A46" s="46" t="s">
        <v>160</v>
      </c>
      <c r="B46">
        <v>20221121</v>
      </c>
      <c r="C46">
        <v>950199</v>
      </c>
      <c r="D46">
        <v>20160115</v>
      </c>
      <c r="E46">
        <v>20270101</v>
      </c>
      <c r="F46">
        <v>13.3575</v>
      </c>
      <c r="G46">
        <v>13.3306</v>
      </c>
      <c r="H46">
        <v>13.3423</v>
      </c>
      <c r="I46">
        <v>939.27922799999999</v>
      </c>
      <c r="J46">
        <v>4.83638172914E-3</v>
      </c>
      <c r="K46">
        <v>13.1511</v>
      </c>
      <c r="L46">
        <v>14.205500000000001</v>
      </c>
      <c r="M46">
        <v>12.942299999999999</v>
      </c>
      <c r="N46">
        <v>13.997</v>
      </c>
      <c r="O46" t="s">
        <v>157</v>
      </c>
    </row>
    <row r="47" spans="1:15">
      <c r="A47" s="46" t="s">
        <v>160</v>
      </c>
      <c r="B47">
        <v>20221121</v>
      </c>
      <c r="C47">
        <v>950199</v>
      </c>
      <c r="D47">
        <v>20180105</v>
      </c>
      <c r="E47">
        <v>20290101</v>
      </c>
      <c r="F47">
        <v>13.3878</v>
      </c>
      <c r="G47">
        <v>13.3743</v>
      </c>
      <c r="H47">
        <v>13.3812</v>
      </c>
      <c r="I47">
        <v>906.55810899999994</v>
      </c>
      <c r="J47">
        <v>1.9421788846599999E-3</v>
      </c>
      <c r="K47">
        <v>13.164199999999999</v>
      </c>
      <c r="L47">
        <v>14.1432</v>
      </c>
      <c r="M47">
        <v>12.970800000000001</v>
      </c>
      <c r="N47">
        <v>13.950100000000001</v>
      </c>
      <c r="O47" t="s">
        <v>157</v>
      </c>
    </row>
    <row r="48" spans="1:15">
      <c r="A48" s="46" t="s">
        <v>160</v>
      </c>
      <c r="B48">
        <v>20221121</v>
      </c>
      <c r="C48">
        <v>950199</v>
      </c>
      <c r="D48">
        <v>20200110</v>
      </c>
      <c r="E48">
        <v>20310101</v>
      </c>
      <c r="F48">
        <v>13.3797</v>
      </c>
      <c r="G48">
        <v>13.351100000000001</v>
      </c>
      <c r="H48">
        <v>13.3674</v>
      </c>
      <c r="I48">
        <v>881.90398900000002</v>
      </c>
      <c r="J48">
        <v>5.9346247758400002E-3</v>
      </c>
      <c r="K48">
        <v>13.1302</v>
      </c>
      <c r="L48">
        <v>14.085100000000001</v>
      </c>
      <c r="M48">
        <v>12.961</v>
      </c>
      <c r="N48">
        <v>13.9161</v>
      </c>
      <c r="O48" t="s">
        <v>157</v>
      </c>
    </row>
    <row r="49" spans="1:15">
      <c r="A49" s="46" t="s">
        <v>160</v>
      </c>
      <c r="B49">
        <v>20221121</v>
      </c>
      <c r="C49">
        <v>950199</v>
      </c>
      <c r="D49">
        <v>20220107</v>
      </c>
      <c r="E49">
        <v>20330101</v>
      </c>
      <c r="F49">
        <v>13.3537</v>
      </c>
      <c r="G49">
        <v>13.3325</v>
      </c>
      <c r="H49">
        <v>13.3423</v>
      </c>
      <c r="I49">
        <v>863.143869</v>
      </c>
      <c r="J49">
        <v>4.3825744773999999E-3</v>
      </c>
      <c r="K49">
        <v>13.131500000000001</v>
      </c>
      <c r="L49">
        <v>14.0687</v>
      </c>
      <c r="M49">
        <v>12.9406</v>
      </c>
      <c r="N49">
        <v>13.877800000000001</v>
      </c>
      <c r="O49" t="s">
        <v>157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424e964-90e7-4d77-b9a0-7967e0e0a2e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A39951C4C075F478B0C8829BEB475A6" ma:contentTypeVersion="7" ma:contentTypeDescription="Crie um novo documento." ma:contentTypeScope="" ma:versionID="4f068f98f67007cba14d8b06c8568633">
  <xsd:schema xmlns:xsd="http://www.w3.org/2001/XMLSchema" xmlns:xs="http://www.w3.org/2001/XMLSchema" xmlns:p="http://schemas.microsoft.com/office/2006/metadata/properties" xmlns:ns2="a424e964-90e7-4d77-b9a0-7967e0e0a2e6" xmlns:ns3="60270974-b378-4f04-b73d-df734ae9cc11" targetNamespace="http://schemas.microsoft.com/office/2006/metadata/properties" ma:root="true" ma:fieldsID="fd1070a93067118041d4695f15c9a3ad" ns2:_="" ns3:_="">
    <xsd:import namespace="a424e964-90e7-4d77-b9a0-7967e0e0a2e6"/>
    <xsd:import namespace="60270974-b378-4f04-b73d-df734ae9cc1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_Flow_SignoffStatu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24e964-90e7-4d77-b9a0-7967e0e0a2e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Flow_SignoffStatus" ma:index="10" nillable="true" ma:displayName="Status de liberação" ma:internalName="Status_x0020_de_x0020_libera_x00e7__x00e3_o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270974-b378-4f04-b73d-df734ae9cc11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6C8CFCA-25F0-4D0B-8CD9-E2849C9FE587}">
  <ds:schemaRefs>
    <ds:schemaRef ds:uri="http://schemas.microsoft.com/office/2006/metadata/properties"/>
    <ds:schemaRef ds:uri="http://schemas.microsoft.com/office/infopath/2007/PartnerControls"/>
    <ds:schemaRef ds:uri="a424e964-90e7-4d77-b9a0-7967e0e0a2e6"/>
  </ds:schemaRefs>
</ds:datastoreItem>
</file>

<file path=customXml/itemProps2.xml><?xml version="1.0" encoding="utf-8"?>
<ds:datastoreItem xmlns:ds="http://schemas.openxmlformats.org/officeDocument/2006/customXml" ds:itemID="{B3517409-B05D-4EA9-A9BE-1A0C865B2F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24e964-90e7-4d77-b9a0-7967e0e0a2e6"/>
    <ds:schemaRef ds:uri="60270974-b378-4f04-b73d-df734ae9cc1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28A1AB-5090-42BC-BB89-93EB8B78984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Caminhos_VBA</vt:lpstr>
      <vt:lpstr>Controle</vt:lpstr>
      <vt:lpstr>Resumo_HSF</vt:lpstr>
      <vt:lpstr>Performance</vt:lpstr>
      <vt:lpstr>Cálculo Performance</vt:lpstr>
      <vt:lpstr>Feriados</vt:lpstr>
      <vt:lpstr>Fluxo de Caixa_</vt:lpstr>
      <vt:lpstr>Fluxo de Caixa</vt:lpstr>
      <vt:lpstr>CarteiraBTG</vt:lpstr>
      <vt:lpstr>Planilha2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dadler</dc:creator>
  <cp:keywords/>
  <dc:description/>
  <cp:lastModifiedBy>Danny Adler</cp:lastModifiedBy>
  <cp:revision/>
  <cp:lastPrinted>2024-07-01T11:08:31Z</cp:lastPrinted>
  <dcterms:created xsi:type="dcterms:W3CDTF">2022-09-30T19:51:10Z</dcterms:created>
  <dcterms:modified xsi:type="dcterms:W3CDTF">2024-12-13T13:08:08Z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0x0101003A39951C4C075F478B0C8829BEB475A6</vt:lpwstr>
  </property>
</Properties>
</file>